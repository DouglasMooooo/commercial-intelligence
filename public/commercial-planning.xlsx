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0e0ce305c746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8efc25ea7b84507"/>
    <x:sheet xmlns:r="http://schemas.openxmlformats.org/officeDocument/2006/relationships" name="Assumptions" sheetId="2" r:id="R7d32fc290e144173"/>
    <x:sheet xmlns:r="http://schemas.openxmlformats.org/officeDocument/2006/relationships" name="Synthetic Sales Data" sheetId="3" r:id="Reae8a079c1e04c29"/>
    <x:sheet xmlns:r="http://schemas.openxmlformats.org/officeDocument/2006/relationships" name="SKU Master" sheetId="4" r:id="R277f14b6b83f4f48"/>
    <x:sheet xmlns:r="http://schemas.openxmlformats.org/officeDocument/2006/relationships" name="Forecast &amp; Variance" sheetId="5" r:id="R8cbb1b58dbd742e4"/>
    <x:sheet xmlns:r="http://schemas.openxmlformats.org/officeDocument/2006/relationships" name="Inventory Planning" sheetId="6" r:id="R09baf27490bc4eb3"/>
    <x:sheet xmlns:r="http://schemas.openxmlformats.org/officeDocument/2006/relationships" name="Category Performance" sheetId="7" r:id="R036773ac3af34906"/>
    <x:sheet xmlns:r="http://schemas.openxmlformats.org/officeDocument/2006/relationships" name="Data Quality Checks" sheetId="8" r:id="Re90eb6f4c2074fc4"/>
    <x:sheet xmlns:r="http://schemas.openxmlformats.org/officeDocument/2006/relationships" name="Commercial Recommendations" sheetId="9" r:id="Rc021944f8a6445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;(0.0%);&quot;-&quot;"/>
    <x:numFmt numFmtId="201" formatCode="dd-mmm-yyyy"/>
    <x:numFmt numFmtId="202" formatCode="&quot;$&quot;#,##0.00;(&quot;$&quot;#,##0.00);&quot;-&quot;"/>
    <x:numFmt numFmtId="203" formatCode="0.0"/>
  </x:numFmts>
  <x:fonts count="5">
    <x:font>
      <x:sz val="11"/>
      <x:name val="Carlito"/>
    </x:font>
    <x:font>
      <x:sz val="10"/>
      <x:color rgb="FF203B35"/>
      <x:name val="Arial"/>
    </x:font>
    <x:font>
      <x:b/>
      <x:sz val="10"/>
      <x:color rgb="FFFFFFFF"/>
      <x:name val="Arial"/>
    </x:font>
    <x:font>
      <x:sz val="10"/>
      <x:color rgb="FF1758B0"/>
      <x:name val="Arial"/>
    </x:font>
    <x:font>
      <x:sz val="10"/>
      <x:color rgb="FF267348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D3C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A42E24"/>
      </x:font>
      <x:fill>
        <x:patternFill>
          <x:bgColor rgb="FFFCE4D6"/>
        </x:patternFill>
      </x:fill>
    </x:dxf>
    <x:dxf>
      <x:font>
        <x:b/>
        <x:color rgb="FFA42E24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60aabe16524128" /><Relationship Type="http://schemas.openxmlformats.org/officeDocument/2006/relationships/theme" Target="/xl/theme/theme1.xml" Id="R2639d86204964556" /><Relationship Type="http://schemas.microsoft.com/office/2022/11/relationships/FeaturePropertyBag" Target="/xl/featurePropertyBag/featurePropertyBag.xml" Id="R038a8fe51c8c421f" /><Relationship Type="http://schemas.openxmlformats.org/officeDocument/2006/relationships/sharedStrings" Target="/xl/sharedStrings.xml" Id="R82bc0391f184468f" /><Relationship Type="http://schemas.openxmlformats.org/officeDocument/2006/relationships/worksheet" Target="/xl/worksheets/sheet1.xml" Id="R68efc25ea7b84507" /><Relationship Type="http://schemas.openxmlformats.org/officeDocument/2006/relationships/worksheet" Target="/xl/worksheets/sheet2.xml" Id="R7d32fc290e144173" /><Relationship Type="http://schemas.openxmlformats.org/officeDocument/2006/relationships/worksheet" Target="/xl/worksheets/sheet3.xml" Id="Reae8a079c1e04c29" /><Relationship Type="http://schemas.openxmlformats.org/officeDocument/2006/relationships/worksheet" Target="/xl/worksheets/sheet4.xml" Id="R277f14b6b83f4f48" /><Relationship Type="http://schemas.openxmlformats.org/officeDocument/2006/relationships/worksheet" Target="/xl/worksheets/sheet5.xml" Id="R8cbb1b58dbd742e4" /><Relationship Type="http://schemas.openxmlformats.org/officeDocument/2006/relationships/worksheet" Target="/xl/worksheets/sheet6.xml" Id="R09baf27490bc4eb3" /><Relationship Type="http://schemas.openxmlformats.org/officeDocument/2006/relationships/worksheet" Target="/xl/worksheets/sheet7.xml" Id="R036773ac3af34906" /><Relationship Type="http://schemas.openxmlformats.org/officeDocument/2006/relationships/worksheet" Target="/xl/worksheets/sheet8.xml" Id="Re90eb6f4c2074fc4" /><Relationship Type="http://schemas.openxmlformats.org/officeDocument/2006/relationships/worksheet" Target="/xl/worksheets/sheet9.xml" Id="Rc021944f8a6445b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ssumptionsTable" displayName="AssumptionsTable" ref="A1:C11" headerRowCount="1" totalsRowCount="0" totalsRowShown="0">
  <x:tableColumns count="3">
    <x:tableColumn id="1" name="Driver"/>
    <x:tableColumn id="2" name="Editable value"/>
    <x:tableColumn id="3" name="Basis / bound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yntheticSalesDataTable" displayName="SyntheticSalesDataTable" ref="A1:AD1921" headerRowCount="1" totalsRowCount="0" totalsRowShown="0">
  <x:tableColumns count="30">
    <x:tableColumn id="1" name="Transaction ID"/>
    <x:tableColumn id="2" name="Date"/>
    <x:tableColumn id="3" name="Week"/>
    <x:tableColumn id="4" name="SKU"/>
    <x:tableColumn id="5" name="Product"/>
    <x:tableColumn id="6" name="Category"/>
    <x:tableColumn id="7" name="Channel"/>
    <x:tableColumn id="8" name="Store"/>
    <x:tableColumn id="9" name="Gross units sold"/>
    <x:tableColumn id="10" name="Returns"/>
    <x:tableColumn id="11" name="Net units"/>
    <x:tableColumn id="12" name="Regular price"/>
    <x:tableColumn id="13" name="Actual price"/>
    <x:tableColumn id="14" name="Unit cost"/>
    <x:tableColumn id="15" name="Net sales"/>
    <x:tableColumn id="16" name="COGS"/>
    <x:tableColumn id="17" name="Gross profit"/>
    <x:tableColumn id="18" name="Beginning stock"/>
    <x:tableColumn id="19" name="Receipts"/>
    <x:tableColumn id="20" name="Closing stock"/>
    <x:tableColumn id="21" name="On order"/>
    <x:tableColumn id="22" name="Lead time weeks"/>
    <x:tableColumn id="23" name="Historical forecast"/>
    <x:tableColumn id="24" name="Promotion"/>
    <x:tableColumn id="25" name="Markdown"/>
    <x:tableColumn id="26" name="Stock check"/>
    <x:tableColumn id="27" name="Source closing"/>
    <x:tableColumn id="28" name="Absolute forecast error"/>
    <x:tableColumn id="29" name="Duplicate occurrences"/>
    <x:tableColumn id="30" name="Stock continuity check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KUMasterTable" displayName="SKUMasterTable" ref="A1:G25" headerRowCount="1" totalsRowCount="0" totalsRowShown="0">
  <x:tableColumns count="7">
    <x:tableColumn id="1" name="SKU"/>
    <x:tableColumn id="2" name="Product"/>
    <x:tableColumn id="3" name="Category"/>
    <x:tableColumn id="4" name="Regular price"/>
    <x:tableColumn id="5" name="Unit cost"/>
    <x:tableColumn id="6" name="Lead time weeks"/>
    <x:tableColumn id="7" name="Pack unit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orecastVarianceTable" displayName="ForecastVarianceTable" ref="A1:F481" headerRowCount="1" totalsRowCount="0" totalsRowShown="0">
  <x:tableColumns count="6">
    <x:tableColumn id="1" name="SKU"/>
    <x:tableColumn id="2" name="Week"/>
    <x:tableColumn id="3" name="Actual net units"/>
    <x:tableColumn id="4" name="Prior forecast"/>
    <x:tableColumn id="5" name="Variance units"/>
    <x:tableColumn id="6" name="Absolute erro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nventoryPlanningTable" displayName="InventoryPlanningTable" ref="A1:AA25" headerRowCount="1" totalsRowCount="0" totalsRowShown="0">
  <x:tableColumns count="27">
    <x:tableColumn id="1" name="SKU"/>
    <x:tableColumn id="2" name="Product"/>
    <x:tableColumn id="3" name="Category"/>
    <x:tableColumn id="4" name="Baseline units/week"/>
    <x:tableColumn id="5" name="On hand W20"/>
    <x:tableColumn id="6" name="Incoming W20"/>
    <x:tableColumn id="7" name="Unit cost"/>
    <x:tableColumn id="8" name="Scenario demand/week"/>
    <x:tableColumn id="9" name="Lead weeks"/>
    <x:tableColumn id="10" name="Cover weeks"/>
    <x:tableColumn id="11" name="Order units"/>
    <x:tableColumn id="12" name="Order cost"/>
    <x:tableColumn id="13" name="Scenario price"/>
    <x:tableColumn id="14" name="Unit gross margin"/>
    <x:tableColumn id="15" name="4-week supplied units"/>
    <x:tableColumn id="16" name="4-week net sales"/>
    <x:tableColumn id="17" name="4-week gross profit"/>
    <x:tableColumn id="18" name="WAPE 20 weeks"/>
    <x:tableColumn id="19" name="Risk"/>
    <x:tableColumn id="20" name="Exposure AUD"/>
    <x:tableColumn id="21" name="Confidence"/>
    <x:tableColumn id="22" name="Urgency"/>
    <x:tableColumn id="23" name="Case pack"/>
    <x:tableColumn id="24" name="Expected horizon units"/>
    <x:tableColumn id="25" name="On-hand fulfilment bound"/>
    <x:tableColumn id="26" name="All-incoming fulfilment bound"/>
    <x:tableColumn id="27" name="Fulfilled gross margi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ategoryPerformanceTable" displayName="CategoryPerformanceTable" ref="A1:M6" headerRowCount="1" totalsRowCount="0" totalsRowShown="0">
  <x:tableColumns count="13">
    <x:tableColumn id="1" name="Category"/>
    <x:tableColumn id="2" name="Sales plan retail"/>
    <x:tableColumn id="3" name="Opening at cost"/>
    <x:tableColumn id="4" name="Planned COGS"/>
    <x:tableColumn id="5" name="Target close cost"/>
    <x:tableColumn id="6" name="Planned receipts cost"/>
    <x:tableColumn id="7" name="Committed cost"/>
    <x:tableColumn id="8" name="OTB cost"/>
    <x:tableColumn id="9" name="Projected close cost"/>
    <x:tableColumn id="10" name="Bridge check"/>
    <x:tableColumn id="11" name="Historical sales"/>
    <x:tableColumn id="12" name="Historical GP"/>
    <x:tableColumn id="13" name="Historical margi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ataQualityChecksTable" displayName="DataQualityChecksTable" ref="A1:C10" headerRowCount="1" totalsRowCount="0" totalsRowShown="0">
  <x:tableColumns count="3">
    <x:tableColumn id="1" name="Check"/>
    <x:tableColumn id="2" name="Result"/>
    <x:tableColumn id="3" name="Expected / interpretat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ommercialRecommendationsTable" displayName="CommercialRecommendationsTable" ref="A1:J25" headerRowCount="1" totalsRowCount="0" totalsRowShown="0">
  <x:tableColumns count="10">
    <x:tableColumn id="1" name="Product"/>
    <x:tableColumn id="2" name="Risk"/>
    <x:tableColumn id="3" name="Exposure AUD"/>
    <x:tableColumn id="4" name="Rank by exposure"/>
    <x:tableColumn id="5" name="Recommended review"/>
    <x:tableColumn id="6" name="Order units"/>
    <x:tableColumn id="7" name="Order cost"/>
    <x:tableColumn id="8" name="Confidence"/>
    <x:tableColumn id="9" name="Urgency"/>
    <x:tableColumn id="10" name="Unit gross margi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745429ffc948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90a0ebec04849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0b6372d14e24f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8e2d7a9519e4d4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e5550504e3a4a1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25494d9febd4ba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dba17c8990d4cf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5998d77cab442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115" hidden="0" customWidth="1"/>
  </x:cols>
  <x:sheetData>
    <x:row r="1" ht="32" customHeight="1">
      <x:c r="A1" s="5" t="str">
        <x:v>Commercial Intelligence</x:v>
      </x:c>
      <x:c r="B1" s="5" t="str">
        <x:v>Retail Planning &amp; Inventory Analytics</x:v>
      </x:c>
    </x:row>
    <x:row r="2" ht="38" customHeight="1">
      <x:c r="A2" s="6" t="str">
        <x:v>Synthetic Data — Demonstration Only</x:v>
      </x:c>
      <x:c r="B2" s="6" t="str">
        <x:v>Independent hypothetical retail planning simulation</x:v>
      </x:c>
    </x:row>
    <x:row r="3" ht="38" customHeight="1">
      <x:c r="A3" s="6" t="str">
        <x:v>Purpose</x:v>
      </x:c>
      <x:c r="B3" s="6" t="str">
        <x:v>Protect availability, manage excess stock and evaluate margin trade-offs.</x:v>
      </x:c>
    </x:row>
    <x:row r="4" ht="38" customHeight="1">
      <x:c r="A4" s="6" t="str">
        <x:v>Currency and scope</x:v>
      </x:c>
      <x:c r="B4" s="6" t="str">
        <x:v>AUD excluding tax; 24 fictional SKUs; 20 weeks; 3 stores and online.</x:v>
      </x:c>
    </x:row>
    <x:row r="5" ht="38" customHeight="1">
      <x:c r="A5" s="6" t="str">
        <x:v>Source</x:v>
      </x:c>
      <x:c r="B5" s="6" t="str">
        <x:v>Fixed seed 24102026; synthetic generator only. No employer records.</x:v>
      </x:c>
    </x:row>
    <x:row r="6" ht="38" customHeight="1">
      <x:c r="A6" s="6" t="str">
        <x:v>Editable inputs</x:v>
      </x:c>
      <x:c r="B6" s="6" t="str">
        <x:v>Assumptions B2:B9 and B11: blue font and amber fill. Historical facts stay fixed.</x:v>
      </x:c>
    </x:row>
    <x:row r="7" ht="38" customHeight="1">
      <x:c r="A7" s="6" t="str">
        <x:v>Formula cells</x:v>
      </x:c>
      <x:c r="B7" s="6" t="str">
        <x:v>Black font within sheet; green font for cross-sheet formulas.</x:v>
      </x:c>
    </x:row>
    <x:row r="8" ht="38" customHeight="1">
      <x:c r="A8" s="6" t="str">
        <x:v>Business outputs</x:v>
      </x:c>
      <x:c r="B8" s="6" t="str">
        <x:v>Category Performance and Commercial Recommendations.</x:v>
      </x:c>
    </x:row>
    <x:row r="9" ht="38" customHeight="1">
      <x:c r="A9" s="6" t="str">
        <x:v>Stock basis</x:v>
      </x:c>
      <x:c r="B9" s="6" t="str">
        <x:v>Opening + receipts + returns - gross units sold = closing. Returns reverse revenue/COGS at same-week price/cost.</x:v>
      </x:c>
    </x:row>
    <x:row r="10" ht="38" customHeight="1">
      <x:c r="A10" s="6" t="str">
        <x:v>Snapshot basis</x:v>
      </x:c>
      <x:c r="B10" s="6" t="str">
        <x:v>Latest stock and on-order use Week 20 only. Do not sum weekly stock balances.</x:v>
      </x:c>
    </x:row>
    <x:row r="11" ht="38" customHeight="1">
      <x:c r="A11" s="6" t="str">
        <x:v>Forecast basis</x:v>
      </x:c>
      <x:c r="B11" s="6" t="str">
        <x:v>Prior four weeks by SKU/location; launch estimate for Week 1. No future actual leakage.</x:v>
      </x:c>
    </x:row>
    <x:row r="12" ht="38" customHeight="1">
      <x:c r="A12" s="6" t="str">
        <x:v>WAPE basis</x:v>
      </x:c>
      <x:c r="B12" s="6" t="str">
        <x:v>Sum absolute SKU/location/week error / sum net actual units. Zero denominator is N/A.</x:v>
      </x:c>
    </x:row>
    <x:row r="13" ht="38" customHeight="1">
      <x:c r="A13" s="6" t="str">
        <x:v>Replenishment</x:v>
      </x:c>
      <x:c r="B13" s="6" t="str">
        <x:v>Lead + target + safety weeks, less on-hand and incoming, pack rounded. Validate arrival dates.</x:v>
      </x:c>
    </x:row>
    <x:row r="14" ht="38" customHeight="1">
      <x:c r="A14" s="6" t="str">
        <x:v>Commercial assumption</x:v>
      </x:c>
      <x:c r="B14" s="6" t="str">
        <x:v>Markdown demand response is editable and hypothetical, not measured elasticity. Future prices start at regular price.</x:v>
      </x:c>
    </x:row>
    <x:row r="15" ht="38" customHeight="1">
      <x:c r="A15" s="6" t="str">
        <x:v>OTB basis</x:v>
      </x:c>
      <x:c r="B15" s="6" t="str">
        <x:v>Cost only. Planned receipts = max(0, 4-week COGS + target closing - opening), per category. Less committed incoming.</x:v>
      </x:c>
    </x:row>
    <x:row r="16" ht="38" customHeight="1">
      <x:c r="A16" s="6" t="str">
        <x:v>Closing inventory</x:v>
      </x:c>
      <x:c r="B16" s="6" t="str">
        <x:v>Projected closing = opening + receipts - COGS. Excess above target is retained, not written off.</x:v>
      </x:c>
    </x:row>
    <x:row r="17" ht="38" customHeight="1">
      <x:c r="A17" s="6" t="str">
        <x:v>Limitations</x:v>
      </x:c>
      <x:c r="B17" s="6" t="str">
        <x:v>No expenses, tax, cash-flow timing or dated receipts. Sales exclude undated incoming by default; B11 explicitly changes this. Observed sales may be stockout-censored.</x:v>
      </x:c>
    </x:row>
    <x:row r="18" ht="38" customHeight="1">
      <x:c r="A18" s="6" t="str">
        <x:v>Manual enhancements</x:v>
      </x:c>
      <x:c r="B18" s="6" t="str">
        <x:v>Add PivotTables and Power Query manually if needed. None are claimed or fabricated here.</x:v>
      </x:c>
    </x:row>
    <x:row r="19" ht="38" customHeight="1">
      <x:c r="A19" s="6" t="str">
        <x:v>Excel compatibility</x:v>
      </x:c>
      <x:c r="B19" s="6" t="str">
        <x:v>Formula-based model. Recalculate in desktop Excel. Original artifact export validated; desktop Excel unavailable during build.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78" hidden="0" customWidth="1"/>
  </x:cols>
  <x:sheetData>
    <x:row r="1" ht="32" customHeight="1">
      <x:c r="A1" s="5" t="str">
        <x:v>Driver</x:v>
      </x:c>
      <x:c r="B1" s="5" t="str">
        <x:v>Editable value</x:v>
      </x:c>
      <x:c r="C1" s="5" t="str">
        <x:v>Basis / bounds</x:v>
      </x:c>
    </x:row>
    <x:row r="2" ht="23" customHeight="1">
      <x:c r="A2" s="2" t="str">
        <x:v>Demand change</x:v>
      </x:c>
      <x:c r="B2" s="10" t="n">
        <x:v>0</x:v>
      </x:c>
      <x:c r="C2" s="2" t="str">
        <x:v>-100% to 300%; future only</x:v>
      </x:c>
    </x:row>
    <x:row r="3" ht="23" customHeight="1">
      <x:c r="A3" s="2" t="str">
        <x:v>Promotion uplift</x:v>
      </x:c>
      <x:c r="B3" s="10" t="n">
        <x:v>0</x:v>
      </x:c>
      <x:c r="C3" s="2" t="str">
        <x:v>0% to 200%; scenario assumption</x:v>
      </x:c>
    </x:row>
    <x:row r="4" ht="23" customHeight="1">
      <x:c r="A4" s="2" t="str">
        <x:v>Markdown</x:v>
      </x:c>
      <x:c r="B4" s="10" t="n">
        <x:v>0</x:v>
      </x:c>
      <x:c r="C4" s="2" t="str">
        <x:v>0% to 60%; applied to regular price</x:v>
      </x:c>
    </x:row>
    <x:row r="5" ht="23" customHeight="1">
      <x:c r="A5" s="2" t="str">
        <x:v>Lead-time change</x:v>
      </x:c>
      <x:c r="B5" s="11" t="n">
        <x:v>0</x:v>
      </x:c>
      <x:c r="C5" s="2" t="str">
        <x:v>-2 to +6 weeks; floor total lead at zero</x:v>
      </x:c>
    </x:row>
    <x:row r="6" ht="23" customHeight="1">
      <x:c r="A6" s="2" t="str">
        <x:v>Target cover</x:v>
      </x:c>
      <x:c r="B6" s="11" t="n">
        <x:v>4</x:v>
      </x:c>
      <x:c r="C6" s="2" t="str">
        <x:v>1 to 12 weeks after lead time</x:v>
      </x:c>
    </x:row>
    <x:row r="7" ht="23" customHeight="1">
      <x:c r="A7" s="2" t="str">
        <x:v>Safety cover</x:v>
      </x:c>
      <x:c r="B7" s="11" t="n">
        <x:v>1</x:v>
      </x:c>
      <x:c r="C7" s="2" t="str">
        <x:v>0 to 4 weeks of demand</x:v>
      </x:c>
    </x:row>
    <x:row r="8" ht="23" customHeight="1">
      <x:c r="A8" s="2" t="str">
        <x:v>Planning horizon</x:v>
      </x:c>
      <x:c r="B8" s="11" t="n">
        <x:v>4</x:v>
      </x:c>
      <x:c r="C8" s="2" t="str">
        <x:v>1 to 12 weeks; target closing always 4 weeks</x:v>
      </x:c>
    </x:row>
    <x:row r="9" ht="23" customHeight="1">
      <x:c r="A9" s="2" t="str">
        <x:v>Markdown demand response</x:v>
      </x:c>
      <x:c r="B9" s="11" t="n">
        <x:v>0.8</x:v>
      </x:c>
      <x:c r="C9" s="2" t="str">
        <x:v>0 to 2; demand multiplier = 1 + response × markdown</x:v>
      </x:c>
    </x:row>
    <x:row r="10" ht="23" customHeight="1">
      <x:c r="A10" s="2" t="str">
        <x:v>Historical cutoff</x:v>
      </x:c>
      <x:c r="B10" s="2" t="n">
        <x:v>20</x:v>
      </x:c>
      <x:c r="C10" s="2" t="str">
        <x:v>Fixed Week 20; not an editable scenario driver</x:v>
      </x:c>
    </x:row>
    <x:row r="11" ht="40" customHeight="1">
      <x:c r="A11" s="2" t="str">
        <x:v>Incoming within 4 weeks</x:v>
      </x:c>
      <x:c r="B11" s="11" t="n">
        <x:v>0</x:v>
      </x:c>
      <x:c r="C11" s="6" t="str">
        <x:v>0: exclude undated incoming. 1: assume arrival in horizon. Urgent risk uses on-hand.</x:v>
      </x:c>
    </x:row>
  </x:sheetData>
  <x:dataValidations count="9">
    <x:dataValidation type="whole" operator="between" sqref="B11">
      <x:formula1>0</x:formula1>
      <x:formula2>1</x:formula2>
    </x:dataValidation>
    <x:dataValidation type="decimal" operator="between" sqref="B2">
      <x:formula1>-1</x:formula1>
      <x:formula2>3</x:formula2>
    </x:dataValidation>
    <x:dataValidation type="decimal" operator="between" sqref="B3">
      <x:formula1>0</x:formula1>
      <x:formula2>2</x:formula2>
    </x:dataValidation>
    <x:dataValidation type="decimal" operator="between" sqref="B4">
      <x:formula1>0</x:formula1>
      <x:formula2>0.6</x:formula2>
    </x:dataValidation>
    <x:dataValidation type="decimal" operator="between" sqref="B5">
      <x:formula1>-2</x:formula1>
      <x:formula2>6</x:formula2>
    </x:dataValidation>
    <x:dataValidation type="decimal" operator="between" sqref="B6">
      <x:formula1>1</x:formula1>
      <x:formula2>12</x:formula2>
    </x:dataValidation>
    <x:dataValidation type="decimal" operator="between" sqref="B7">
      <x:formula1>0</x:formula1>
      <x:formula2>4</x:formula2>
    </x:dataValidation>
    <x:dataValidation type="decimal" operator="between" sqref="B8">
      <x:formula1>1</x:formula1>
      <x:formula2>12</x:formula2>
    </x:dataValidation>
    <x:dataValidation type="decimal" operator="between" sqref="B9">
      <x:formula1>0</x:formula1>
      <x:formula2>2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d745429ffc948f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5" hidden="0" customWidth="1"/>
    <x:col min="3" max="3" width="10" hidden="0" customWidth="1"/>
    <x:col min="4" max="4" width="16" hidden="0" customWidth="1"/>
    <x:col min="5" max="5" width="25" hidden="0" customWidth="1"/>
    <x:col min="6" max="6" width="18" hidden="0" customWidth="1"/>
    <x:col min="7" max="7" width="14" hidden="0" customWidth="1"/>
    <x:col min="8" max="8" width="20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</x:cols>
  <x:sheetData>
    <x:row r="1" ht="32" customHeight="1">
      <x:c r="A1" s="5" t="str">
        <x:v>Transaction ID</x:v>
      </x:c>
      <x:c r="B1" s="5" t="str">
        <x:v>Date</x:v>
      </x:c>
      <x:c r="C1" s="5" t="str">
        <x:v>Week</x:v>
      </x:c>
      <x:c r="D1" s="5" t="str">
        <x:v>SKU</x:v>
      </x:c>
      <x:c r="E1" s="5" t="str">
        <x:v>Product</x:v>
      </x:c>
      <x:c r="F1" s="5" t="str">
        <x:v>Category</x:v>
      </x:c>
      <x:c r="G1" s="5" t="str">
        <x:v>Channel</x:v>
      </x:c>
      <x:c r="H1" s="5" t="str">
        <x:v>Store</x:v>
      </x:c>
      <x:c r="I1" s="5" t="str">
        <x:v>Gross units sold</x:v>
      </x:c>
      <x:c r="J1" s="5" t="str">
        <x:v>Returns</x:v>
      </x:c>
      <x:c r="K1" s="5" t="str">
        <x:v>Net units</x:v>
      </x:c>
      <x:c r="L1" s="5" t="str">
        <x:v>Regular price</x:v>
      </x:c>
      <x:c r="M1" s="5" t="str">
        <x:v>Actual price</x:v>
      </x:c>
      <x:c r="N1" s="5" t="str">
        <x:v>Unit cost</x:v>
      </x:c>
      <x:c r="O1" s="5" t="str">
        <x:v>Net sales</x:v>
      </x:c>
      <x:c r="P1" s="5" t="str">
        <x:v>COGS</x:v>
      </x:c>
      <x:c r="Q1" s="5" t="str">
        <x:v>Gross profit</x:v>
      </x:c>
      <x:c r="R1" s="5" t="str">
        <x:v>Beginning stock</x:v>
      </x:c>
      <x:c r="S1" s="5" t="str">
        <x:v>Receipts</x:v>
      </x:c>
      <x:c r="T1" s="5" t="str">
        <x:v>Closing stock</x:v>
      </x:c>
      <x:c r="U1" s="5" t="str">
        <x:v>On order</x:v>
      </x:c>
      <x:c r="V1" s="5" t="str">
        <x:v>Lead time weeks</x:v>
      </x:c>
      <x:c r="W1" s="5" t="str">
        <x:v>Historical forecast</x:v>
      </x:c>
      <x:c r="X1" s="5" t="str">
        <x:v>Promotion</x:v>
      </x:c>
      <x:c r="Y1" s="5" t="str">
        <x:v>Markdown</x:v>
      </x:c>
      <x:c r="Z1" s="5" t="str">
        <x:v>Stock check</x:v>
      </x:c>
      <x:c r="AA1" s="5" t="str">
        <x:v>Source closing</x:v>
      </x:c>
      <x:c r="AB1" s="5" t="str">
        <x:v>Absolute forecast error</x:v>
      </x:c>
      <x:c r="AC1" s="5" t="str">
        <x:v>Duplicate occurrences</x:v>
      </x:c>
      <x:c r="AD1" s="5" t="str">
        <x:v>Stock continuity check</x:v>
      </x:c>
    </x:row>
    <x:row r="2" ht="23" customHeight="1">
      <x:c r="A2" s="2" t="str">
        <x:v>DEMO-101-0-1</x:v>
      </x:c>
      <x:c r="B2" s="15" t="d">
        <x:v>2026-05-04T00:00:00.000Z</x:v>
      </x:c>
      <x:c r="C2" s="2" t="n">
        <x:v>1</x:v>
      </x:c>
      <x:c r="D2" s="2" t="str">
        <x:v>DEMO-101</x:v>
      </x:c>
      <x:c r="E2" s="2" t="str">
        <x:v>Orbit Notebook</x:v>
      </x:c>
      <x:c r="F2" s="2" t="str">
        <x:v>Stationery</x:v>
      </x:c>
      <x:c r="G2" s="2" t="str">
        <x:v>Stores</x:v>
      </x:c>
      <x:c r="H2" s="2" t="str">
        <x:v>North Arcade</x:v>
      </x:c>
      <x:c r="I2" s="2" t="n">
        <x:v>21</x:v>
      </x:c>
      <x:c r="J2" s="2" t="n">
        <x:v>0</x:v>
      </x:c>
      <x:c r="K2" s="2" t="n">
        <x:f>I2-J2</x:f>
        <x:v>21</x:v>
      </x:c>
      <x:c r="L2" s="16" t="n">
        <x:v>12</x:v>
      </x:c>
      <x:c r="M2" s="16" t="n">
        <x:v>12</x:v>
      </x:c>
      <x:c r="N2" s="16" t="n">
        <x:v>4.32</x:v>
      </x:c>
      <x:c r="O2" s="16" t="n">
        <x:f>K2*M2</x:f>
        <x:v>252</x:v>
      </x:c>
      <x:c r="P2" s="16" t="n">
        <x:f>K2*N2</x:f>
        <x:v>90.72</x:v>
      </x:c>
      <x:c r="Q2" s="16" t="n">
        <x:f>O2-P2</x:f>
        <x:v>161.28</x:v>
      </x:c>
      <x:c r="R2" s="2" t="n">
        <x:v>90</x:v>
      </x:c>
      <x:c r="S2" s="2" t="n">
        <x:v>90</x:v>
      </x:c>
      <x:c r="T2" s="2" t="n">
        <x:f>R2+S2+J2-I2</x:f>
        <x:v>159</x:v>
      </x:c>
      <x:c r="U2" s="2" t="n">
        <x:v>0</x:v>
      </x:c>
      <x:c r="V2" s="2" t="n">
        <x:v>2</x:v>
      </x:c>
      <x:c r="W2" s="2" t="n">
        <x:v>25</x:v>
      </x:c>
      <x:c r="X2" s="14" t="b">
        <x:v>0</x:v>
      </x:c>
      <x:c r="Y2" s="14" t="b">
        <x:v>0</x:v>
      </x:c>
      <x:c r="Z2" s="2" t="n">
        <x:f>ABS(T2-AA2)</x:f>
        <x:v>0</x:v>
      </x:c>
      <x:c r="AA2" s="2" t="n">
        <x:v>159</x:v>
      </x:c>
      <x:c r="AB2" s="2" t="n">
        <x:f>ABS(K2-W2)</x:f>
        <x:v>4</x:v>
      </x:c>
      <x:c r="AC2" s="2" t="n">
        <x:f>COUNTIF($A$2:$A$1921,A2)-1</x:f>
        <x:v>0</x:v>
      </x:c>
      <x:c r="AD2" s="2" t="n">
        <x:f>0</x:f>
        <x:v>0</x:v>
      </x:c>
    </x:row>
    <x:row r="3" ht="23" customHeight="1">
      <x:c r="A3" s="2" t="str">
        <x:v>DEMO-101-0-2</x:v>
      </x:c>
      <x:c r="B3" s="15" t="d">
        <x:v>2026-05-11T00:00:00.000Z</x:v>
      </x:c>
      <x:c r="C3" s="2" t="n">
        <x:v>2</x:v>
      </x:c>
      <x:c r="D3" s="2" t="str">
        <x:v>DEMO-101</x:v>
      </x:c>
      <x:c r="E3" s="2" t="str">
        <x:v>Orbit Notebook</x:v>
      </x:c>
      <x:c r="F3" s="2" t="str">
        <x:v>Stationery</x:v>
      </x:c>
      <x:c r="G3" s="2" t="str">
        <x:v>Stores</x:v>
      </x:c>
      <x:c r="H3" s="2" t="str">
        <x:v>North Arcade</x:v>
      </x:c>
      <x:c r="I3" s="2" t="n">
        <x:v>26</x:v>
      </x:c>
      <x:c r="J3" s="2" t="n">
        <x:v>1</x:v>
      </x:c>
      <x:c r="K3" s="2" t="n">
        <x:f>I3-J3</x:f>
        <x:v>25</x:v>
      </x:c>
      <x:c r="L3" s="16" t="n">
        <x:v>12</x:v>
      </x:c>
      <x:c r="M3" s="16" t="n">
        <x:v>12</x:v>
      </x:c>
      <x:c r="N3" s="16" t="n">
        <x:v>4.32</x:v>
      </x:c>
      <x:c r="O3" s="16" t="n">
        <x:f>K3*M3</x:f>
        <x:v>300</x:v>
      </x:c>
      <x:c r="P3" s="16" t="n">
        <x:f>K3*N3</x:f>
        <x:v>108</x:v>
      </x:c>
      <x:c r="Q3" s="16" t="n">
        <x:f>O3-P3</x:f>
        <x:v>192</x:v>
      </x:c>
      <x:c r="R3" s="2" t="n">
        <x:v>159</x:v>
      </x:c>
      <x:c r="S3" s="2" t="n">
        <x:v>0</x:v>
      </x:c>
      <x:c r="T3" s="2" t="n">
        <x:f>R3+S3+J3-I3</x:f>
        <x:v>134</x:v>
      </x:c>
      <x:c r="U3" s="2" t="n">
        <x:v>0</x:v>
      </x:c>
      <x:c r="V3" s="2" t="n">
        <x:v>2</x:v>
      </x:c>
      <x:c r="W3" s="2" t="n">
        <x:v>21</x:v>
      </x:c>
      <x:c r="X3" s="14" t="b">
        <x:v>0</x:v>
      </x:c>
      <x:c r="Y3" s="14" t="b">
        <x:v>0</x:v>
      </x:c>
      <x:c r="Z3" s="2" t="n">
        <x:f>ABS(T3-AA3)</x:f>
        <x:v>0</x:v>
      </x:c>
      <x:c r="AA3" s="2" t="n">
        <x:v>134</x:v>
      </x:c>
      <x:c r="AB3" s="2" t="n">
        <x:f>ABS(K3-W3)</x:f>
        <x:v>4</x:v>
      </x:c>
      <x:c r="AC3" s="2" t="n">
        <x:f>COUNTIF($A$2:$A$1921,A3)-1</x:f>
        <x:v>0</x:v>
      </x:c>
      <x:c r="AD3" s="2" t="n">
        <x:f>IF(AND(D3=D2,H3=H2,C3=C2+1),ABS(R3-T2),0)</x:f>
        <x:v>0</x:v>
      </x:c>
    </x:row>
    <x:row r="4" ht="23" customHeight="1">
      <x:c r="A4" s="2" t="str">
        <x:v>DEMO-101-0-3</x:v>
      </x:c>
      <x:c r="B4" s="15" t="d">
        <x:v>2026-05-18T00:00:00.000Z</x:v>
      </x:c>
      <x:c r="C4" s="2" t="n">
        <x:v>3</x:v>
      </x:c>
      <x:c r="D4" s="2" t="str">
        <x:v>DEMO-101</x:v>
      </x:c>
      <x:c r="E4" s="2" t="str">
        <x:v>Orbit Notebook</x:v>
      </x:c>
      <x:c r="F4" s="2" t="str">
        <x:v>Stationery</x:v>
      </x:c>
      <x:c r="G4" s="2" t="str">
        <x:v>Stores</x:v>
      </x:c>
      <x:c r="H4" s="2" t="str">
        <x:v>North Arcade</x:v>
      </x:c>
      <x:c r="I4" s="2" t="n">
        <x:v>27</x:v>
      </x:c>
      <x:c r="J4" s="2" t="n">
        <x:v>0</x:v>
      </x:c>
      <x:c r="K4" s="2" t="n">
        <x:f>I4-J4</x:f>
        <x:v>27</x:v>
      </x:c>
      <x:c r="L4" s="16" t="n">
        <x:v>12</x:v>
      </x:c>
      <x:c r="M4" s="16" t="n">
        <x:v>12</x:v>
      </x:c>
      <x:c r="N4" s="16" t="n">
        <x:v>4.32</x:v>
      </x:c>
      <x:c r="O4" s="16" t="n">
        <x:f>K4*M4</x:f>
        <x:v>324</x:v>
      </x:c>
      <x:c r="P4" s="16" t="n">
        <x:f>K4*N4</x:f>
        <x:v>116.64000000000001</x:v>
      </x:c>
      <x:c r="Q4" s="16" t="n">
        <x:f>O4-P4</x:f>
        <x:v>207.35999999999999</x:v>
      </x:c>
      <x:c r="R4" s="2" t="n">
        <x:v>134</x:v>
      </x:c>
      <x:c r="S4" s="2" t="n">
        <x:v>0</x:v>
      </x:c>
      <x:c r="T4" s="2" t="n">
        <x:f>R4+S4+J4-I4</x:f>
        <x:v>107</x:v>
      </x:c>
      <x:c r="U4" s="2" t="n">
        <x:v>0</x:v>
      </x:c>
      <x:c r="V4" s="2" t="n">
        <x:v>2</x:v>
      </x:c>
      <x:c r="W4" s="2" t="n">
        <x:v>23</x:v>
      </x:c>
      <x:c r="X4" s="14" t="b">
        <x:v>0</x:v>
      </x:c>
      <x:c r="Y4" s="14" t="b">
        <x:v>0</x:v>
      </x:c>
      <x:c r="Z4" s="2" t="n">
        <x:f>ABS(T4-AA4)</x:f>
        <x:v>0</x:v>
      </x:c>
      <x:c r="AA4" s="2" t="n">
        <x:v>107</x:v>
      </x:c>
      <x:c r="AB4" s="2" t="n">
        <x:f>ABS(K4-W4)</x:f>
        <x:v>4</x:v>
      </x:c>
      <x:c r="AC4" s="2" t="n">
        <x:f>COUNTIF($A$2:$A$1921,A4)-1</x:f>
        <x:v>0</x:v>
      </x:c>
      <x:c r="AD4" s="2" t="n">
        <x:f>IF(AND(D4=D3,H4=H3,C4=C3+1),ABS(R4-T3),0)</x:f>
        <x:v>0</x:v>
      </x:c>
    </x:row>
    <x:row r="5" ht="23" customHeight="1">
      <x:c r="A5" s="2" t="str">
        <x:v>DEMO-101-0-4</x:v>
      </x:c>
      <x:c r="B5" s="15" t="d">
        <x:v>2026-05-25T00:00:00.000Z</x:v>
      </x:c>
      <x:c r="C5" s="2" t="n">
        <x:v>4</x:v>
      </x:c>
      <x:c r="D5" s="2" t="str">
        <x:v>DEMO-101</x:v>
      </x:c>
      <x:c r="E5" s="2" t="str">
        <x:v>Orbit Notebook</x:v>
      </x:c>
      <x:c r="F5" s="2" t="str">
        <x:v>Stationery</x:v>
      </x:c>
      <x:c r="G5" s="2" t="str">
        <x:v>Stores</x:v>
      </x:c>
      <x:c r="H5" s="2" t="str">
        <x:v>North Arcade</x:v>
      </x:c>
      <x:c r="I5" s="2" t="n">
        <x:v>24</x:v>
      </x:c>
      <x:c r="J5" s="2" t="n">
        <x:v>1</x:v>
      </x:c>
      <x:c r="K5" s="2" t="n">
        <x:f>I5-J5</x:f>
        <x:v>23</x:v>
      </x:c>
      <x:c r="L5" s="16" t="n">
        <x:v>12</x:v>
      </x:c>
      <x:c r="M5" s="16" t="n">
        <x:v>12</x:v>
      </x:c>
      <x:c r="N5" s="16" t="n">
        <x:v>4.32</x:v>
      </x:c>
      <x:c r="O5" s="16" t="n">
        <x:f>K5*M5</x:f>
        <x:v>276</x:v>
      </x:c>
      <x:c r="P5" s="16" t="n">
        <x:f>K5*N5</x:f>
        <x:v>99.36000000000001</x:v>
      </x:c>
      <x:c r="Q5" s="16" t="n">
        <x:f>O5-P5</x:f>
        <x:v>176.64</x:v>
      </x:c>
      <x:c r="R5" s="2" t="n">
        <x:v>107</x:v>
      </x:c>
      <x:c r="S5" s="2" t="n">
        <x:v>0</x:v>
      </x:c>
      <x:c r="T5" s="2" t="n">
        <x:f>R5+S5+J5-I5</x:f>
        <x:v>84</x:v>
      </x:c>
      <x:c r="U5" s="2" t="n">
        <x:v>0</x:v>
      </x:c>
      <x:c r="V5" s="2" t="n">
        <x:v>2</x:v>
      </x:c>
      <x:c r="W5" s="2" t="n">
        <x:v>24</x:v>
      </x:c>
      <x:c r="X5" s="14" t="b">
        <x:v>0</x:v>
      </x:c>
      <x:c r="Y5" s="14" t="b">
        <x:v>0</x:v>
      </x:c>
      <x:c r="Z5" s="2" t="n">
        <x:f>ABS(T5-AA5)</x:f>
        <x:v>0</x:v>
      </x:c>
      <x:c r="AA5" s="2" t="n">
        <x:v>84</x:v>
      </x:c>
      <x:c r="AB5" s="2" t="n">
        <x:f>ABS(K5-W5)</x:f>
        <x:v>1</x:v>
      </x:c>
      <x:c r="AC5" s="2" t="n">
        <x:f>COUNTIF($A$2:$A$1921,A5)-1</x:f>
        <x:v>0</x:v>
      </x:c>
      <x:c r="AD5" s="2" t="n">
        <x:f>IF(AND(D5=D4,H5=H4,C5=C4+1),ABS(R5-T4),0)</x:f>
        <x:v>0</x:v>
      </x:c>
    </x:row>
    <x:row r="6" ht="23" customHeight="1">
      <x:c r="A6" s="2" t="str">
        <x:v>DEMO-101-0-5</x:v>
      </x:c>
      <x:c r="B6" s="15" t="d">
        <x:v>2026-06-01T00:00:00.000Z</x:v>
      </x:c>
      <x:c r="C6" s="2" t="n">
        <x:v>5</x:v>
      </x:c>
      <x:c r="D6" s="2" t="str">
        <x:v>DEMO-101</x:v>
      </x:c>
      <x:c r="E6" s="2" t="str">
        <x:v>Orbit Notebook</x:v>
      </x:c>
      <x:c r="F6" s="2" t="str">
        <x:v>Stationery</x:v>
      </x:c>
      <x:c r="G6" s="2" t="str">
        <x:v>Stores</x:v>
      </x:c>
      <x:c r="H6" s="2" t="str">
        <x:v>North Arcade</x:v>
      </x:c>
      <x:c r="I6" s="2" t="n">
        <x:v>34</x:v>
      </x:c>
      <x:c r="J6" s="2" t="n">
        <x:v>0</x:v>
      </x:c>
      <x:c r="K6" s="2" t="n">
        <x:f>I6-J6</x:f>
        <x:v>34</x:v>
      </x:c>
      <x:c r="L6" s="16" t="n">
        <x:v>12</x:v>
      </x:c>
      <x:c r="M6" s="16" t="n">
        <x:v>12</x:v>
      </x:c>
      <x:c r="N6" s="16" t="n">
        <x:v>4.32</x:v>
      </x:c>
      <x:c r="O6" s="16" t="n">
        <x:f>K6*M6</x:f>
        <x:v>408</x:v>
      </x:c>
      <x:c r="P6" s="16" t="n">
        <x:f>K6*N6</x:f>
        <x:v>146.88</x:v>
      </x:c>
      <x:c r="Q6" s="16" t="n">
        <x:f>O6-P6</x:f>
        <x:v>261.12</x:v>
      </x:c>
      <x:c r="R6" s="2" t="n">
        <x:v>84</x:v>
      </x:c>
      <x:c r="S6" s="2" t="n">
        <x:v>90</x:v>
      </x:c>
      <x:c r="T6" s="2" t="n">
        <x:f>R6+S6+J6-I6</x:f>
        <x:v>140</x:v>
      </x:c>
      <x:c r="U6" s="2" t="n">
        <x:v>0</x:v>
      </x:c>
      <x:c r="V6" s="2" t="n">
        <x:v>2</x:v>
      </x:c>
      <x:c r="W6" s="2" t="n">
        <x:v>24</x:v>
      </x:c>
      <x:c r="X6" s="14" t="b">
        <x:v>0</x:v>
      </x:c>
      <x:c r="Y6" s="14" t="b">
        <x:v>0</x:v>
      </x:c>
      <x:c r="Z6" s="2" t="n">
        <x:f>ABS(T6-AA6)</x:f>
        <x:v>0</x:v>
      </x:c>
      <x:c r="AA6" s="2" t="n">
        <x:v>140</x:v>
      </x:c>
      <x:c r="AB6" s="2" t="n">
        <x:f>ABS(K6-W6)</x:f>
        <x:v>10</x:v>
      </x:c>
      <x:c r="AC6" s="2" t="n">
        <x:f>COUNTIF($A$2:$A$1921,A6)-1</x:f>
        <x:v>0</x:v>
      </x:c>
      <x:c r="AD6" s="2" t="n">
        <x:f>IF(AND(D6=D5,H6=H5,C6=C5+1),ABS(R6-T5),0)</x:f>
        <x:v>0</x:v>
      </x:c>
    </x:row>
    <x:row r="7" ht="23" customHeight="1">
      <x:c r="A7" s="2" t="str">
        <x:v>DEMO-101-0-6</x:v>
      </x:c>
      <x:c r="B7" s="15" t="d">
        <x:v>2026-06-08T00:00:00.000Z</x:v>
      </x:c>
      <x:c r="C7" s="2" t="n">
        <x:v>6</x:v>
      </x:c>
      <x:c r="D7" s="2" t="str">
        <x:v>DEMO-101</x:v>
      </x:c>
      <x:c r="E7" s="2" t="str">
        <x:v>Orbit Notebook</x:v>
      </x:c>
      <x:c r="F7" s="2" t="str">
        <x:v>Stationery</x:v>
      </x:c>
      <x:c r="G7" s="2" t="str">
        <x:v>Stores</x:v>
      </x:c>
      <x:c r="H7" s="2" t="str">
        <x:v>North Arcade</x:v>
      </x:c>
      <x:c r="I7" s="2" t="n">
        <x:v>26</x:v>
      </x:c>
      <x:c r="J7" s="2" t="n">
        <x:v>0</x:v>
      </x:c>
      <x:c r="K7" s="2" t="n">
        <x:f>I7-J7</x:f>
        <x:v>26</x:v>
      </x:c>
      <x:c r="L7" s="16" t="n">
        <x:v>12</x:v>
      </x:c>
      <x:c r="M7" s="16" t="n">
        <x:v>12</x:v>
      </x:c>
      <x:c r="N7" s="16" t="n">
        <x:v>4.32</x:v>
      </x:c>
      <x:c r="O7" s="16" t="n">
        <x:f>K7*M7</x:f>
        <x:v>312</x:v>
      </x:c>
      <x:c r="P7" s="16" t="n">
        <x:f>K7*N7</x:f>
        <x:v>112.32000000000001</x:v>
      </x:c>
      <x:c r="Q7" s="16" t="n">
        <x:f>O7-P7</x:f>
        <x:v>199.68</x:v>
      </x:c>
      <x:c r="R7" s="2" t="n">
        <x:v>140</x:v>
      </x:c>
      <x:c r="S7" s="2" t="n">
        <x:v>0</x:v>
      </x:c>
      <x:c r="T7" s="2" t="n">
        <x:f>R7+S7+J7-I7</x:f>
        <x:v>114</x:v>
      </x:c>
      <x:c r="U7" s="2" t="n">
        <x:v>0</x:v>
      </x:c>
      <x:c r="V7" s="2" t="n">
        <x:v>2</x:v>
      </x:c>
      <x:c r="W7" s="2" t="n">
        <x:v>27</x:v>
      </x:c>
      <x:c r="X7" s="14" t="b">
        <x:v>0</x:v>
      </x:c>
      <x:c r="Y7" s="14" t="b">
        <x:v>0</x:v>
      </x:c>
      <x:c r="Z7" s="2" t="n">
        <x:f>ABS(T7-AA7)</x:f>
        <x:v>0</x:v>
      </x:c>
      <x:c r="AA7" s="2" t="n">
        <x:v>114</x:v>
      </x:c>
      <x:c r="AB7" s="2" t="n">
        <x:f>ABS(K7-W7)</x:f>
        <x:v>1</x:v>
      </x:c>
      <x:c r="AC7" s="2" t="n">
        <x:f>COUNTIF($A$2:$A$1921,A7)-1</x:f>
        <x:v>0</x:v>
      </x:c>
      <x:c r="AD7" s="2" t="n">
        <x:f>IF(AND(D7=D6,H7=H6,C7=C6+1),ABS(R7-T6),0)</x:f>
        <x:v>0</x:v>
      </x:c>
    </x:row>
    <x:row r="8" ht="23" customHeight="1">
      <x:c r="A8" s="2" t="str">
        <x:v>DEMO-101-0-7</x:v>
      </x:c>
      <x:c r="B8" s="15" t="d">
        <x:v>2026-06-15T00:00:00.000Z</x:v>
      </x:c>
      <x:c r="C8" s="2" t="n">
        <x:v>7</x:v>
      </x:c>
      <x:c r="D8" s="2" t="str">
        <x:v>DEMO-101</x:v>
      </x:c>
      <x:c r="E8" s="2" t="str">
        <x:v>Orbit Notebook</x:v>
      </x:c>
      <x:c r="F8" s="2" t="str">
        <x:v>Stationery</x:v>
      </x:c>
      <x:c r="G8" s="2" t="str">
        <x:v>Stores</x:v>
      </x:c>
      <x:c r="H8" s="2" t="str">
        <x:v>North Arcade</x:v>
      </x:c>
      <x:c r="I8" s="2" t="n">
        <x:v>32</x:v>
      </x:c>
      <x:c r="J8" s="2" t="n">
        <x:v>0</x:v>
      </x:c>
      <x:c r="K8" s="2" t="n">
        <x:f>I8-J8</x:f>
        <x:v>32</x:v>
      </x:c>
      <x:c r="L8" s="16" t="n">
        <x:v>12</x:v>
      </x:c>
      <x:c r="M8" s="16" t="n">
        <x:v>12</x:v>
      </x:c>
      <x:c r="N8" s="16" t="n">
        <x:v>4.32</x:v>
      </x:c>
      <x:c r="O8" s="16" t="n">
        <x:f>K8*M8</x:f>
        <x:v>384</x:v>
      </x:c>
      <x:c r="P8" s="16" t="n">
        <x:f>K8*N8</x:f>
        <x:v>138.24</x:v>
      </x:c>
      <x:c r="Q8" s="16" t="n">
        <x:f>O8-P8</x:f>
        <x:v>245.76</x:v>
      </x:c>
      <x:c r="R8" s="2" t="n">
        <x:v>114</x:v>
      </x:c>
      <x:c r="S8" s="2" t="n">
        <x:v>0</x:v>
      </x:c>
      <x:c r="T8" s="2" t="n">
        <x:f>R8+S8+J8-I8</x:f>
        <x:v>82</x:v>
      </x:c>
      <x:c r="U8" s="2" t="n">
        <x:v>0</x:v>
      </x:c>
      <x:c r="V8" s="2" t="n">
        <x:v>2</x:v>
      </x:c>
      <x:c r="W8" s="2" t="n">
        <x:v>28</x:v>
      </x:c>
      <x:c r="X8" s="14" t="b">
        <x:v>0</x:v>
      </x:c>
      <x:c r="Y8" s="14" t="b">
        <x:v>0</x:v>
      </x:c>
      <x:c r="Z8" s="2" t="n">
        <x:f>ABS(T8-AA8)</x:f>
        <x:v>0</x:v>
      </x:c>
      <x:c r="AA8" s="2" t="n">
        <x:v>82</x:v>
      </x:c>
      <x:c r="AB8" s="2" t="n">
        <x:f>ABS(K8-W8)</x:f>
        <x:v>4</x:v>
      </x:c>
      <x:c r="AC8" s="2" t="n">
        <x:f>COUNTIF($A$2:$A$1921,A8)-1</x:f>
        <x:v>0</x:v>
      </x:c>
      <x:c r="AD8" s="2" t="n">
        <x:f>IF(AND(D8=D7,H8=H7,C8=C7+1),ABS(R8-T7),0)</x:f>
        <x:v>0</x:v>
      </x:c>
    </x:row>
    <x:row r="9" ht="23" customHeight="1">
      <x:c r="A9" s="2" t="str">
        <x:v>DEMO-101-0-8</x:v>
      </x:c>
      <x:c r="B9" s="15" t="d">
        <x:v>2026-06-22T00:00:00.000Z</x:v>
      </x:c>
      <x:c r="C9" s="2" t="n">
        <x:v>8</x:v>
      </x:c>
      <x:c r="D9" s="2" t="str">
        <x:v>DEMO-101</x:v>
      </x:c>
      <x:c r="E9" s="2" t="str">
        <x:v>Orbit Notebook</x:v>
      </x:c>
      <x:c r="F9" s="2" t="str">
        <x:v>Stationery</x:v>
      </x:c>
      <x:c r="G9" s="2" t="str">
        <x:v>Stores</x:v>
      </x:c>
      <x:c r="H9" s="2" t="str">
        <x:v>North Arcade</x:v>
      </x:c>
      <x:c r="I9" s="2" t="n">
        <x:v>33</x:v>
      </x:c>
      <x:c r="J9" s="2" t="n">
        <x:v>0</x:v>
      </x:c>
      <x:c r="K9" s="2" t="n">
        <x:f>I9-J9</x:f>
        <x:v>33</x:v>
      </x:c>
      <x:c r="L9" s="16" t="n">
        <x:v>12</x:v>
      </x:c>
      <x:c r="M9" s="16" t="n">
        <x:v>12</x:v>
      </x:c>
      <x:c r="N9" s="16" t="n">
        <x:v>4.32</x:v>
      </x:c>
      <x:c r="O9" s="16" t="n">
        <x:f>K9*M9</x:f>
        <x:v>396</x:v>
      </x:c>
      <x:c r="P9" s="16" t="n">
        <x:f>K9*N9</x:f>
        <x:v>142.56</x:v>
      </x:c>
      <x:c r="Q9" s="16" t="n">
        <x:f>O9-P9</x:f>
        <x:v>253.44</x:v>
      </x:c>
      <x:c r="R9" s="2" t="n">
        <x:v>82</x:v>
      </x:c>
      <x:c r="S9" s="2" t="n">
        <x:v>0</x:v>
      </x:c>
      <x:c r="T9" s="2" t="n">
        <x:f>R9+S9+J9-I9</x:f>
        <x:v>49</x:v>
      </x:c>
      <x:c r="U9" s="2" t="n">
        <x:v>0</x:v>
      </x:c>
      <x:c r="V9" s="2" t="n">
        <x:v>2</x:v>
      </x:c>
      <x:c r="W9" s="2" t="n">
        <x:v>29</x:v>
      </x:c>
      <x:c r="X9" s="14" t="b">
        <x:v>0</x:v>
      </x:c>
      <x:c r="Y9" s="14" t="b">
        <x:v>0</x:v>
      </x:c>
      <x:c r="Z9" s="2" t="n">
        <x:f>ABS(T9-AA9)</x:f>
        <x:v>0</x:v>
      </x:c>
      <x:c r="AA9" s="2" t="n">
        <x:v>49</x:v>
      </x:c>
      <x:c r="AB9" s="2" t="n">
        <x:f>ABS(K9-W9)</x:f>
        <x:v>4</x:v>
      </x:c>
      <x:c r="AC9" s="2" t="n">
        <x:f>COUNTIF($A$2:$A$1921,A9)-1</x:f>
        <x:v>0</x:v>
      </x:c>
      <x:c r="AD9" s="2" t="n">
        <x:f>IF(AND(D9=D8,H9=H8,C9=C8+1),ABS(R9-T8),0)</x:f>
        <x:v>0</x:v>
      </x:c>
    </x:row>
    <x:row r="10" ht="23" customHeight="1">
      <x:c r="A10" s="2" t="str">
        <x:v>DEMO-101-0-9</x:v>
      </x:c>
      <x:c r="B10" s="15" t="d">
        <x:v>2026-06-29T00:00:00.000Z</x:v>
      </x:c>
      <x:c r="C10" s="2" t="n">
        <x:v>9</x:v>
      </x:c>
      <x:c r="D10" s="2" t="str">
        <x:v>DEMO-101</x:v>
      </x:c>
      <x:c r="E10" s="2" t="str">
        <x:v>Orbit Notebook</x:v>
      </x:c>
      <x:c r="F10" s="2" t="str">
        <x:v>Stationery</x:v>
      </x:c>
      <x:c r="G10" s="2" t="str">
        <x:v>Stores</x:v>
      </x:c>
      <x:c r="H10" s="2" t="str">
        <x:v>North Arcade</x:v>
      </x:c>
      <x:c r="I10" s="2" t="n">
        <x:v>33</x:v>
      </x:c>
      <x:c r="J10" s="2" t="n">
        <x:v>0</x:v>
      </x:c>
      <x:c r="K10" s="2" t="n">
        <x:f>I10-J10</x:f>
        <x:v>33</x:v>
      </x:c>
      <x:c r="L10" s="16" t="n">
        <x:v>12</x:v>
      </x:c>
      <x:c r="M10" s="16" t="n">
        <x:v>12</x:v>
      </x:c>
      <x:c r="N10" s="16" t="n">
        <x:v>4.32</x:v>
      </x:c>
      <x:c r="O10" s="16" t="n">
        <x:f>K10*M10</x:f>
        <x:v>396</x:v>
      </x:c>
      <x:c r="P10" s="16" t="n">
        <x:f>K10*N10</x:f>
        <x:v>142.56</x:v>
      </x:c>
      <x:c r="Q10" s="16" t="n">
        <x:f>O10-P10</x:f>
        <x:v>253.44</x:v>
      </x:c>
      <x:c r="R10" s="2" t="n">
        <x:v>49</x:v>
      </x:c>
      <x:c r="S10" s="2" t="n">
        <x:v>90</x:v>
      </x:c>
      <x:c r="T10" s="2" t="n">
        <x:f>R10+S10+J10-I10</x:f>
        <x:v>106</x:v>
      </x:c>
      <x:c r="U10" s="2" t="n">
        <x:v>0</x:v>
      </x:c>
      <x:c r="V10" s="2" t="n">
        <x:v>2</x:v>
      </x:c>
      <x:c r="W10" s="2" t="n">
        <x:v>31</x:v>
      </x:c>
      <x:c r="X10" s="14" t="b">
        <x:v>0</x:v>
      </x:c>
      <x:c r="Y10" s="14" t="b">
        <x:v>0</x:v>
      </x:c>
      <x:c r="Z10" s="2" t="n">
        <x:f>ABS(T10-AA10)</x:f>
        <x:v>0</x:v>
      </x:c>
      <x:c r="AA10" s="2" t="n">
        <x:v>106</x:v>
      </x:c>
      <x:c r="AB10" s="2" t="n">
        <x:f>ABS(K10-W10)</x:f>
        <x:v>2</x:v>
      </x:c>
      <x:c r="AC10" s="2" t="n">
        <x:f>COUNTIF($A$2:$A$1921,A10)-1</x:f>
        <x:v>0</x:v>
      </x:c>
      <x:c r="AD10" s="2" t="n">
        <x:f>IF(AND(D10=D9,H10=H9,C10=C9+1),ABS(R10-T9),0)</x:f>
        <x:v>0</x:v>
      </x:c>
    </x:row>
    <x:row r="11" ht="23" customHeight="1">
      <x:c r="A11" s="2" t="str">
        <x:v>DEMO-101-0-10</x:v>
      </x:c>
      <x:c r="B11" s="15" t="d">
        <x:v>2026-07-06T00:00:00.000Z</x:v>
      </x:c>
      <x:c r="C11" s="2" t="n">
        <x:v>10</x:v>
      </x:c>
      <x:c r="D11" s="2" t="str">
        <x:v>DEMO-101</x:v>
      </x:c>
      <x:c r="E11" s="2" t="str">
        <x:v>Orbit Notebook</x:v>
      </x:c>
      <x:c r="F11" s="2" t="str">
        <x:v>Stationery</x:v>
      </x:c>
      <x:c r="G11" s="2" t="str">
        <x:v>Stores</x:v>
      </x:c>
      <x:c r="H11" s="2" t="str">
        <x:v>North Arcade</x:v>
      </x:c>
      <x:c r="I11" s="2" t="n">
        <x:v>38</x:v>
      </x:c>
      <x:c r="J11" s="2" t="n">
        <x:v>0</x:v>
      </x:c>
      <x:c r="K11" s="2" t="n">
        <x:f>I11-J11</x:f>
        <x:v>38</x:v>
      </x:c>
      <x:c r="L11" s="16" t="n">
        <x:v>12</x:v>
      </x:c>
      <x:c r="M11" s="16" t="n">
        <x:v>12</x:v>
      </x:c>
      <x:c r="N11" s="16" t="n">
        <x:v>4.32</x:v>
      </x:c>
      <x:c r="O11" s="16" t="n">
        <x:f>K11*M11</x:f>
        <x:v>456</x:v>
      </x:c>
      <x:c r="P11" s="16" t="n">
        <x:f>K11*N11</x:f>
        <x:v>164.16000000000003</x:v>
      </x:c>
      <x:c r="Q11" s="16" t="n">
        <x:f>O11-P11</x:f>
        <x:v>291.84</x:v>
      </x:c>
      <x:c r="R11" s="2" t="n">
        <x:v>106</x:v>
      </x:c>
      <x:c r="S11" s="2" t="n">
        <x:v>0</x:v>
      </x:c>
      <x:c r="T11" s="2" t="n">
        <x:f>R11+S11+J11-I11</x:f>
        <x:v>68</x:v>
      </x:c>
      <x:c r="U11" s="2" t="n">
        <x:v>0</x:v>
      </x:c>
      <x:c r="V11" s="2" t="n">
        <x:v>2</x:v>
      </x:c>
      <x:c r="W11" s="2" t="n">
        <x:v>31</x:v>
      </x:c>
      <x:c r="X11" s="14" t="b">
        <x:v>0</x:v>
      </x:c>
      <x:c r="Y11" s="14" t="b">
        <x:v>0</x:v>
      </x:c>
      <x:c r="Z11" s="2" t="n">
        <x:f>ABS(T11-AA11)</x:f>
        <x:v>0</x:v>
      </x:c>
      <x:c r="AA11" s="2" t="n">
        <x:v>68</x:v>
      </x:c>
      <x:c r="AB11" s="2" t="n">
        <x:f>ABS(K11-W11)</x:f>
        <x:v>7</x:v>
      </x:c>
      <x:c r="AC11" s="2" t="n">
        <x:f>COUNTIF($A$2:$A$1921,A11)-1</x:f>
        <x:v>0</x:v>
      </x:c>
      <x:c r="AD11" s="2" t="n">
        <x:f>IF(AND(D11=D10,H11=H10,C11=C10+1),ABS(R11-T10),0)</x:f>
        <x:v>0</x:v>
      </x:c>
    </x:row>
    <x:row r="12" ht="23" customHeight="1">
      <x:c r="A12" s="2" t="str">
        <x:v>DEMO-101-0-11</x:v>
      </x:c>
      <x:c r="B12" s="15" t="d">
        <x:v>2026-07-13T00:00:00.000Z</x:v>
      </x:c>
      <x:c r="C12" s="2" t="n">
        <x:v>11</x:v>
      </x:c>
      <x:c r="D12" s="2" t="str">
        <x:v>DEMO-101</x:v>
      </x:c>
      <x:c r="E12" s="2" t="str">
        <x:v>Orbit Notebook</x:v>
      </x:c>
      <x:c r="F12" s="2" t="str">
        <x:v>Stationery</x:v>
      </x:c>
      <x:c r="G12" s="2" t="str">
        <x:v>Stores</x:v>
      </x:c>
      <x:c r="H12" s="2" t="str">
        <x:v>North Arcade</x:v>
      </x:c>
      <x:c r="I12" s="2" t="n">
        <x:v>41</x:v>
      </x:c>
      <x:c r="J12" s="2" t="n">
        <x:v>0</x:v>
      </x:c>
      <x:c r="K12" s="2" t="n">
        <x:f>I12-J12</x:f>
        <x:v>41</x:v>
      </x:c>
      <x:c r="L12" s="16" t="n">
        <x:v>12</x:v>
      </x:c>
      <x:c r="M12" s="16" t="n">
        <x:v>12</x:v>
      </x:c>
      <x:c r="N12" s="16" t="n">
        <x:v>4.32</x:v>
      </x:c>
      <x:c r="O12" s="16" t="n">
        <x:f>K12*M12</x:f>
        <x:v>492</x:v>
      </x:c>
      <x:c r="P12" s="16" t="n">
        <x:f>K12*N12</x:f>
        <x:v>177.12</x:v>
      </x:c>
      <x:c r="Q12" s="16" t="n">
        <x:f>O12-P12</x:f>
        <x:v>314.88</x:v>
      </x:c>
      <x:c r="R12" s="2" t="n">
        <x:v>68</x:v>
      </x:c>
      <x:c r="S12" s="2" t="n">
        <x:v>0</x:v>
      </x:c>
      <x:c r="T12" s="2" t="n">
        <x:f>R12+S12+J12-I12</x:f>
        <x:v>27</x:v>
      </x:c>
      <x:c r="U12" s="2" t="n">
        <x:v>0</x:v>
      </x:c>
      <x:c r="V12" s="2" t="n">
        <x:v>2</x:v>
      </x:c>
      <x:c r="W12" s="2" t="n">
        <x:v>34</x:v>
      </x:c>
      <x:c r="X12" s="14" t="b">
        <x:v>0</x:v>
      </x:c>
      <x:c r="Y12" s="14" t="b">
        <x:v>0</x:v>
      </x:c>
      <x:c r="Z12" s="2" t="n">
        <x:f>ABS(T12-AA12)</x:f>
        <x:v>0</x:v>
      </x:c>
      <x:c r="AA12" s="2" t="n">
        <x:v>27</x:v>
      </x:c>
      <x:c r="AB12" s="2" t="n">
        <x:f>ABS(K12-W12)</x:f>
        <x:v>7</x:v>
      </x:c>
      <x:c r="AC12" s="2" t="n">
        <x:f>COUNTIF($A$2:$A$1921,A12)-1</x:f>
        <x:v>0</x:v>
      </x:c>
      <x:c r="AD12" s="2" t="n">
        <x:f>IF(AND(D12=D11,H12=H11,C12=C11+1),ABS(R12-T11),0)</x:f>
        <x:v>0</x:v>
      </x:c>
    </x:row>
    <x:row r="13" ht="23" customHeight="1">
      <x:c r="A13" s="2" t="str">
        <x:v>DEMO-101-0-12</x:v>
      </x:c>
      <x:c r="B13" s="15" t="d">
        <x:v>2026-07-20T00:00:00.000Z</x:v>
      </x:c>
      <x:c r="C13" s="2" t="n">
        <x:v>12</x:v>
      </x:c>
      <x:c r="D13" s="2" t="str">
        <x:v>DEMO-101</x:v>
      </x:c>
      <x:c r="E13" s="2" t="str">
        <x:v>Orbit Notebook</x:v>
      </x:c>
      <x:c r="F13" s="2" t="str">
        <x:v>Stationery</x:v>
      </x:c>
      <x:c r="G13" s="2" t="str">
        <x:v>Stores</x:v>
      </x:c>
      <x:c r="H13" s="2" t="str">
        <x:v>North Arcade</x:v>
      </x:c>
      <x:c r="I13" s="2" t="n">
        <x:v>27</x:v>
      </x:c>
      <x:c r="J13" s="2" t="n">
        <x:v>0</x:v>
      </x:c>
      <x:c r="K13" s="2" t="n">
        <x:f>I13-J13</x:f>
        <x:v>27</x:v>
      </x:c>
      <x:c r="L13" s="16" t="n">
        <x:v>12</x:v>
      </x:c>
      <x:c r="M13" s="16" t="n">
        <x:v>12</x:v>
      </x:c>
      <x:c r="N13" s="16" t="n">
        <x:v>4.32</x:v>
      </x:c>
      <x:c r="O13" s="16" t="n">
        <x:f>K13*M13</x:f>
        <x:v>324</x:v>
      </x:c>
      <x:c r="P13" s="16" t="n">
        <x:f>K13*N13</x:f>
        <x:v>116.64000000000001</x:v>
      </x:c>
      <x:c r="Q13" s="16" t="n">
        <x:f>O13-P13</x:f>
        <x:v>207.35999999999999</x:v>
      </x:c>
      <x:c r="R13" s="2" t="n">
        <x:v>27</x:v>
      </x:c>
      <x:c r="S13" s="2" t="n">
        <x:v>0</x:v>
      </x:c>
      <x:c r="T13" s="2" t="n">
        <x:f>R13+S13+J13-I13</x:f>
        <x:v>0</x:v>
      </x:c>
      <x:c r="U13" s="2" t="n">
        <x:v>0</x:v>
      </x:c>
      <x:c r="V13" s="2" t="n">
        <x:v>2</x:v>
      </x:c>
      <x:c r="W13" s="2" t="n">
        <x:v>36</x:v>
      </x:c>
      <x:c r="X13" s="14" t="b">
        <x:v>0</x:v>
      </x:c>
      <x:c r="Y13" s="14" t="b">
        <x:v>0</x:v>
      </x:c>
      <x:c r="Z13" s="2" t="n">
        <x:f>ABS(T13-AA13)</x:f>
        <x:v>0</x:v>
      </x:c>
      <x:c r="AA13" s="2" t="n">
        <x:v>0</x:v>
      </x:c>
      <x:c r="AB13" s="2" t="n">
        <x:f>ABS(K13-W13)</x:f>
        <x:v>9</x:v>
      </x:c>
      <x:c r="AC13" s="2" t="n">
        <x:f>COUNTIF($A$2:$A$1921,A13)-1</x:f>
        <x:v>0</x:v>
      </x:c>
      <x:c r="AD13" s="2" t="n">
        <x:f>IF(AND(D13=D12,H13=H12,C13=C12+1),ABS(R13-T12),0)</x:f>
        <x:v>0</x:v>
      </x:c>
    </x:row>
    <x:row r="14" ht="23" customHeight="1">
      <x:c r="A14" s="2" t="str">
        <x:v>DEMO-101-0-13</x:v>
      </x:c>
      <x:c r="B14" s="15" t="d">
        <x:v>2026-07-27T00:00:00.000Z</x:v>
      </x:c>
      <x:c r="C14" s="2" t="n">
        <x:v>13</x:v>
      </x:c>
      <x:c r="D14" s="2" t="str">
        <x:v>DEMO-101</x:v>
      </x:c>
      <x:c r="E14" s="2" t="str">
        <x:v>Orbit Notebook</x:v>
      </x:c>
      <x:c r="F14" s="2" t="str">
        <x:v>Stationery</x:v>
      </x:c>
      <x:c r="G14" s="2" t="str">
        <x:v>Stores</x:v>
      </x:c>
      <x:c r="H14" s="2" t="str">
        <x:v>North Arcade</x:v>
      </x:c>
      <x:c r="I14" s="2" t="n">
        <x:v>43</x:v>
      </x:c>
      <x:c r="J14" s="2" t="n">
        <x:v>0</x:v>
      </x:c>
      <x:c r="K14" s="2" t="n">
        <x:f>I14-J14</x:f>
        <x:v>43</x:v>
      </x:c>
      <x:c r="L14" s="16" t="n">
        <x:v>12</x:v>
      </x:c>
      <x:c r="M14" s="16" t="n">
        <x:v>12</x:v>
      </x:c>
      <x:c r="N14" s="16" t="n">
        <x:v>4.32</x:v>
      </x:c>
      <x:c r="O14" s="16" t="n">
        <x:f>K14*M14</x:f>
        <x:v>516</x:v>
      </x:c>
      <x:c r="P14" s="16" t="n">
        <x:f>K14*N14</x:f>
        <x:v>185.76000000000002</x:v>
      </x:c>
      <x:c r="Q14" s="16" t="n">
        <x:f>O14-P14</x:f>
        <x:v>330.24</x:v>
      </x:c>
      <x:c r="R14" s="2" t="n">
        <x:v>0</x:v>
      </x:c>
      <x:c r="S14" s="2" t="n">
        <x:v>90</x:v>
      </x:c>
      <x:c r="T14" s="2" t="n">
        <x:f>R14+S14+J14-I14</x:f>
        <x:v>47</x:v>
      </x:c>
      <x:c r="U14" s="2" t="n">
        <x:v>0</x:v>
      </x:c>
      <x:c r="V14" s="2" t="n">
        <x:v>2</x:v>
      </x:c>
      <x:c r="W14" s="2" t="n">
        <x:v>35</x:v>
      </x:c>
      <x:c r="X14" s="14" t="b">
        <x:v>0</x:v>
      </x:c>
      <x:c r="Y14" s="14" t="b">
        <x:v>0</x:v>
      </x:c>
      <x:c r="Z14" s="2" t="n">
        <x:f>ABS(T14-AA14)</x:f>
        <x:v>0</x:v>
      </x:c>
      <x:c r="AA14" s="2" t="n">
        <x:v>47</x:v>
      </x:c>
      <x:c r="AB14" s="2" t="n">
        <x:f>ABS(K14-W14)</x:f>
        <x:v>8</x:v>
      </x:c>
      <x:c r="AC14" s="2" t="n">
        <x:f>COUNTIF($A$2:$A$1921,A14)-1</x:f>
        <x:v>0</x:v>
      </x:c>
      <x:c r="AD14" s="2" t="n">
        <x:f>IF(AND(D14=D13,H14=H13,C14=C13+1),ABS(R14-T13),0)</x:f>
        <x:v>0</x:v>
      </x:c>
    </x:row>
    <x:row r="15" ht="23" customHeight="1">
      <x:c r="A15" s="2" t="str">
        <x:v>DEMO-101-0-14</x:v>
      </x:c>
      <x:c r="B15" s="15" t="d">
        <x:v>2026-08-03T00:00:00.000Z</x:v>
      </x:c>
      <x:c r="C15" s="2" t="n">
        <x:v>14</x:v>
      </x:c>
      <x:c r="D15" s="2" t="str">
        <x:v>DEMO-101</x:v>
      </x:c>
      <x:c r="E15" s="2" t="str">
        <x:v>Orbit Notebook</x:v>
      </x:c>
      <x:c r="F15" s="2" t="str">
        <x:v>Stationery</x:v>
      </x:c>
      <x:c r="G15" s="2" t="str">
        <x:v>Stores</x:v>
      </x:c>
      <x:c r="H15" s="2" t="str">
        <x:v>North Arcade</x:v>
      </x:c>
      <x:c r="I15" s="2" t="n">
        <x:v>42</x:v>
      </x:c>
      <x:c r="J15" s="2" t="n">
        <x:v>0</x:v>
      </x:c>
      <x:c r="K15" s="2" t="n">
        <x:f>I15-J15</x:f>
        <x:v>42</x:v>
      </x:c>
      <x:c r="L15" s="16" t="n">
        <x:v>12</x:v>
      </x:c>
      <x:c r="M15" s="16" t="n">
        <x:v>12</x:v>
      </x:c>
      <x:c r="N15" s="16" t="n">
        <x:v>4.32</x:v>
      </x:c>
      <x:c r="O15" s="16" t="n">
        <x:f>K15*M15</x:f>
        <x:v>504</x:v>
      </x:c>
      <x:c r="P15" s="16" t="n">
        <x:f>K15*N15</x:f>
        <x:v>181.44</x:v>
      </x:c>
      <x:c r="Q15" s="16" t="n">
        <x:f>O15-P15</x:f>
        <x:v>322.56</x:v>
      </x:c>
      <x:c r="R15" s="2" t="n">
        <x:v>47</x:v>
      </x:c>
      <x:c r="S15" s="2" t="n">
        <x:v>0</x:v>
      </x:c>
      <x:c r="T15" s="2" t="n">
        <x:f>R15+S15+J15-I15</x:f>
        <x:v>5</x:v>
      </x:c>
      <x:c r="U15" s="2" t="n">
        <x:v>0</x:v>
      </x:c>
      <x:c r="V15" s="2" t="n">
        <x:v>2</x:v>
      </x:c>
      <x:c r="W15" s="2" t="n">
        <x:v>37</x:v>
      </x:c>
      <x:c r="X15" s="14" t="b">
        <x:v>0</x:v>
      </x:c>
      <x:c r="Y15" s="14" t="b">
        <x:v>0</x:v>
      </x:c>
      <x:c r="Z15" s="2" t="n">
        <x:f>ABS(T15-AA15)</x:f>
        <x:v>0</x:v>
      </x:c>
      <x:c r="AA15" s="2" t="n">
        <x:v>5</x:v>
      </x:c>
      <x:c r="AB15" s="2" t="n">
        <x:f>ABS(K15-W15)</x:f>
        <x:v>5</x:v>
      </x:c>
      <x:c r="AC15" s="2" t="n">
        <x:f>COUNTIF($A$2:$A$1921,A15)-1</x:f>
        <x:v>0</x:v>
      </x:c>
      <x:c r="AD15" s="2" t="n">
        <x:f>IF(AND(D15=D14,H15=H14,C15=C14+1),ABS(R15-T14),0)</x:f>
        <x:v>0</x:v>
      </x:c>
    </x:row>
    <x:row r="16" ht="23" customHeight="1">
      <x:c r="A16" s="2" t="str">
        <x:v>DEMO-101-0-15</x:v>
      </x:c>
      <x:c r="B16" s="15" t="d">
        <x:v>2026-08-10T00:00:00.000Z</x:v>
      </x:c>
      <x:c r="C16" s="2" t="n">
        <x:v>15</x:v>
      </x:c>
      <x:c r="D16" s="2" t="str">
        <x:v>DEMO-101</x:v>
      </x:c>
      <x:c r="E16" s="2" t="str">
        <x:v>Orbit Notebook</x:v>
      </x:c>
      <x:c r="F16" s="2" t="str">
        <x:v>Stationery</x:v>
      </x:c>
      <x:c r="G16" s="2" t="str">
        <x:v>Stores</x:v>
      </x:c>
      <x:c r="H16" s="2" t="str">
        <x:v>North Arcade</x:v>
      </x:c>
      <x:c r="I16" s="2" t="n">
        <x:v>5</x:v>
      </x:c>
      <x:c r="J16" s="2" t="n">
        <x:v>0</x:v>
      </x:c>
      <x:c r="K16" s="2" t="n">
        <x:f>I16-J16</x:f>
        <x:v>5</x:v>
      </x:c>
      <x:c r="L16" s="16" t="n">
        <x:v>12</x:v>
      </x:c>
      <x:c r="M16" s="16" t="n">
        <x:v>12</x:v>
      </x:c>
      <x:c r="N16" s="16" t="n">
        <x:v>4.32</x:v>
      </x:c>
      <x:c r="O16" s="16" t="n">
        <x:f>K16*M16</x:f>
        <x:v>60</x:v>
      </x:c>
      <x:c r="P16" s="16" t="n">
        <x:f>K16*N16</x:f>
        <x:v>21.6</x:v>
      </x:c>
      <x:c r="Q16" s="16" t="n">
        <x:f>O16-P16</x:f>
        <x:v>38.4</x:v>
      </x:c>
      <x:c r="R16" s="2" t="n">
        <x:v>5</x:v>
      </x:c>
      <x:c r="S16" s="2" t="n">
        <x:v>0</x:v>
      </x:c>
      <x:c r="T16" s="2" t="n">
        <x:f>R16+S16+J16-I16</x:f>
        <x:v>0</x:v>
      </x:c>
      <x:c r="U16" s="2" t="n">
        <x:v>0</x:v>
      </x:c>
      <x:c r="V16" s="2" t="n">
        <x:v>2</x:v>
      </x:c>
      <x:c r="W16" s="2" t="n">
        <x:v>38</x:v>
      </x:c>
      <x:c r="X16" s="14" t="b">
        <x:v>0</x:v>
      </x:c>
      <x:c r="Y16" s="14" t="b">
        <x:v>0</x:v>
      </x:c>
      <x:c r="Z16" s="2" t="n">
        <x:f>ABS(T16-AA16)</x:f>
        <x:v>0</x:v>
      </x:c>
      <x:c r="AA16" s="2" t="n">
        <x:v>0</x:v>
      </x:c>
      <x:c r="AB16" s="2" t="n">
        <x:f>ABS(K16-W16)</x:f>
        <x:v>33</x:v>
      </x:c>
      <x:c r="AC16" s="2" t="n">
        <x:f>COUNTIF($A$2:$A$1921,A16)-1</x:f>
        <x:v>0</x:v>
      </x:c>
      <x:c r="AD16" s="2" t="n">
        <x:f>IF(AND(D16=D15,H16=H15,C16=C15+1),ABS(R16-T15),0)</x:f>
        <x:v>0</x:v>
      </x:c>
    </x:row>
    <x:row r="17" ht="23" customHeight="1">
      <x:c r="A17" s="2" t="str">
        <x:v>DEMO-101-0-16</x:v>
      </x:c>
      <x:c r="B17" s="15" t="d">
        <x:v>2026-08-17T00:00:00.000Z</x:v>
      </x:c>
      <x:c r="C17" s="2" t="n">
        <x:v>16</x:v>
      </x:c>
      <x:c r="D17" s="2" t="str">
        <x:v>DEMO-101</x:v>
      </x:c>
      <x:c r="E17" s="2" t="str">
        <x:v>Orbit Notebook</x:v>
      </x:c>
      <x:c r="F17" s="2" t="str">
        <x:v>Stationery</x:v>
      </x:c>
      <x:c r="G17" s="2" t="str">
        <x:v>Stores</x:v>
      </x:c>
      <x:c r="H17" s="2" t="str">
        <x:v>North Arcade</x:v>
      </x:c>
      <x:c r="I17" s="2" t="n">
        <x:v>0</x:v>
      </x:c>
      <x:c r="J17" s="2" t="n">
        <x:v>0</x:v>
      </x:c>
      <x:c r="K17" s="2" t="n">
        <x:f>I17-J17</x:f>
        <x:v>0</x:v>
      </x:c>
      <x:c r="L17" s="16" t="n">
        <x:v>12</x:v>
      </x:c>
      <x:c r="M17" s="16" t="n">
        <x:v>12</x:v>
      </x:c>
      <x:c r="N17" s="16" t="n">
        <x:v>4.32</x:v>
      </x:c>
      <x:c r="O17" s="16" t="n">
        <x:f>K17*M17</x:f>
        <x:v>0</x:v>
      </x:c>
      <x:c r="P17" s="16" t="n">
        <x:f>K17*N17</x:f>
        <x:v>0</x:v>
      </x:c>
      <x:c r="Q17" s="16" t="n">
        <x:f>O17-P17</x:f>
        <x:v>0</x:v>
      </x:c>
      <x:c r="R17" s="2" t="n">
        <x:v>0</x:v>
      </x:c>
      <x:c r="S17" s="2" t="n">
        <x:v>0</x:v>
      </x:c>
      <x:c r="T17" s="2" t="n">
        <x:f>R17+S17+J17-I17</x:f>
        <x:v>0</x:v>
      </x:c>
      <x:c r="U17" s="2" t="n">
        <x:v>0</x:v>
      </x:c>
      <x:c r="V17" s="2" t="n">
        <x:v>2</x:v>
      </x:c>
      <x:c r="W17" s="2" t="n">
        <x:v>29</x:v>
      </x:c>
      <x:c r="X17" s="14" t="b">
        <x:v>0</x:v>
      </x:c>
      <x:c r="Y17" s="14" t="b">
        <x:v>0</x:v>
      </x:c>
      <x:c r="Z17" s="2" t="n">
        <x:f>ABS(T17-AA17)</x:f>
        <x:v>0</x:v>
      </x:c>
      <x:c r="AA17" s="2" t="n">
        <x:v>0</x:v>
      </x:c>
      <x:c r="AB17" s="2" t="n">
        <x:f>ABS(K17-W17)</x:f>
        <x:v>29</x:v>
      </x:c>
      <x:c r="AC17" s="2" t="n">
        <x:f>COUNTIF($A$2:$A$1921,A17)-1</x:f>
        <x:v>0</x:v>
      </x:c>
      <x:c r="AD17" s="2" t="n">
        <x:f>IF(AND(D17=D16,H17=H16,C17=C16+1),ABS(R17-T16),0)</x:f>
        <x:v>0</x:v>
      </x:c>
    </x:row>
    <x:row r="18" ht="23" customHeight="1">
      <x:c r="A18" s="2" t="str">
        <x:v>DEMO-101-0-17</x:v>
      </x:c>
      <x:c r="B18" s="15" t="d">
        <x:v>2026-08-24T00:00:00.000Z</x:v>
      </x:c>
      <x:c r="C18" s="2" t="n">
        <x:v>17</x:v>
      </x:c>
      <x:c r="D18" s="2" t="str">
        <x:v>DEMO-101</x:v>
      </x:c>
      <x:c r="E18" s="2" t="str">
        <x:v>Orbit Notebook</x:v>
      </x:c>
      <x:c r="F18" s="2" t="str">
        <x:v>Stationery</x:v>
      </x:c>
      <x:c r="G18" s="2" t="str">
        <x:v>Stores</x:v>
      </x:c>
      <x:c r="H18" s="2" t="str">
        <x:v>North Arcade</x:v>
      </x:c>
      <x:c r="I18" s="2" t="n">
        <x:v>35</x:v>
      </x:c>
      <x:c r="J18" s="2" t="n">
        <x:v>1</x:v>
      </x:c>
      <x:c r="K18" s="2" t="n">
        <x:f>I18-J18</x:f>
        <x:v>34</x:v>
      </x:c>
      <x:c r="L18" s="16" t="n">
        <x:v>12</x:v>
      </x:c>
      <x:c r="M18" s="16" t="n">
        <x:v>12</x:v>
      </x:c>
      <x:c r="N18" s="16" t="n">
        <x:v>4.32</x:v>
      </x:c>
      <x:c r="O18" s="16" t="n">
        <x:f>K18*M18</x:f>
        <x:v>408</x:v>
      </x:c>
      <x:c r="P18" s="16" t="n">
        <x:f>K18*N18</x:f>
        <x:v>146.88</x:v>
      </x:c>
      <x:c r="Q18" s="16" t="n">
        <x:f>O18-P18</x:f>
        <x:v>261.12</x:v>
      </x:c>
      <x:c r="R18" s="2" t="n">
        <x:v>0</x:v>
      </x:c>
      <x:c r="S18" s="2" t="n">
        <x:v>35</x:v>
      </x:c>
      <x:c r="T18" s="2" t="n">
        <x:f>R18+S18+J18-I18</x:f>
        <x:v>1</x:v>
      </x:c>
      <x:c r="U18" s="2" t="n">
        <x:v>0</x:v>
      </x:c>
      <x:c r="V18" s="2" t="n">
        <x:v>4</x:v>
      </x:c>
      <x:c r="W18" s="2" t="n">
        <x:v>23</x:v>
      </x:c>
      <x:c r="X18" s="14" t="b">
        <x:v>0</x:v>
      </x:c>
      <x:c r="Y18" s="14" t="b">
        <x:v>0</x:v>
      </x:c>
      <x:c r="Z18" s="2" t="n">
        <x:f>ABS(T18-AA18)</x:f>
        <x:v>0</x:v>
      </x:c>
      <x:c r="AA18" s="2" t="n">
        <x:v>1</x:v>
      </x:c>
      <x:c r="AB18" s="2" t="n">
        <x:f>ABS(K18-W18)</x:f>
        <x:v>11</x:v>
      </x:c>
      <x:c r="AC18" s="2" t="n">
        <x:f>COUNTIF($A$2:$A$1921,A18)-1</x:f>
        <x:v>0</x:v>
      </x:c>
      <x:c r="AD18" s="2" t="n">
        <x:f>IF(AND(D18=D17,H18=H17,C18=C17+1),ABS(R18-T17),0)</x:f>
        <x:v>0</x:v>
      </x:c>
    </x:row>
    <x:row r="19" ht="23" customHeight="1">
      <x:c r="A19" s="2" t="str">
        <x:v>DEMO-101-0-18</x:v>
      </x:c>
      <x:c r="B19" s="15" t="d">
        <x:v>2026-08-31T00:00:00.000Z</x:v>
      </x:c>
      <x:c r="C19" s="2" t="n">
        <x:v>18</x:v>
      </x:c>
      <x:c r="D19" s="2" t="str">
        <x:v>DEMO-101</x:v>
      </x:c>
      <x:c r="E19" s="2" t="str">
        <x:v>Orbit Notebook</x:v>
      </x:c>
      <x:c r="F19" s="2" t="str">
        <x:v>Stationery</x:v>
      </x:c>
      <x:c r="G19" s="2" t="str">
        <x:v>Stores</x:v>
      </x:c>
      <x:c r="H19" s="2" t="str">
        <x:v>North Arcade</x:v>
      </x:c>
      <x:c r="I19" s="2" t="n">
        <x:v>1</x:v>
      </x:c>
      <x:c r="J19" s="2" t="n">
        <x:v>1</x:v>
      </x:c>
      <x:c r="K19" s="2" t="n">
        <x:f>I19-J19</x:f>
        <x:v>0</x:v>
      </x:c>
      <x:c r="L19" s="16" t="n">
        <x:v>12</x:v>
      </x:c>
      <x:c r="M19" s="16" t="n">
        <x:v>12</x:v>
      </x:c>
      <x:c r="N19" s="16" t="n">
        <x:v>4.32</x:v>
      </x:c>
      <x:c r="O19" s="16" t="n">
        <x:f>K19*M19</x:f>
        <x:v>0</x:v>
      </x:c>
      <x:c r="P19" s="16" t="n">
        <x:f>K19*N19</x:f>
        <x:v>0</x:v>
      </x:c>
      <x:c r="Q19" s="16" t="n">
        <x:f>O19-P19</x:f>
        <x:v>0</x:v>
      </x:c>
      <x:c r="R19" s="2" t="n">
        <x:v>1</x:v>
      </x:c>
      <x:c r="S19" s="2" t="n">
        <x:v>0</x:v>
      </x:c>
      <x:c r="T19" s="2" t="n">
        <x:f>R19+S19+J19-I19</x:f>
        <x:v>1</x:v>
      </x:c>
      <x:c r="U19" s="2" t="n">
        <x:v>0</x:v>
      </x:c>
      <x:c r="V19" s="2" t="n">
        <x:v>4</x:v>
      </x:c>
      <x:c r="W19" s="2" t="n">
        <x:v>20</x:v>
      </x:c>
      <x:c r="X19" s="14" t="b">
        <x:v>0</x:v>
      </x:c>
      <x:c r="Y19" s="14" t="b">
        <x:v>0</x:v>
      </x:c>
      <x:c r="Z19" s="2" t="n">
        <x:f>ABS(T19-AA19)</x:f>
        <x:v>0</x:v>
      </x:c>
      <x:c r="AA19" s="2" t="n">
        <x:v>1</x:v>
      </x:c>
      <x:c r="AB19" s="2" t="n">
        <x:f>ABS(K19-W19)</x:f>
        <x:v>20</x:v>
      </x:c>
      <x:c r="AC19" s="2" t="n">
        <x:f>COUNTIF($A$2:$A$1921,A19)-1</x:f>
        <x:v>0</x:v>
      </x:c>
      <x:c r="AD19" s="2" t="n">
        <x:f>IF(AND(D19=D18,H19=H18,C19=C18+1),ABS(R19-T18),0)</x:f>
        <x:v>0</x:v>
      </x:c>
    </x:row>
    <x:row r="20" ht="23" customHeight="1">
      <x:c r="A20" s="2" t="str">
        <x:v>DEMO-101-0-19</x:v>
      </x:c>
      <x:c r="B20" s="15" t="d">
        <x:v>2026-09-07T00:00:00.000Z</x:v>
      </x:c>
      <x:c r="C20" s="2" t="n">
        <x:v>19</x:v>
      </x:c>
      <x:c r="D20" s="2" t="str">
        <x:v>DEMO-101</x:v>
      </x:c>
      <x:c r="E20" s="2" t="str">
        <x:v>Orbit Notebook</x:v>
      </x:c>
      <x:c r="F20" s="2" t="str">
        <x:v>Stationery</x:v>
      </x:c>
      <x:c r="G20" s="2" t="str">
        <x:v>Stores</x:v>
      </x:c>
      <x:c r="H20" s="2" t="str">
        <x:v>North Arcade</x:v>
      </x:c>
      <x:c r="I20" s="2" t="n">
        <x:v>1</x:v>
      </x:c>
      <x:c r="J20" s="2" t="n">
        <x:v>0</x:v>
      </x:c>
      <x:c r="K20" s="2" t="n">
        <x:f>I20-J20</x:f>
        <x:v>1</x:v>
      </x:c>
      <x:c r="L20" s="16" t="n">
        <x:v>12</x:v>
      </x:c>
      <x:c r="M20" s="16" t="n">
        <x:v>12</x:v>
      </x:c>
      <x:c r="N20" s="16" t="n">
        <x:v>4.32</x:v>
      </x:c>
      <x:c r="O20" s="16" t="n">
        <x:f>K20*M20</x:f>
        <x:v>12</x:v>
      </x:c>
      <x:c r="P20" s="16" t="n">
        <x:f>K20*N20</x:f>
        <x:v>4.32</x:v>
      </x:c>
      <x:c r="Q20" s="16" t="n">
        <x:f>O20-P20</x:f>
        <x:v>7.68</x:v>
      </x:c>
      <x:c r="R20" s="2" t="n">
        <x:v>1</x:v>
      </x:c>
      <x:c r="S20" s="2" t="n">
        <x:v>0</x:v>
      </x:c>
      <x:c r="T20" s="2" t="n">
        <x:f>R20+S20+J20-I20</x:f>
        <x:v>0</x:v>
      </x:c>
      <x:c r="U20" s="2" t="n">
        <x:v>0</x:v>
      </x:c>
      <x:c r="V20" s="2" t="n">
        <x:v>4</x:v>
      </x:c>
      <x:c r="W20" s="2" t="n">
        <x:v>10</x:v>
      </x:c>
      <x:c r="X20" s="14" t="b">
        <x:v>0</x:v>
      </x:c>
      <x:c r="Y20" s="14" t="b">
        <x:v>0</x:v>
      </x:c>
      <x:c r="Z20" s="2" t="n">
        <x:f>ABS(T20-AA20)</x:f>
        <x:v>0</x:v>
      </x:c>
      <x:c r="AA20" s="2" t="n">
        <x:v>0</x:v>
      </x:c>
      <x:c r="AB20" s="2" t="n">
        <x:f>ABS(K20-W20)</x:f>
        <x:v>9</x:v>
      </x:c>
      <x:c r="AC20" s="2" t="n">
        <x:f>COUNTIF($A$2:$A$1921,A20)-1</x:f>
        <x:v>0</x:v>
      </x:c>
      <x:c r="AD20" s="2" t="n">
        <x:f>IF(AND(D20=D19,H20=H19,C20=C19+1),ABS(R20-T19),0)</x:f>
        <x:v>0</x:v>
      </x:c>
    </x:row>
    <x:row r="21" ht="23" customHeight="1">
      <x:c r="A21" s="2" t="str">
        <x:v>DEMO-101-0-20</x:v>
      </x:c>
      <x:c r="B21" s="15" t="d">
        <x:v>2026-09-14T00:00:00.000Z</x:v>
      </x:c>
      <x:c r="C21" s="2" t="n">
        <x:v>20</x:v>
      </x:c>
      <x:c r="D21" s="2" t="str">
        <x:v>DEMO-101</x:v>
      </x:c>
      <x:c r="E21" s="2" t="str">
        <x:v>Orbit Notebook</x:v>
      </x:c>
      <x:c r="F21" s="2" t="str">
        <x:v>Stationery</x:v>
      </x:c>
      <x:c r="G21" s="2" t="str">
        <x:v>Stores</x:v>
      </x:c>
      <x:c r="H21" s="2" t="str">
        <x:v>North Arcade</x:v>
      </x:c>
      <x:c r="I21" s="2" t="n">
        <x:v>0</x:v>
      </x:c>
      <x:c r="J21" s="2" t="n">
        <x:v>0</x:v>
      </x:c>
      <x:c r="K21" s="2" t="n">
        <x:f>I21-J21</x:f>
        <x:v>0</x:v>
      </x:c>
      <x:c r="L21" s="16" t="n">
        <x:v>12</x:v>
      </x:c>
      <x:c r="M21" s="16" t="n">
        <x:v>12</x:v>
      </x:c>
      <x:c r="N21" s="16" t="n">
        <x:v>4.32</x:v>
      </x:c>
      <x:c r="O21" s="16" t="n">
        <x:f>K21*M21</x:f>
        <x:v>0</x:v>
      </x:c>
      <x:c r="P21" s="16" t="n">
        <x:f>K21*N21</x:f>
        <x:v>0</x:v>
      </x:c>
      <x:c r="Q21" s="16" t="n">
        <x:f>O21-P21</x:f>
        <x:v>0</x:v>
      </x:c>
      <x:c r="R21" s="2" t="n">
        <x:v>0</x:v>
      </x:c>
      <x:c r="S21" s="2" t="n">
        <x:v>0</x:v>
      </x:c>
      <x:c r="T21" s="2" t="n">
        <x:f>R21+S21+J21-I21</x:f>
        <x:v>0</x:v>
      </x:c>
      <x:c r="U21" s="2" t="n">
        <x:v>6</x:v>
      </x:c>
      <x:c r="V21" s="2" t="n">
        <x:v>4</x:v>
      </x:c>
      <x:c r="W21" s="2" t="n">
        <x:v>9</x:v>
      </x:c>
      <x:c r="X21" s="14" t="b">
        <x:v>0</x:v>
      </x:c>
      <x:c r="Y21" s="14" t="b">
        <x:v>0</x:v>
      </x:c>
      <x:c r="Z21" s="2" t="n">
        <x:f>ABS(T21-AA21)</x:f>
        <x:v>0</x:v>
      </x:c>
      <x:c r="AA21" s="2" t="n">
        <x:v>0</x:v>
      </x:c>
      <x:c r="AB21" s="2" t="n">
        <x:f>ABS(K21-W21)</x:f>
        <x:v>9</x:v>
      </x:c>
      <x:c r="AC21" s="2" t="n">
        <x:f>COUNTIF($A$2:$A$1921,A21)-1</x:f>
        <x:v>0</x:v>
      </x:c>
      <x:c r="AD21" s="2" t="n">
        <x:f>IF(AND(D21=D20,H21=H20,C21=C20+1),ABS(R21-T20),0)</x:f>
        <x:v>0</x:v>
      </x:c>
    </x:row>
    <x:row r="22" ht="23" customHeight="1">
      <x:c r="A22" s="2" t="str">
        <x:v>DEMO-101-1-1</x:v>
      </x:c>
      <x:c r="B22" s="15" t="d">
        <x:v>2026-05-04T00:00:00.000Z</x:v>
      </x:c>
      <x:c r="C22" s="2" t="n">
        <x:v>1</x:v>
      </x:c>
      <x:c r="D22" s="2" t="str">
        <x:v>DEMO-101</x:v>
      </x:c>
      <x:c r="E22" s="2" t="str">
        <x:v>Orbit Notebook</x:v>
      </x:c>
      <x:c r="F22" s="2" t="str">
        <x:v>Stationery</x:v>
      </x:c>
      <x:c r="G22" s="2" t="str">
        <x:v>Stores</x:v>
      </x:c>
      <x:c r="H22" s="2" t="str">
        <x:v>Riverside</x:v>
      </x:c>
      <x:c r="I22" s="2" t="n">
        <x:v>31</x:v>
      </x:c>
      <x:c r="J22" s="2" t="n">
        <x:v>0</x:v>
      </x:c>
      <x:c r="K22" s="2" t="n">
        <x:f>I22-J22</x:f>
        <x:v>31</x:v>
      </x:c>
      <x:c r="L22" s="16" t="n">
        <x:v>12</x:v>
      </x:c>
      <x:c r="M22" s="16" t="n">
        <x:v>12</x:v>
      </x:c>
      <x:c r="N22" s="16" t="n">
        <x:v>4.32</x:v>
      </x:c>
      <x:c r="O22" s="16" t="n">
        <x:f>K22*M22</x:f>
        <x:v>372</x:v>
      </x:c>
      <x:c r="P22" s="16" t="n">
        <x:f>K22*N22</x:f>
        <x:v>133.92000000000002</x:v>
      </x:c>
      <x:c r="Q22" s="16" t="n">
        <x:f>O22-P22</x:f>
        <x:v>238.07999999999998</x:v>
      </x:c>
      <x:c r="R22" s="2" t="n">
        <x:v>90</x:v>
      </x:c>
      <x:c r="S22" s="2" t="n">
        <x:v>90</x:v>
      </x:c>
      <x:c r="T22" s="2" t="n">
        <x:f>R22+S22+J22-I22</x:f>
        <x:v>149</x:v>
      </x:c>
      <x:c r="U22" s="2" t="n">
        <x:v>0</x:v>
      </x:c>
      <x:c r="V22" s="2" t="n">
        <x:v>2</x:v>
      </x:c>
      <x:c r="W22" s="2" t="n">
        <x:v>25</x:v>
      </x:c>
      <x:c r="X22" s="14" t="b">
        <x:v>0</x:v>
      </x:c>
      <x:c r="Y22" s="14" t="b">
        <x:v>0</x:v>
      </x:c>
      <x:c r="Z22" s="2" t="n">
        <x:f>ABS(T22-AA22)</x:f>
        <x:v>0</x:v>
      </x:c>
      <x:c r="AA22" s="2" t="n">
        <x:v>149</x:v>
      </x:c>
      <x:c r="AB22" s="2" t="n">
        <x:f>ABS(K22-W22)</x:f>
        <x:v>6</x:v>
      </x:c>
      <x:c r="AC22" s="2" t="n">
        <x:f>COUNTIF($A$2:$A$1921,A22)-1</x:f>
        <x:v>0</x:v>
      </x:c>
      <x:c r="AD22" s="2" t="n">
        <x:f>IF(AND(D22=D21,H22=H21,C22=C21+1),ABS(R22-T21),0)</x:f>
        <x:v>0</x:v>
      </x:c>
    </x:row>
    <x:row r="23" ht="23" customHeight="1">
      <x:c r="A23" s="2" t="str">
        <x:v>DEMO-101-1-2</x:v>
      </x:c>
      <x:c r="B23" s="15" t="d">
        <x:v>2026-05-11T00:00:00.000Z</x:v>
      </x:c>
      <x:c r="C23" s="2" t="n">
        <x:v>2</x:v>
      </x:c>
      <x:c r="D23" s="2" t="str">
        <x:v>DEMO-101</x:v>
      </x:c>
      <x:c r="E23" s="2" t="str">
        <x:v>Orbit Notebook</x:v>
      </x:c>
      <x:c r="F23" s="2" t="str">
        <x:v>Stationery</x:v>
      </x:c>
      <x:c r="G23" s="2" t="str">
        <x:v>Stores</x:v>
      </x:c>
      <x:c r="H23" s="2" t="str">
        <x:v>Riverside</x:v>
      </x:c>
      <x:c r="I23" s="2" t="n">
        <x:v>23</x:v>
      </x:c>
      <x:c r="J23" s="2" t="n">
        <x:v>0</x:v>
      </x:c>
      <x:c r="K23" s="2" t="n">
        <x:f>I23-J23</x:f>
        <x:v>23</x:v>
      </x:c>
      <x:c r="L23" s="16" t="n">
        <x:v>12</x:v>
      </x:c>
      <x:c r="M23" s="16" t="n">
        <x:v>12</x:v>
      </x:c>
      <x:c r="N23" s="16" t="n">
        <x:v>4.32</x:v>
      </x:c>
      <x:c r="O23" s="16" t="n">
        <x:f>K23*M23</x:f>
        <x:v>276</x:v>
      </x:c>
      <x:c r="P23" s="16" t="n">
        <x:f>K23*N23</x:f>
        <x:v>99.36000000000001</x:v>
      </x:c>
      <x:c r="Q23" s="16" t="n">
        <x:f>O23-P23</x:f>
        <x:v>176.64</x:v>
      </x:c>
      <x:c r="R23" s="2" t="n">
        <x:v>149</x:v>
      </x:c>
      <x:c r="S23" s="2" t="n">
        <x:v>0</x:v>
      </x:c>
      <x:c r="T23" s="2" t="n">
        <x:f>R23+S23+J23-I23</x:f>
        <x:v>126</x:v>
      </x:c>
      <x:c r="U23" s="2" t="n">
        <x:v>0</x:v>
      </x:c>
      <x:c r="V23" s="2" t="n">
        <x:v>2</x:v>
      </x:c>
      <x:c r="W23" s="2" t="n">
        <x:v>31</x:v>
      </x:c>
      <x:c r="X23" s="14" t="b">
        <x:v>0</x:v>
      </x:c>
      <x:c r="Y23" s="14" t="b">
        <x:v>0</x:v>
      </x:c>
      <x:c r="Z23" s="2" t="n">
        <x:f>ABS(T23-AA23)</x:f>
        <x:v>0</x:v>
      </x:c>
      <x:c r="AA23" s="2" t="n">
        <x:v>126</x:v>
      </x:c>
      <x:c r="AB23" s="2" t="n">
        <x:f>ABS(K23-W23)</x:f>
        <x:v>8</x:v>
      </x:c>
      <x:c r="AC23" s="2" t="n">
        <x:f>COUNTIF($A$2:$A$1921,A23)-1</x:f>
        <x:v>0</x:v>
      </x:c>
      <x:c r="AD23" s="2" t="n">
        <x:f>IF(AND(D23=D22,H23=H22,C23=C22+1),ABS(R23-T22),0)</x:f>
        <x:v>0</x:v>
      </x:c>
    </x:row>
    <x:row r="24" ht="23" customHeight="1">
      <x:c r="A24" s="2" t="str">
        <x:v>DEMO-101-1-3</x:v>
      </x:c>
      <x:c r="B24" s="15" t="d">
        <x:v>2026-05-18T00:00:00.000Z</x:v>
      </x:c>
      <x:c r="C24" s="2" t="n">
        <x:v>3</x:v>
      </x:c>
      <x:c r="D24" s="2" t="str">
        <x:v>DEMO-101</x:v>
      </x:c>
      <x:c r="E24" s="2" t="str">
        <x:v>Orbit Notebook</x:v>
      </x:c>
      <x:c r="F24" s="2" t="str">
        <x:v>Stationery</x:v>
      </x:c>
      <x:c r="G24" s="2" t="str">
        <x:v>Stores</x:v>
      </x:c>
      <x:c r="H24" s="2" t="str">
        <x:v>Riverside</x:v>
      </x:c>
      <x:c r="I24" s="2" t="n">
        <x:v>23</x:v>
      </x:c>
      <x:c r="J24" s="2" t="n">
        <x:v>0</x:v>
      </x:c>
      <x:c r="K24" s="2" t="n">
        <x:f>I24-J24</x:f>
        <x:v>23</x:v>
      </x:c>
      <x:c r="L24" s="16" t="n">
        <x:v>12</x:v>
      </x:c>
      <x:c r="M24" s="16" t="n">
        <x:v>12</x:v>
      </x:c>
      <x:c r="N24" s="16" t="n">
        <x:v>4.32</x:v>
      </x:c>
      <x:c r="O24" s="16" t="n">
        <x:f>K24*M24</x:f>
        <x:v>276</x:v>
      </x:c>
      <x:c r="P24" s="16" t="n">
        <x:f>K24*N24</x:f>
        <x:v>99.36000000000001</x:v>
      </x:c>
      <x:c r="Q24" s="16" t="n">
        <x:f>O24-P24</x:f>
        <x:v>176.64</x:v>
      </x:c>
      <x:c r="R24" s="2" t="n">
        <x:v>126</x:v>
      </x:c>
      <x:c r="S24" s="2" t="n">
        <x:v>0</x:v>
      </x:c>
      <x:c r="T24" s="2" t="n">
        <x:f>R24+S24+J24-I24</x:f>
        <x:v>103</x:v>
      </x:c>
      <x:c r="U24" s="2" t="n">
        <x:v>0</x:v>
      </x:c>
      <x:c r="V24" s="2" t="n">
        <x:v>2</x:v>
      </x:c>
      <x:c r="W24" s="2" t="n">
        <x:v>27</x:v>
      </x:c>
      <x:c r="X24" s="14" t="b">
        <x:v>0</x:v>
      </x:c>
      <x:c r="Y24" s="14" t="b">
        <x:v>0</x:v>
      </x:c>
      <x:c r="Z24" s="2" t="n">
        <x:f>ABS(T24-AA24)</x:f>
        <x:v>0</x:v>
      </x:c>
      <x:c r="AA24" s="2" t="n">
        <x:v>103</x:v>
      </x:c>
      <x:c r="AB24" s="2" t="n">
        <x:f>ABS(K24-W24)</x:f>
        <x:v>4</x:v>
      </x:c>
      <x:c r="AC24" s="2" t="n">
        <x:f>COUNTIF($A$2:$A$1921,A24)-1</x:f>
        <x:v>0</x:v>
      </x:c>
      <x:c r="AD24" s="2" t="n">
        <x:f>IF(AND(D24=D23,H24=H23,C24=C23+1),ABS(R24-T23),0)</x:f>
        <x:v>0</x:v>
      </x:c>
    </x:row>
    <x:row r="25" ht="23" customHeight="1">
      <x:c r="A25" s="2" t="str">
        <x:v>DEMO-101-1-4</x:v>
      </x:c>
      <x:c r="B25" s="15" t="d">
        <x:v>2026-05-25T00:00:00.000Z</x:v>
      </x:c>
      <x:c r="C25" s="2" t="n">
        <x:v>4</x:v>
      </x:c>
      <x:c r="D25" s="2" t="str">
        <x:v>DEMO-101</x:v>
      </x:c>
      <x:c r="E25" s="2" t="str">
        <x:v>Orbit Notebook</x:v>
      </x:c>
      <x:c r="F25" s="2" t="str">
        <x:v>Stationery</x:v>
      </x:c>
      <x:c r="G25" s="2" t="str">
        <x:v>Stores</x:v>
      </x:c>
      <x:c r="H25" s="2" t="str">
        <x:v>Riverside</x:v>
      </x:c>
      <x:c r="I25" s="2" t="n">
        <x:v>27</x:v>
      </x:c>
      <x:c r="J25" s="2" t="n">
        <x:v>0</x:v>
      </x:c>
      <x:c r="K25" s="2" t="n">
        <x:f>I25-J25</x:f>
        <x:v>27</x:v>
      </x:c>
      <x:c r="L25" s="16" t="n">
        <x:v>12</x:v>
      </x:c>
      <x:c r="M25" s="16" t="n">
        <x:v>12</x:v>
      </x:c>
      <x:c r="N25" s="16" t="n">
        <x:v>4.32</x:v>
      </x:c>
      <x:c r="O25" s="16" t="n">
        <x:f>K25*M25</x:f>
        <x:v>324</x:v>
      </x:c>
      <x:c r="P25" s="16" t="n">
        <x:f>K25*N25</x:f>
        <x:v>116.64000000000001</x:v>
      </x:c>
      <x:c r="Q25" s="16" t="n">
        <x:f>O25-P25</x:f>
        <x:v>207.35999999999999</x:v>
      </x:c>
      <x:c r="R25" s="2" t="n">
        <x:v>103</x:v>
      </x:c>
      <x:c r="S25" s="2" t="n">
        <x:v>0</x:v>
      </x:c>
      <x:c r="T25" s="2" t="n">
        <x:f>R25+S25+J25-I25</x:f>
        <x:v>76</x:v>
      </x:c>
      <x:c r="U25" s="2" t="n">
        <x:v>0</x:v>
      </x:c>
      <x:c r="V25" s="2" t="n">
        <x:v>2</x:v>
      </x:c>
      <x:c r="W25" s="2" t="n">
        <x:v>26</x:v>
      </x:c>
      <x:c r="X25" s="14" t="b">
        <x:v>0</x:v>
      </x:c>
      <x:c r="Y25" s="14" t="b">
        <x:v>0</x:v>
      </x:c>
      <x:c r="Z25" s="2" t="n">
        <x:f>ABS(T25-AA25)</x:f>
        <x:v>0</x:v>
      </x:c>
      <x:c r="AA25" s="2" t="n">
        <x:v>76</x:v>
      </x:c>
      <x:c r="AB25" s="2" t="n">
        <x:f>ABS(K25-W25)</x:f>
        <x:v>1</x:v>
      </x:c>
      <x:c r="AC25" s="2" t="n">
        <x:f>COUNTIF($A$2:$A$1921,A25)-1</x:f>
        <x:v>0</x:v>
      </x:c>
      <x:c r="AD25" s="2" t="n">
        <x:f>IF(AND(D25=D24,H25=H24,C25=C24+1),ABS(R25-T24),0)</x:f>
        <x:v>0</x:v>
      </x:c>
    </x:row>
    <x:row r="26" ht="23" customHeight="1">
      <x:c r="A26" s="2" t="str">
        <x:v>DEMO-101-1-5</x:v>
      </x:c>
      <x:c r="B26" s="15" t="d">
        <x:v>2026-06-01T00:00:00.000Z</x:v>
      </x:c>
      <x:c r="C26" s="2" t="n">
        <x:v>5</x:v>
      </x:c>
      <x:c r="D26" s="2" t="str">
        <x:v>DEMO-101</x:v>
      </x:c>
      <x:c r="E26" s="2" t="str">
        <x:v>Orbit Notebook</x:v>
      </x:c>
      <x:c r="F26" s="2" t="str">
        <x:v>Stationery</x:v>
      </x:c>
      <x:c r="G26" s="2" t="str">
        <x:v>Stores</x:v>
      </x:c>
      <x:c r="H26" s="2" t="str">
        <x:v>Riverside</x:v>
      </x:c>
      <x:c r="I26" s="2" t="n">
        <x:v>25</x:v>
      </x:c>
      <x:c r="J26" s="2" t="n">
        <x:v>0</x:v>
      </x:c>
      <x:c r="K26" s="2" t="n">
        <x:f>I26-J26</x:f>
        <x:v>25</x:v>
      </x:c>
      <x:c r="L26" s="16" t="n">
        <x:v>12</x:v>
      </x:c>
      <x:c r="M26" s="16" t="n">
        <x:v>12</x:v>
      </x:c>
      <x:c r="N26" s="16" t="n">
        <x:v>4.32</x:v>
      </x:c>
      <x:c r="O26" s="16" t="n">
        <x:f>K26*M26</x:f>
        <x:v>300</x:v>
      </x:c>
      <x:c r="P26" s="16" t="n">
        <x:f>K26*N26</x:f>
        <x:v>108</x:v>
      </x:c>
      <x:c r="Q26" s="16" t="n">
        <x:f>O26-P26</x:f>
        <x:v>192</x:v>
      </x:c>
      <x:c r="R26" s="2" t="n">
        <x:v>76</x:v>
      </x:c>
      <x:c r="S26" s="2" t="n">
        <x:v>90</x:v>
      </x:c>
      <x:c r="T26" s="2" t="n">
        <x:f>R26+S26+J26-I26</x:f>
        <x:v>141</x:v>
      </x:c>
      <x:c r="U26" s="2" t="n">
        <x:v>0</x:v>
      </x:c>
      <x:c r="V26" s="2" t="n">
        <x:v>2</x:v>
      </x:c>
      <x:c r="W26" s="2" t="n">
        <x:v>26</x:v>
      </x:c>
      <x:c r="X26" s="14" t="b">
        <x:v>0</x:v>
      </x:c>
      <x:c r="Y26" s="14" t="b">
        <x:v>0</x:v>
      </x:c>
      <x:c r="Z26" s="2" t="n">
        <x:f>ABS(T26-AA26)</x:f>
        <x:v>0</x:v>
      </x:c>
      <x:c r="AA26" s="2" t="n">
        <x:v>141</x:v>
      </x:c>
      <x:c r="AB26" s="2" t="n">
        <x:f>ABS(K26-W26)</x:f>
        <x:v>1</x:v>
      </x:c>
      <x:c r="AC26" s="2" t="n">
        <x:f>COUNTIF($A$2:$A$1921,A26)-1</x:f>
        <x:v>0</x:v>
      </x:c>
      <x:c r="AD26" s="2" t="n">
        <x:f>IF(AND(D26=D25,H26=H25,C26=C25+1),ABS(R26-T25),0)</x:f>
        <x:v>0</x:v>
      </x:c>
    </x:row>
    <x:row r="27" ht="23" customHeight="1">
      <x:c r="A27" s="2" t="str">
        <x:v>DEMO-101-1-6</x:v>
      </x:c>
      <x:c r="B27" s="15" t="d">
        <x:v>2026-06-08T00:00:00.000Z</x:v>
      </x:c>
      <x:c r="C27" s="2" t="n">
        <x:v>6</x:v>
      </x:c>
      <x:c r="D27" s="2" t="str">
        <x:v>DEMO-101</x:v>
      </x:c>
      <x:c r="E27" s="2" t="str">
        <x:v>Orbit Notebook</x:v>
      </x:c>
      <x:c r="F27" s="2" t="str">
        <x:v>Stationery</x:v>
      </x:c>
      <x:c r="G27" s="2" t="str">
        <x:v>Stores</x:v>
      </x:c>
      <x:c r="H27" s="2" t="str">
        <x:v>Riverside</x:v>
      </x:c>
      <x:c r="I27" s="2" t="n">
        <x:v>33</x:v>
      </x:c>
      <x:c r="J27" s="2" t="n">
        <x:v>0</x:v>
      </x:c>
      <x:c r="K27" s="2" t="n">
        <x:f>I27-J27</x:f>
        <x:v>33</x:v>
      </x:c>
      <x:c r="L27" s="16" t="n">
        <x:v>12</x:v>
      </x:c>
      <x:c r="M27" s="16" t="n">
        <x:v>12</x:v>
      </x:c>
      <x:c r="N27" s="16" t="n">
        <x:v>4.32</x:v>
      </x:c>
      <x:c r="O27" s="16" t="n">
        <x:f>K27*M27</x:f>
        <x:v>396</x:v>
      </x:c>
      <x:c r="P27" s="16" t="n">
        <x:f>K27*N27</x:f>
        <x:v>142.56</x:v>
      </x:c>
      <x:c r="Q27" s="16" t="n">
        <x:f>O27-P27</x:f>
        <x:v>253.44</x:v>
      </x:c>
      <x:c r="R27" s="2" t="n">
        <x:v>141</x:v>
      </x:c>
      <x:c r="S27" s="2" t="n">
        <x:v>0</x:v>
      </x:c>
      <x:c r="T27" s="2" t="n">
        <x:f>R27+S27+J27-I27</x:f>
        <x:v>108</x:v>
      </x:c>
      <x:c r="U27" s="2" t="n">
        <x:v>0</x:v>
      </x:c>
      <x:c r="V27" s="2" t="n">
        <x:v>2</x:v>
      </x:c>
      <x:c r="W27" s="2" t="n">
        <x:v>25</x:v>
      </x:c>
      <x:c r="X27" s="14" t="b">
        <x:v>0</x:v>
      </x:c>
      <x:c r="Y27" s="14" t="b">
        <x:v>0</x:v>
      </x:c>
      <x:c r="Z27" s="2" t="n">
        <x:f>ABS(T27-AA27)</x:f>
        <x:v>0</x:v>
      </x:c>
      <x:c r="AA27" s="2" t="n">
        <x:v>108</x:v>
      </x:c>
      <x:c r="AB27" s="2" t="n">
        <x:f>ABS(K27-W27)</x:f>
        <x:v>8</x:v>
      </x:c>
      <x:c r="AC27" s="2" t="n">
        <x:f>COUNTIF($A$2:$A$1921,A27)-1</x:f>
        <x:v>0</x:v>
      </x:c>
      <x:c r="AD27" s="2" t="n">
        <x:f>IF(AND(D27=D26,H27=H26,C27=C26+1),ABS(R27-T26),0)</x:f>
        <x:v>0</x:v>
      </x:c>
    </x:row>
    <x:row r="28" ht="23" customHeight="1">
      <x:c r="A28" s="2" t="str">
        <x:v>DEMO-101-1-7</x:v>
      </x:c>
      <x:c r="B28" s="15" t="d">
        <x:v>2026-06-15T00:00:00.000Z</x:v>
      </x:c>
      <x:c r="C28" s="2" t="n">
        <x:v>7</x:v>
      </x:c>
      <x:c r="D28" s="2" t="str">
        <x:v>DEMO-101</x:v>
      </x:c>
      <x:c r="E28" s="2" t="str">
        <x:v>Orbit Notebook</x:v>
      </x:c>
      <x:c r="F28" s="2" t="str">
        <x:v>Stationery</x:v>
      </x:c>
      <x:c r="G28" s="2" t="str">
        <x:v>Stores</x:v>
      </x:c>
      <x:c r="H28" s="2" t="str">
        <x:v>Riverside</x:v>
      </x:c>
      <x:c r="I28" s="2" t="n">
        <x:v>33</x:v>
      </x:c>
      <x:c r="J28" s="2" t="n">
        <x:v>0</x:v>
      </x:c>
      <x:c r="K28" s="2" t="n">
        <x:f>I28-J28</x:f>
        <x:v>33</x:v>
      </x:c>
      <x:c r="L28" s="16" t="n">
        <x:v>12</x:v>
      </x:c>
      <x:c r="M28" s="16" t="n">
        <x:v>12</x:v>
      </x:c>
      <x:c r="N28" s="16" t="n">
        <x:v>4.32</x:v>
      </x:c>
      <x:c r="O28" s="16" t="n">
        <x:f>K28*M28</x:f>
        <x:v>396</x:v>
      </x:c>
      <x:c r="P28" s="16" t="n">
        <x:f>K28*N28</x:f>
        <x:v>142.56</x:v>
      </x:c>
      <x:c r="Q28" s="16" t="n">
        <x:f>O28-P28</x:f>
        <x:v>253.44</x:v>
      </x:c>
      <x:c r="R28" s="2" t="n">
        <x:v>108</x:v>
      </x:c>
      <x:c r="S28" s="2" t="n">
        <x:v>0</x:v>
      </x:c>
      <x:c r="T28" s="2" t="n">
        <x:f>R28+S28+J28-I28</x:f>
        <x:v>75</x:v>
      </x:c>
      <x:c r="U28" s="2" t="n">
        <x:v>0</x:v>
      </x:c>
      <x:c r="V28" s="2" t="n">
        <x:v>2</x:v>
      </x:c>
      <x:c r="W28" s="2" t="n">
        <x:v>27</x:v>
      </x:c>
      <x:c r="X28" s="14" t="b">
        <x:v>0</x:v>
      </x:c>
      <x:c r="Y28" s="14" t="b">
        <x:v>0</x:v>
      </x:c>
      <x:c r="Z28" s="2" t="n">
        <x:f>ABS(T28-AA28)</x:f>
        <x:v>0</x:v>
      </x:c>
      <x:c r="AA28" s="2" t="n">
        <x:v>75</x:v>
      </x:c>
      <x:c r="AB28" s="2" t="n">
        <x:f>ABS(K28-W28)</x:f>
        <x:v>6</x:v>
      </x:c>
      <x:c r="AC28" s="2" t="n">
        <x:f>COUNTIF($A$2:$A$1921,A28)-1</x:f>
        <x:v>0</x:v>
      </x:c>
      <x:c r="AD28" s="2" t="n">
        <x:f>IF(AND(D28=D27,H28=H27,C28=C27+1),ABS(R28-T27),0)</x:f>
        <x:v>0</x:v>
      </x:c>
    </x:row>
    <x:row r="29" ht="23" customHeight="1">
      <x:c r="A29" s="2" t="str">
        <x:v>DEMO-101-1-8</x:v>
      </x:c>
      <x:c r="B29" s="15" t="d">
        <x:v>2026-06-22T00:00:00.000Z</x:v>
      </x:c>
      <x:c r="C29" s="2" t="n">
        <x:v>8</x:v>
      </x:c>
      <x:c r="D29" s="2" t="str">
        <x:v>DEMO-101</x:v>
      </x:c>
      <x:c r="E29" s="2" t="str">
        <x:v>Orbit Notebook</x:v>
      </x:c>
      <x:c r="F29" s="2" t="str">
        <x:v>Stationery</x:v>
      </x:c>
      <x:c r="G29" s="2" t="str">
        <x:v>Stores</x:v>
      </x:c>
      <x:c r="H29" s="2" t="str">
        <x:v>Riverside</x:v>
      </x:c>
      <x:c r="I29" s="2" t="n">
        <x:v>26</x:v>
      </x:c>
      <x:c r="J29" s="2" t="n">
        <x:v>1</x:v>
      </x:c>
      <x:c r="K29" s="2" t="n">
        <x:f>I29-J29</x:f>
        <x:v>25</x:v>
      </x:c>
      <x:c r="L29" s="16" t="n">
        <x:v>12</x:v>
      </x:c>
      <x:c r="M29" s="16" t="n">
        <x:v>12</x:v>
      </x:c>
      <x:c r="N29" s="16" t="n">
        <x:v>4.32</x:v>
      </x:c>
      <x:c r="O29" s="16" t="n">
        <x:f>K29*M29</x:f>
        <x:v>300</x:v>
      </x:c>
      <x:c r="P29" s="16" t="n">
        <x:f>K29*N29</x:f>
        <x:v>108</x:v>
      </x:c>
      <x:c r="Q29" s="16" t="n">
        <x:f>O29-P29</x:f>
        <x:v>192</x:v>
      </x:c>
      <x:c r="R29" s="2" t="n">
        <x:v>75</x:v>
      </x:c>
      <x:c r="S29" s="2" t="n">
        <x:v>0</x:v>
      </x:c>
      <x:c r="T29" s="2" t="n">
        <x:f>R29+S29+J29-I29</x:f>
        <x:v>50</x:v>
      </x:c>
      <x:c r="U29" s="2" t="n">
        <x:v>0</x:v>
      </x:c>
      <x:c r="V29" s="2" t="n">
        <x:v>2</x:v>
      </x:c>
      <x:c r="W29" s="2" t="n">
        <x:v>30</x:v>
      </x:c>
      <x:c r="X29" s="14" t="b">
        <x:v>0</x:v>
      </x:c>
      <x:c r="Y29" s="14" t="b">
        <x:v>0</x:v>
      </x:c>
      <x:c r="Z29" s="2" t="n">
        <x:f>ABS(T29-AA29)</x:f>
        <x:v>0</x:v>
      </x:c>
      <x:c r="AA29" s="2" t="n">
        <x:v>50</x:v>
      </x:c>
      <x:c r="AB29" s="2" t="n">
        <x:f>ABS(K29-W29)</x:f>
        <x:v>5</x:v>
      </x:c>
      <x:c r="AC29" s="2" t="n">
        <x:f>COUNTIF($A$2:$A$1921,A29)-1</x:f>
        <x:v>0</x:v>
      </x:c>
      <x:c r="AD29" s="2" t="n">
        <x:f>IF(AND(D29=D28,H29=H28,C29=C28+1),ABS(R29-T28),0)</x:f>
        <x:v>0</x:v>
      </x:c>
    </x:row>
    <x:row r="30" ht="23" customHeight="1">
      <x:c r="A30" s="2" t="str">
        <x:v>DEMO-101-1-9</x:v>
      </x:c>
      <x:c r="B30" s="15" t="d">
        <x:v>2026-06-29T00:00:00.000Z</x:v>
      </x:c>
      <x:c r="C30" s="2" t="n">
        <x:v>9</x:v>
      </x:c>
      <x:c r="D30" s="2" t="str">
        <x:v>DEMO-101</x:v>
      </x:c>
      <x:c r="E30" s="2" t="str">
        <x:v>Orbit Notebook</x:v>
      </x:c>
      <x:c r="F30" s="2" t="str">
        <x:v>Stationery</x:v>
      </x:c>
      <x:c r="G30" s="2" t="str">
        <x:v>Stores</x:v>
      </x:c>
      <x:c r="H30" s="2" t="str">
        <x:v>Riverside</x:v>
      </x:c>
      <x:c r="I30" s="2" t="n">
        <x:v>31</x:v>
      </x:c>
      <x:c r="J30" s="2" t="n">
        <x:v>0</x:v>
      </x:c>
      <x:c r="K30" s="2" t="n">
        <x:f>I30-J30</x:f>
        <x:v>31</x:v>
      </x:c>
      <x:c r="L30" s="16" t="n">
        <x:v>12</x:v>
      </x:c>
      <x:c r="M30" s="16" t="n">
        <x:v>12</x:v>
      </x:c>
      <x:c r="N30" s="16" t="n">
        <x:v>4.32</x:v>
      </x:c>
      <x:c r="O30" s="16" t="n">
        <x:f>K30*M30</x:f>
        <x:v>372</x:v>
      </x:c>
      <x:c r="P30" s="16" t="n">
        <x:f>K30*N30</x:f>
        <x:v>133.92000000000002</x:v>
      </x:c>
      <x:c r="Q30" s="16" t="n">
        <x:f>O30-P30</x:f>
        <x:v>238.07999999999998</x:v>
      </x:c>
      <x:c r="R30" s="2" t="n">
        <x:v>50</x:v>
      </x:c>
      <x:c r="S30" s="2" t="n">
        <x:v>90</x:v>
      </x:c>
      <x:c r="T30" s="2" t="n">
        <x:f>R30+S30+J30-I30</x:f>
        <x:v>109</x:v>
      </x:c>
      <x:c r="U30" s="2" t="n">
        <x:v>0</x:v>
      </x:c>
      <x:c r="V30" s="2" t="n">
        <x:v>2</x:v>
      </x:c>
      <x:c r="W30" s="2" t="n">
        <x:v>29</x:v>
      </x:c>
      <x:c r="X30" s="14" t="b">
        <x:v>0</x:v>
      </x:c>
      <x:c r="Y30" s="14" t="b">
        <x:v>0</x:v>
      </x:c>
      <x:c r="Z30" s="2" t="n">
        <x:f>ABS(T30-AA30)</x:f>
        <x:v>0</x:v>
      </x:c>
      <x:c r="AA30" s="2" t="n">
        <x:v>109</x:v>
      </x:c>
      <x:c r="AB30" s="2" t="n">
        <x:f>ABS(K30-W30)</x:f>
        <x:v>2</x:v>
      </x:c>
      <x:c r="AC30" s="2" t="n">
        <x:f>COUNTIF($A$2:$A$1921,A30)-1</x:f>
        <x:v>0</x:v>
      </x:c>
      <x:c r="AD30" s="2" t="n">
        <x:f>IF(AND(D30=D29,H30=H29,C30=C29+1),ABS(R30-T29),0)</x:f>
        <x:v>0</x:v>
      </x:c>
    </x:row>
    <x:row r="31" ht="23" customHeight="1">
      <x:c r="A31" s="2" t="str">
        <x:v>DEMO-101-1-10</x:v>
      </x:c>
      <x:c r="B31" s="15" t="d">
        <x:v>2026-07-06T00:00:00.000Z</x:v>
      </x:c>
      <x:c r="C31" s="2" t="n">
        <x:v>10</x:v>
      </x:c>
      <x:c r="D31" s="2" t="str">
        <x:v>DEMO-101</x:v>
      </x:c>
      <x:c r="E31" s="2" t="str">
        <x:v>Orbit Notebook</x:v>
      </x:c>
      <x:c r="F31" s="2" t="str">
        <x:v>Stationery</x:v>
      </x:c>
      <x:c r="G31" s="2" t="str">
        <x:v>Stores</x:v>
      </x:c>
      <x:c r="H31" s="2" t="str">
        <x:v>Riverside</x:v>
      </x:c>
      <x:c r="I31" s="2" t="n">
        <x:v>40</x:v>
      </x:c>
      <x:c r="J31" s="2" t="n">
        <x:v>1</x:v>
      </x:c>
      <x:c r="K31" s="2" t="n">
        <x:f>I31-J31</x:f>
        <x:v>39</x:v>
      </x:c>
      <x:c r="L31" s="16" t="n">
        <x:v>12</x:v>
      </x:c>
      <x:c r="M31" s="16" t="n">
        <x:v>12</x:v>
      </x:c>
      <x:c r="N31" s="16" t="n">
        <x:v>4.32</x:v>
      </x:c>
      <x:c r="O31" s="16" t="n">
        <x:f>K31*M31</x:f>
        <x:v>468</x:v>
      </x:c>
      <x:c r="P31" s="16" t="n">
        <x:f>K31*N31</x:f>
        <x:v>168.48000000000002</x:v>
      </x:c>
      <x:c r="Q31" s="16" t="n">
        <x:f>O31-P31</x:f>
        <x:v>299.52</x:v>
      </x:c>
      <x:c r="R31" s="2" t="n">
        <x:v>109</x:v>
      </x:c>
      <x:c r="S31" s="2" t="n">
        <x:v>0</x:v>
      </x:c>
      <x:c r="T31" s="2" t="n">
        <x:f>R31+S31+J31-I31</x:f>
        <x:v>70</x:v>
      </x:c>
      <x:c r="U31" s="2" t="n">
        <x:v>0</x:v>
      </x:c>
      <x:c r="V31" s="2" t="n">
        <x:v>2</x:v>
      </x:c>
      <x:c r="W31" s="2" t="n">
        <x:v>31</x:v>
      </x:c>
      <x:c r="X31" s="14" t="b">
        <x:v>0</x:v>
      </x:c>
      <x:c r="Y31" s="14" t="b">
        <x:v>0</x:v>
      </x:c>
      <x:c r="Z31" s="2" t="n">
        <x:f>ABS(T31-AA31)</x:f>
        <x:v>0</x:v>
      </x:c>
      <x:c r="AA31" s="2" t="n">
        <x:v>70</x:v>
      </x:c>
      <x:c r="AB31" s="2" t="n">
        <x:f>ABS(K31-W31)</x:f>
        <x:v>8</x:v>
      </x:c>
      <x:c r="AC31" s="2" t="n">
        <x:f>COUNTIF($A$2:$A$1921,A31)-1</x:f>
        <x:v>0</x:v>
      </x:c>
      <x:c r="AD31" s="2" t="n">
        <x:f>IF(AND(D31=D30,H31=H30,C31=C30+1),ABS(R31-T30),0)</x:f>
        <x:v>0</x:v>
      </x:c>
    </x:row>
    <x:row r="32" ht="23" customHeight="1">
      <x:c r="A32" s="2" t="str">
        <x:v>DEMO-101-1-11</x:v>
      </x:c>
      <x:c r="B32" s="15" t="d">
        <x:v>2026-07-13T00:00:00.000Z</x:v>
      </x:c>
      <x:c r="C32" s="2" t="n">
        <x:v>11</x:v>
      </x:c>
      <x:c r="D32" s="2" t="str">
        <x:v>DEMO-101</x:v>
      </x:c>
      <x:c r="E32" s="2" t="str">
        <x:v>Orbit Notebook</x:v>
      </x:c>
      <x:c r="F32" s="2" t="str">
        <x:v>Stationery</x:v>
      </x:c>
      <x:c r="G32" s="2" t="str">
        <x:v>Stores</x:v>
      </x:c>
      <x:c r="H32" s="2" t="str">
        <x:v>Riverside</x:v>
      </x:c>
      <x:c r="I32" s="2" t="n">
        <x:v>31</x:v>
      </x:c>
      <x:c r="J32" s="2" t="n">
        <x:v>0</x:v>
      </x:c>
      <x:c r="K32" s="2" t="n">
        <x:f>I32-J32</x:f>
        <x:v>31</x:v>
      </x:c>
      <x:c r="L32" s="16" t="n">
        <x:v>12</x:v>
      </x:c>
      <x:c r="M32" s="16" t="n">
        <x:v>12</x:v>
      </x:c>
      <x:c r="N32" s="16" t="n">
        <x:v>4.32</x:v>
      </x:c>
      <x:c r="O32" s="16" t="n">
        <x:f>K32*M32</x:f>
        <x:v>372</x:v>
      </x:c>
      <x:c r="P32" s="16" t="n">
        <x:f>K32*N32</x:f>
        <x:v>133.92000000000002</x:v>
      </x:c>
      <x:c r="Q32" s="16" t="n">
        <x:f>O32-P32</x:f>
        <x:v>238.07999999999998</x:v>
      </x:c>
      <x:c r="R32" s="2" t="n">
        <x:v>70</x:v>
      </x:c>
      <x:c r="S32" s="2" t="n">
        <x:v>0</x:v>
      </x:c>
      <x:c r="T32" s="2" t="n">
        <x:f>R32+S32+J32-I32</x:f>
        <x:v>39</x:v>
      </x:c>
      <x:c r="U32" s="2" t="n">
        <x:v>0</x:v>
      </x:c>
      <x:c r="V32" s="2" t="n">
        <x:v>2</x:v>
      </x:c>
      <x:c r="W32" s="2" t="n">
        <x:v>32</x:v>
      </x:c>
      <x:c r="X32" s="14" t="b">
        <x:v>0</x:v>
      </x:c>
      <x:c r="Y32" s="14" t="b">
        <x:v>0</x:v>
      </x:c>
      <x:c r="Z32" s="2" t="n">
        <x:f>ABS(T32-AA32)</x:f>
        <x:v>0</x:v>
      </x:c>
      <x:c r="AA32" s="2" t="n">
        <x:v>39</x:v>
      </x:c>
      <x:c r="AB32" s="2" t="n">
        <x:f>ABS(K32-W32)</x:f>
        <x:v>1</x:v>
      </x:c>
      <x:c r="AC32" s="2" t="n">
        <x:f>COUNTIF($A$2:$A$1921,A32)-1</x:f>
        <x:v>0</x:v>
      </x:c>
      <x:c r="AD32" s="2" t="n">
        <x:f>IF(AND(D32=D31,H32=H31,C32=C31+1),ABS(R32-T31),0)</x:f>
        <x:v>0</x:v>
      </x:c>
    </x:row>
    <x:row r="33" ht="23" customHeight="1">
      <x:c r="A33" s="2" t="str">
        <x:v>DEMO-101-1-12</x:v>
      </x:c>
      <x:c r="B33" s="15" t="d">
        <x:v>2026-07-20T00:00:00.000Z</x:v>
      </x:c>
      <x:c r="C33" s="2" t="n">
        <x:v>12</x:v>
      </x:c>
      <x:c r="D33" s="2" t="str">
        <x:v>DEMO-101</x:v>
      </x:c>
      <x:c r="E33" s="2" t="str">
        <x:v>Orbit Notebook</x:v>
      </x:c>
      <x:c r="F33" s="2" t="str">
        <x:v>Stationery</x:v>
      </x:c>
      <x:c r="G33" s="2" t="str">
        <x:v>Stores</x:v>
      </x:c>
      <x:c r="H33" s="2" t="str">
        <x:v>Riverside</x:v>
      </x:c>
      <x:c r="I33" s="2" t="n">
        <x:v>37</x:v>
      </x:c>
      <x:c r="J33" s="2" t="n">
        <x:v>0</x:v>
      </x:c>
      <x:c r="K33" s="2" t="n">
        <x:f>I33-J33</x:f>
        <x:v>37</x:v>
      </x:c>
      <x:c r="L33" s="16" t="n">
        <x:v>12</x:v>
      </x:c>
      <x:c r="M33" s="16" t="n">
        <x:v>12</x:v>
      </x:c>
      <x:c r="N33" s="16" t="n">
        <x:v>4.32</x:v>
      </x:c>
      <x:c r="O33" s="16" t="n">
        <x:f>K33*M33</x:f>
        <x:v>444</x:v>
      </x:c>
      <x:c r="P33" s="16" t="n">
        <x:f>K33*N33</x:f>
        <x:v>159.84</x:v>
      </x:c>
      <x:c r="Q33" s="16" t="n">
        <x:f>O33-P33</x:f>
        <x:v>284.15999999999997</x:v>
      </x:c>
      <x:c r="R33" s="2" t="n">
        <x:v>39</x:v>
      </x:c>
      <x:c r="S33" s="2" t="n">
        <x:v>0</x:v>
      </x:c>
      <x:c r="T33" s="2" t="n">
        <x:f>R33+S33+J33-I33</x:f>
        <x:v>2</x:v>
      </x:c>
      <x:c r="U33" s="2" t="n">
        <x:v>0</x:v>
      </x:c>
      <x:c r="V33" s="2" t="n">
        <x:v>2</x:v>
      </x:c>
      <x:c r="W33" s="2" t="n">
        <x:v>32</x:v>
      </x:c>
      <x:c r="X33" s="14" t="b">
        <x:v>0</x:v>
      </x:c>
      <x:c r="Y33" s="14" t="b">
        <x:v>0</x:v>
      </x:c>
      <x:c r="Z33" s="2" t="n">
        <x:f>ABS(T33-AA33)</x:f>
        <x:v>0</x:v>
      </x:c>
      <x:c r="AA33" s="2" t="n">
        <x:v>2</x:v>
      </x:c>
      <x:c r="AB33" s="2" t="n">
        <x:f>ABS(K33-W33)</x:f>
        <x:v>5</x:v>
      </x:c>
      <x:c r="AC33" s="2" t="n">
        <x:f>COUNTIF($A$2:$A$1921,A33)-1</x:f>
        <x:v>0</x:v>
      </x:c>
      <x:c r="AD33" s="2" t="n">
        <x:f>IF(AND(D33=D32,H33=H32,C33=C32+1),ABS(R33-T32),0)</x:f>
        <x:v>0</x:v>
      </x:c>
    </x:row>
    <x:row r="34" ht="23" customHeight="1">
      <x:c r="A34" s="2" t="str">
        <x:v>DEMO-101-1-13</x:v>
      </x:c>
      <x:c r="B34" s="15" t="d">
        <x:v>2026-07-27T00:00:00.000Z</x:v>
      </x:c>
      <x:c r="C34" s="2" t="n">
        <x:v>13</x:v>
      </x:c>
      <x:c r="D34" s="2" t="str">
        <x:v>DEMO-101</x:v>
      </x:c>
      <x:c r="E34" s="2" t="str">
        <x:v>Orbit Notebook</x:v>
      </x:c>
      <x:c r="F34" s="2" t="str">
        <x:v>Stationery</x:v>
      </x:c>
      <x:c r="G34" s="2" t="str">
        <x:v>Stores</x:v>
      </x:c>
      <x:c r="H34" s="2" t="str">
        <x:v>Riverside</x:v>
      </x:c>
      <x:c r="I34" s="2" t="n">
        <x:v>40</x:v>
      </x:c>
      <x:c r="J34" s="2" t="n">
        <x:v>0</x:v>
      </x:c>
      <x:c r="K34" s="2" t="n">
        <x:f>I34-J34</x:f>
        <x:v>40</x:v>
      </x:c>
      <x:c r="L34" s="16" t="n">
        <x:v>12</x:v>
      </x:c>
      <x:c r="M34" s="16" t="n">
        <x:v>12</x:v>
      </x:c>
      <x:c r="N34" s="16" t="n">
        <x:v>4.32</x:v>
      </x:c>
      <x:c r="O34" s="16" t="n">
        <x:f>K34*M34</x:f>
        <x:v>480</x:v>
      </x:c>
      <x:c r="P34" s="16" t="n">
        <x:f>K34*N34</x:f>
        <x:v>172.8</x:v>
      </x:c>
      <x:c r="Q34" s="16" t="n">
        <x:f>O34-P34</x:f>
        <x:v>307.2</x:v>
      </x:c>
      <x:c r="R34" s="2" t="n">
        <x:v>2</x:v>
      </x:c>
      <x:c r="S34" s="2" t="n">
        <x:v>90</x:v>
      </x:c>
      <x:c r="T34" s="2" t="n">
        <x:f>R34+S34+J34-I34</x:f>
        <x:v>52</x:v>
      </x:c>
      <x:c r="U34" s="2" t="n">
        <x:v>0</x:v>
      </x:c>
      <x:c r="V34" s="2" t="n">
        <x:v>2</x:v>
      </x:c>
      <x:c r="W34" s="2" t="n">
        <x:v>35</x:v>
      </x:c>
      <x:c r="X34" s="14" t="b">
        <x:v>0</x:v>
      </x:c>
      <x:c r="Y34" s="14" t="b">
        <x:v>0</x:v>
      </x:c>
      <x:c r="Z34" s="2" t="n">
        <x:f>ABS(T34-AA34)</x:f>
        <x:v>0</x:v>
      </x:c>
      <x:c r="AA34" s="2" t="n">
        <x:v>52</x:v>
      </x:c>
      <x:c r="AB34" s="2" t="n">
        <x:f>ABS(K34-W34)</x:f>
        <x:v>5</x:v>
      </x:c>
      <x:c r="AC34" s="2" t="n">
        <x:f>COUNTIF($A$2:$A$1921,A34)-1</x:f>
        <x:v>0</x:v>
      </x:c>
      <x:c r="AD34" s="2" t="n">
        <x:f>IF(AND(D34=D33,H34=H33,C34=C33+1),ABS(R34-T33),0)</x:f>
        <x:v>0</x:v>
      </x:c>
    </x:row>
    <x:row r="35" ht="23" customHeight="1">
      <x:c r="A35" s="2" t="str">
        <x:v>DEMO-101-1-14</x:v>
      </x:c>
      <x:c r="B35" s="15" t="d">
        <x:v>2026-08-03T00:00:00.000Z</x:v>
      </x:c>
      <x:c r="C35" s="2" t="n">
        <x:v>14</x:v>
      </x:c>
      <x:c r="D35" s="2" t="str">
        <x:v>DEMO-101</x:v>
      </x:c>
      <x:c r="E35" s="2" t="str">
        <x:v>Orbit Notebook</x:v>
      </x:c>
      <x:c r="F35" s="2" t="str">
        <x:v>Stationery</x:v>
      </x:c>
      <x:c r="G35" s="2" t="str">
        <x:v>Stores</x:v>
      </x:c>
      <x:c r="H35" s="2" t="str">
        <x:v>Riverside</x:v>
      </x:c>
      <x:c r="I35" s="2" t="n">
        <x:v>43</x:v>
      </x:c>
      <x:c r="J35" s="2" t="n">
        <x:v>0</x:v>
      </x:c>
      <x:c r="K35" s="2" t="n">
        <x:f>I35-J35</x:f>
        <x:v>43</x:v>
      </x:c>
      <x:c r="L35" s="16" t="n">
        <x:v>12</x:v>
      </x:c>
      <x:c r="M35" s="16" t="n">
        <x:v>12</x:v>
      </x:c>
      <x:c r="N35" s="16" t="n">
        <x:v>4.32</x:v>
      </x:c>
      <x:c r="O35" s="16" t="n">
        <x:f>K35*M35</x:f>
        <x:v>516</x:v>
      </x:c>
      <x:c r="P35" s="16" t="n">
        <x:f>K35*N35</x:f>
        <x:v>185.76000000000002</x:v>
      </x:c>
      <x:c r="Q35" s="16" t="n">
        <x:f>O35-P35</x:f>
        <x:v>330.24</x:v>
      </x:c>
      <x:c r="R35" s="2" t="n">
        <x:v>52</x:v>
      </x:c>
      <x:c r="S35" s="2" t="n">
        <x:v>0</x:v>
      </x:c>
      <x:c r="T35" s="2" t="n">
        <x:f>R35+S35+J35-I35</x:f>
        <x:v>9</x:v>
      </x:c>
      <x:c r="U35" s="2" t="n">
        <x:v>0</x:v>
      </x:c>
      <x:c r="V35" s="2" t="n">
        <x:v>2</x:v>
      </x:c>
      <x:c r="W35" s="2" t="n">
        <x:v>37</x:v>
      </x:c>
      <x:c r="X35" s="14" t="b">
        <x:v>0</x:v>
      </x:c>
      <x:c r="Y35" s="14" t="b">
        <x:v>0</x:v>
      </x:c>
      <x:c r="Z35" s="2" t="n">
        <x:f>ABS(T35-AA35)</x:f>
        <x:v>0</x:v>
      </x:c>
      <x:c r="AA35" s="2" t="n">
        <x:v>9</x:v>
      </x:c>
      <x:c r="AB35" s="2" t="n">
        <x:f>ABS(K35-W35)</x:f>
        <x:v>6</x:v>
      </x:c>
      <x:c r="AC35" s="2" t="n">
        <x:f>COUNTIF($A$2:$A$1921,A35)-1</x:f>
        <x:v>0</x:v>
      </x:c>
      <x:c r="AD35" s="2" t="n">
        <x:f>IF(AND(D35=D34,H35=H34,C35=C34+1),ABS(R35-T34),0)</x:f>
        <x:v>0</x:v>
      </x:c>
    </x:row>
    <x:row r="36" ht="23" customHeight="1">
      <x:c r="A36" s="2" t="str">
        <x:v>DEMO-101-1-15</x:v>
      </x:c>
      <x:c r="B36" s="15" t="d">
        <x:v>2026-08-10T00:00:00.000Z</x:v>
      </x:c>
      <x:c r="C36" s="2" t="n">
        <x:v>15</x:v>
      </x:c>
      <x:c r="D36" s="2" t="str">
        <x:v>DEMO-101</x:v>
      </x:c>
      <x:c r="E36" s="2" t="str">
        <x:v>Orbit Notebook</x:v>
      </x:c>
      <x:c r="F36" s="2" t="str">
        <x:v>Stationery</x:v>
      </x:c>
      <x:c r="G36" s="2" t="str">
        <x:v>Stores</x:v>
      </x:c>
      <x:c r="H36" s="2" t="str">
        <x:v>Riverside</x:v>
      </x:c>
      <x:c r="I36" s="2" t="n">
        <x:v>9</x:v>
      </x:c>
      <x:c r="J36" s="2" t="n">
        <x:v>0</x:v>
      </x:c>
      <x:c r="K36" s="2" t="n">
        <x:f>I36-J36</x:f>
        <x:v>9</x:v>
      </x:c>
      <x:c r="L36" s="16" t="n">
        <x:v>12</x:v>
      </x:c>
      <x:c r="M36" s="16" t="n">
        <x:v>12</x:v>
      </x:c>
      <x:c r="N36" s="16" t="n">
        <x:v>4.32</x:v>
      </x:c>
      <x:c r="O36" s="16" t="n">
        <x:f>K36*M36</x:f>
        <x:v>108</x:v>
      </x:c>
      <x:c r="P36" s="16" t="n">
        <x:f>K36*N36</x:f>
        <x:v>38.88</x:v>
      </x:c>
      <x:c r="Q36" s="16" t="n">
        <x:f>O36-P36</x:f>
        <x:v>69.12</x:v>
      </x:c>
      <x:c r="R36" s="2" t="n">
        <x:v>9</x:v>
      </x:c>
      <x:c r="S36" s="2" t="n">
        <x:v>0</x:v>
      </x:c>
      <x:c r="T36" s="2" t="n">
        <x:f>R36+S36+J36-I36</x:f>
        <x:v>0</x:v>
      </x:c>
      <x:c r="U36" s="2" t="n">
        <x:v>0</x:v>
      </x:c>
      <x:c r="V36" s="2" t="n">
        <x:v>2</x:v>
      </x:c>
      <x:c r="W36" s="2" t="n">
        <x:v>38</x:v>
      </x:c>
      <x:c r="X36" s="14" t="b">
        <x:v>0</x:v>
      </x:c>
      <x:c r="Y36" s="14" t="b">
        <x:v>0</x:v>
      </x:c>
      <x:c r="Z36" s="2" t="n">
        <x:f>ABS(T36-AA36)</x:f>
        <x:v>0</x:v>
      </x:c>
      <x:c r="AA36" s="2" t="n">
        <x:v>0</x:v>
      </x:c>
      <x:c r="AB36" s="2" t="n">
        <x:f>ABS(K36-W36)</x:f>
        <x:v>29</x:v>
      </x:c>
      <x:c r="AC36" s="2" t="n">
        <x:f>COUNTIF($A$2:$A$1921,A36)-1</x:f>
        <x:v>0</x:v>
      </x:c>
      <x:c r="AD36" s="2" t="n">
        <x:f>IF(AND(D36=D35,H36=H35,C36=C35+1),ABS(R36-T35),0)</x:f>
        <x:v>0</x:v>
      </x:c>
    </x:row>
    <x:row r="37" ht="23" customHeight="1">
      <x:c r="A37" s="2" t="str">
        <x:v>DEMO-101-1-16</x:v>
      </x:c>
      <x:c r="B37" s="15" t="d">
        <x:v>2026-08-17T00:00:00.000Z</x:v>
      </x:c>
      <x:c r="C37" s="2" t="n">
        <x:v>16</x:v>
      </x:c>
      <x:c r="D37" s="2" t="str">
        <x:v>DEMO-101</x:v>
      </x:c>
      <x:c r="E37" s="2" t="str">
        <x:v>Orbit Notebook</x:v>
      </x:c>
      <x:c r="F37" s="2" t="str">
        <x:v>Stationery</x:v>
      </x:c>
      <x:c r="G37" s="2" t="str">
        <x:v>Stores</x:v>
      </x:c>
      <x:c r="H37" s="2" t="str">
        <x:v>Riverside</x:v>
      </x:c>
      <x:c r="I37" s="2" t="n">
        <x:v>0</x:v>
      </x:c>
      <x:c r="J37" s="2" t="n">
        <x:v>0</x:v>
      </x:c>
      <x:c r="K37" s="2" t="n">
        <x:f>I37-J37</x:f>
        <x:v>0</x:v>
      </x:c>
      <x:c r="L37" s="16" t="n">
        <x:v>12</x:v>
      </x:c>
      <x:c r="M37" s="16" t="n">
        <x:v>12</x:v>
      </x:c>
      <x:c r="N37" s="16" t="n">
        <x:v>4.32</x:v>
      </x:c>
      <x:c r="O37" s="16" t="n">
        <x:f>K37*M37</x:f>
        <x:v>0</x:v>
      </x:c>
      <x:c r="P37" s="16" t="n">
        <x:f>K37*N37</x:f>
        <x:v>0</x:v>
      </x:c>
      <x:c r="Q37" s="16" t="n">
        <x:f>O37-P37</x:f>
        <x:v>0</x:v>
      </x:c>
      <x:c r="R37" s="2" t="n">
        <x:v>0</x:v>
      </x:c>
      <x:c r="S37" s="2" t="n">
        <x:v>0</x:v>
      </x:c>
      <x:c r="T37" s="2" t="n">
        <x:f>R37+S37+J37-I37</x:f>
        <x:v>0</x:v>
      </x:c>
      <x:c r="U37" s="2" t="n">
        <x:v>0</x:v>
      </x:c>
      <x:c r="V37" s="2" t="n">
        <x:v>2</x:v>
      </x:c>
      <x:c r="W37" s="2" t="n">
        <x:v>32</x:v>
      </x:c>
      <x:c r="X37" s="14" t="b">
        <x:v>0</x:v>
      </x:c>
      <x:c r="Y37" s="14" t="b">
        <x:v>0</x:v>
      </x:c>
      <x:c r="Z37" s="2" t="n">
        <x:f>ABS(T37-AA37)</x:f>
        <x:v>0</x:v>
      </x:c>
      <x:c r="AA37" s="2" t="n">
        <x:v>0</x:v>
      </x:c>
      <x:c r="AB37" s="2" t="n">
        <x:f>ABS(K37-W37)</x:f>
        <x:v>32</x:v>
      </x:c>
      <x:c r="AC37" s="2" t="n">
        <x:f>COUNTIF($A$2:$A$1921,A37)-1</x:f>
        <x:v>0</x:v>
      </x:c>
      <x:c r="AD37" s="2" t="n">
        <x:f>IF(AND(D37=D36,H37=H36,C37=C36+1),ABS(R37-T36),0)</x:f>
        <x:v>0</x:v>
      </x:c>
    </x:row>
    <x:row r="38" ht="23" customHeight="1">
      <x:c r="A38" s="2" t="str">
        <x:v>DEMO-101-1-17</x:v>
      </x:c>
      <x:c r="B38" s="15" t="d">
        <x:v>2026-08-24T00:00:00.000Z</x:v>
      </x:c>
      <x:c r="C38" s="2" t="n">
        <x:v>17</x:v>
      </x:c>
      <x:c r="D38" s="2" t="str">
        <x:v>DEMO-101</x:v>
      </x:c>
      <x:c r="E38" s="2" t="str">
        <x:v>Orbit Notebook</x:v>
      </x:c>
      <x:c r="F38" s="2" t="str">
        <x:v>Stationery</x:v>
      </x:c>
      <x:c r="G38" s="2" t="str">
        <x:v>Stores</x:v>
      </x:c>
      <x:c r="H38" s="2" t="str">
        <x:v>Riverside</x:v>
      </x:c>
      <x:c r="I38" s="2" t="n">
        <x:v>35</x:v>
      </x:c>
      <x:c r="J38" s="2" t="n">
        <x:v>0</x:v>
      </x:c>
      <x:c r="K38" s="2" t="n">
        <x:f>I38-J38</x:f>
        <x:v>35</x:v>
      </x:c>
      <x:c r="L38" s="16" t="n">
        <x:v>12</x:v>
      </x:c>
      <x:c r="M38" s="16" t="n">
        <x:v>12</x:v>
      </x:c>
      <x:c r="N38" s="16" t="n">
        <x:v>4.32</x:v>
      </x:c>
      <x:c r="O38" s="16" t="n">
        <x:f>K38*M38</x:f>
        <x:v>420</x:v>
      </x:c>
      <x:c r="P38" s="16" t="n">
        <x:f>K38*N38</x:f>
        <x:v>151.20000000000002</x:v>
      </x:c>
      <x:c r="Q38" s="16" t="n">
        <x:f>O38-P38</x:f>
        <x:v>268.79999999999995</x:v>
      </x:c>
      <x:c r="R38" s="2" t="n">
        <x:v>0</x:v>
      </x:c>
      <x:c r="S38" s="2" t="n">
        <x:v>35</x:v>
      </x:c>
      <x:c r="T38" s="2" t="n">
        <x:f>R38+S38+J38-I38</x:f>
        <x:v>0</x:v>
      </x:c>
      <x:c r="U38" s="2" t="n">
        <x:v>0</x:v>
      </x:c>
      <x:c r="V38" s="2" t="n">
        <x:v>4</x:v>
      </x:c>
      <x:c r="W38" s="2" t="n">
        <x:v>23</x:v>
      </x:c>
      <x:c r="X38" s="14" t="b">
        <x:v>0</x:v>
      </x:c>
      <x:c r="Y38" s="14" t="b">
        <x:v>0</x:v>
      </x:c>
      <x:c r="Z38" s="2" t="n">
        <x:f>ABS(T38-AA38)</x:f>
        <x:v>0</x:v>
      </x:c>
      <x:c r="AA38" s="2" t="n">
        <x:v>0</x:v>
      </x:c>
      <x:c r="AB38" s="2" t="n">
        <x:f>ABS(K38-W38)</x:f>
        <x:v>12</x:v>
      </x:c>
      <x:c r="AC38" s="2" t="n">
        <x:f>COUNTIF($A$2:$A$1921,A38)-1</x:f>
        <x:v>0</x:v>
      </x:c>
      <x:c r="AD38" s="2" t="n">
        <x:f>IF(AND(D38=D37,H38=H37,C38=C37+1),ABS(R38-T37),0)</x:f>
        <x:v>0</x:v>
      </x:c>
    </x:row>
    <x:row r="39" ht="23" customHeight="1">
      <x:c r="A39" s="2" t="str">
        <x:v>DEMO-101-1-18</x:v>
      </x:c>
      <x:c r="B39" s="15" t="d">
        <x:v>2026-08-31T00:00:00.000Z</x:v>
      </x:c>
      <x:c r="C39" s="2" t="n">
        <x:v>18</x:v>
      </x:c>
      <x:c r="D39" s="2" t="str">
        <x:v>DEMO-101</x:v>
      </x:c>
      <x:c r="E39" s="2" t="str">
        <x:v>Orbit Notebook</x:v>
      </x:c>
      <x:c r="F39" s="2" t="str">
        <x:v>Stationery</x:v>
      </x:c>
      <x:c r="G39" s="2" t="str">
        <x:v>Stores</x:v>
      </x:c>
      <x:c r="H39" s="2" t="str">
        <x:v>Riverside</x:v>
      </x:c>
      <x:c r="I39" s="2" t="n">
        <x:v>0</x:v>
      </x:c>
      <x:c r="J39" s="2" t="n">
        <x:v>0</x:v>
      </x:c>
      <x:c r="K39" s="2" t="n">
        <x:f>I39-J39</x:f>
        <x:v>0</x:v>
      </x:c>
      <x:c r="L39" s="16" t="n">
        <x:v>12</x:v>
      </x:c>
      <x:c r="M39" s="16" t="n">
        <x:v>12</x:v>
      </x:c>
      <x:c r="N39" s="16" t="n">
        <x:v>4.32</x:v>
      </x:c>
      <x:c r="O39" s="16" t="n">
        <x:f>K39*M39</x:f>
        <x:v>0</x:v>
      </x:c>
      <x:c r="P39" s="16" t="n">
        <x:f>K39*N39</x:f>
        <x:v>0</x:v>
      </x:c>
      <x:c r="Q39" s="16" t="n">
        <x:f>O39-P39</x:f>
        <x:v>0</x:v>
      </x:c>
      <x:c r="R39" s="2" t="n">
        <x:v>0</x:v>
      </x:c>
      <x:c r="S39" s="2" t="n">
        <x:v>0</x:v>
      </x:c>
      <x:c r="T39" s="2" t="n">
        <x:f>R39+S39+J39-I39</x:f>
        <x:v>0</x:v>
      </x:c>
      <x:c r="U39" s="2" t="n">
        <x:v>0</x:v>
      </x:c>
      <x:c r="V39" s="2" t="n">
        <x:v>4</x:v>
      </x:c>
      <x:c r="W39" s="2" t="n">
        <x:v>22</x:v>
      </x:c>
      <x:c r="X39" s="14" t="b">
        <x:v>0</x:v>
      </x:c>
      <x:c r="Y39" s="14" t="b">
        <x:v>0</x:v>
      </x:c>
      <x:c r="Z39" s="2" t="n">
        <x:f>ABS(T39-AA39)</x:f>
        <x:v>0</x:v>
      </x:c>
      <x:c r="AA39" s="2" t="n">
        <x:v>0</x:v>
      </x:c>
      <x:c r="AB39" s="2" t="n">
        <x:f>ABS(K39-W39)</x:f>
        <x:v>22</x:v>
      </x:c>
      <x:c r="AC39" s="2" t="n">
        <x:f>COUNTIF($A$2:$A$1921,A39)-1</x:f>
        <x:v>0</x:v>
      </x:c>
      <x:c r="AD39" s="2" t="n">
        <x:f>IF(AND(D39=D38,H39=H38,C39=C38+1),ABS(R39-T38),0)</x:f>
        <x:v>0</x:v>
      </x:c>
    </x:row>
    <x:row r="40" ht="23" customHeight="1">
      <x:c r="A40" s="2" t="str">
        <x:v>DEMO-101-1-19</x:v>
      </x:c>
      <x:c r="B40" s="15" t="d">
        <x:v>2026-09-07T00:00:00.000Z</x:v>
      </x:c>
      <x:c r="C40" s="2" t="n">
        <x:v>19</x:v>
      </x:c>
      <x:c r="D40" s="2" t="str">
        <x:v>DEMO-101</x:v>
      </x:c>
      <x:c r="E40" s="2" t="str">
        <x:v>Orbit Notebook</x:v>
      </x:c>
      <x:c r="F40" s="2" t="str">
        <x:v>Stationery</x:v>
      </x:c>
      <x:c r="G40" s="2" t="str">
        <x:v>Stores</x:v>
      </x:c>
      <x:c r="H40" s="2" t="str">
        <x:v>Riverside</x:v>
      </x:c>
      <x:c r="I40" s="2" t="n">
        <x:v>0</x:v>
      </x:c>
      <x:c r="J40" s="2" t="n">
        <x:v>0</x:v>
      </x:c>
      <x:c r="K40" s="2" t="n">
        <x:f>I40-J40</x:f>
        <x:v>0</x:v>
      </x:c>
      <x:c r="L40" s="16" t="n">
        <x:v>12</x:v>
      </x:c>
      <x:c r="M40" s="16" t="n">
        <x:v>12</x:v>
      </x:c>
      <x:c r="N40" s="16" t="n">
        <x:v>4.32</x:v>
      </x:c>
      <x:c r="O40" s="16" t="n">
        <x:f>K40*M40</x:f>
        <x:v>0</x:v>
      </x:c>
      <x:c r="P40" s="16" t="n">
        <x:f>K40*N40</x:f>
        <x:v>0</x:v>
      </x:c>
      <x:c r="Q40" s="16" t="n">
        <x:f>O40-P40</x:f>
        <x:v>0</x:v>
      </x:c>
      <x:c r="R40" s="2" t="n">
        <x:v>0</x:v>
      </x:c>
      <x:c r="S40" s="2" t="n">
        <x:v>0</x:v>
      </x:c>
      <x:c r="T40" s="2" t="n">
        <x:f>R40+S40+J40-I40</x:f>
        <x:v>0</x:v>
      </x:c>
      <x:c r="U40" s="2" t="n">
        <x:v>0</x:v>
      </x:c>
      <x:c r="V40" s="2" t="n">
        <x:v>4</x:v>
      </x:c>
      <x:c r="W40" s="2" t="n">
        <x:v>11</x:v>
      </x:c>
      <x:c r="X40" s="14" t="b">
        <x:v>0</x:v>
      </x:c>
      <x:c r="Y40" s="14" t="b">
        <x:v>0</x:v>
      </x:c>
      <x:c r="Z40" s="2" t="n">
        <x:f>ABS(T40-AA40)</x:f>
        <x:v>0</x:v>
      </x:c>
      <x:c r="AA40" s="2" t="n">
        <x:v>0</x:v>
      </x:c>
      <x:c r="AB40" s="2" t="n">
        <x:f>ABS(K40-W40)</x:f>
        <x:v>11</x:v>
      </x:c>
      <x:c r="AC40" s="2" t="n">
        <x:f>COUNTIF($A$2:$A$1921,A40)-1</x:f>
        <x:v>0</x:v>
      </x:c>
      <x:c r="AD40" s="2" t="n">
        <x:f>IF(AND(D40=D39,H40=H39,C40=C39+1),ABS(R40-T39),0)</x:f>
        <x:v>0</x:v>
      </x:c>
    </x:row>
    <x:row r="41" ht="23" customHeight="1">
      <x:c r="A41" s="2" t="str">
        <x:v>DEMO-101-1-20</x:v>
      </x:c>
      <x:c r="B41" s="15" t="d">
        <x:v>2026-09-14T00:00:00.000Z</x:v>
      </x:c>
      <x:c r="C41" s="2" t="n">
        <x:v>20</x:v>
      </x:c>
      <x:c r="D41" s="2" t="str">
        <x:v>DEMO-101</x:v>
      </x:c>
      <x:c r="E41" s="2" t="str">
        <x:v>Orbit Notebook</x:v>
      </x:c>
      <x:c r="F41" s="2" t="str">
        <x:v>Stationery</x:v>
      </x:c>
      <x:c r="G41" s="2" t="str">
        <x:v>Stores</x:v>
      </x:c>
      <x:c r="H41" s="2" t="str">
        <x:v>Riverside</x:v>
      </x:c>
      <x:c r="I41" s="2" t="n">
        <x:v>0</x:v>
      </x:c>
      <x:c r="J41" s="2" t="n">
        <x:v>0</x:v>
      </x:c>
      <x:c r="K41" s="2" t="n">
        <x:f>I41-J41</x:f>
        <x:v>0</x:v>
      </x:c>
      <x:c r="L41" s="16" t="n">
        <x:v>12</x:v>
      </x:c>
      <x:c r="M41" s="16" t="n">
        <x:v>12</x:v>
      </x:c>
      <x:c r="N41" s="16" t="n">
        <x:v>4.32</x:v>
      </x:c>
      <x:c r="O41" s="16" t="n">
        <x:f>K41*M41</x:f>
        <x:v>0</x:v>
      </x:c>
      <x:c r="P41" s="16" t="n">
        <x:f>K41*N41</x:f>
        <x:v>0</x:v>
      </x:c>
      <x:c r="Q41" s="16" t="n">
        <x:f>O41-P41</x:f>
        <x:v>0</x:v>
      </x:c>
      <x:c r="R41" s="2" t="n">
        <x:v>0</x:v>
      </x:c>
      <x:c r="S41" s="2" t="n">
        <x:v>0</x:v>
      </x:c>
      <x:c r="T41" s="2" t="n">
        <x:f>R41+S41+J41-I41</x:f>
        <x:v>0</x:v>
      </x:c>
      <x:c r="U41" s="2" t="n">
        <x:v>6</x:v>
      </x:c>
      <x:c r="V41" s="2" t="n">
        <x:v>4</x:v>
      </x:c>
      <x:c r="W41" s="2" t="n">
        <x:v>9</x:v>
      </x:c>
      <x:c r="X41" s="14" t="b">
        <x:v>0</x:v>
      </x:c>
      <x:c r="Y41" s="14" t="b">
        <x:v>0</x:v>
      </x:c>
      <x:c r="Z41" s="2" t="n">
        <x:f>ABS(T41-AA41)</x:f>
        <x:v>0</x:v>
      </x:c>
      <x:c r="AA41" s="2" t="n">
        <x:v>0</x:v>
      </x:c>
      <x:c r="AB41" s="2" t="n">
        <x:f>ABS(K41-W41)</x:f>
        <x:v>9</x:v>
      </x:c>
      <x:c r="AC41" s="2" t="n">
        <x:f>COUNTIF($A$2:$A$1921,A41)-1</x:f>
        <x:v>0</x:v>
      </x:c>
      <x:c r="AD41" s="2" t="n">
        <x:f>IF(AND(D41=D40,H41=H40,C41=C40+1),ABS(R41-T40),0)</x:f>
        <x:v>0</x:v>
      </x:c>
    </x:row>
    <x:row r="42" ht="23" customHeight="1">
      <x:c r="A42" s="2" t="str">
        <x:v>DEMO-101-2-1</x:v>
      </x:c>
      <x:c r="B42" s="15" t="d">
        <x:v>2026-05-04T00:00:00.000Z</x:v>
      </x:c>
      <x:c r="C42" s="2" t="n">
        <x:v>1</x:v>
      </x:c>
      <x:c r="D42" s="2" t="str">
        <x:v>DEMO-101</x:v>
      </x:c>
      <x:c r="E42" s="2" t="str">
        <x:v>Orbit Notebook</x:v>
      </x:c>
      <x:c r="F42" s="2" t="str">
        <x:v>Stationery</x:v>
      </x:c>
      <x:c r="G42" s="2" t="str">
        <x:v>Stores</x:v>
      </x:c>
      <x:c r="H42" s="2" t="str">
        <x:v>Central Market</x:v>
      </x:c>
      <x:c r="I42" s="2" t="n">
        <x:v>23</x:v>
      </x:c>
      <x:c r="J42" s="2" t="n">
        <x:v>0</x:v>
      </x:c>
      <x:c r="K42" s="2" t="n">
        <x:f>I42-J42</x:f>
        <x:v>23</x:v>
      </x:c>
      <x:c r="L42" s="16" t="n">
        <x:v>12</x:v>
      </x:c>
      <x:c r="M42" s="16" t="n">
        <x:v>12</x:v>
      </x:c>
      <x:c r="N42" s="16" t="n">
        <x:v>4.32</x:v>
      </x:c>
      <x:c r="O42" s="16" t="n">
        <x:f>K42*M42</x:f>
        <x:v>276</x:v>
      </x:c>
      <x:c r="P42" s="16" t="n">
        <x:f>K42*N42</x:f>
        <x:v>99.36000000000001</x:v>
      </x:c>
      <x:c r="Q42" s="16" t="n">
        <x:f>O42-P42</x:f>
        <x:v>176.64</x:v>
      </x:c>
      <x:c r="R42" s="2" t="n">
        <x:v>90</x:v>
      </x:c>
      <x:c r="S42" s="2" t="n">
        <x:v>90</x:v>
      </x:c>
      <x:c r="T42" s="2" t="n">
        <x:f>R42+S42+J42-I42</x:f>
        <x:v>157</x:v>
      </x:c>
      <x:c r="U42" s="2" t="n">
        <x:v>0</x:v>
      </x:c>
      <x:c r="V42" s="2" t="n">
        <x:v>2</x:v>
      </x:c>
      <x:c r="W42" s="2" t="n">
        <x:v>25</x:v>
      </x:c>
      <x:c r="X42" s="14" t="b">
        <x:v>0</x:v>
      </x:c>
      <x:c r="Y42" s="14" t="b">
        <x:v>0</x:v>
      </x:c>
      <x:c r="Z42" s="2" t="n">
        <x:f>ABS(T42-AA42)</x:f>
        <x:v>0</x:v>
      </x:c>
      <x:c r="AA42" s="2" t="n">
        <x:v>157</x:v>
      </x:c>
      <x:c r="AB42" s="2" t="n">
        <x:f>ABS(K42-W42)</x:f>
        <x:v>2</x:v>
      </x:c>
      <x:c r="AC42" s="2" t="n">
        <x:f>COUNTIF($A$2:$A$1921,A42)-1</x:f>
        <x:v>0</x:v>
      </x:c>
      <x:c r="AD42" s="2" t="n">
        <x:f>IF(AND(D42=D41,H42=H41,C42=C41+1),ABS(R42-T41),0)</x:f>
        <x:v>0</x:v>
      </x:c>
    </x:row>
    <x:row r="43" ht="23" customHeight="1">
      <x:c r="A43" s="2" t="str">
        <x:v>DEMO-101-2-2</x:v>
      </x:c>
      <x:c r="B43" s="15" t="d">
        <x:v>2026-05-11T00:00:00.000Z</x:v>
      </x:c>
      <x:c r="C43" s="2" t="n">
        <x:v>2</x:v>
      </x:c>
      <x:c r="D43" s="2" t="str">
        <x:v>DEMO-101</x:v>
      </x:c>
      <x:c r="E43" s="2" t="str">
        <x:v>Orbit Notebook</x:v>
      </x:c>
      <x:c r="F43" s="2" t="str">
        <x:v>Stationery</x:v>
      </x:c>
      <x:c r="G43" s="2" t="str">
        <x:v>Stores</x:v>
      </x:c>
      <x:c r="H43" s="2" t="str">
        <x:v>Central Market</x:v>
      </x:c>
      <x:c r="I43" s="2" t="n">
        <x:v>22</x:v>
      </x:c>
      <x:c r="J43" s="2" t="n">
        <x:v>0</x:v>
      </x:c>
      <x:c r="K43" s="2" t="n">
        <x:f>I43-J43</x:f>
        <x:v>22</x:v>
      </x:c>
      <x:c r="L43" s="16" t="n">
        <x:v>12</x:v>
      </x:c>
      <x:c r="M43" s="16" t="n">
        <x:v>12</x:v>
      </x:c>
      <x:c r="N43" s="16" t="n">
        <x:v>4.32</x:v>
      </x:c>
      <x:c r="O43" s="16" t="n">
        <x:f>K43*M43</x:f>
        <x:v>264</x:v>
      </x:c>
      <x:c r="P43" s="16" t="n">
        <x:f>K43*N43</x:f>
        <x:v>95.04</x:v>
      </x:c>
      <x:c r="Q43" s="16" t="n">
        <x:f>O43-P43</x:f>
        <x:v>168.95999999999998</x:v>
      </x:c>
      <x:c r="R43" s="2" t="n">
        <x:v>157</x:v>
      </x:c>
      <x:c r="S43" s="2" t="n">
        <x:v>0</x:v>
      </x:c>
      <x:c r="T43" s="2" t="n">
        <x:f>R43+S43+J43-I43</x:f>
        <x:v>135</x:v>
      </x:c>
      <x:c r="U43" s="2" t="n">
        <x:v>0</x:v>
      </x:c>
      <x:c r="V43" s="2" t="n">
        <x:v>2</x:v>
      </x:c>
      <x:c r="W43" s="2" t="n">
        <x:v>23</x:v>
      </x:c>
      <x:c r="X43" s="14" t="b">
        <x:v>0</x:v>
      </x:c>
      <x:c r="Y43" s="14" t="b">
        <x:v>0</x:v>
      </x:c>
      <x:c r="Z43" s="2" t="n">
        <x:f>ABS(T43-AA43)</x:f>
        <x:v>0</x:v>
      </x:c>
      <x:c r="AA43" s="2" t="n">
        <x:v>135</x:v>
      </x:c>
      <x:c r="AB43" s="2" t="n">
        <x:f>ABS(K43-W43)</x:f>
        <x:v>1</x:v>
      </x:c>
      <x:c r="AC43" s="2" t="n">
        <x:f>COUNTIF($A$2:$A$1921,A43)-1</x:f>
        <x:v>0</x:v>
      </x:c>
      <x:c r="AD43" s="2" t="n">
        <x:f>IF(AND(D43=D42,H43=H42,C43=C42+1),ABS(R43-T42),0)</x:f>
        <x:v>0</x:v>
      </x:c>
    </x:row>
    <x:row r="44" ht="23" customHeight="1">
      <x:c r="A44" s="2" t="str">
        <x:v>DEMO-101-2-3</x:v>
      </x:c>
      <x:c r="B44" s="15" t="d">
        <x:v>2026-05-18T00:00:00.000Z</x:v>
      </x:c>
      <x:c r="C44" s="2" t="n">
        <x:v>3</x:v>
      </x:c>
      <x:c r="D44" s="2" t="str">
        <x:v>DEMO-101</x:v>
      </x:c>
      <x:c r="E44" s="2" t="str">
        <x:v>Orbit Notebook</x:v>
      </x:c>
      <x:c r="F44" s="2" t="str">
        <x:v>Stationery</x:v>
      </x:c>
      <x:c r="G44" s="2" t="str">
        <x:v>Stores</x:v>
      </x:c>
      <x:c r="H44" s="2" t="str">
        <x:v>Central Market</x:v>
      </x:c>
      <x:c r="I44" s="2" t="n">
        <x:v>33</x:v>
      </x:c>
      <x:c r="J44" s="2" t="n">
        <x:v>1</x:v>
      </x:c>
      <x:c r="K44" s="2" t="n">
        <x:f>I44-J44</x:f>
        <x:v>32</x:v>
      </x:c>
      <x:c r="L44" s="16" t="n">
        <x:v>12</x:v>
      </x:c>
      <x:c r="M44" s="16" t="n">
        <x:v>12</x:v>
      </x:c>
      <x:c r="N44" s="16" t="n">
        <x:v>4.32</x:v>
      </x:c>
      <x:c r="O44" s="16" t="n">
        <x:f>K44*M44</x:f>
        <x:v>384</x:v>
      </x:c>
      <x:c r="P44" s="16" t="n">
        <x:f>K44*N44</x:f>
        <x:v>138.24</x:v>
      </x:c>
      <x:c r="Q44" s="16" t="n">
        <x:f>O44-P44</x:f>
        <x:v>245.76</x:v>
      </x:c>
      <x:c r="R44" s="2" t="n">
        <x:v>135</x:v>
      </x:c>
      <x:c r="S44" s="2" t="n">
        <x:v>0</x:v>
      </x:c>
      <x:c r="T44" s="2" t="n">
        <x:f>R44+S44+J44-I44</x:f>
        <x:v>103</x:v>
      </x:c>
      <x:c r="U44" s="2" t="n">
        <x:v>0</x:v>
      </x:c>
      <x:c r="V44" s="2" t="n">
        <x:v>2</x:v>
      </x:c>
      <x:c r="W44" s="2" t="n">
        <x:v>23</x:v>
      </x:c>
      <x:c r="X44" s="14" t="b">
        <x:v>0</x:v>
      </x:c>
      <x:c r="Y44" s="14" t="b">
        <x:v>0</x:v>
      </x:c>
      <x:c r="Z44" s="2" t="n">
        <x:f>ABS(T44-AA44)</x:f>
        <x:v>0</x:v>
      </x:c>
      <x:c r="AA44" s="2" t="n">
        <x:v>103</x:v>
      </x:c>
      <x:c r="AB44" s="2" t="n">
        <x:f>ABS(K44-W44)</x:f>
        <x:v>9</x:v>
      </x:c>
      <x:c r="AC44" s="2" t="n">
        <x:f>COUNTIF($A$2:$A$1921,A44)-1</x:f>
        <x:v>0</x:v>
      </x:c>
      <x:c r="AD44" s="2" t="n">
        <x:f>IF(AND(D44=D43,H44=H43,C44=C43+1),ABS(R44-T43),0)</x:f>
        <x:v>0</x:v>
      </x:c>
    </x:row>
    <x:row r="45" ht="23" customHeight="1">
      <x:c r="A45" s="2" t="str">
        <x:v>DEMO-101-2-4</x:v>
      </x:c>
      <x:c r="B45" s="15" t="d">
        <x:v>2026-05-25T00:00:00.000Z</x:v>
      </x:c>
      <x:c r="C45" s="2" t="n">
        <x:v>4</x:v>
      </x:c>
      <x:c r="D45" s="2" t="str">
        <x:v>DEMO-101</x:v>
      </x:c>
      <x:c r="E45" s="2" t="str">
        <x:v>Orbit Notebook</x:v>
      </x:c>
      <x:c r="F45" s="2" t="str">
        <x:v>Stationery</x:v>
      </x:c>
      <x:c r="G45" s="2" t="str">
        <x:v>Stores</x:v>
      </x:c>
      <x:c r="H45" s="2" t="str">
        <x:v>Central Market</x:v>
      </x:c>
      <x:c r="I45" s="2" t="n">
        <x:v>26</x:v>
      </x:c>
      <x:c r="J45" s="2" t="n">
        <x:v>0</x:v>
      </x:c>
      <x:c r="K45" s="2" t="n">
        <x:f>I45-J45</x:f>
        <x:v>26</x:v>
      </x:c>
      <x:c r="L45" s="16" t="n">
        <x:v>12</x:v>
      </x:c>
      <x:c r="M45" s="16" t="n">
        <x:v>12</x:v>
      </x:c>
      <x:c r="N45" s="16" t="n">
        <x:v>4.32</x:v>
      </x:c>
      <x:c r="O45" s="16" t="n">
        <x:f>K45*M45</x:f>
        <x:v>312</x:v>
      </x:c>
      <x:c r="P45" s="16" t="n">
        <x:f>K45*N45</x:f>
        <x:v>112.32000000000001</x:v>
      </x:c>
      <x:c r="Q45" s="16" t="n">
        <x:f>O45-P45</x:f>
        <x:v>199.68</x:v>
      </x:c>
      <x:c r="R45" s="2" t="n">
        <x:v>103</x:v>
      </x:c>
      <x:c r="S45" s="2" t="n">
        <x:v>0</x:v>
      </x:c>
      <x:c r="T45" s="2" t="n">
        <x:f>R45+S45+J45-I45</x:f>
        <x:v>77</x:v>
      </x:c>
      <x:c r="U45" s="2" t="n">
        <x:v>0</x:v>
      </x:c>
      <x:c r="V45" s="2" t="n">
        <x:v>2</x:v>
      </x:c>
      <x:c r="W45" s="2" t="n">
        <x:v>26</x:v>
      </x:c>
      <x:c r="X45" s="14" t="b">
        <x:v>0</x:v>
      </x:c>
      <x:c r="Y45" s="14" t="b">
        <x:v>0</x:v>
      </x:c>
      <x:c r="Z45" s="2" t="n">
        <x:f>ABS(T45-AA45)</x:f>
        <x:v>0</x:v>
      </x:c>
      <x:c r="AA45" s="2" t="n">
        <x:v>77</x:v>
      </x:c>
      <x:c r="AB45" s="2" t="n">
        <x:f>ABS(K45-W45)</x:f>
        <x:v>0</x:v>
      </x:c>
      <x:c r="AC45" s="2" t="n">
        <x:f>COUNTIF($A$2:$A$1921,A45)-1</x:f>
        <x:v>0</x:v>
      </x:c>
      <x:c r="AD45" s="2" t="n">
        <x:f>IF(AND(D45=D44,H45=H44,C45=C44+1),ABS(R45-T44),0)</x:f>
        <x:v>0</x:v>
      </x:c>
    </x:row>
    <x:row r="46" ht="23" customHeight="1">
      <x:c r="A46" s="2" t="str">
        <x:v>DEMO-101-2-5</x:v>
      </x:c>
      <x:c r="B46" s="15" t="d">
        <x:v>2026-06-01T00:00:00.000Z</x:v>
      </x:c>
      <x:c r="C46" s="2" t="n">
        <x:v>5</x:v>
      </x:c>
      <x:c r="D46" s="2" t="str">
        <x:v>DEMO-101</x:v>
      </x:c>
      <x:c r="E46" s="2" t="str">
        <x:v>Orbit Notebook</x:v>
      </x:c>
      <x:c r="F46" s="2" t="str">
        <x:v>Stationery</x:v>
      </x:c>
      <x:c r="G46" s="2" t="str">
        <x:v>Stores</x:v>
      </x:c>
      <x:c r="H46" s="2" t="str">
        <x:v>Central Market</x:v>
      </x:c>
      <x:c r="I46" s="2" t="n">
        <x:v>32</x:v>
      </x:c>
      <x:c r="J46" s="2" t="n">
        <x:v>0</x:v>
      </x:c>
      <x:c r="K46" s="2" t="n">
        <x:f>I46-J46</x:f>
        <x:v>32</x:v>
      </x:c>
      <x:c r="L46" s="16" t="n">
        <x:v>12</x:v>
      </x:c>
      <x:c r="M46" s="16" t="n">
        <x:v>12</x:v>
      </x:c>
      <x:c r="N46" s="16" t="n">
        <x:v>4.32</x:v>
      </x:c>
      <x:c r="O46" s="16" t="n">
        <x:f>K46*M46</x:f>
        <x:v>384</x:v>
      </x:c>
      <x:c r="P46" s="16" t="n">
        <x:f>K46*N46</x:f>
        <x:v>138.24</x:v>
      </x:c>
      <x:c r="Q46" s="16" t="n">
        <x:f>O46-P46</x:f>
        <x:v>245.76</x:v>
      </x:c>
      <x:c r="R46" s="2" t="n">
        <x:v>77</x:v>
      </x:c>
      <x:c r="S46" s="2" t="n">
        <x:v>90</x:v>
      </x:c>
      <x:c r="T46" s="2" t="n">
        <x:f>R46+S46+J46-I46</x:f>
        <x:v>135</x:v>
      </x:c>
      <x:c r="U46" s="2" t="n">
        <x:v>0</x:v>
      </x:c>
      <x:c r="V46" s="2" t="n">
        <x:v>2</x:v>
      </x:c>
      <x:c r="W46" s="2" t="n">
        <x:v>26</x:v>
      </x:c>
      <x:c r="X46" s="14" t="b">
        <x:v>0</x:v>
      </x:c>
      <x:c r="Y46" s="14" t="b">
        <x:v>0</x:v>
      </x:c>
      <x:c r="Z46" s="2" t="n">
        <x:f>ABS(T46-AA46)</x:f>
        <x:v>0</x:v>
      </x:c>
      <x:c r="AA46" s="2" t="n">
        <x:v>135</x:v>
      </x:c>
      <x:c r="AB46" s="2" t="n">
        <x:f>ABS(K46-W46)</x:f>
        <x:v>6</x:v>
      </x:c>
      <x:c r="AC46" s="2" t="n">
        <x:f>COUNTIF($A$2:$A$1921,A46)-1</x:f>
        <x:v>0</x:v>
      </x:c>
      <x:c r="AD46" s="2" t="n">
        <x:f>IF(AND(D46=D45,H46=H45,C46=C45+1),ABS(R46-T45),0)</x:f>
        <x:v>0</x:v>
      </x:c>
    </x:row>
    <x:row r="47" ht="23" customHeight="1">
      <x:c r="A47" s="2" t="str">
        <x:v>DEMO-101-2-6</x:v>
      </x:c>
      <x:c r="B47" s="15" t="d">
        <x:v>2026-06-08T00:00:00.000Z</x:v>
      </x:c>
      <x:c r="C47" s="2" t="n">
        <x:v>6</x:v>
      </x:c>
      <x:c r="D47" s="2" t="str">
        <x:v>DEMO-101</x:v>
      </x:c>
      <x:c r="E47" s="2" t="str">
        <x:v>Orbit Notebook</x:v>
      </x:c>
      <x:c r="F47" s="2" t="str">
        <x:v>Stationery</x:v>
      </x:c>
      <x:c r="G47" s="2" t="str">
        <x:v>Stores</x:v>
      </x:c>
      <x:c r="H47" s="2" t="str">
        <x:v>Central Market</x:v>
      </x:c>
      <x:c r="I47" s="2" t="n">
        <x:v>36</x:v>
      </x:c>
      <x:c r="J47" s="2" t="n">
        <x:v>1</x:v>
      </x:c>
      <x:c r="K47" s="2" t="n">
        <x:f>I47-J47</x:f>
        <x:v>35</x:v>
      </x:c>
      <x:c r="L47" s="16" t="n">
        <x:v>12</x:v>
      </x:c>
      <x:c r="M47" s="16" t="n">
        <x:v>12</x:v>
      </x:c>
      <x:c r="N47" s="16" t="n">
        <x:v>4.32</x:v>
      </x:c>
      <x:c r="O47" s="16" t="n">
        <x:f>K47*M47</x:f>
        <x:v>420</x:v>
      </x:c>
      <x:c r="P47" s="16" t="n">
        <x:f>K47*N47</x:f>
        <x:v>151.20000000000002</x:v>
      </x:c>
      <x:c r="Q47" s="16" t="n">
        <x:f>O47-P47</x:f>
        <x:v>268.79999999999995</x:v>
      </x:c>
      <x:c r="R47" s="2" t="n">
        <x:v>135</x:v>
      </x:c>
      <x:c r="S47" s="2" t="n">
        <x:v>0</x:v>
      </x:c>
      <x:c r="T47" s="2" t="n">
        <x:f>R47+S47+J47-I47</x:f>
        <x:v>100</x:v>
      </x:c>
      <x:c r="U47" s="2" t="n">
        <x:v>0</x:v>
      </x:c>
      <x:c r="V47" s="2" t="n">
        <x:v>2</x:v>
      </x:c>
      <x:c r="W47" s="2" t="n">
        <x:v>28</x:v>
      </x:c>
      <x:c r="X47" s="14" t="b">
        <x:v>0</x:v>
      </x:c>
      <x:c r="Y47" s="14" t="b">
        <x:v>0</x:v>
      </x:c>
      <x:c r="Z47" s="2" t="n">
        <x:f>ABS(T47-AA47)</x:f>
        <x:v>0</x:v>
      </x:c>
      <x:c r="AA47" s="2" t="n">
        <x:v>100</x:v>
      </x:c>
      <x:c r="AB47" s="2" t="n">
        <x:f>ABS(K47-W47)</x:f>
        <x:v>7</x:v>
      </x:c>
      <x:c r="AC47" s="2" t="n">
        <x:f>COUNTIF($A$2:$A$1921,A47)-1</x:f>
        <x:v>0</x:v>
      </x:c>
      <x:c r="AD47" s="2" t="n">
        <x:f>IF(AND(D47=D46,H47=H46,C47=C46+1),ABS(R47-T46),0)</x:f>
        <x:v>0</x:v>
      </x:c>
    </x:row>
    <x:row r="48" ht="23" customHeight="1">
      <x:c r="A48" s="2" t="str">
        <x:v>DEMO-101-2-7</x:v>
      </x:c>
      <x:c r="B48" s="15" t="d">
        <x:v>2026-06-15T00:00:00.000Z</x:v>
      </x:c>
      <x:c r="C48" s="2" t="n">
        <x:v>7</x:v>
      </x:c>
      <x:c r="D48" s="2" t="str">
        <x:v>DEMO-101</x:v>
      </x:c>
      <x:c r="E48" s="2" t="str">
        <x:v>Orbit Notebook</x:v>
      </x:c>
      <x:c r="F48" s="2" t="str">
        <x:v>Stationery</x:v>
      </x:c>
      <x:c r="G48" s="2" t="str">
        <x:v>Stores</x:v>
      </x:c>
      <x:c r="H48" s="2" t="str">
        <x:v>Central Market</x:v>
      </x:c>
      <x:c r="I48" s="2" t="n">
        <x:v>29</x:v>
      </x:c>
      <x:c r="J48" s="2" t="n">
        <x:v>0</x:v>
      </x:c>
      <x:c r="K48" s="2" t="n">
        <x:f>I48-J48</x:f>
        <x:v>29</x:v>
      </x:c>
      <x:c r="L48" s="16" t="n">
        <x:v>12</x:v>
      </x:c>
      <x:c r="M48" s="16" t="n">
        <x:v>12</x:v>
      </x:c>
      <x:c r="N48" s="16" t="n">
        <x:v>4.32</x:v>
      </x:c>
      <x:c r="O48" s="16" t="n">
        <x:f>K48*M48</x:f>
        <x:v>348</x:v>
      </x:c>
      <x:c r="P48" s="16" t="n">
        <x:f>K48*N48</x:f>
        <x:v>125.28</x:v>
      </x:c>
      <x:c r="Q48" s="16" t="n">
        <x:f>O48-P48</x:f>
        <x:v>222.72</x:v>
      </x:c>
      <x:c r="R48" s="2" t="n">
        <x:v>100</x:v>
      </x:c>
      <x:c r="S48" s="2" t="n">
        <x:v>0</x:v>
      </x:c>
      <x:c r="T48" s="2" t="n">
        <x:f>R48+S48+J48-I48</x:f>
        <x:v>71</x:v>
      </x:c>
      <x:c r="U48" s="2" t="n">
        <x:v>0</x:v>
      </x:c>
      <x:c r="V48" s="2" t="n">
        <x:v>2</x:v>
      </x:c>
      <x:c r="W48" s="2" t="n">
        <x:v>31</x:v>
      </x:c>
      <x:c r="X48" s="14" t="b">
        <x:v>0</x:v>
      </x:c>
      <x:c r="Y48" s="14" t="b">
        <x:v>0</x:v>
      </x:c>
      <x:c r="Z48" s="2" t="n">
        <x:f>ABS(T48-AA48)</x:f>
        <x:v>0</x:v>
      </x:c>
      <x:c r="AA48" s="2" t="n">
        <x:v>71</x:v>
      </x:c>
      <x:c r="AB48" s="2" t="n">
        <x:f>ABS(K48-W48)</x:f>
        <x:v>2</x:v>
      </x:c>
      <x:c r="AC48" s="2" t="n">
        <x:f>COUNTIF($A$2:$A$1921,A48)-1</x:f>
        <x:v>0</x:v>
      </x:c>
      <x:c r="AD48" s="2" t="n">
        <x:f>IF(AND(D48=D47,H48=H47,C48=C47+1),ABS(R48-T47),0)</x:f>
        <x:v>0</x:v>
      </x:c>
    </x:row>
    <x:row r="49" ht="23" customHeight="1">
      <x:c r="A49" s="2" t="str">
        <x:v>DEMO-101-2-8</x:v>
      </x:c>
      <x:c r="B49" s="15" t="d">
        <x:v>2026-06-22T00:00:00.000Z</x:v>
      </x:c>
      <x:c r="C49" s="2" t="n">
        <x:v>8</x:v>
      </x:c>
      <x:c r="D49" s="2" t="str">
        <x:v>DEMO-101</x:v>
      </x:c>
      <x:c r="E49" s="2" t="str">
        <x:v>Orbit Notebook</x:v>
      </x:c>
      <x:c r="F49" s="2" t="str">
        <x:v>Stationery</x:v>
      </x:c>
      <x:c r="G49" s="2" t="str">
        <x:v>Stores</x:v>
      </x:c>
      <x:c r="H49" s="2" t="str">
        <x:v>Central Market</x:v>
      </x:c>
      <x:c r="I49" s="2" t="n">
        <x:v>26</x:v>
      </x:c>
      <x:c r="J49" s="2" t="n">
        <x:v>0</x:v>
      </x:c>
      <x:c r="K49" s="2" t="n">
        <x:f>I49-J49</x:f>
        <x:v>26</x:v>
      </x:c>
      <x:c r="L49" s="16" t="n">
        <x:v>12</x:v>
      </x:c>
      <x:c r="M49" s="16" t="n">
        <x:v>12</x:v>
      </x:c>
      <x:c r="N49" s="16" t="n">
        <x:v>4.32</x:v>
      </x:c>
      <x:c r="O49" s="16" t="n">
        <x:f>K49*M49</x:f>
        <x:v>312</x:v>
      </x:c>
      <x:c r="P49" s="16" t="n">
        <x:f>K49*N49</x:f>
        <x:v>112.32000000000001</x:v>
      </x:c>
      <x:c r="Q49" s="16" t="n">
        <x:f>O49-P49</x:f>
        <x:v>199.68</x:v>
      </x:c>
      <x:c r="R49" s="2" t="n">
        <x:v>71</x:v>
      </x:c>
      <x:c r="S49" s="2" t="n">
        <x:v>0</x:v>
      </x:c>
      <x:c r="T49" s="2" t="n">
        <x:f>R49+S49+J49-I49</x:f>
        <x:v>45</x:v>
      </x:c>
      <x:c r="U49" s="2" t="n">
        <x:v>0</x:v>
      </x:c>
      <x:c r="V49" s="2" t="n">
        <x:v>2</x:v>
      </x:c>
      <x:c r="W49" s="2" t="n">
        <x:v>31</x:v>
      </x:c>
      <x:c r="X49" s="14" t="b">
        <x:v>0</x:v>
      </x:c>
      <x:c r="Y49" s="14" t="b">
        <x:v>0</x:v>
      </x:c>
      <x:c r="Z49" s="2" t="n">
        <x:f>ABS(T49-AA49)</x:f>
        <x:v>0</x:v>
      </x:c>
      <x:c r="AA49" s="2" t="n">
        <x:v>45</x:v>
      </x:c>
      <x:c r="AB49" s="2" t="n">
        <x:f>ABS(K49-W49)</x:f>
        <x:v>5</x:v>
      </x:c>
      <x:c r="AC49" s="2" t="n">
        <x:f>COUNTIF($A$2:$A$1921,A49)-1</x:f>
        <x:v>0</x:v>
      </x:c>
      <x:c r="AD49" s="2" t="n">
        <x:f>IF(AND(D49=D48,H49=H48,C49=C48+1),ABS(R49-T48),0)</x:f>
        <x:v>0</x:v>
      </x:c>
    </x:row>
    <x:row r="50" ht="23" customHeight="1">
      <x:c r="A50" s="2" t="str">
        <x:v>DEMO-101-2-9</x:v>
      </x:c>
      <x:c r="B50" s="15" t="d">
        <x:v>2026-06-29T00:00:00.000Z</x:v>
      </x:c>
      <x:c r="C50" s="2" t="n">
        <x:v>9</x:v>
      </x:c>
      <x:c r="D50" s="2" t="str">
        <x:v>DEMO-101</x:v>
      </x:c>
      <x:c r="E50" s="2" t="str">
        <x:v>Orbit Notebook</x:v>
      </x:c>
      <x:c r="F50" s="2" t="str">
        <x:v>Stationery</x:v>
      </x:c>
      <x:c r="G50" s="2" t="str">
        <x:v>Stores</x:v>
      </x:c>
      <x:c r="H50" s="2" t="str">
        <x:v>Central Market</x:v>
      </x:c>
      <x:c r="I50" s="2" t="n">
        <x:v>39</x:v>
      </x:c>
      <x:c r="J50" s="2" t="n">
        <x:v>0</x:v>
      </x:c>
      <x:c r="K50" s="2" t="n">
        <x:f>I50-J50</x:f>
        <x:v>39</x:v>
      </x:c>
      <x:c r="L50" s="16" t="n">
        <x:v>12</x:v>
      </x:c>
      <x:c r="M50" s="16" t="n">
        <x:v>12</x:v>
      </x:c>
      <x:c r="N50" s="16" t="n">
        <x:v>4.32</x:v>
      </x:c>
      <x:c r="O50" s="16" t="n">
        <x:f>K50*M50</x:f>
        <x:v>468</x:v>
      </x:c>
      <x:c r="P50" s="16" t="n">
        <x:f>K50*N50</x:f>
        <x:v>168.48000000000002</x:v>
      </x:c>
      <x:c r="Q50" s="16" t="n">
        <x:f>O50-P50</x:f>
        <x:v>299.52</x:v>
      </x:c>
      <x:c r="R50" s="2" t="n">
        <x:v>45</x:v>
      </x:c>
      <x:c r="S50" s="2" t="n">
        <x:v>90</x:v>
      </x:c>
      <x:c r="T50" s="2" t="n">
        <x:f>R50+S50+J50-I50</x:f>
        <x:v>96</x:v>
      </x:c>
      <x:c r="U50" s="2" t="n">
        <x:v>0</x:v>
      </x:c>
      <x:c r="V50" s="2" t="n">
        <x:v>2</x:v>
      </x:c>
      <x:c r="W50" s="2" t="n">
        <x:v>31</x:v>
      </x:c>
      <x:c r="X50" s="14" t="b">
        <x:v>0</x:v>
      </x:c>
      <x:c r="Y50" s="14" t="b">
        <x:v>0</x:v>
      </x:c>
      <x:c r="Z50" s="2" t="n">
        <x:f>ABS(T50-AA50)</x:f>
        <x:v>0</x:v>
      </x:c>
      <x:c r="AA50" s="2" t="n">
        <x:v>96</x:v>
      </x:c>
      <x:c r="AB50" s="2" t="n">
        <x:f>ABS(K50-W50)</x:f>
        <x:v>8</x:v>
      </x:c>
      <x:c r="AC50" s="2" t="n">
        <x:f>COUNTIF($A$2:$A$1921,A50)-1</x:f>
        <x:v>0</x:v>
      </x:c>
      <x:c r="AD50" s="2" t="n">
        <x:f>IF(AND(D50=D49,H50=H49,C50=C49+1),ABS(R50-T49),0)</x:f>
        <x:v>0</x:v>
      </x:c>
    </x:row>
    <x:row r="51" ht="23" customHeight="1">
      <x:c r="A51" s="2" t="str">
        <x:v>DEMO-101-2-10</x:v>
      </x:c>
      <x:c r="B51" s="15" t="d">
        <x:v>2026-07-06T00:00:00.000Z</x:v>
      </x:c>
      <x:c r="C51" s="2" t="n">
        <x:v>10</x:v>
      </x:c>
      <x:c r="D51" s="2" t="str">
        <x:v>DEMO-101</x:v>
      </x:c>
      <x:c r="E51" s="2" t="str">
        <x:v>Orbit Notebook</x:v>
      </x:c>
      <x:c r="F51" s="2" t="str">
        <x:v>Stationery</x:v>
      </x:c>
      <x:c r="G51" s="2" t="str">
        <x:v>Stores</x:v>
      </x:c>
      <x:c r="H51" s="2" t="str">
        <x:v>Central Market</x:v>
      </x:c>
      <x:c r="I51" s="2" t="n">
        <x:v>36</x:v>
      </x:c>
      <x:c r="J51" s="2" t="n">
        <x:v>0</x:v>
      </x:c>
      <x:c r="K51" s="2" t="n">
        <x:f>I51-J51</x:f>
        <x:v>36</x:v>
      </x:c>
      <x:c r="L51" s="16" t="n">
        <x:v>12</x:v>
      </x:c>
      <x:c r="M51" s="16" t="n">
        <x:v>12</x:v>
      </x:c>
      <x:c r="N51" s="16" t="n">
        <x:v>4.32</x:v>
      </x:c>
      <x:c r="O51" s="16" t="n">
        <x:f>K51*M51</x:f>
        <x:v>432</x:v>
      </x:c>
      <x:c r="P51" s="16" t="n">
        <x:f>K51*N51</x:f>
        <x:v>155.52</x:v>
      </x:c>
      <x:c r="Q51" s="16" t="n">
        <x:f>O51-P51</x:f>
        <x:v>276.48</x:v>
      </x:c>
      <x:c r="R51" s="2" t="n">
        <x:v>96</x:v>
      </x:c>
      <x:c r="S51" s="2" t="n">
        <x:v>0</x:v>
      </x:c>
      <x:c r="T51" s="2" t="n">
        <x:f>R51+S51+J51-I51</x:f>
        <x:v>60</x:v>
      </x:c>
      <x:c r="U51" s="2" t="n">
        <x:v>0</x:v>
      </x:c>
      <x:c r="V51" s="2" t="n">
        <x:v>2</x:v>
      </x:c>
      <x:c r="W51" s="2" t="n">
        <x:v>32</x:v>
      </x:c>
      <x:c r="X51" s="14" t="b">
        <x:v>0</x:v>
      </x:c>
      <x:c r="Y51" s="14" t="b">
        <x:v>0</x:v>
      </x:c>
      <x:c r="Z51" s="2" t="n">
        <x:f>ABS(T51-AA51)</x:f>
        <x:v>0</x:v>
      </x:c>
      <x:c r="AA51" s="2" t="n">
        <x:v>60</x:v>
      </x:c>
      <x:c r="AB51" s="2" t="n">
        <x:f>ABS(K51-W51)</x:f>
        <x:v>4</x:v>
      </x:c>
      <x:c r="AC51" s="2" t="n">
        <x:f>COUNTIF($A$2:$A$1921,A51)-1</x:f>
        <x:v>0</x:v>
      </x:c>
      <x:c r="AD51" s="2" t="n">
        <x:f>IF(AND(D51=D50,H51=H50,C51=C50+1),ABS(R51-T50),0)</x:f>
        <x:v>0</x:v>
      </x:c>
    </x:row>
    <x:row r="52" ht="23" customHeight="1">
      <x:c r="A52" s="2" t="str">
        <x:v>DEMO-101-2-11</x:v>
      </x:c>
      <x:c r="B52" s="15" t="d">
        <x:v>2026-07-13T00:00:00.000Z</x:v>
      </x:c>
      <x:c r="C52" s="2" t="n">
        <x:v>11</x:v>
      </x:c>
      <x:c r="D52" s="2" t="str">
        <x:v>DEMO-101</x:v>
      </x:c>
      <x:c r="E52" s="2" t="str">
        <x:v>Orbit Notebook</x:v>
      </x:c>
      <x:c r="F52" s="2" t="str">
        <x:v>Stationery</x:v>
      </x:c>
      <x:c r="G52" s="2" t="str">
        <x:v>Stores</x:v>
      </x:c>
      <x:c r="H52" s="2" t="str">
        <x:v>Central Market</x:v>
      </x:c>
      <x:c r="I52" s="2" t="n">
        <x:v>30</x:v>
      </x:c>
      <x:c r="J52" s="2" t="n">
        <x:v>0</x:v>
      </x:c>
      <x:c r="K52" s="2" t="n">
        <x:f>I52-J52</x:f>
        <x:v>30</x:v>
      </x:c>
      <x:c r="L52" s="16" t="n">
        <x:v>12</x:v>
      </x:c>
      <x:c r="M52" s="16" t="n">
        <x:v>12</x:v>
      </x:c>
      <x:c r="N52" s="16" t="n">
        <x:v>4.32</x:v>
      </x:c>
      <x:c r="O52" s="16" t="n">
        <x:f>K52*M52</x:f>
        <x:v>360</x:v>
      </x:c>
      <x:c r="P52" s="16" t="n">
        <x:f>K52*N52</x:f>
        <x:v>129.60000000000002</x:v>
      </x:c>
      <x:c r="Q52" s="16" t="n">
        <x:f>O52-P52</x:f>
        <x:v>230.39999999999998</x:v>
      </x:c>
      <x:c r="R52" s="2" t="n">
        <x:v>60</x:v>
      </x:c>
      <x:c r="S52" s="2" t="n">
        <x:v>0</x:v>
      </x:c>
      <x:c r="T52" s="2" t="n">
        <x:f>R52+S52+J52-I52</x:f>
        <x:v>30</x:v>
      </x:c>
      <x:c r="U52" s="2" t="n">
        <x:v>0</x:v>
      </x:c>
      <x:c r="V52" s="2" t="n">
        <x:v>2</x:v>
      </x:c>
      <x:c r="W52" s="2" t="n">
        <x:v>33</x:v>
      </x:c>
      <x:c r="X52" s="14" t="b">
        <x:v>0</x:v>
      </x:c>
      <x:c r="Y52" s="14" t="b">
        <x:v>0</x:v>
      </x:c>
      <x:c r="Z52" s="2" t="n">
        <x:f>ABS(T52-AA52)</x:f>
        <x:v>0</x:v>
      </x:c>
      <x:c r="AA52" s="2" t="n">
        <x:v>30</x:v>
      </x:c>
      <x:c r="AB52" s="2" t="n">
        <x:f>ABS(K52-W52)</x:f>
        <x:v>3</x:v>
      </x:c>
      <x:c r="AC52" s="2" t="n">
        <x:f>COUNTIF($A$2:$A$1921,A52)-1</x:f>
        <x:v>0</x:v>
      </x:c>
      <x:c r="AD52" s="2" t="n">
        <x:f>IF(AND(D52=D51,H52=H51,C52=C51+1),ABS(R52-T51),0)</x:f>
        <x:v>0</x:v>
      </x:c>
    </x:row>
    <x:row r="53" ht="23" customHeight="1">
      <x:c r="A53" s="2" t="str">
        <x:v>DEMO-101-2-12</x:v>
      </x:c>
      <x:c r="B53" s="15" t="d">
        <x:v>2026-07-20T00:00:00.000Z</x:v>
      </x:c>
      <x:c r="C53" s="2" t="n">
        <x:v>12</x:v>
      </x:c>
      <x:c r="D53" s="2" t="str">
        <x:v>DEMO-101</x:v>
      </x:c>
      <x:c r="E53" s="2" t="str">
        <x:v>Orbit Notebook</x:v>
      </x:c>
      <x:c r="F53" s="2" t="str">
        <x:v>Stationery</x:v>
      </x:c>
      <x:c r="G53" s="2" t="str">
        <x:v>Stores</x:v>
      </x:c>
      <x:c r="H53" s="2" t="str">
        <x:v>Central Market</x:v>
      </x:c>
      <x:c r="I53" s="2" t="n">
        <x:v>30</x:v>
      </x:c>
      <x:c r="J53" s="2" t="n">
        <x:v>0</x:v>
      </x:c>
      <x:c r="K53" s="2" t="n">
        <x:f>I53-J53</x:f>
        <x:v>30</x:v>
      </x:c>
      <x:c r="L53" s="16" t="n">
        <x:v>12</x:v>
      </x:c>
      <x:c r="M53" s="16" t="n">
        <x:v>12</x:v>
      </x:c>
      <x:c r="N53" s="16" t="n">
        <x:v>4.32</x:v>
      </x:c>
      <x:c r="O53" s="16" t="n">
        <x:f>K53*M53</x:f>
        <x:v>360</x:v>
      </x:c>
      <x:c r="P53" s="16" t="n">
        <x:f>K53*N53</x:f>
        <x:v>129.60000000000002</x:v>
      </x:c>
      <x:c r="Q53" s="16" t="n">
        <x:f>O53-P53</x:f>
        <x:v>230.39999999999998</x:v>
      </x:c>
      <x:c r="R53" s="2" t="n">
        <x:v>30</x:v>
      </x:c>
      <x:c r="S53" s="2" t="n">
        <x:v>0</x:v>
      </x:c>
      <x:c r="T53" s="2" t="n">
        <x:f>R53+S53+J53-I53</x:f>
        <x:v>0</x:v>
      </x:c>
      <x:c r="U53" s="2" t="n">
        <x:v>0</x:v>
      </x:c>
      <x:c r="V53" s="2" t="n">
        <x:v>2</x:v>
      </x:c>
      <x:c r="W53" s="2" t="n">
        <x:v>33</x:v>
      </x:c>
      <x:c r="X53" s="14" t="b">
        <x:v>0</x:v>
      </x:c>
      <x:c r="Y53" s="14" t="b">
        <x:v>0</x:v>
      </x:c>
      <x:c r="Z53" s="2" t="n">
        <x:f>ABS(T53-AA53)</x:f>
        <x:v>0</x:v>
      </x:c>
      <x:c r="AA53" s="2" t="n">
        <x:v>0</x:v>
      </x:c>
      <x:c r="AB53" s="2" t="n">
        <x:f>ABS(K53-W53)</x:f>
        <x:v>3</x:v>
      </x:c>
      <x:c r="AC53" s="2" t="n">
        <x:f>COUNTIF($A$2:$A$1921,A53)-1</x:f>
        <x:v>0</x:v>
      </x:c>
      <x:c r="AD53" s="2" t="n">
        <x:f>IF(AND(D53=D52,H53=H52,C53=C52+1),ABS(R53-T52),0)</x:f>
        <x:v>0</x:v>
      </x:c>
    </x:row>
    <x:row r="54" ht="23" customHeight="1">
      <x:c r="A54" s="2" t="str">
        <x:v>DEMO-101-2-13</x:v>
      </x:c>
      <x:c r="B54" s="15" t="d">
        <x:v>2026-07-27T00:00:00.000Z</x:v>
      </x:c>
      <x:c r="C54" s="2" t="n">
        <x:v>13</x:v>
      </x:c>
      <x:c r="D54" s="2" t="str">
        <x:v>DEMO-101</x:v>
      </x:c>
      <x:c r="E54" s="2" t="str">
        <x:v>Orbit Notebook</x:v>
      </x:c>
      <x:c r="F54" s="2" t="str">
        <x:v>Stationery</x:v>
      </x:c>
      <x:c r="G54" s="2" t="str">
        <x:v>Stores</x:v>
      </x:c>
      <x:c r="H54" s="2" t="str">
        <x:v>Central Market</x:v>
      </x:c>
      <x:c r="I54" s="2" t="n">
        <x:v>40</x:v>
      </x:c>
      <x:c r="J54" s="2" t="n">
        <x:v>0</x:v>
      </x:c>
      <x:c r="K54" s="2" t="n">
        <x:f>I54-J54</x:f>
        <x:v>40</x:v>
      </x:c>
      <x:c r="L54" s="16" t="n">
        <x:v>12</x:v>
      </x:c>
      <x:c r="M54" s="16" t="n">
        <x:v>12</x:v>
      </x:c>
      <x:c r="N54" s="16" t="n">
        <x:v>4.32</x:v>
      </x:c>
      <x:c r="O54" s="16" t="n">
        <x:f>K54*M54</x:f>
        <x:v>480</x:v>
      </x:c>
      <x:c r="P54" s="16" t="n">
        <x:f>K54*N54</x:f>
        <x:v>172.8</x:v>
      </x:c>
      <x:c r="Q54" s="16" t="n">
        <x:f>O54-P54</x:f>
        <x:v>307.2</x:v>
      </x:c>
      <x:c r="R54" s="2" t="n">
        <x:v>0</x:v>
      </x:c>
      <x:c r="S54" s="2" t="n">
        <x:v>90</x:v>
      </x:c>
      <x:c r="T54" s="2" t="n">
        <x:f>R54+S54+J54-I54</x:f>
        <x:v>50</x:v>
      </x:c>
      <x:c r="U54" s="2" t="n">
        <x:v>0</x:v>
      </x:c>
      <x:c r="V54" s="2" t="n">
        <x:v>2</x:v>
      </x:c>
      <x:c r="W54" s="2" t="n">
        <x:v>34</x:v>
      </x:c>
      <x:c r="X54" s="14" t="b">
        <x:v>0</x:v>
      </x:c>
      <x:c r="Y54" s="14" t="b">
        <x:v>0</x:v>
      </x:c>
      <x:c r="Z54" s="2" t="n">
        <x:f>ABS(T54-AA54)</x:f>
        <x:v>0</x:v>
      </x:c>
      <x:c r="AA54" s="2" t="n">
        <x:v>50</x:v>
      </x:c>
      <x:c r="AB54" s="2" t="n">
        <x:f>ABS(K54-W54)</x:f>
        <x:v>6</x:v>
      </x:c>
      <x:c r="AC54" s="2" t="n">
        <x:f>COUNTIF($A$2:$A$1921,A54)-1</x:f>
        <x:v>0</x:v>
      </x:c>
      <x:c r="AD54" s="2" t="n">
        <x:f>IF(AND(D54=D53,H54=H53,C54=C53+1),ABS(R54-T53),0)</x:f>
        <x:v>0</x:v>
      </x:c>
    </x:row>
    <x:row r="55" ht="23" customHeight="1">
      <x:c r="A55" s="2" t="str">
        <x:v>DEMO-101-2-14</x:v>
      </x:c>
      <x:c r="B55" s="15" t="d">
        <x:v>2026-08-03T00:00:00.000Z</x:v>
      </x:c>
      <x:c r="C55" s="2" t="n">
        <x:v>14</x:v>
      </x:c>
      <x:c r="D55" s="2" t="str">
        <x:v>DEMO-101</x:v>
      </x:c>
      <x:c r="E55" s="2" t="str">
        <x:v>Orbit Notebook</x:v>
      </x:c>
      <x:c r="F55" s="2" t="str">
        <x:v>Stationery</x:v>
      </x:c>
      <x:c r="G55" s="2" t="str">
        <x:v>Stores</x:v>
      </x:c>
      <x:c r="H55" s="2" t="str">
        <x:v>Central Market</x:v>
      </x:c>
      <x:c r="I55" s="2" t="n">
        <x:v>43</x:v>
      </x:c>
      <x:c r="J55" s="2" t="n">
        <x:v>1</x:v>
      </x:c>
      <x:c r="K55" s="2" t="n">
        <x:f>I55-J55</x:f>
        <x:v>42</x:v>
      </x:c>
      <x:c r="L55" s="16" t="n">
        <x:v>12</x:v>
      </x:c>
      <x:c r="M55" s="16" t="n">
        <x:v>12</x:v>
      </x:c>
      <x:c r="N55" s="16" t="n">
        <x:v>4.32</x:v>
      </x:c>
      <x:c r="O55" s="16" t="n">
        <x:f>K55*M55</x:f>
        <x:v>504</x:v>
      </x:c>
      <x:c r="P55" s="16" t="n">
        <x:f>K55*N55</x:f>
        <x:v>181.44</x:v>
      </x:c>
      <x:c r="Q55" s="16" t="n">
        <x:f>O55-P55</x:f>
        <x:v>322.56</x:v>
      </x:c>
      <x:c r="R55" s="2" t="n">
        <x:v>50</x:v>
      </x:c>
      <x:c r="S55" s="2" t="n">
        <x:v>0</x:v>
      </x:c>
      <x:c r="T55" s="2" t="n">
        <x:f>R55+S55+J55-I55</x:f>
        <x:v>8</x:v>
      </x:c>
      <x:c r="U55" s="2" t="n">
        <x:v>0</x:v>
      </x:c>
      <x:c r="V55" s="2" t="n">
        <x:v>2</x:v>
      </x:c>
      <x:c r="W55" s="2" t="n">
        <x:v>34</x:v>
      </x:c>
      <x:c r="X55" s="14" t="b">
        <x:v>0</x:v>
      </x:c>
      <x:c r="Y55" s="14" t="b">
        <x:v>0</x:v>
      </x:c>
      <x:c r="Z55" s="2" t="n">
        <x:f>ABS(T55-AA55)</x:f>
        <x:v>0</x:v>
      </x:c>
      <x:c r="AA55" s="2" t="n">
        <x:v>8</x:v>
      </x:c>
      <x:c r="AB55" s="2" t="n">
        <x:f>ABS(K55-W55)</x:f>
        <x:v>8</x:v>
      </x:c>
      <x:c r="AC55" s="2" t="n">
        <x:f>COUNTIF($A$2:$A$1921,A55)-1</x:f>
        <x:v>0</x:v>
      </x:c>
      <x:c r="AD55" s="2" t="n">
        <x:f>IF(AND(D55=D54,H55=H54,C55=C54+1),ABS(R55-T54),0)</x:f>
        <x:v>0</x:v>
      </x:c>
    </x:row>
    <x:row r="56" ht="23" customHeight="1">
      <x:c r="A56" s="2" t="str">
        <x:v>DEMO-101-2-15</x:v>
      </x:c>
      <x:c r="B56" s="15" t="d">
        <x:v>2026-08-10T00:00:00.000Z</x:v>
      </x:c>
      <x:c r="C56" s="2" t="n">
        <x:v>15</x:v>
      </x:c>
      <x:c r="D56" s="2" t="str">
        <x:v>DEMO-101</x:v>
      </x:c>
      <x:c r="E56" s="2" t="str">
        <x:v>Orbit Notebook</x:v>
      </x:c>
      <x:c r="F56" s="2" t="str">
        <x:v>Stationery</x:v>
      </x:c>
      <x:c r="G56" s="2" t="str">
        <x:v>Stores</x:v>
      </x:c>
      <x:c r="H56" s="2" t="str">
        <x:v>Central Market</x:v>
      </x:c>
      <x:c r="I56" s="2" t="n">
        <x:v>8</x:v>
      </x:c>
      <x:c r="J56" s="2" t="n">
        <x:v>0</x:v>
      </x:c>
      <x:c r="K56" s="2" t="n">
        <x:f>I56-J56</x:f>
        <x:v>8</x:v>
      </x:c>
      <x:c r="L56" s="16" t="n">
        <x:v>12</x:v>
      </x:c>
      <x:c r="M56" s="16" t="n">
        <x:v>12</x:v>
      </x:c>
      <x:c r="N56" s="16" t="n">
        <x:v>4.32</x:v>
      </x:c>
      <x:c r="O56" s="16" t="n">
        <x:f>K56*M56</x:f>
        <x:v>96</x:v>
      </x:c>
      <x:c r="P56" s="16" t="n">
        <x:f>K56*N56</x:f>
        <x:v>34.56</x:v>
      </x:c>
      <x:c r="Q56" s="16" t="n">
        <x:f>O56-P56</x:f>
        <x:v>61.44</x:v>
      </x:c>
      <x:c r="R56" s="2" t="n">
        <x:v>8</x:v>
      </x:c>
      <x:c r="S56" s="2" t="n">
        <x:v>0</x:v>
      </x:c>
      <x:c r="T56" s="2" t="n">
        <x:f>R56+S56+J56-I56</x:f>
        <x:v>0</x:v>
      </x:c>
      <x:c r="U56" s="2" t="n">
        <x:v>0</x:v>
      </x:c>
      <x:c r="V56" s="2" t="n">
        <x:v>2</x:v>
      </x:c>
      <x:c r="W56" s="2" t="n">
        <x:v>36</x:v>
      </x:c>
      <x:c r="X56" s="14" t="b">
        <x:v>0</x:v>
      </x:c>
      <x:c r="Y56" s="14" t="b">
        <x:v>0</x:v>
      </x:c>
      <x:c r="Z56" s="2" t="n">
        <x:f>ABS(T56-AA56)</x:f>
        <x:v>0</x:v>
      </x:c>
      <x:c r="AA56" s="2" t="n">
        <x:v>0</x:v>
      </x:c>
      <x:c r="AB56" s="2" t="n">
        <x:f>ABS(K56-W56)</x:f>
        <x:v>28</x:v>
      </x:c>
      <x:c r="AC56" s="2" t="n">
        <x:f>COUNTIF($A$2:$A$1921,A56)-1</x:f>
        <x:v>0</x:v>
      </x:c>
      <x:c r="AD56" s="2" t="n">
        <x:f>IF(AND(D56=D55,H56=H55,C56=C55+1),ABS(R56-T55),0)</x:f>
        <x:v>0</x:v>
      </x:c>
    </x:row>
    <x:row r="57" ht="23" customHeight="1">
      <x:c r="A57" s="2" t="str">
        <x:v>DEMO-101-2-16</x:v>
      </x:c>
      <x:c r="B57" s="15" t="d">
        <x:v>2026-08-17T00:00:00.000Z</x:v>
      </x:c>
      <x:c r="C57" s="2" t="n">
        <x:v>16</x:v>
      </x:c>
      <x:c r="D57" s="2" t="str">
        <x:v>DEMO-101</x:v>
      </x:c>
      <x:c r="E57" s="2" t="str">
        <x:v>Orbit Notebook</x:v>
      </x:c>
      <x:c r="F57" s="2" t="str">
        <x:v>Stationery</x:v>
      </x:c>
      <x:c r="G57" s="2" t="str">
        <x:v>Stores</x:v>
      </x:c>
      <x:c r="H57" s="2" t="str">
        <x:v>Central Market</x:v>
      </x:c>
      <x:c r="I57" s="2" t="n">
        <x:v>0</x:v>
      </x:c>
      <x:c r="J57" s="2" t="n">
        <x:v>0</x:v>
      </x:c>
      <x:c r="K57" s="2" t="n">
        <x:f>I57-J57</x:f>
        <x:v>0</x:v>
      </x:c>
      <x:c r="L57" s="16" t="n">
        <x:v>12</x:v>
      </x:c>
      <x:c r="M57" s="16" t="n">
        <x:v>12</x:v>
      </x:c>
      <x:c r="N57" s="16" t="n">
        <x:v>4.32</x:v>
      </x:c>
      <x:c r="O57" s="16" t="n">
        <x:f>K57*M57</x:f>
        <x:v>0</x:v>
      </x:c>
      <x:c r="P57" s="16" t="n">
        <x:f>K57*N57</x:f>
        <x:v>0</x:v>
      </x:c>
      <x:c r="Q57" s="16" t="n">
        <x:f>O57-P57</x:f>
        <x:v>0</x:v>
      </x:c>
      <x:c r="R57" s="2" t="n">
        <x:v>0</x:v>
      </x:c>
      <x:c r="S57" s="2" t="n">
        <x:v>0</x:v>
      </x:c>
      <x:c r="T57" s="2" t="n">
        <x:f>R57+S57+J57-I57</x:f>
        <x:v>0</x:v>
      </x:c>
      <x:c r="U57" s="2" t="n">
        <x:v>0</x:v>
      </x:c>
      <x:c r="V57" s="2" t="n">
        <x:v>2</x:v>
      </x:c>
      <x:c r="W57" s="2" t="n">
        <x:v>30</x:v>
      </x:c>
      <x:c r="X57" s="14" t="b">
        <x:v>0</x:v>
      </x:c>
      <x:c r="Y57" s="14" t="b">
        <x:v>0</x:v>
      </x:c>
      <x:c r="Z57" s="2" t="n">
        <x:f>ABS(T57-AA57)</x:f>
        <x:v>0</x:v>
      </x:c>
      <x:c r="AA57" s="2" t="n">
        <x:v>0</x:v>
      </x:c>
      <x:c r="AB57" s="2" t="n">
        <x:f>ABS(K57-W57)</x:f>
        <x:v>30</x:v>
      </x:c>
      <x:c r="AC57" s="2" t="n">
        <x:f>COUNTIF($A$2:$A$1921,A57)-1</x:f>
        <x:v>0</x:v>
      </x:c>
      <x:c r="AD57" s="2" t="n">
        <x:f>IF(AND(D57=D56,H57=H56,C57=C56+1),ABS(R57-T56),0)</x:f>
        <x:v>0</x:v>
      </x:c>
    </x:row>
    <x:row r="58" ht="23" customHeight="1">
      <x:c r="A58" s="2" t="str">
        <x:v>DEMO-101-2-17</x:v>
      </x:c>
      <x:c r="B58" s="15" t="d">
        <x:v>2026-08-24T00:00:00.000Z</x:v>
      </x:c>
      <x:c r="C58" s="2" t="n">
        <x:v>17</x:v>
      </x:c>
      <x:c r="D58" s="2" t="str">
        <x:v>DEMO-101</x:v>
      </x:c>
      <x:c r="E58" s="2" t="str">
        <x:v>Orbit Notebook</x:v>
      </x:c>
      <x:c r="F58" s="2" t="str">
        <x:v>Stationery</x:v>
      </x:c>
      <x:c r="G58" s="2" t="str">
        <x:v>Stores</x:v>
      </x:c>
      <x:c r="H58" s="2" t="str">
        <x:v>Central Market</x:v>
      </x:c>
      <x:c r="I58" s="2" t="n">
        <x:v>35</x:v>
      </x:c>
      <x:c r="J58" s="2" t="n">
        <x:v>1</x:v>
      </x:c>
      <x:c r="K58" s="2" t="n">
        <x:f>I58-J58</x:f>
        <x:v>34</x:v>
      </x:c>
      <x:c r="L58" s="16" t="n">
        <x:v>12</x:v>
      </x:c>
      <x:c r="M58" s="16" t="n">
        <x:v>12</x:v>
      </x:c>
      <x:c r="N58" s="16" t="n">
        <x:v>4.32</x:v>
      </x:c>
      <x:c r="O58" s="16" t="n">
        <x:f>K58*M58</x:f>
        <x:v>408</x:v>
      </x:c>
      <x:c r="P58" s="16" t="n">
        <x:f>K58*N58</x:f>
        <x:v>146.88</x:v>
      </x:c>
      <x:c r="Q58" s="16" t="n">
        <x:f>O58-P58</x:f>
        <x:v>261.12</x:v>
      </x:c>
      <x:c r="R58" s="2" t="n">
        <x:v>0</x:v>
      </x:c>
      <x:c r="S58" s="2" t="n">
        <x:v>35</x:v>
      </x:c>
      <x:c r="T58" s="2" t="n">
        <x:f>R58+S58+J58-I58</x:f>
        <x:v>1</x:v>
      </x:c>
      <x:c r="U58" s="2" t="n">
        <x:v>0</x:v>
      </x:c>
      <x:c r="V58" s="2" t="n">
        <x:v>4</x:v>
      </x:c>
      <x:c r="W58" s="2" t="n">
        <x:v>23</x:v>
      </x:c>
      <x:c r="X58" s="14" t="b">
        <x:v>0</x:v>
      </x:c>
      <x:c r="Y58" s="14" t="b">
        <x:v>0</x:v>
      </x:c>
      <x:c r="Z58" s="2" t="n">
        <x:f>ABS(T58-AA58)</x:f>
        <x:v>0</x:v>
      </x:c>
      <x:c r="AA58" s="2" t="n">
        <x:v>1</x:v>
      </x:c>
      <x:c r="AB58" s="2" t="n">
        <x:f>ABS(K58-W58)</x:f>
        <x:v>11</x:v>
      </x:c>
      <x:c r="AC58" s="2" t="n">
        <x:f>COUNTIF($A$2:$A$1921,A58)-1</x:f>
        <x:v>0</x:v>
      </x:c>
      <x:c r="AD58" s="2" t="n">
        <x:f>IF(AND(D58=D57,H58=H57,C58=C57+1),ABS(R58-T57),0)</x:f>
        <x:v>0</x:v>
      </x:c>
    </x:row>
    <x:row r="59" ht="23" customHeight="1">
      <x:c r="A59" s="2" t="str">
        <x:v>DEMO-101-2-18</x:v>
      </x:c>
      <x:c r="B59" s="15" t="d">
        <x:v>2026-08-31T00:00:00.000Z</x:v>
      </x:c>
      <x:c r="C59" s="2" t="n">
        <x:v>18</x:v>
      </x:c>
      <x:c r="D59" s="2" t="str">
        <x:v>DEMO-101</x:v>
      </x:c>
      <x:c r="E59" s="2" t="str">
        <x:v>Orbit Notebook</x:v>
      </x:c>
      <x:c r="F59" s="2" t="str">
        <x:v>Stationery</x:v>
      </x:c>
      <x:c r="G59" s="2" t="str">
        <x:v>Stores</x:v>
      </x:c>
      <x:c r="H59" s="2" t="str">
        <x:v>Central Market</x:v>
      </x:c>
      <x:c r="I59" s="2" t="n">
        <x:v>1</x:v>
      </x:c>
      <x:c r="J59" s="2" t="n">
        <x:v>0</x:v>
      </x:c>
      <x:c r="K59" s="2" t="n">
        <x:f>I59-J59</x:f>
        <x:v>1</x:v>
      </x:c>
      <x:c r="L59" s="16" t="n">
        <x:v>12</x:v>
      </x:c>
      <x:c r="M59" s="16" t="n">
        <x:v>12</x:v>
      </x:c>
      <x:c r="N59" s="16" t="n">
        <x:v>4.32</x:v>
      </x:c>
      <x:c r="O59" s="16" t="n">
        <x:f>K59*M59</x:f>
        <x:v>12</x:v>
      </x:c>
      <x:c r="P59" s="16" t="n">
        <x:f>K59*N59</x:f>
        <x:v>4.32</x:v>
      </x:c>
      <x:c r="Q59" s="16" t="n">
        <x:f>O59-P59</x:f>
        <x:v>7.68</x:v>
      </x:c>
      <x:c r="R59" s="2" t="n">
        <x:v>1</x:v>
      </x:c>
      <x:c r="S59" s="2" t="n">
        <x:v>0</x:v>
      </x:c>
      <x:c r="T59" s="2" t="n">
        <x:f>R59+S59+J59-I59</x:f>
        <x:v>0</x:v>
      </x:c>
      <x:c r="U59" s="2" t="n">
        <x:v>0</x:v>
      </x:c>
      <x:c r="V59" s="2" t="n">
        <x:v>4</x:v>
      </x:c>
      <x:c r="W59" s="2" t="n">
        <x:v>21</x:v>
      </x:c>
      <x:c r="X59" s="14" t="b">
        <x:v>0</x:v>
      </x:c>
      <x:c r="Y59" s="14" t="b">
        <x:v>0</x:v>
      </x:c>
      <x:c r="Z59" s="2" t="n">
        <x:f>ABS(T59-AA59)</x:f>
        <x:v>0</x:v>
      </x:c>
      <x:c r="AA59" s="2" t="n">
        <x:v>0</x:v>
      </x:c>
      <x:c r="AB59" s="2" t="n">
        <x:f>ABS(K59-W59)</x:f>
        <x:v>20</x:v>
      </x:c>
      <x:c r="AC59" s="2" t="n">
        <x:f>COUNTIF($A$2:$A$1921,A59)-1</x:f>
        <x:v>0</x:v>
      </x:c>
      <x:c r="AD59" s="2" t="n">
        <x:f>IF(AND(D59=D58,H59=H58,C59=C58+1),ABS(R59-T58),0)</x:f>
        <x:v>0</x:v>
      </x:c>
    </x:row>
    <x:row r="60" ht="23" customHeight="1">
      <x:c r="A60" s="2" t="str">
        <x:v>DEMO-101-2-19</x:v>
      </x:c>
      <x:c r="B60" s="15" t="d">
        <x:v>2026-09-07T00:00:00.000Z</x:v>
      </x:c>
      <x:c r="C60" s="2" t="n">
        <x:v>19</x:v>
      </x:c>
      <x:c r="D60" s="2" t="str">
        <x:v>DEMO-101</x:v>
      </x:c>
      <x:c r="E60" s="2" t="str">
        <x:v>Orbit Notebook</x:v>
      </x:c>
      <x:c r="F60" s="2" t="str">
        <x:v>Stationery</x:v>
      </x:c>
      <x:c r="G60" s="2" t="str">
        <x:v>Stores</x:v>
      </x:c>
      <x:c r="H60" s="2" t="str">
        <x:v>Central Market</x:v>
      </x:c>
      <x:c r="I60" s="2" t="n">
        <x:v>0</x:v>
      </x:c>
      <x:c r="J60" s="2" t="n">
        <x:v>0</x:v>
      </x:c>
      <x:c r="K60" s="2" t="n">
        <x:f>I60-J60</x:f>
        <x:v>0</x:v>
      </x:c>
      <x:c r="L60" s="16" t="n">
        <x:v>12</x:v>
      </x:c>
      <x:c r="M60" s="16" t="n">
        <x:v>12</x:v>
      </x:c>
      <x:c r="N60" s="16" t="n">
        <x:v>4.32</x:v>
      </x:c>
      <x:c r="O60" s="16" t="n">
        <x:f>K60*M60</x:f>
        <x:v>0</x:v>
      </x:c>
      <x:c r="P60" s="16" t="n">
        <x:f>K60*N60</x:f>
        <x:v>0</x:v>
      </x:c>
      <x:c r="Q60" s="16" t="n">
        <x:f>O60-P60</x:f>
        <x:v>0</x:v>
      </x:c>
      <x:c r="R60" s="2" t="n">
        <x:v>0</x:v>
      </x:c>
      <x:c r="S60" s="2" t="n">
        <x:v>0</x:v>
      </x:c>
      <x:c r="T60" s="2" t="n">
        <x:f>R60+S60+J60-I60</x:f>
        <x:v>0</x:v>
      </x:c>
      <x:c r="U60" s="2" t="n">
        <x:v>0</x:v>
      </x:c>
      <x:c r="V60" s="2" t="n">
        <x:v>4</x:v>
      </x:c>
      <x:c r="W60" s="2" t="n">
        <x:v>11</x:v>
      </x:c>
      <x:c r="X60" s="14" t="b">
        <x:v>0</x:v>
      </x:c>
      <x:c r="Y60" s="14" t="b">
        <x:v>0</x:v>
      </x:c>
      <x:c r="Z60" s="2" t="n">
        <x:f>ABS(T60-AA60)</x:f>
        <x:v>0</x:v>
      </x:c>
      <x:c r="AA60" s="2" t="n">
        <x:v>0</x:v>
      </x:c>
      <x:c r="AB60" s="2" t="n">
        <x:f>ABS(K60-W60)</x:f>
        <x:v>11</x:v>
      </x:c>
      <x:c r="AC60" s="2" t="n">
        <x:f>COUNTIF($A$2:$A$1921,A60)-1</x:f>
        <x:v>0</x:v>
      </x:c>
      <x:c r="AD60" s="2" t="n">
        <x:f>IF(AND(D60=D59,H60=H59,C60=C59+1),ABS(R60-T59),0)</x:f>
        <x:v>0</x:v>
      </x:c>
    </x:row>
    <x:row r="61" ht="23" customHeight="1">
      <x:c r="A61" s="2" t="str">
        <x:v>DEMO-101-2-20</x:v>
      </x:c>
      <x:c r="B61" s="15" t="d">
        <x:v>2026-09-14T00:00:00.000Z</x:v>
      </x:c>
      <x:c r="C61" s="2" t="n">
        <x:v>20</x:v>
      </x:c>
      <x:c r="D61" s="2" t="str">
        <x:v>DEMO-101</x:v>
      </x:c>
      <x:c r="E61" s="2" t="str">
        <x:v>Orbit Notebook</x:v>
      </x:c>
      <x:c r="F61" s="2" t="str">
        <x:v>Stationery</x:v>
      </x:c>
      <x:c r="G61" s="2" t="str">
        <x:v>Stores</x:v>
      </x:c>
      <x:c r="H61" s="2" t="str">
        <x:v>Central Market</x:v>
      </x:c>
      <x:c r="I61" s="2" t="n">
        <x:v>0</x:v>
      </x:c>
      <x:c r="J61" s="2" t="n">
        <x:v>0</x:v>
      </x:c>
      <x:c r="K61" s="2" t="n">
        <x:f>I61-J61</x:f>
        <x:v>0</x:v>
      </x:c>
      <x:c r="L61" s="16" t="n">
        <x:v>12</x:v>
      </x:c>
      <x:c r="M61" s="16" t="n">
        <x:v>12</x:v>
      </x:c>
      <x:c r="N61" s="16" t="n">
        <x:v>4.32</x:v>
      </x:c>
      <x:c r="O61" s="16" t="n">
        <x:f>K61*M61</x:f>
        <x:v>0</x:v>
      </x:c>
      <x:c r="P61" s="16" t="n">
        <x:f>K61*N61</x:f>
        <x:v>0</x:v>
      </x:c>
      <x:c r="Q61" s="16" t="n">
        <x:f>O61-P61</x:f>
        <x:v>0</x:v>
      </x:c>
      <x:c r="R61" s="2" t="n">
        <x:v>0</x:v>
      </x:c>
      <x:c r="S61" s="2" t="n">
        <x:v>0</x:v>
      </x:c>
      <x:c r="T61" s="2" t="n">
        <x:f>R61+S61+J61-I61</x:f>
        <x:v>0</x:v>
      </x:c>
      <x:c r="U61" s="2" t="n">
        <x:v>6</x:v>
      </x:c>
      <x:c r="V61" s="2" t="n">
        <x:v>4</x:v>
      </x:c>
      <x:c r="W61" s="2" t="n">
        <x:v>9</x:v>
      </x:c>
      <x:c r="X61" s="14" t="b">
        <x:v>0</x:v>
      </x:c>
      <x:c r="Y61" s="14" t="b">
        <x:v>0</x:v>
      </x:c>
      <x:c r="Z61" s="2" t="n">
        <x:f>ABS(T61-AA61)</x:f>
        <x:v>0</x:v>
      </x:c>
      <x:c r="AA61" s="2" t="n">
        <x:v>0</x:v>
      </x:c>
      <x:c r="AB61" s="2" t="n">
        <x:f>ABS(K61-W61)</x:f>
        <x:v>9</x:v>
      </x:c>
      <x:c r="AC61" s="2" t="n">
        <x:f>COUNTIF($A$2:$A$1921,A61)-1</x:f>
        <x:v>0</x:v>
      </x:c>
      <x:c r="AD61" s="2" t="n">
        <x:f>IF(AND(D61=D60,H61=H60,C61=C60+1),ABS(R61-T60),0)</x:f>
        <x:v>0</x:v>
      </x:c>
    </x:row>
    <x:row r="62" ht="23" customHeight="1">
      <x:c r="A62" s="2" t="str">
        <x:v>DEMO-101-3-1</x:v>
      </x:c>
      <x:c r="B62" s="15" t="d">
        <x:v>2026-05-04T00:00:00.000Z</x:v>
      </x:c>
      <x:c r="C62" s="2" t="n">
        <x:v>1</x:v>
      </x:c>
      <x:c r="D62" s="2" t="str">
        <x:v>DEMO-101</x:v>
      </x:c>
      <x:c r="E62" s="2" t="str">
        <x:v>Orbit Notebook</x:v>
      </x:c>
      <x:c r="F62" s="2" t="str">
        <x:v>Stationery</x:v>
      </x:c>
      <x:c r="G62" s="2" t="str">
        <x:v>Online</x:v>
      </x:c>
      <x:c r="H62" s="2" t="str">
        <x:v>Online</x:v>
      </x:c>
      <x:c r="I62" s="2" t="n">
        <x:v>46</x:v>
      </x:c>
      <x:c r="J62" s="2" t="n">
        <x:v>0</x:v>
      </x:c>
      <x:c r="K62" s="2" t="n">
        <x:f>I62-J62</x:f>
        <x:v>46</x:v>
      </x:c>
      <x:c r="L62" s="16" t="n">
        <x:v>12</x:v>
      </x:c>
      <x:c r="M62" s="16" t="n">
        <x:v>12</x:v>
      </x:c>
      <x:c r="N62" s="16" t="n">
        <x:v>4.32</x:v>
      </x:c>
      <x:c r="O62" s="16" t="n">
        <x:f>K62*M62</x:f>
        <x:v>552</x:v>
      </x:c>
      <x:c r="P62" s="16" t="n">
        <x:f>K62*N62</x:f>
        <x:v>198.72000000000003</x:v>
      </x:c>
      <x:c r="Q62" s="16" t="n">
        <x:f>O62-P62</x:f>
        <x:v>353.28</x:v>
      </x:c>
      <x:c r="R62" s="2" t="n">
        <x:v>90</x:v>
      </x:c>
      <x:c r="S62" s="2" t="n">
        <x:v>90</x:v>
      </x:c>
      <x:c r="T62" s="2" t="n">
        <x:f>R62+S62+J62-I62</x:f>
        <x:v>134</x:v>
      </x:c>
      <x:c r="U62" s="2" t="n">
        <x:v>0</x:v>
      </x:c>
      <x:c r="V62" s="2" t="n">
        <x:v>2</x:v>
      </x:c>
      <x:c r="W62" s="2" t="n">
        <x:v>43</x:v>
      </x:c>
      <x:c r="X62" s="14" t="b">
        <x:v>0</x:v>
      </x:c>
      <x:c r="Y62" s="14" t="b">
        <x:v>0</x:v>
      </x:c>
      <x:c r="Z62" s="2" t="n">
        <x:f>ABS(T62-AA62)</x:f>
        <x:v>0</x:v>
      </x:c>
      <x:c r="AA62" s="2" t="n">
        <x:v>134</x:v>
      </x:c>
      <x:c r="AB62" s="2" t="n">
        <x:f>ABS(K62-W62)</x:f>
        <x:v>3</x:v>
      </x:c>
      <x:c r="AC62" s="2" t="n">
        <x:f>COUNTIF($A$2:$A$1921,A62)-1</x:f>
        <x:v>0</x:v>
      </x:c>
      <x:c r="AD62" s="2" t="n">
        <x:f>IF(AND(D62=D61,H62=H61,C62=C61+1),ABS(R62-T61),0)</x:f>
        <x:v>0</x:v>
      </x:c>
    </x:row>
    <x:row r="63" ht="23" customHeight="1">
      <x:c r="A63" s="2" t="str">
        <x:v>DEMO-101-3-2</x:v>
      </x:c>
      <x:c r="B63" s="15" t="d">
        <x:v>2026-05-11T00:00:00.000Z</x:v>
      </x:c>
      <x:c r="C63" s="2" t="n">
        <x:v>2</x:v>
      </x:c>
      <x:c r="D63" s="2" t="str">
        <x:v>DEMO-101</x:v>
      </x:c>
      <x:c r="E63" s="2" t="str">
        <x:v>Orbit Notebook</x:v>
      </x:c>
      <x:c r="F63" s="2" t="str">
        <x:v>Stationery</x:v>
      </x:c>
      <x:c r="G63" s="2" t="str">
        <x:v>Online</x:v>
      </x:c>
      <x:c r="H63" s="2" t="str">
        <x:v>Online</x:v>
      </x:c>
      <x:c r="I63" s="2" t="n">
        <x:v>53</x:v>
      </x:c>
      <x:c r="J63" s="2" t="n">
        <x:v>1</x:v>
      </x:c>
      <x:c r="K63" s="2" t="n">
        <x:f>I63-J63</x:f>
        <x:v>52</x:v>
      </x:c>
      <x:c r="L63" s="16" t="n">
        <x:v>12</x:v>
      </x:c>
      <x:c r="M63" s="16" t="n">
        <x:v>12</x:v>
      </x:c>
      <x:c r="N63" s="16" t="n">
        <x:v>4.32</x:v>
      </x:c>
      <x:c r="O63" s="16" t="n">
        <x:f>K63*M63</x:f>
        <x:v>624</x:v>
      </x:c>
      <x:c r="P63" s="16" t="n">
        <x:f>K63*N63</x:f>
        <x:v>224.64000000000001</x:v>
      </x:c>
      <x:c r="Q63" s="16" t="n">
        <x:f>O63-P63</x:f>
        <x:v>399.36</x:v>
      </x:c>
      <x:c r="R63" s="2" t="n">
        <x:v>134</x:v>
      </x:c>
      <x:c r="S63" s="2" t="n">
        <x:v>0</x:v>
      </x:c>
      <x:c r="T63" s="2" t="n">
        <x:f>R63+S63+J63-I63</x:f>
        <x:v>82</x:v>
      </x:c>
      <x:c r="U63" s="2" t="n">
        <x:v>0</x:v>
      </x:c>
      <x:c r="V63" s="2" t="n">
        <x:v>2</x:v>
      </x:c>
      <x:c r="W63" s="2" t="n">
        <x:v>46</x:v>
      </x:c>
      <x:c r="X63" s="14" t="b">
        <x:v>0</x:v>
      </x:c>
      <x:c r="Y63" s="14" t="b">
        <x:v>0</x:v>
      </x:c>
      <x:c r="Z63" s="2" t="n">
        <x:f>ABS(T63-AA63)</x:f>
        <x:v>0</x:v>
      </x:c>
      <x:c r="AA63" s="2" t="n">
        <x:v>82</x:v>
      </x:c>
      <x:c r="AB63" s="2" t="n">
        <x:f>ABS(K63-W63)</x:f>
        <x:v>6</x:v>
      </x:c>
      <x:c r="AC63" s="2" t="n">
        <x:f>COUNTIF($A$2:$A$1921,A63)-1</x:f>
        <x:v>0</x:v>
      </x:c>
      <x:c r="AD63" s="2" t="n">
        <x:f>IF(AND(D63=D62,H63=H62,C63=C62+1),ABS(R63-T62),0)</x:f>
        <x:v>0</x:v>
      </x:c>
    </x:row>
    <x:row r="64" ht="23" customHeight="1">
      <x:c r="A64" s="2" t="str">
        <x:v>DEMO-101-3-3</x:v>
      </x:c>
      <x:c r="B64" s="15" t="d">
        <x:v>2026-05-18T00:00:00.000Z</x:v>
      </x:c>
      <x:c r="C64" s="2" t="n">
        <x:v>3</x:v>
      </x:c>
      <x:c r="D64" s="2" t="str">
        <x:v>DEMO-101</x:v>
      </x:c>
      <x:c r="E64" s="2" t="str">
        <x:v>Orbit Notebook</x:v>
      </x:c>
      <x:c r="F64" s="2" t="str">
        <x:v>Stationery</x:v>
      </x:c>
      <x:c r="G64" s="2" t="str">
        <x:v>Online</x:v>
      </x:c>
      <x:c r="H64" s="2" t="str">
        <x:v>Online</x:v>
      </x:c>
      <x:c r="I64" s="2" t="n">
        <x:v>51</x:v>
      </x:c>
      <x:c r="J64" s="2" t="n">
        <x:v>1</x:v>
      </x:c>
      <x:c r="K64" s="2" t="n">
        <x:f>I64-J64</x:f>
        <x:v>50</x:v>
      </x:c>
      <x:c r="L64" s="16" t="n">
        <x:v>12</x:v>
      </x:c>
      <x:c r="M64" s="16" t="n">
        <x:v>12</x:v>
      </x:c>
      <x:c r="N64" s="16" t="n">
        <x:v>4.32</x:v>
      </x:c>
      <x:c r="O64" s="16" t="n">
        <x:f>K64*M64</x:f>
        <x:v>600</x:v>
      </x:c>
      <x:c r="P64" s="16" t="n">
        <x:f>K64*N64</x:f>
        <x:v>216</x:v>
      </x:c>
      <x:c r="Q64" s="16" t="n">
        <x:f>O64-P64</x:f>
        <x:v>384</x:v>
      </x:c>
      <x:c r="R64" s="2" t="n">
        <x:v>82</x:v>
      </x:c>
      <x:c r="S64" s="2" t="n">
        <x:v>0</x:v>
      </x:c>
      <x:c r="T64" s="2" t="n">
        <x:f>R64+S64+J64-I64</x:f>
        <x:v>32</x:v>
      </x:c>
      <x:c r="U64" s="2" t="n">
        <x:v>0</x:v>
      </x:c>
      <x:c r="V64" s="2" t="n">
        <x:v>2</x:v>
      </x:c>
      <x:c r="W64" s="2" t="n">
        <x:v>49</x:v>
      </x:c>
      <x:c r="X64" s="14" t="b">
        <x:v>0</x:v>
      </x:c>
      <x:c r="Y64" s="14" t="b">
        <x:v>0</x:v>
      </x:c>
      <x:c r="Z64" s="2" t="n">
        <x:f>ABS(T64-AA64)</x:f>
        <x:v>0</x:v>
      </x:c>
      <x:c r="AA64" s="2" t="n">
        <x:v>32</x:v>
      </x:c>
      <x:c r="AB64" s="2" t="n">
        <x:f>ABS(K64-W64)</x:f>
        <x:v>1</x:v>
      </x:c>
      <x:c r="AC64" s="2" t="n">
        <x:f>COUNTIF($A$2:$A$1921,A64)-1</x:f>
        <x:v>0</x:v>
      </x:c>
      <x:c r="AD64" s="2" t="n">
        <x:f>IF(AND(D64=D63,H64=H63,C64=C63+1),ABS(R64-T63),0)</x:f>
        <x:v>0</x:v>
      </x:c>
    </x:row>
    <x:row r="65" ht="23" customHeight="1">
      <x:c r="A65" s="2" t="str">
        <x:v>DEMO-101-3-4</x:v>
      </x:c>
      <x:c r="B65" s="15" t="d">
        <x:v>2026-05-25T00:00:00.000Z</x:v>
      </x:c>
      <x:c r="C65" s="2" t="n">
        <x:v>4</x:v>
      </x:c>
      <x:c r="D65" s="2" t="str">
        <x:v>DEMO-101</x:v>
      </x:c>
      <x:c r="E65" s="2" t="str">
        <x:v>Orbit Notebook</x:v>
      </x:c>
      <x:c r="F65" s="2" t="str">
        <x:v>Stationery</x:v>
      </x:c>
      <x:c r="G65" s="2" t="str">
        <x:v>Online</x:v>
      </x:c>
      <x:c r="H65" s="2" t="str">
        <x:v>Online</x:v>
      </x:c>
      <x:c r="I65" s="2" t="n">
        <x:v>32</x:v>
      </x:c>
      <x:c r="J65" s="2" t="n">
        <x:v>0</x:v>
      </x:c>
      <x:c r="K65" s="2" t="n">
        <x:f>I65-J65</x:f>
        <x:v>32</x:v>
      </x:c>
      <x:c r="L65" s="16" t="n">
        <x:v>12</x:v>
      </x:c>
      <x:c r="M65" s="16" t="n">
        <x:v>12</x:v>
      </x:c>
      <x:c r="N65" s="16" t="n">
        <x:v>4.32</x:v>
      </x:c>
      <x:c r="O65" s="16" t="n">
        <x:f>K65*M65</x:f>
        <x:v>384</x:v>
      </x:c>
      <x:c r="P65" s="16" t="n">
        <x:f>K65*N65</x:f>
        <x:v>138.24</x:v>
      </x:c>
      <x:c r="Q65" s="16" t="n">
        <x:f>O65-P65</x:f>
        <x:v>245.76</x:v>
      </x:c>
      <x:c r="R65" s="2" t="n">
        <x:v>32</x:v>
      </x:c>
      <x:c r="S65" s="2" t="n">
        <x:v>0</x:v>
      </x:c>
      <x:c r="T65" s="2" t="n">
        <x:f>R65+S65+J65-I65</x:f>
        <x:v>0</x:v>
      </x:c>
      <x:c r="U65" s="2" t="n">
        <x:v>0</x:v>
      </x:c>
      <x:c r="V65" s="2" t="n">
        <x:v>2</x:v>
      </x:c>
      <x:c r="W65" s="2" t="n">
        <x:v>49</x:v>
      </x:c>
      <x:c r="X65" s="14" t="b">
        <x:v>0</x:v>
      </x:c>
      <x:c r="Y65" s="14" t="b">
        <x:v>0</x:v>
      </x:c>
      <x:c r="Z65" s="2" t="n">
        <x:f>ABS(T65-AA65)</x:f>
        <x:v>0</x:v>
      </x:c>
      <x:c r="AA65" s="2" t="n">
        <x:v>0</x:v>
      </x:c>
      <x:c r="AB65" s="2" t="n">
        <x:f>ABS(K65-W65)</x:f>
        <x:v>17</x:v>
      </x:c>
      <x:c r="AC65" s="2" t="n">
        <x:f>COUNTIF($A$2:$A$1921,A65)-1</x:f>
        <x:v>0</x:v>
      </x:c>
      <x:c r="AD65" s="2" t="n">
        <x:f>IF(AND(D65=D64,H65=H64,C65=C64+1),ABS(R65-T64),0)</x:f>
        <x:v>0</x:v>
      </x:c>
    </x:row>
    <x:row r="66" ht="23" customHeight="1">
      <x:c r="A66" s="2" t="str">
        <x:v>DEMO-101-3-5</x:v>
      </x:c>
      <x:c r="B66" s="15" t="d">
        <x:v>2026-06-01T00:00:00.000Z</x:v>
      </x:c>
      <x:c r="C66" s="2" t="n">
        <x:v>5</x:v>
      </x:c>
      <x:c r="D66" s="2" t="str">
        <x:v>DEMO-101</x:v>
      </x:c>
      <x:c r="E66" s="2" t="str">
        <x:v>Orbit Notebook</x:v>
      </x:c>
      <x:c r="F66" s="2" t="str">
        <x:v>Stationery</x:v>
      </x:c>
      <x:c r="G66" s="2" t="str">
        <x:v>Online</x:v>
      </x:c>
      <x:c r="H66" s="2" t="str">
        <x:v>Online</x:v>
      </x:c>
      <x:c r="I66" s="2" t="n">
        <x:v>53</x:v>
      </x:c>
      <x:c r="J66" s="2" t="n">
        <x:v>0</x:v>
      </x:c>
      <x:c r="K66" s="2" t="n">
        <x:f>I66-J66</x:f>
        <x:v>53</x:v>
      </x:c>
      <x:c r="L66" s="16" t="n">
        <x:v>12</x:v>
      </x:c>
      <x:c r="M66" s="16" t="n">
        <x:v>12</x:v>
      </x:c>
      <x:c r="N66" s="16" t="n">
        <x:v>4.32</x:v>
      </x:c>
      <x:c r="O66" s="16" t="n">
        <x:f>K66*M66</x:f>
        <x:v>636</x:v>
      </x:c>
      <x:c r="P66" s="16" t="n">
        <x:f>K66*N66</x:f>
        <x:v>228.96</x:v>
      </x:c>
      <x:c r="Q66" s="16" t="n">
        <x:f>O66-P66</x:f>
        <x:v>407.03999999999996</x:v>
      </x:c>
      <x:c r="R66" s="2" t="n">
        <x:v>0</x:v>
      </x:c>
      <x:c r="S66" s="2" t="n">
        <x:v>90</x:v>
      </x:c>
      <x:c r="T66" s="2" t="n">
        <x:f>R66+S66+J66-I66</x:f>
        <x:v>37</x:v>
      </x:c>
      <x:c r="U66" s="2" t="n">
        <x:v>0</x:v>
      </x:c>
      <x:c r="V66" s="2" t="n">
        <x:v>2</x:v>
      </x:c>
      <x:c r="W66" s="2" t="n">
        <x:v>45</x:v>
      </x:c>
      <x:c r="X66" s="14" t="b">
        <x:v>0</x:v>
      </x:c>
      <x:c r="Y66" s="14" t="b">
        <x:v>0</x:v>
      </x:c>
      <x:c r="Z66" s="2" t="n">
        <x:f>ABS(T66-AA66)</x:f>
        <x:v>0</x:v>
      </x:c>
      <x:c r="AA66" s="2" t="n">
        <x:v>37</x:v>
      </x:c>
      <x:c r="AB66" s="2" t="n">
        <x:f>ABS(K66-W66)</x:f>
        <x:v>8</x:v>
      </x:c>
      <x:c r="AC66" s="2" t="n">
        <x:f>COUNTIF($A$2:$A$1921,A66)-1</x:f>
        <x:v>0</x:v>
      </x:c>
      <x:c r="AD66" s="2" t="n">
        <x:f>IF(AND(D66=D65,H66=H65,C66=C65+1),ABS(R66-T65),0)</x:f>
        <x:v>0</x:v>
      </x:c>
    </x:row>
    <x:row r="67" ht="23" customHeight="1">
      <x:c r="A67" s="2" t="str">
        <x:v>DEMO-101-3-6</x:v>
      </x:c>
      <x:c r="B67" s="15" t="d">
        <x:v>2026-06-08T00:00:00.000Z</x:v>
      </x:c>
      <x:c r="C67" s="2" t="n">
        <x:v>6</x:v>
      </x:c>
      <x:c r="D67" s="2" t="str">
        <x:v>DEMO-101</x:v>
      </x:c>
      <x:c r="E67" s="2" t="str">
        <x:v>Orbit Notebook</x:v>
      </x:c>
      <x:c r="F67" s="2" t="str">
        <x:v>Stationery</x:v>
      </x:c>
      <x:c r="G67" s="2" t="str">
        <x:v>Online</x:v>
      </x:c>
      <x:c r="H67" s="2" t="str">
        <x:v>Online</x:v>
      </x:c>
      <x:c r="I67" s="2" t="n">
        <x:v>37</x:v>
      </x:c>
      <x:c r="J67" s="2" t="n">
        <x:v>0</x:v>
      </x:c>
      <x:c r="K67" s="2" t="n">
        <x:f>I67-J67</x:f>
        <x:v>37</x:v>
      </x:c>
      <x:c r="L67" s="16" t="n">
        <x:v>12</x:v>
      </x:c>
      <x:c r="M67" s="16" t="n">
        <x:v>12</x:v>
      </x:c>
      <x:c r="N67" s="16" t="n">
        <x:v>4.32</x:v>
      </x:c>
      <x:c r="O67" s="16" t="n">
        <x:f>K67*M67</x:f>
        <x:v>444</x:v>
      </x:c>
      <x:c r="P67" s="16" t="n">
        <x:f>K67*N67</x:f>
        <x:v>159.84</x:v>
      </x:c>
      <x:c r="Q67" s="16" t="n">
        <x:f>O67-P67</x:f>
        <x:v>284.15999999999997</x:v>
      </x:c>
      <x:c r="R67" s="2" t="n">
        <x:v>37</x:v>
      </x:c>
      <x:c r="S67" s="2" t="n">
        <x:v>0</x:v>
      </x:c>
      <x:c r="T67" s="2" t="n">
        <x:f>R67+S67+J67-I67</x:f>
        <x:v>0</x:v>
      </x:c>
      <x:c r="U67" s="2" t="n">
        <x:v>0</x:v>
      </x:c>
      <x:c r="V67" s="2" t="n">
        <x:v>2</x:v>
      </x:c>
      <x:c r="W67" s="2" t="n">
        <x:v>47</x:v>
      </x:c>
      <x:c r="X67" s="14" t="b">
        <x:v>0</x:v>
      </x:c>
      <x:c r="Y67" s="14" t="b">
        <x:v>0</x:v>
      </x:c>
      <x:c r="Z67" s="2" t="n">
        <x:f>ABS(T67-AA67)</x:f>
        <x:v>0</x:v>
      </x:c>
      <x:c r="AA67" s="2" t="n">
        <x:v>0</x:v>
      </x:c>
      <x:c r="AB67" s="2" t="n">
        <x:f>ABS(K67-W67)</x:f>
        <x:v>10</x:v>
      </x:c>
      <x:c r="AC67" s="2" t="n">
        <x:f>COUNTIF($A$2:$A$1921,A67)-1</x:f>
        <x:v>0</x:v>
      </x:c>
      <x:c r="AD67" s="2" t="n">
        <x:f>IF(AND(D67=D66,H67=H66,C67=C66+1),ABS(R67-T66),0)</x:f>
        <x:v>0</x:v>
      </x:c>
    </x:row>
    <x:row r="68" ht="23" customHeight="1">
      <x:c r="A68" s="2" t="str">
        <x:v>DEMO-101-3-7</x:v>
      </x:c>
      <x:c r="B68" s="15" t="d">
        <x:v>2026-06-15T00:00:00.000Z</x:v>
      </x:c>
      <x:c r="C68" s="2" t="n">
        <x:v>7</x:v>
      </x:c>
      <x:c r="D68" s="2" t="str">
        <x:v>DEMO-101</x:v>
      </x:c>
      <x:c r="E68" s="2" t="str">
        <x:v>Orbit Notebook</x:v>
      </x:c>
      <x:c r="F68" s="2" t="str">
        <x:v>Stationery</x:v>
      </x:c>
      <x:c r="G68" s="2" t="str">
        <x:v>Online</x:v>
      </x:c>
      <x:c r="H68" s="2" t="str">
        <x:v>Online</x:v>
      </x:c>
      <x:c r="I68" s="2" t="n">
        <x:v>0</x:v>
      </x:c>
      <x:c r="J68" s="2" t="n">
        <x:v>0</x:v>
      </x:c>
      <x:c r="K68" s="2" t="n">
        <x:f>I68-J68</x:f>
        <x:v>0</x:v>
      </x:c>
      <x:c r="L68" s="16" t="n">
        <x:v>12</x:v>
      </x:c>
      <x:c r="M68" s="16" t="n">
        <x:v>12</x:v>
      </x:c>
      <x:c r="N68" s="16" t="n">
        <x:v>4.32</x:v>
      </x:c>
      <x:c r="O68" s="16" t="n">
        <x:f>K68*M68</x:f>
        <x:v>0</x:v>
      </x:c>
      <x:c r="P68" s="16" t="n">
        <x:f>K68*N68</x:f>
        <x:v>0</x:v>
      </x:c>
      <x:c r="Q68" s="16" t="n">
        <x:f>O68-P68</x:f>
        <x:v>0</x:v>
      </x:c>
      <x:c r="R68" s="2" t="n">
        <x:v>0</x:v>
      </x:c>
      <x:c r="S68" s="2" t="n">
        <x:v>0</x:v>
      </x:c>
      <x:c r="T68" s="2" t="n">
        <x:f>R68+S68+J68-I68</x:f>
        <x:v>0</x:v>
      </x:c>
      <x:c r="U68" s="2" t="n">
        <x:v>0</x:v>
      </x:c>
      <x:c r="V68" s="2" t="n">
        <x:v>2</x:v>
      </x:c>
      <x:c r="W68" s="2" t="n">
        <x:v>43</x:v>
      </x:c>
      <x:c r="X68" s="14" t="b">
        <x:v>0</x:v>
      </x:c>
      <x:c r="Y68" s="14" t="b">
        <x:v>0</x:v>
      </x:c>
      <x:c r="Z68" s="2" t="n">
        <x:f>ABS(T68-AA68)</x:f>
        <x:v>0</x:v>
      </x:c>
      <x:c r="AA68" s="2" t="n">
        <x:v>0</x:v>
      </x:c>
      <x:c r="AB68" s="2" t="n">
        <x:f>ABS(K68-W68)</x:f>
        <x:v>43</x:v>
      </x:c>
      <x:c r="AC68" s="2" t="n">
        <x:f>COUNTIF($A$2:$A$1921,A68)-1</x:f>
        <x:v>0</x:v>
      </x:c>
      <x:c r="AD68" s="2" t="n">
        <x:f>IF(AND(D68=D67,H68=H67,C68=C67+1),ABS(R68-T67),0)</x:f>
        <x:v>0</x:v>
      </x:c>
    </x:row>
    <x:row r="69" ht="23" customHeight="1">
      <x:c r="A69" s="2" t="str">
        <x:v>DEMO-101-3-8</x:v>
      </x:c>
      <x:c r="B69" s="15" t="d">
        <x:v>2026-06-22T00:00:00.000Z</x:v>
      </x:c>
      <x:c r="C69" s="2" t="n">
        <x:v>8</x:v>
      </x:c>
      <x:c r="D69" s="2" t="str">
        <x:v>DEMO-101</x:v>
      </x:c>
      <x:c r="E69" s="2" t="str">
        <x:v>Orbit Notebook</x:v>
      </x:c>
      <x:c r="F69" s="2" t="str">
        <x:v>Stationery</x:v>
      </x:c>
      <x:c r="G69" s="2" t="str">
        <x:v>Online</x:v>
      </x:c>
      <x:c r="H69" s="2" t="str">
        <x:v>Online</x:v>
      </x:c>
      <x:c r="I69" s="2" t="n">
        <x:v>0</x:v>
      </x:c>
      <x:c r="J69" s="2" t="n">
        <x:v>0</x:v>
      </x:c>
      <x:c r="K69" s="2" t="n">
        <x:f>I69-J69</x:f>
        <x:v>0</x:v>
      </x:c>
      <x:c r="L69" s="16" t="n">
        <x:v>12</x:v>
      </x:c>
      <x:c r="M69" s="16" t="n">
        <x:v>12</x:v>
      </x:c>
      <x:c r="N69" s="16" t="n">
        <x:v>4.32</x:v>
      </x:c>
      <x:c r="O69" s="16" t="n">
        <x:f>K69*M69</x:f>
        <x:v>0</x:v>
      </x:c>
      <x:c r="P69" s="16" t="n">
        <x:f>K69*N69</x:f>
        <x:v>0</x:v>
      </x:c>
      <x:c r="Q69" s="16" t="n">
        <x:f>O69-P69</x:f>
        <x:v>0</x:v>
      </x:c>
      <x:c r="R69" s="2" t="n">
        <x:v>0</x:v>
      </x:c>
      <x:c r="S69" s="2" t="n">
        <x:v>0</x:v>
      </x:c>
      <x:c r="T69" s="2" t="n">
        <x:f>R69+S69+J69-I69</x:f>
        <x:v>0</x:v>
      </x:c>
      <x:c r="U69" s="2" t="n">
        <x:v>0</x:v>
      </x:c>
      <x:c r="V69" s="2" t="n">
        <x:v>2</x:v>
      </x:c>
      <x:c r="W69" s="2" t="n">
        <x:v>31</x:v>
      </x:c>
      <x:c r="X69" s="14" t="b">
        <x:v>0</x:v>
      </x:c>
      <x:c r="Y69" s="14" t="b">
        <x:v>0</x:v>
      </x:c>
      <x:c r="Z69" s="2" t="n">
        <x:f>ABS(T69-AA69)</x:f>
        <x:v>0</x:v>
      </x:c>
      <x:c r="AA69" s="2" t="n">
        <x:v>0</x:v>
      </x:c>
      <x:c r="AB69" s="2" t="n">
        <x:f>ABS(K69-W69)</x:f>
        <x:v>31</x:v>
      </x:c>
      <x:c r="AC69" s="2" t="n">
        <x:f>COUNTIF($A$2:$A$1921,A69)-1</x:f>
        <x:v>0</x:v>
      </x:c>
      <x:c r="AD69" s="2" t="n">
        <x:f>IF(AND(D69=D68,H69=H68,C69=C68+1),ABS(R69-T68),0)</x:f>
        <x:v>0</x:v>
      </x:c>
    </x:row>
    <x:row r="70" ht="23" customHeight="1">
      <x:c r="A70" s="2" t="str">
        <x:v>DEMO-101-3-9</x:v>
      </x:c>
      <x:c r="B70" s="15" t="d">
        <x:v>2026-06-29T00:00:00.000Z</x:v>
      </x:c>
      <x:c r="C70" s="2" t="n">
        <x:v>9</x:v>
      </x:c>
      <x:c r="D70" s="2" t="str">
        <x:v>DEMO-101</x:v>
      </x:c>
      <x:c r="E70" s="2" t="str">
        <x:v>Orbit Notebook</x:v>
      </x:c>
      <x:c r="F70" s="2" t="str">
        <x:v>Stationery</x:v>
      </x:c>
      <x:c r="G70" s="2" t="str">
        <x:v>Online</x:v>
      </x:c>
      <x:c r="H70" s="2" t="str">
        <x:v>Online</x:v>
      </x:c>
      <x:c r="I70" s="2" t="n">
        <x:v>55</x:v>
      </x:c>
      <x:c r="J70" s="2" t="n">
        <x:v>0</x:v>
      </x:c>
      <x:c r="K70" s="2" t="n">
        <x:f>I70-J70</x:f>
        <x:v>55</x:v>
      </x:c>
      <x:c r="L70" s="16" t="n">
        <x:v>12</x:v>
      </x:c>
      <x:c r="M70" s="16" t="n">
        <x:v>12</x:v>
      </x:c>
      <x:c r="N70" s="16" t="n">
        <x:v>4.32</x:v>
      </x:c>
      <x:c r="O70" s="16" t="n">
        <x:f>K70*M70</x:f>
        <x:v>660</x:v>
      </x:c>
      <x:c r="P70" s="16" t="n">
        <x:f>K70*N70</x:f>
        <x:v>237.60000000000002</x:v>
      </x:c>
      <x:c r="Q70" s="16" t="n">
        <x:f>O70-P70</x:f>
        <x:v>422.4</x:v>
      </x:c>
      <x:c r="R70" s="2" t="n">
        <x:v>0</x:v>
      </x:c>
      <x:c r="S70" s="2" t="n">
        <x:v>90</x:v>
      </x:c>
      <x:c r="T70" s="2" t="n">
        <x:f>R70+S70+J70-I70</x:f>
        <x:v>35</x:v>
      </x:c>
      <x:c r="U70" s="2" t="n">
        <x:v>0</x:v>
      </x:c>
      <x:c r="V70" s="2" t="n">
        <x:v>2</x:v>
      </x:c>
      <x:c r="W70" s="2" t="n">
        <x:v>23</x:v>
      </x:c>
      <x:c r="X70" s="14" t="b">
        <x:v>0</x:v>
      </x:c>
      <x:c r="Y70" s="14" t="b">
        <x:v>0</x:v>
      </x:c>
      <x:c r="Z70" s="2" t="n">
        <x:f>ABS(T70-AA70)</x:f>
        <x:v>0</x:v>
      </x:c>
      <x:c r="AA70" s="2" t="n">
        <x:v>35</x:v>
      </x:c>
      <x:c r="AB70" s="2" t="n">
        <x:f>ABS(K70-W70)</x:f>
        <x:v>32</x:v>
      </x:c>
      <x:c r="AC70" s="2" t="n">
        <x:f>COUNTIF($A$2:$A$1921,A70)-1</x:f>
        <x:v>0</x:v>
      </x:c>
      <x:c r="AD70" s="2" t="n">
        <x:f>IF(AND(D70=D69,H70=H69,C70=C69+1),ABS(R70-T69),0)</x:f>
        <x:v>0</x:v>
      </x:c>
    </x:row>
    <x:row r="71" ht="23" customHeight="1">
      <x:c r="A71" s="2" t="str">
        <x:v>DEMO-101-3-10</x:v>
      </x:c>
      <x:c r="B71" s="15" t="d">
        <x:v>2026-07-06T00:00:00.000Z</x:v>
      </x:c>
      <x:c r="C71" s="2" t="n">
        <x:v>10</x:v>
      </x:c>
      <x:c r="D71" s="2" t="str">
        <x:v>DEMO-101</x:v>
      </x:c>
      <x:c r="E71" s="2" t="str">
        <x:v>Orbit Notebook</x:v>
      </x:c>
      <x:c r="F71" s="2" t="str">
        <x:v>Stationery</x:v>
      </x:c>
      <x:c r="G71" s="2" t="str">
        <x:v>Online</x:v>
      </x:c>
      <x:c r="H71" s="2" t="str">
        <x:v>Online</x:v>
      </x:c>
      <x:c r="I71" s="2" t="n">
        <x:v>35</x:v>
      </x:c>
      <x:c r="J71" s="2" t="n">
        <x:v>0</x:v>
      </x:c>
      <x:c r="K71" s="2" t="n">
        <x:f>I71-J71</x:f>
        <x:v>35</x:v>
      </x:c>
      <x:c r="L71" s="16" t="n">
        <x:v>12</x:v>
      </x:c>
      <x:c r="M71" s="16" t="n">
        <x:v>12</x:v>
      </x:c>
      <x:c r="N71" s="16" t="n">
        <x:v>4.32</x:v>
      </x:c>
      <x:c r="O71" s="16" t="n">
        <x:f>K71*M71</x:f>
        <x:v>420</x:v>
      </x:c>
      <x:c r="P71" s="16" t="n">
        <x:f>K71*N71</x:f>
        <x:v>151.20000000000002</x:v>
      </x:c>
      <x:c r="Q71" s="16" t="n">
        <x:f>O71-P71</x:f>
        <x:v>268.79999999999995</x:v>
      </x:c>
      <x:c r="R71" s="2" t="n">
        <x:v>35</x:v>
      </x:c>
      <x:c r="S71" s="2" t="n">
        <x:v>0</x:v>
      </x:c>
      <x:c r="T71" s="2" t="n">
        <x:f>R71+S71+J71-I71</x:f>
        <x:v>0</x:v>
      </x:c>
      <x:c r="U71" s="2" t="n">
        <x:v>0</x:v>
      </x:c>
      <x:c r="V71" s="2" t="n">
        <x:v>2</x:v>
      </x:c>
      <x:c r="W71" s="2" t="n">
        <x:v>23</x:v>
      </x:c>
      <x:c r="X71" s="14" t="b">
        <x:v>0</x:v>
      </x:c>
      <x:c r="Y71" s="14" t="b">
        <x:v>0</x:v>
      </x:c>
      <x:c r="Z71" s="2" t="n">
        <x:f>ABS(T71-AA71)</x:f>
        <x:v>0</x:v>
      </x:c>
      <x:c r="AA71" s="2" t="n">
        <x:v>0</x:v>
      </x:c>
      <x:c r="AB71" s="2" t="n">
        <x:f>ABS(K71-W71)</x:f>
        <x:v>12</x:v>
      </x:c>
      <x:c r="AC71" s="2" t="n">
        <x:f>COUNTIF($A$2:$A$1921,A71)-1</x:f>
        <x:v>0</x:v>
      </x:c>
      <x:c r="AD71" s="2" t="n">
        <x:f>IF(AND(D71=D70,H71=H70,C71=C70+1),ABS(R71-T70),0)</x:f>
        <x:v>0</x:v>
      </x:c>
    </x:row>
    <x:row r="72" ht="23" customHeight="1">
      <x:c r="A72" s="2" t="str">
        <x:v>DEMO-101-3-11</x:v>
      </x:c>
      <x:c r="B72" s="15" t="d">
        <x:v>2026-07-13T00:00:00.000Z</x:v>
      </x:c>
      <x:c r="C72" s="2" t="n">
        <x:v>11</x:v>
      </x:c>
      <x:c r="D72" s="2" t="str">
        <x:v>DEMO-101</x:v>
      </x:c>
      <x:c r="E72" s="2" t="str">
        <x:v>Orbit Notebook</x:v>
      </x:c>
      <x:c r="F72" s="2" t="str">
        <x:v>Stationery</x:v>
      </x:c>
      <x:c r="G72" s="2" t="str">
        <x:v>Online</x:v>
      </x:c>
      <x:c r="H72" s="2" t="str">
        <x:v>Online</x:v>
      </x:c>
      <x:c r="I72" s="2" t="n">
        <x:v>0</x:v>
      </x:c>
      <x:c r="J72" s="2" t="n">
        <x:v>0</x:v>
      </x:c>
      <x:c r="K72" s="2" t="n">
        <x:f>I72-J72</x:f>
        <x:v>0</x:v>
      </x:c>
      <x:c r="L72" s="16" t="n">
        <x:v>12</x:v>
      </x:c>
      <x:c r="M72" s="16" t="n">
        <x:v>12</x:v>
      </x:c>
      <x:c r="N72" s="16" t="n">
        <x:v>4.32</x:v>
      </x:c>
      <x:c r="O72" s="16" t="n">
        <x:f>K72*M72</x:f>
        <x:v>0</x:v>
      </x:c>
      <x:c r="P72" s="16" t="n">
        <x:f>K72*N72</x:f>
        <x:v>0</x:v>
      </x:c>
      <x:c r="Q72" s="16" t="n">
        <x:f>O72-P72</x:f>
        <x:v>0</x:v>
      </x:c>
      <x:c r="R72" s="2" t="n">
        <x:v>0</x:v>
      </x:c>
      <x:c r="S72" s="2" t="n">
        <x:v>0</x:v>
      </x:c>
      <x:c r="T72" s="2" t="n">
        <x:f>R72+S72+J72-I72</x:f>
        <x:v>0</x:v>
      </x:c>
      <x:c r="U72" s="2" t="n">
        <x:v>0</x:v>
      </x:c>
      <x:c r="V72" s="2" t="n">
        <x:v>2</x:v>
      </x:c>
      <x:c r="W72" s="2" t="n">
        <x:v>23</x:v>
      </x:c>
      <x:c r="X72" s="14" t="b">
        <x:v>0</x:v>
      </x:c>
      <x:c r="Y72" s="14" t="b">
        <x:v>0</x:v>
      </x:c>
      <x:c r="Z72" s="2" t="n">
        <x:f>ABS(T72-AA72)</x:f>
        <x:v>0</x:v>
      </x:c>
      <x:c r="AA72" s="2" t="n">
        <x:v>0</x:v>
      </x:c>
      <x:c r="AB72" s="2" t="n">
        <x:f>ABS(K72-W72)</x:f>
        <x:v>23</x:v>
      </x:c>
      <x:c r="AC72" s="2" t="n">
        <x:f>COUNTIF($A$2:$A$1921,A72)-1</x:f>
        <x:v>0</x:v>
      </x:c>
      <x:c r="AD72" s="2" t="n">
        <x:f>IF(AND(D72=D71,H72=H71,C72=C71+1),ABS(R72-T71),0)</x:f>
        <x:v>0</x:v>
      </x:c>
    </x:row>
    <x:row r="73" ht="23" customHeight="1">
      <x:c r="A73" s="2" t="str">
        <x:v>DEMO-101-3-12</x:v>
      </x:c>
      <x:c r="B73" s="15" t="d">
        <x:v>2026-07-20T00:00:00.000Z</x:v>
      </x:c>
      <x:c r="C73" s="2" t="n">
        <x:v>12</x:v>
      </x:c>
      <x:c r="D73" s="2" t="str">
        <x:v>DEMO-101</x:v>
      </x:c>
      <x:c r="E73" s="2" t="str">
        <x:v>Orbit Notebook</x:v>
      </x:c>
      <x:c r="F73" s="2" t="str">
        <x:v>Stationery</x:v>
      </x:c>
      <x:c r="G73" s="2" t="str">
        <x:v>Online</x:v>
      </x:c>
      <x:c r="H73" s="2" t="str">
        <x:v>Online</x:v>
      </x:c>
      <x:c r="I73" s="2" t="n">
        <x:v>0</x:v>
      </x:c>
      <x:c r="J73" s="2" t="n">
        <x:v>0</x:v>
      </x:c>
      <x:c r="K73" s="2" t="n">
        <x:f>I73-J73</x:f>
        <x:v>0</x:v>
      </x:c>
      <x:c r="L73" s="16" t="n">
        <x:v>12</x:v>
      </x:c>
      <x:c r="M73" s="16" t="n">
        <x:v>12</x:v>
      </x:c>
      <x:c r="N73" s="16" t="n">
        <x:v>4.32</x:v>
      </x:c>
      <x:c r="O73" s="16" t="n">
        <x:f>K73*M73</x:f>
        <x:v>0</x:v>
      </x:c>
      <x:c r="P73" s="16" t="n">
        <x:f>K73*N73</x:f>
        <x:v>0</x:v>
      </x:c>
      <x:c r="Q73" s="16" t="n">
        <x:f>O73-P73</x:f>
        <x:v>0</x:v>
      </x:c>
      <x:c r="R73" s="2" t="n">
        <x:v>0</x:v>
      </x:c>
      <x:c r="S73" s="2" t="n">
        <x:v>0</x:v>
      </x:c>
      <x:c r="T73" s="2" t="n">
        <x:f>R73+S73+J73-I73</x:f>
        <x:v>0</x:v>
      </x:c>
      <x:c r="U73" s="2" t="n">
        <x:v>0</x:v>
      </x:c>
      <x:c r="V73" s="2" t="n">
        <x:v>2</x:v>
      </x:c>
      <x:c r="W73" s="2" t="n">
        <x:v>23</x:v>
      </x:c>
      <x:c r="X73" s="14" t="b">
        <x:v>0</x:v>
      </x:c>
      <x:c r="Y73" s="14" t="b">
        <x:v>0</x:v>
      </x:c>
      <x:c r="Z73" s="2" t="n">
        <x:f>ABS(T73-AA73)</x:f>
        <x:v>0</x:v>
      </x:c>
      <x:c r="AA73" s="2" t="n">
        <x:v>0</x:v>
      </x:c>
      <x:c r="AB73" s="2" t="n">
        <x:f>ABS(K73-W73)</x:f>
        <x:v>23</x:v>
      </x:c>
      <x:c r="AC73" s="2" t="n">
        <x:f>COUNTIF($A$2:$A$1921,A73)-1</x:f>
        <x:v>0</x:v>
      </x:c>
      <x:c r="AD73" s="2" t="n">
        <x:f>IF(AND(D73=D72,H73=H72,C73=C72+1),ABS(R73-T72),0)</x:f>
        <x:v>0</x:v>
      </x:c>
    </x:row>
    <x:row r="74" ht="23" customHeight="1">
      <x:c r="A74" s="2" t="str">
        <x:v>DEMO-101-3-13</x:v>
      </x:c>
      <x:c r="B74" s="15" t="d">
        <x:v>2026-07-27T00:00:00.000Z</x:v>
      </x:c>
      <x:c r="C74" s="2" t="n">
        <x:v>13</x:v>
      </x:c>
      <x:c r="D74" s="2" t="str">
        <x:v>DEMO-101</x:v>
      </x:c>
      <x:c r="E74" s="2" t="str">
        <x:v>Orbit Notebook</x:v>
      </x:c>
      <x:c r="F74" s="2" t="str">
        <x:v>Stationery</x:v>
      </x:c>
      <x:c r="G74" s="2" t="str">
        <x:v>Online</x:v>
      </x:c>
      <x:c r="H74" s="2" t="str">
        <x:v>Online</x:v>
      </x:c>
      <x:c r="I74" s="2" t="n">
        <x:v>60</x:v>
      </x:c>
      <x:c r="J74" s="2" t="n">
        <x:v>1</x:v>
      </x:c>
      <x:c r="K74" s="2" t="n">
        <x:f>I74-J74</x:f>
        <x:v>59</x:v>
      </x:c>
      <x:c r="L74" s="16" t="n">
        <x:v>12</x:v>
      </x:c>
      <x:c r="M74" s="16" t="n">
        <x:v>12</x:v>
      </x:c>
      <x:c r="N74" s="16" t="n">
        <x:v>4.32</x:v>
      </x:c>
      <x:c r="O74" s="16" t="n">
        <x:f>K74*M74</x:f>
        <x:v>708</x:v>
      </x:c>
      <x:c r="P74" s="16" t="n">
        <x:f>K74*N74</x:f>
        <x:v>254.88000000000002</x:v>
      </x:c>
      <x:c r="Q74" s="16" t="n">
        <x:f>O74-P74</x:f>
        <x:v>453.12</x:v>
      </x:c>
      <x:c r="R74" s="2" t="n">
        <x:v>0</x:v>
      </x:c>
      <x:c r="S74" s="2" t="n">
        <x:v>90</x:v>
      </x:c>
      <x:c r="T74" s="2" t="n">
        <x:f>R74+S74+J74-I74</x:f>
        <x:v>31</x:v>
      </x:c>
      <x:c r="U74" s="2" t="n">
        <x:v>0</x:v>
      </x:c>
      <x:c r="V74" s="2" t="n">
        <x:v>2</x:v>
      </x:c>
      <x:c r="W74" s="2" t="n">
        <x:v>23</x:v>
      </x:c>
      <x:c r="X74" s="14" t="b">
        <x:v>0</x:v>
      </x:c>
      <x:c r="Y74" s="14" t="b">
        <x:v>0</x:v>
      </x:c>
      <x:c r="Z74" s="2" t="n">
        <x:f>ABS(T74-AA74)</x:f>
        <x:v>0</x:v>
      </x:c>
      <x:c r="AA74" s="2" t="n">
        <x:v>31</x:v>
      </x:c>
      <x:c r="AB74" s="2" t="n">
        <x:f>ABS(K74-W74)</x:f>
        <x:v>36</x:v>
      </x:c>
      <x:c r="AC74" s="2" t="n">
        <x:f>COUNTIF($A$2:$A$1921,A74)-1</x:f>
        <x:v>0</x:v>
      </x:c>
      <x:c r="AD74" s="2" t="n">
        <x:f>IF(AND(D74=D73,H74=H73,C74=C73+1),ABS(R74-T73),0)</x:f>
        <x:v>0</x:v>
      </x:c>
    </x:row>
    <x:row r="75" ht="23" customHeight="1">
      <x:c r="A75" s="2" t="str">
        <x:v>DEMO-101-3-14</x:v>
      </x:c>
      <x:c r="B75" s="15" t="d">
        <x:v>2026-08-03T00:00:00.000Z</x:v>
      </x:c>
      <x:c r="C75" s="2" t="n">
        <x:v>14</x:v>
      </x:c>
      <x:c r="D75" s="2" t="str">
        <x:v>DEMO-101</x:v>
      </x:c>
      <x:c r="E75" s="2" t="str">
        <x:v>Orbit Notebook</x:v>
      </x:c>
      <x:c r="F75" s="2" t="str">
        <x:v>Stationery</x:v>
      </x:c>
      <x:c r="G75" s="2" t="str">
        <x:v>Online</x:v>
      </x:c>
      <x:c r="H75" s="2" t="str">
        <x:v>Online</x:v>
      </x:c>
      <x:c r="I75" s="2" t="n">
        <x:v>31</x:v>
      </x:c>
      <x:c r="J75" s="2" t="n">
        <x:v>0</x:v>
      </x:c>
      <x:c r="K75" s="2" t="n">
        <x:f>I75-J75</x:f>
        <x:v>31</x:v>
      </x:c>
      <x:c r="L75" s="16" t="n">
        <x:v>12</x:v>
      </x:c>
      <x:c r="M75" s="16" t="n">
        <x:v>12</x:v>
      </x:c>
      <x:c r="N75" s="16" t="n">
        <x:v>4.32</x:v>
      </x:c>
      <x:c r="O75" s="16" t="n">
        <x:f>K75*M75</x:f>
        <x:v>372</x:v>
      </x:c>
      <x:c r="P75" s="16" t="n">
        <x:f>K75*N75</x:f>
        <x:v>133.92000000000002</x:v>
      </x:c>
      <x:c r="Q75" s="16" t="n">
        <x:f>O75-P75</x:f>
        <x:v>238.07999999999998</x:v>
      </x:c>
      <x:c r="R75" s="2" t="n">
        <x:v>31</x:v>
      </x:c>
      <x:c r="S75" s="2" t="n">
        <x:v>0</x:v>
      </x:c>
      <x:c r="T75" s="2" t="n">
        <x:f>R75+S75+J75-I75</x:f>
        <x:v>0</x:v>
      </x:c>
      <x:c r="U75" s="2" t="n">
        <x:v>0</x:v>
      </x:c>
      <x:c r="V75" s="2" t="n">
        <x:v>2</x:v>
      </x:c>
      <x:c r="W75" s="2" t="n">
        <x:v>24</x:v>
      </x:c>
      <x:c r="X75" s="14" t="b">
        <x:v>0</x:v>
      </x:c>
      <x:c r="Y75" s="14" t="b">
        <x:v>0</x:v>
      </x:c>
      <x:c r="Z75" s="2" t="n">
        <x:f>ABS(T75-AA75)</x:f>
        <x:v>0</x:v>
      </x:c>
      <x:c r="AA75" s="2" t="n">
        <x:v>0</x:v>
      </x:c>
      <x:c r="AB75" s="2" t="n">
        <x:f>ABS(K75-W75)</x:f>
        <x:v>7</x:v>
      </x:c>
      <x:c r="AC75" s="2" t="n">
        <x:f>COUNTIF($A$2:$A$1921,A75)-1</x:f>
        <x:v>0</x:v>
      </x:c>
      <x:c r="AD75" s="2" t="n">
        <x:f>IF(AND(D75=D74,H75=H74,C75=C74+1),ABS(R75-T74),0)</x:f>
        <x:v>0</x:v>
      </x:c>
    </x:row>
    <x:row r="76" ht="23" customHeight="1">
      <x:c r="A76" s="2" t="str">
        <x:v>DEMO-101-3-15</x:v>
      </x:c>
      <x:c r="B76" s="15" t="d">
        <x:v>2026-08-10T00:00:00.000Z</x:v>
      </x:c>
      <x:c r="C76" s="2" t="n">
        <x:v>15</x:v>
      </x:c>
      <x:c r="D76" s="2" t="str">
        <x:v>DEMO-101</x:v>
      </x:c>
      <x:c r="E76" s="2" t="str">
        <x:v>Orbit Notebook</x:v>
      </x:c>
      <x:c r="F76" s="2" t="str">
        <x:v>Stationery</x:v>
      </x:c>
      <x:c r="G76" s="2" t="str">
        <x:v>Online</x:v>
      </x:c>
      <x:c r="H76" s="2" t="str">
        <x:v>Online</x:v>
      </x:c>
      <x:c r="I76" s="2" t="n">
        <x:v>0</x:v>
      </x:c>
      <x:c r="J76" s="2" t="n">
        <x:v>0</x:v>
      </x:c>
      <x:c r="K76" s="2" t="n">
        <x:f>I76-J76</x:f>
        <x:v>0</x:v>
      </x:c>
      <x:c r="L76" s="16" t="n">
        <x:v>12</x:v>
      </x:c>
      <x:c r="M76" s="16" t="n">
        <x:v>12</x:v>
      </x:c>
      <x:c r="N76" s="16" t="n">
        <x:v>4.32</x:v>
      </x:c>
      <x:c r="O76" s="16" t="n">
        <x:f>K76*M76</x:f>
        <x:v>0</x:v>
      </x:c>
      <x:c r="P76" s="16" t="n">
        <x:f>K76*N76</x:f>
        <x:v>0</x:v>
      </x:c>
      <x:c r="Q76" s="16" t="n">
        <x:f>O76-P76</x:f>
        <x:v>0</x:v>
      </x:c>
      <x:c r="R76" s="2" t="n">
        <x:v>0</x:v>
      </x:c>
      <x:c r="S76" s="2" t="n">
        <x:v>0</x:v>
      </x:c>
      <x:c r="T76" s="2" t="n">
        <x:f>R76+S76+J76-I76</x:f>
        <x:v>0</x:v>
      </x:c>
      <x:c r="U76" s="2" t="n">
        <x:v>0</x:v>
      </x:c>
      <x:c r="V76" s="2" t="n">
        <x:v>2</x:v>
      </x:c>
      <x:c r="W76" s="2" t="n">
        <x:v>23</x:v>
      </x:c>
      <x:c r="X76" s="14" t="b">
        <x:v>0</x:v>
      </x:c>
      <x:c r="Y76" s="14" t="b">
        <x:v>0</x:v>
      </x:c>
      <x:c r="Z76" s="2" t="n">
        <x:f>ABS(T76-AA76)</x:f>
        <x:v>0</x:v>
      </x:c>
      <x:c r="AA76" s="2" t="n">
        <x:v>0</x:v>
      </x:c>
      <x:c r="AB76" s="2" t="n">
        <x:f>ABS(K76-W76)</x:f>
        <x:v>23</x:v>
      </x:c>
      <x:c r="AC76" s="2" t="n">
        <x:f>COUNTIF($A$2:$A$1921,A76)-1</x:f>
        <x:v>0</x:v>
      </x:c>
      <x:c r="AD76" s="2" t="n">
        <x:f>IF(AND(D76=D75,H76=H75,C76=C75+1),ABS(R76-T75),0)</x:f>
        <x:v>0</x:v>
      </x:c>
    </x:row>
    <x:row r="77" ht="23" customHeight="1">
      <x:c r="A77" s="2" t="str">
        <x:v>DEMO-101-3-16</x:v>
      </x:c>
      <x:c r="B77" s="15" t="d">
        <x:v>2026-08-17T00:00:00.000Z</x:v>
      </x:c>
      <x:c r="C77" s="2" t="n">
        <x:v>16</x:v>
      </x:c>
      <x:c r="D77" s="2" t="str">
        <x:v>DEMO-101</x:v>
      </x:c>
      <x:c r="E77" s="2" t="str">
        <x:v>Orbit Notebook</x:v>
      </x:c>
      <x:c r="F77" s="2" t="str">
        <x:v>Stationery</x:v>
      </x:c>
      <x:c r="G77" s="2" t="str">
        <x:v>Online</x:v>
      </x:c>
      <x:c r="H77" s="2" t="str">
        <x:v>Online</x:v>
      </x:c>
      <x:c r="I77" s="2" t="n">
        <x:v>0</x:v>
      </x:c>
      <x:c r="J77" s="2" t="n">
        <x:v>0</x:v>
      </x:c>
      <x:c r="K77" s="2" t="n">
        <x:f>I77-J77</x:f>
        <x:v>0</x:v>
      </x:c>
      <x:c r="L77" s="16" t="n">
        <x:v>12</x:v>
      </x:c>
      <x:c r="M77" s="16" t="n">
        <x:v>12</x:v>
      </x:c>
      <x:c r="N77" s="16" t="n">
        <x:v>4.32</x:v>
      </x:c>
      <x:c r="O77" s="16" t="n">
        <x:f>K77*M77</x:f>
        <x:v>0</x:v>
      </x:c>
      <x:c r="P77" s="16" t="n">
        <x:f>K77*N77</x:f>
        <x:v>0</x:v>
      </x:c>
      <x:c r="Q77" s="16" t="n">
        <x:f>O77-P77</x:f>
        <x:v>0</x:v>
      </x:c>
      <x:c r="R77" s="2" t="n">
        <x:v>0</x:v>
      </x:c>
      <x:c r="S77" s="2" t="n">
        <x:v>0</x:v>
      </x:c>
      <x:c r="T77" s="2" t="n">
        <x:f>R77+S77+J77-I77</x:f>
        <x:v>0</x:v>
      </x:c>
      <x:c r="U77" s="2" t="n">
        <x:v>0</x:v>
      </x:c>
      <x:c r="V77" s="2" t="n">
        <x:v>2</x:v>
      </x:c>
      <x:c r="W77" s="2" t="n">
        <x:v>23</x:v>
      </x:c>
      <x:c r="X77" s="14" t="b">
        <x:v>0</x:v>
      </x:c>
      <x:c r="Y77" s="14" t="b">
        <x:v>0</x:v>
      </x:c>
      <x:c r="Z77" s="2" t="n">
        <x:f>ABS(T77-AA77)</x:f>
        <x:v>0</x:v>
      </x:c>
      <x:c r="AA77" s="2" t="n">
        <x:v>0</x:v>
      </x:c>
      <x:c r="AB77" s="2" t="n">
        <x:f>ABS(K77-W77)</x:f>
        <x:v>23</x:v>
      </x:c>
      <x:c r="AC77" s="2" t="n">
        <x:f>COUNTIF($A$2:$A$1921,A77)-1</x:f>
        <x:v>0</x:v>
      </x:c>
      <x:c r="AD77" s="2" t="n">
        <x:f>IF(AND(D77=D76,H77=H76,C77=C76+1),ABS(R77-T76),0)</x:f>
        <x:v>0</x:v>
      </x:c>
    </x:row>
    <x:row r="78" ht="23" customHeight="1">
      <x:c r="A78" s="2" t="str">
        <x:v>DEMO-101-3-17</x:v>
      </x:c>
      <x:c r="B78" s="15" t="d">
        <x:v>2026-08-24T00:00:00.000Z</x:v>
      </x:c>
      <x:c r="C78" s="2" t="n">
        <x:v>17</x:v>
      </x:c>
      <x:c r="D78" s="2" t="str">
        <x:v>DEMO-101</x:v>
      </x:c>
      <x:c r="E78" s="2" t="str">
        <x:v>Orbit Notebook</x:v>
      </x:c>
      <x:c r="F78" s="2" t="str">
        <x:v>Stationery</x:v>
      </x:c>
      <x:c r="G78" s="2" t="str">
        <x:v>Online</x:v>
      </x:c>
      <x:c r="H78" s="2" t="str">
        <x:v>Online</x:v>
      </x:c>
      <x:c r="I78" s="2" t="n">
        <x:v>35</x:v>
      </x:c>
      <x:c r="J78" s="2" t="n">
        <x:v>0</x:v>
      </x:c>
      <x:c r="K78" s="2" t="n">
        <x:f>I78-J78</x:f>
        <x:v>35</x:v>
      </x:c>
      <x:c r="L78" s="16" t="n">
        <x:v>12</x:v>
      </x:c>
      <x:c r="M78" s="16" t="n">
        <x:v>12</x:v>
      </x:c>
      <x:c r="N78" s="16" t="n">
        <x:v>4.32</x:v>
      </x:c>
      <x:c r="O78" s="16" t="n">
        <x:f>K78*M78</x:f>
        <x:v>420</x:v>
      </x:c>
      <x:c r="P78" s="16" t="n">
        <x:f>K78*N78</x:f>
        <x:v>151.20000000000002</x:v>
      </x:c>
      <x:c r="Q78" s="16" t="n">
        <x:f>O78-P78</x:f>
        <x:v>268.79999999999995</x:v>
      </x:c>
      <x:c r="R78" s="2" t="n">
        <x:v>0</x:v>
      </x:c>
      <x:c r="S78" s="2" t="n">
        <x:v>35</x:v>
      </x:c>
      <x:c r="T78" s="2" t="n">
        <x:f>R78+S78+J78-I78</x:f>
        <x:v>0</x:v>
      </x:c>
      <x:c r="U78" s="2" t="n">
        <x:v>0</x:v>
      </x:c>
      <x:c r="V78" s="2" t="n">
        <x:v>4</x:v>
      </x:c>
      <x:c r="W78" s="2" t="n">
        <x:v>23</x:v>
      </x:c>
      <x:c r="X78" s="14" t="b">
        <x:v>0</x:v>
      </x:c>
      <x:c r="Y78" s="14" t="b">
        <x:v>0</x:v>
      </x:c>
      <x:c r="Z78" s="2" t="n">
        <x:f>ABS(T78-AA78)</x:f>
        <x:v>0</x:v>
      </x:c>
      <x:c r="AA78" s="2" t="n">
        <x:v>0</x:v>
      </x:c>
      <x:c r="AB78" s="2" t="n">
        <x:f>ABS(K78-W78)</x:f>
        <x:v>12</x:v>
      </x:c>
      <x:c r="AC78" s="2" t="n">
        <x:f>COUNTIF($A$2:$A$1921,A78)-1</x:f>
        <x:v>0</x:v>
      </x:c>
      <x:c r="AD78" s="2" t="n">
        <x:f>IF(AND(D78=D77,H78=H77,C78=C77+1),ABS(R78-T77),0)</x:f>
        <x:v>0</x:v>
      </x:c>
    </x:row>
    <x:row r="79" ht="23" customHeight="1">
      <x:c r="A79" s="2" t="str">
        <x:v>DEMO-101-3-18</x:v>
      </x:c>
      <x:c r="B79" s="15" t="d">
        <x:v>2026-08-31T00:00:00.000Z</x:v>
      </x:c>
      <x:c r="C79" s="2" t="n">
        <x:v>18</x:v>
      </x:c>
      <x:c r="D79" s="2" t="str">
        <x:v>DEMO-101</x:v>
      </x:c>
      <x:c r="E79" s="2" t="str">
        <x:v>Orbit Notebook</x:v>
      </x:c>
      <x:c r="F79" s="2" t="str">
        <x:v>Stationery</x:v>
      </x:c>
      <x:c r="G79" s="2" t="str">
        <x:v>Online</x:v>
      </x:c>
      <x:c r="H79" s="2" t="str">
        <x:v>Online</x:v>
      </x:c>
      <x:c r="I79" s="2" t="n">
        <x:v>0</x:v>
      </x:c>
      <x:c r="J79" s="2" t="n">
        <x:v>0</x:v>
      </x:c>
      <x:c r="K79" s="2" t="n">
        <x:f>I79-J79</x:f>
        <x:v>0</x:v>
      </x:c>
      <x:c r="L79" s="16" t="n">
        <x:v>12</x:v>
      </x:c>
      <x:c r="M79" s="16" t="n">
        <x:v>12</x:v>
      </x:c>
      <x:c r="N79" s="16" t="n">
        <x:v>4.32</x:v>
      </x:c>
      <x:c r="O79" s="16" t="n">
        <x:f>K79*M79</x:f>
        <x:v>0</x:v>
      </x:c>
      <x:c r="P79" s="16" t="n">
        <x:f>K79*N79</x:f>
        <x:v>0</x:v>
      </x:c>
      <x:c r="Q79" s="16" t="n">
        <x:f>O79-P79</x:f>
        <x:v>0</x:v>
      </x:c>
      <x:c r="R79" s="2" t="n">
        <x:v>0</x:v>
      </x:c>
      <x:c r="S79" s="2" t="n">
        <x:v>0</x:v>
      </x:c>
      <x:c r="T79" s="2" t="n">
        <x:f>R79+S79+J79-I79</x:f>
        <x:v>0</x:v>
      </x:c>
      <x:c r="U79" s="2" t="n">
        <x:v>0</x:v>
      </x:c>
      <x:c r="V79" s="2" t="n">
        <x:v>4</x:v>
      </x:c>
      <x:c r="W79" s="2" t="n">
        <x:v>17</x:v>
      </x:c>
      <x:c r="X79" s="14" t="b">
        <x:v>0</x:v>
      </x:c>
      <x:c r="Y79" s="14" t="b">
        <x:v>0</x:v>
      </x:c>
      <x:c r="Z79" s="2" t="n">
        <x:f>ABS(T79-AA79)</x:f>
        <x:v>0</x:v>
      </x:c>
      <x:c r="AA79" s="2" t="n">
        <x:v>0</x:v>
      </x:c>
      <x:c r="AB79" s="2" t="n">
        <x:f>ABS(K79-W79)</x:f>
        <x:v>17</x:v>
      </x:c>
      <x:c r="AC79" s="2" t="n">
        <x:f>COUNTIF($A$2:$A$1921,A79)-1</x:f>
        <x:v>0</x:v>
      </x:c>
      <x:c r="AD79" s="2" t="n">
        <x:f>IF(AND(D79=D78,H79=H78,C79=C78+1),ABS(R79-T78),0)</x:f>
        <x:v>0</x:v>
      </x:c>
    </x:row>
    <x:row r="80" ht="23" customHeight="1">
      <x:c r="A80" s="2" t="str">
        <x:v>DEMO-101-3-19</x:v>
      </x:c>
      <x:c r="B80" s="15" t="d">
        <x:v>2026-09-07T00:00:00.000Z</x:v>
      </x:c>
      <x:c r="C80" s="2" t="n">
        <x:v>19</x:v>
      </x:c>
      <x:c r="D80" s="2" t="str">
        <x:v>DEMO-101</x:v>
      </x:c>
      <x:c r="E80" s="2" t="str">
        <x:v>Orbit Notebook</x:v>
      </x:c>
      <x:c r="F80" s="2" t="str">
        <x:v>Stationery</x:v>
      </x:c>
      <x:c r="G80" s="2" t="str">
        <x:v>Online</x:v>
      </x:c>
      <x:c r="H80" s="2" t="str">
        <x:v>Online</x:v>
      </x:c>
      <x:c r="I80" s="2" t="n">
        <x:v>0</x:v>
      </x:c>
      <x:c r="J80" s="2" t="n">
        <x:v>0</x:v>
      </x:c>
      <x:c r="K80" s="2" t="n">
        <x:f>I80-J80</x:f>
        <x:v>0</x:v>
      </x:c>
      <x:c r="L80" s="16" t="n">
        <x:v>12</x:v>
      </x:c>
      <x:c r="M80" s="16" t="n">
        <x:v>12</x:v>
      </x:c>
      <x:c r="N80" s="16" t="n">
        <x:v>4.32</x:v>
      </x:c>
      <x:c r="O80" s="16" t="n">
        <x:f>K80*M80</x:f>
        <x:v>0</x:v>
      </x:c>
      <x:c r="P80" s="16" t="n">
        <x:f>K80*N80</x:f>
        <x:v>0</x:v>
      </x:c>
      <x:c r="Q80" s="16" t="n">
        <x:f>O80-P80</x:f>
        <x:v>0</x:v>
      </x:c>
      <x:c r="R80" s="2" t="n">
        <x:v>0</x:v>
      </x:c>
      <x:c r="S80" s="2" t="n">
        <x:v>0</x:v>
      </x:c>
      <x:c r="T80" s="2" t="n">
        <x:f>R80+S80+J80-I80</x:f>
        <x:v>0</x:v>
      </x:c>
      <x:c r="U80" s="2" t="n">
        <x:v>0</x:v>
      </x:c>
      <x:c r="V80" s="2" t="n">
        <x:v>4</x:v>
      </x:c>
      <x:c r="W80" s="2" t="n">
        <x:v>9</x:v>
      </x:c>
      <x:c r="X80" s="14" t="b">
        <x:v>0</x:v>
      </x:c>
      <x:c r="Y80" s="14" t="b">
        <x:v>0</x:v>
      </x:c>
      <x:c r="Z80" s="2" t="n">
        <x:f>ABS(T80-AA80)</x:f>
        <x:v>0</x:v>
      </x:c>
      <x:c r="AA80" s="2" t="n">
        <x:v>0</x:v>
      </x:c>
      <x:c r="AB80" s="2" t="n">
        <x:f>ABS(K80-W80)</x:f>
        <x:v>9</x:v>
      </x:c>
      <x:c r="AC80" s="2" t="n">
        <x:f>COUNTIF($A$2:$A$1921,A80)-1</x:f>
        <x:v>0</x:v>
      </x:c>
      <x:c r="AD80" s="2" t="n">
        <x:f>IF(AND(D80=D79,H80=H79,C80=C79+1),ABS(R80-T79),0)</x:f>
        <x:v>0</x:v>
      </x:c>
    </x:row>
    <x:row r="81" ht="23" customHeight="1">
      <x:c r="A81" s="2" t="str">
        <x:v>DEMO-101-3-20</x:v>
      </x:c>
      <x:c r="B81" s="15" t="d">
        <x:v>2026-09-14T00:00:00.000Z</x:v>
      </x:c>
      <x:c r="C81" s="2" t="n">
        <x:v>20</x:v>
      </x:c>
      <x:c r="D81" s="2" t="str">
        <x:v>DEMO-101</x:v>
      </x:c>
      <x:c r="E81" s="2" t="str">
        <x:v>Orbit Notebook</x:v>
      </x:c>
      <x:c r="F81" s="2" t="str">
        <x:v>Stationery</x:v>
      </x:c>
      <x:c r="G81" s="2" t="str">
        <x:v>Online</x:v>
      </x:c>
      <x:c r="H81" s="2" t="str">
        <x:v>Online</x:v>
      </x:c>
      <x:c r="I81" s="2" t="n">
        <x:v>0</x:v>
      </x:c>
      <x:c r="J81" s="2" t="n">
        <x:v>0</x:v>
      </x:c>
      <x:c r="K81" s="2" t="n">
        <x:f>I81-J81</x:f>
        <x:v>0</x:v>
      </x:c>
      <x:c r="L81" s="16" t="n">
        <x:v>12</x:v>
      </x:c>
      <x:c r="M81" s="16" t="n">
        <x:v>12</x:v>
      </x:c>
      <x:c r="N81" s="16" t="n">
        <x:v>4.32</x:v>
      </x:c>
      <x:c r="O81" s="16" t="n">
        <x:f>K81*M81</x:f>
        <x:v>0</x:v>
      </x:c>
      <x:c r="P81" s="16" t="n">
        <x:f>K81*N81</x:f>
        <x:v>0</x:v>
      </x:c>
      <x:c r="Q81" s="16" t="n">
        <x:f>O81-P81</x:f>
        <x:v>0</x:v>
      </x:c>
      <x:c r="R81" s="2" t="n">
        <x:v>0</x:v>
      </x:c>
      <x:c r="S81" s="2" t="n">
        <x:v>0</x:v>
      </x:c>
      <x:c r="T81" s="2" t="n">
        <x:f>R81+S81+J81-I81</x:f>
        <x:v>0</x:v>
      </x:c>
      <x:c r="U81" s="2" t="n">
        <x:v>6</x:v>
      </x:c>
      <x:c r="V81" s="2" t="n">
        <x:v>4</x:v>
      </x:c>
      <x:c r="W81" s="2" t="n">
        <x:v>9</x:v>
      </x:c>
      <x:c r="X81" s="14" t="b">
        <x:v>0</x:v>
      </x:c>
      <x:c r="Y81" s="14" t="b">
        <x:v>0</x:v>
      </x:c>
      <x:c r="Z81" s="2" t="n">
        <x:f>ABS(T81-AA81)</x:f>
        <x:v>0</x:v>
      </x:c>
      <x:c r="AA81" s="2" t="n">
        <x:v>0</x:v>
      </x:c>
      <x:c r="AB81" s="2" t="n">
        <x:f>ABS(K81-W81)</x:f>
        <x:v>9</x:v>
      </x:c>
      <x:c r="AC81" s="2" t="n">
        <x:f>COUNTIF($A$2:$A$1921,A81)-1</x:f>
        <x:v>0</x:v>
      </x:c>
      <x:c r="AD81" s="2" t="n">
        <x:f>IF(AND(D81=D80,H81=H80,C81=C80+1),ABS(R81-T80),0)</x:f>
        <x:v>0</x:v>
      </x:c>
    </x:row>
    <x:row r="82" ht="23" customHeight="1">
      <x:c r="A82" s="2" t="str">
        <x:v>DEMO-102-0-1</x:v>
      </x:c>
      <x:c r="B82" s="15" t="d">
        <x:v>2026-05-04T00:00:00.000Z</x:v>
      </x:c>
      <x:c r="C82" s="2" t="n">
        <x:v>1</x:v>
      </x:c>
      <x:c r="D82" s="2" t="str">
        <x:v>DEMO-102</x:v>
      </x:c>
      <x:c r="E82" s="2" t="str">
        <x:v>Grid Journal</x:v>
      </x:c>
      <x:c r="F82" s="2" t="str">
        <x:v>Stationery</x:v>
      </x:c>
      <x:c r="G82" s="2" t="str">
        <x:v>Stores</x:v>
      </x:c>
      <x:c r="H82" s="2" t="str">
        <x:v>North Arcade</x:v>
      </x:c>
      <x:c r="I82" s="2" t="n">
        <x:v>13</x:v>
      </x:c>
      <x:c r="J82" s="2" t="n">
        <x:v>1</x:v>
      </x:c>
      <x:c r="K82" s="2" t="n">
        <x:f>I82-J82</x:f>
        <x:v>12</x:v>
      </x:c>
      <x:c r="L82" s="16" t="n">
        <x:v>14</x:v>
      </x:c>
      <x:c r="M82" s="16" t="n">
        <x:v>14</x:v>
      </x:c>
      <x:c r="N82" s="16" t="n">
        <x:v>5.39</x:v>
      </x:c>
      <x:c r="O82" s="16" t="n">
        <x:f>K82*M82</x:f>
        <x:v>168</x:v>
      </x:c>
      <x:c r="P82" s="16" t="n">
        <x:f>K82*N82</x:f>
        <x:v>64.67999999999999</x:v>
      </x:c>
      <x:c r="Q82" s="16" t="n">
        <x:f>O82-P82</x:f>
        <x:v>103.32000000000001</x:v>
      </x:c>
      <x:c r="R82" s="2" t="n">
        <x:v>90</x:v>
      </x:c>
      <x:c r="S82" s="2" t="n">
        <x:v>59</x:v>
      </x:c>
      <x:c r="T82" s="2" t="n">
        <x:f>R82+S82+J82-I82</x:f>
        <x:v>137</x:v>
      </x:c>
      <x:c r="U82" s="2" t="n">
        <x:v>0</x:v>
      </x:c>
      <x:c r="V82" s="2" t="n">
        <x:v>3</x:v>
      </x:c>
      <x:c r="W82" s="2" t="n">
        <x:v>14</x:v>
      </x:c>
      <x:c r="X82" s="14" t="b">
        <x:v>0</x:v>
      </x:c>
      <x:c r="Y82" s="14" t="b">
        <x:v>0</x:v>
      </x:c>
      <x:c r="Z82" s="2" t="n">
        <x:f>ABS(T82-AA82)</x:f>
        <x:v>0</x:v>
      </x:c>
      <x:c r="AA82" s="2" t="n">
        <x:v>137</x:v>
      </x:c>
      <x:c r="AB82" s="2" t="n">
        <x:f>ABS(K82-W82)</x:f>
        <x:v>2</x:v>
      </x:c>
      <x:c r="AC82" s="2" t="n">
        <x:f>COUNTIF($A$2:$A$1921,A82)-1</x:f>
        <x:v>0</x:v>
      </x:c>
      <x:c r="AD82" s="2" t="n">
        <x:f>IF(AND(D82=D81,H82=H81,C82=C81+1),ABS(R82-T81),0)</x:f>
        <x:v>0</x:v>
      </x:c>
    </x:row>
    <x:row r="83" ht="23" customHeight="1">
      <x:c r="A83" s="2" t="str">
        <x:v>DEMO-102-0-2</x:v>
      </x:c>
      <x:c r="B83" s="15" t="d">
        <x:v>2026-05-11T00:00:00.000Z</x:v>
      </x:c>
      <x:c r="C83" s="2" t="n">
        <x:v>2</x:v>
      </x:c>
      <x:c r="D83" s="2" t="str">
        <x:v>DEMO-102</x:v>
      </x:c>
      <x:c r="E83" s="2" t="str">
        <x:v>Grid Journal</x:v>
      </x:c>
      <x:c r="F83" s="2" t="str">
        <x:v>Stationery</x:v>
      </x:c>
      <x:c r="G83" s="2" t="str">
        <x:v>Stores</x:v>
      </x:c>
      <x:c r="H83" s="2" t="str">
        <x:v>North Arcade</x:v>
      </x:c>
      <x:c r="I83" s="2" t="n">
        <x:v>17</x:v>
      </x:c>
      <x:c r="J83" s="2" t="n">
        <x:v>1</x:v>
      </x:c>
      <x:c r="K83" s="2" t="n">
        <x:f>I83-J83</x:f>
        <x:v>16</x:v>
      </x:c>
      <x:c r="L83" s="16" t="n">
        <x:v>14</x:v>
      </x:c>
      <x:c r="M83" s="16" t="n">
        <x:v>14</x:v>
      </x:c>
      <x:c r="N83" s="16" t="n">
        <x:v>5.39</x:v>
      </x:c>
      <x:c r="O83" s="16" t="n">
        <x:f>K83*M83</x:f>
        <x:v>224</x:v>
      </x:c>
      <x:c r="P83" s="16" t="n">
        <x:f>K83*N83</x:f>
        <x:v>86.24</x:v>
      </x:c>
      <x:c r="Q83" s="16" t="n">
        <x:f>O83-P83</x:f>
        <x:v>137.76</x:v>
      </x:c>
      <x:c r="R83" s="2" t="n">
        <x:v>137</x:v>
      </x:c>
      <x:c r="S83" s="2" t="n">
        <x:v>0</x:v>
      </x:c>
      <x:c r="T83" s="2" t="n">
        <x:f>R83+S83+J83-I83</x:f>
        <x:v>121</x:v>
      </x:c>
      <x:c r="U83" s="2" t="n">
        <x:v>0</x:v>
      </x:c>
      <x:c r="V83" s="2" t="n">
        <x:v>3</x:v>
      </x:c>
      <x:c r="W83" s="2" t="n">
        <x:v>12</x:v>
      </x:c>
      <x:c r="X83" s="14" t="b">
        <x:v>0</x:v>
      </x:c>
      <x:c r="Y83" s="14" t="b">
        <x:v>0</x:v>
      </x:c>
      <x:c r="Z83" s="2" t="n">
        <x:f>ABS(T83-AA83)</x:f>
        <x:v>0</x:v>
      </x:c>
      <x:c r="AA83" s="2" t="n">
        <x:v>121</x:v>
      </x:c>
      <x:c r="AB83" s="2" t="n">
        <x:f>ABS(K83-W83)</x:f>
        <x:v>4</x:v>
      </x:c>
      <x:c r="AC83" s="2" t="n">
        <x:f>COUNTIF($A$2:$A$1921,A83)-1</x:f>
        <x:v>0</x:v>
      </x:c>
      <x:c r="AD83" s="2" t="n">
        <x:f>IF(AND(D83=D82,H83=H82,C83=C82+1),ABS(R83-T82),0)</x:f>
        <x:v>0</x:v>
      </x:c>
    </x:row>
    <x:row r="84" ht="23" customHeight="1">
      <x:c r="A84" s="2" t="str">
        <x:v>DEMO-102-0-3</x:v>
      </x:c>
      <x:c r="B84" s="15" t="d">
        <x:v>2026-05-18T00:00:00.000Z</x:v>
      </x:c>
      <x:c r="C84" s="2" t="n">
        <x:v>3</x:v>
      </x:c>
      <x:c r="D84" s="2" t="str">
        <x:v>DEMO-102</x:v>
      </x:c>
      <x:c r="E84" s="2" t="str">
        <x:v>Grid Journal</x:v>
      </x:c>
      <x:c r="F84" s="2" t="str">
        <x:v>Stationery</x:v>
      </x:c>
      <x:c r="G84" s="2" t="str">
        <x:v>Stores</x:v>
      </x:c>
      <x:c r="H84" s="2" t="str">
        <x:v>North Arcade</x:v>
      </x:c>
      <x:c r="I84" s="2" t="n">
        <x:v>14</x:v>
      </x:c>
      <x:c r="J84" s="2" t="n">
        <x:v>1</x:v>
      </x:c>
      <x:c r="K84" s="2" t="n">
        <x:f>I84-J84</x:f>
        <x:v>13</x:v>
      </x:c>
      <x:c r="L84" s="16" t="n">
        <x:v>14</x:v>
      </x:c>
      <x:c r="M84" s="16" t="n">
        <x:v>14</x:v>
      </x:c>
      <x:c r="N84" s="16" t="n">
        <x:v>5.39</x:v>
      </x:c>
      <x:c r="O84" s="16" t="n">
        <x:f>K84*M84</x:f>
        <x:v>182</x:v>
      </x:c>
      <x:c r="P84" s="16" t="n">
        <x:f>K84*N84</x:f>
        <x:v>70.07</x:v>
      </x:c>
      <x:c r="Q84" s="16" t="n">
        <x:f>O84-P84</x:f>
        <x:v>111.93</x:v>
      </x:c>
      <x:c r="R84" s="2" t="n">
        <x:v>121</x:v>
      </x:c>
      <x:c r="S84" s="2" t="n">
        <x:v>0</x:v>
      </x:c>
      <x:c r="T84" s="2" t="n">
        <x:f>R84+S84+J84-I84</x:f>
        <x:v>108</x:v>
      </x:c>
      <x:c r="U84" s="2" t="n">
        <x:v>0</x:v>
      </x:c>
      <x:c r="V84" s="2" t="n">
        <x:v>3</x:v>
      </x:c>
      <x:c r="W84" s="2" t="n">
        <x:v>14</x:v>
      </x:c>
      <x:c r="X84" s="14" t="b">
        <x:v>0</x:v>
      </x:c>
      <x:c r="Y84" s="14" t="b">
        <x:v>0</x:v>
      </x:c>
      <x:c r="Z84" s="2" t="n">
        <x:f>ABS(T84-AA84)</x:f>
        <x:v>0</x:v>
      </x:c>
      <x:c r="AA84" s="2" t="n">
        <x:v>108</x:v>
      </x:c>
      <x:c r="AB84" s="2" t="n">
        <x:f>ABS(K84-W84)</x:f>
        <x:v>1</x:v>
      </x:c>
      <x:c r="AC84" s="2" t="n">
        <x:f>COUNTIF($A$2:$A$1921,A84)-1</x:f>
        <x:v>0</x:v>
      </x:c>
      <x:c r="AD84" s="2" t="n">
        <x:f>IF(AND(D84=D83,H84=H83,C84=C83+1),ABS(R84-T83),0)</x:f>
        <x:v>0</x:v>
      </x:c>
    </x:row>
    <x:row r="85" ht="23" customHeight="1">
      <x:c r="A85" s="2" t="str">
        <x:v>DEMO-102-0-4</x:v>
      </x:c>
      <x:c r="B85" s="15" t="d">
        <x:v>2026-05-25T00:00:00.000Z</x:v>
      </x:c>
      <x:c r="C85" s="2" t="n">
        <x:v>4</x:v>
      </x:c>
      <x:c r="D85" s="2" t="str">
        <x:v>DEMO-102</x:v>
      </x:c>
      <x:c r="E85" s="2" t="str">
        <x:v>Grid Journal</x:v>
      </x:c>
      <x:c r="F85" s="2" t="str">
        <x:v>Stationery</x:v>
      </x:c>
      <x:c r="G85" s="2" t="str">
        <x:v>Stores</x:v>
      </x:c>
      <x:c r="H85" s="2" t="str">
        <x:v>North Arcade</x:v>
      </x:c>
      <x:c r="I85" s="2" t="n">
        <x:v>12</x:v>
      </x:c>
      <x:c r="J85" s="2" t="n">
        <x:v>0</x:v>
      </x:c>
      <x:c r="K85" s="2" t="n">
        <x:f>I85-J85</x:f>
        <x:v>12</x:v>
      </x:c>
      <x:c r="L85" s="16" t="n">
        <x:v>14</x:v>
      </x:c>
      <x:c r="M85" s="16" t="n">
        <x:v>14</x:v>
      </x:c>
      <x:c r="N85" s="16" t="n">
        <x:v>5.39</x:v>
      </x:c>
      <x:c r="O85" s="16" t="n">
        <x:f>K85*M85</x:f>
        <x:v>168</x:v>
      </x:c>
      <x:c r="P85" s="16" t="n">
        <x:f>K85*N85</x:f>
        <x:v>64.67999999999999</x:v>
      </x:c>
      <x:c r="Q85" s="16" t="n">
        <x:f>O85-P85</x:f>
        <x:v>103.32000000000001</x:v>
      </x:c>
      <x:c r="R85" s="2" t="n">
        <x:v>108</x:v>
      </x:c>
      <x:c r="S85" s="2" t="n">
        <x:v>0</x:v>
      </x:c>
      <x:c r="T85" s="2" t="n">
        <x:f>R85+S85+J85-I85</x:f>
        <x:v>96</x:v>
      </x:c>
      <x:c r="U85" s="2" t="n">
        <x:v>0</x:v>
      </x:c>
      <x:c r="V85" s="2" t="n">
        <x:v>3</x:v>
      </x:c>
      <x:c r="W85" s="2" t="n">
        <x:v>14</x:v>
      </x:c>
      <x:c r="X85" s="14" t="b">
        <x:v>0</x:v>
      </x:c>
      <x:c r="Y85" s="14" t="b">
        <x:v>0</x:v>
      </x:c>
      <x:c r="Z85" s="2" t="n">
        <x:f>ABS(T85-AA85)</x:f>
        <x:v>0</x:v>
      </x:c>
      <x:c r="AA85" s="2" t="n">
        <x:v>96</x:v>
      </x:c>
      <x:c r="AB85" s="2" t="n">
        <x:f>ABS(K85-W85)</x:f>
        <x:v>2</x:v>
      </x:c>
      <x:c r="AC85" s="2" t="n">
        <x:f>COUNTIF($A$2:$A$1921,A85)-1</x:f>
        <x:v>0</x:v>
      </x:c>
      <x:c r="AD85" s="2" t="n">
        <x:f>IF(AND(D85=D84,H85=H84,C85=C84+1),ABS(R85-T84),0)</x:f>
        <x:v>0</x:v>
      </x:c>
    </x:row>
    <x:row r="86" ht="23" customHeight="1">
      <x:c r="A86" s="2" t="str">
        <x:v>DEMO-102-0-5</x:v>
      </x:c>
      <x:c r="B86" s="15" t="d">
        <x:v>2026-06-01T00:00:00.000Z</x:v>
      </x:c>
      <x:c r="C86" s="2" t="n">
        <x:v>5</x:v>
      </x:c>
      <x:c r="D86" s="2" t="str">
        <x:v>DEMO-102</x:v>
      </x:c>
      <x:c r="E86" s="2" t="str">
        <x:v>Grid Journal</x:v>
      </x:c>
      <x:c r="F86" s="2" t="str">
        <x:v>Stationery</x:v>
      </x:c>
      <x:c r="G86" s="2" t="str">
        <x:v>Stores</x:v>
      </x:c>
      <x:c r="H86" s="2" t="str">
        <x:v>North Arcade</x:v>
      </x:c>
      <x:c r="I86" s="2" t="n">
        <x:v>17</x:v>
      </x:c>
      <x:c r="J86" s="2" t="n">
        <x:v>0</x:v>
      </x:c>
      <x:c r="K86" s="2" t="n">
        <x:f>I86-J86</x:f>
        <x:v>17</x:v>
      </x:c>
      <x:c r="L86" s="16" t="n">
        <x:v>14</x:v>
      </x:c>
      <x:c r="M86" s="16" t="n">
        <x:v>14</x:v>
      </x:c>
      <x:c r="N86" s="16" t="n">
        <x:v>5.39</x:v>
      </x:c>
      <x:c r="O86" s="16" t="n">
        <x:f>K86*M86</x:f>
        <x:v>238</x:v>
      </x:c>
      <x:c r="P86" s="16" t="n">
        <x:f>K86*N86</x:f>
        <x:v>91.63</x:v>
      </x:c>
      <x:c r="Q86" s="16" t="n">
        <x:f>O86-P86</x:f>
        <x:v>146.37</x:v>
      </x:c>
      <x:c r="R86" s="2" t="n">
        <x:v>96</x:v>
      </x:c>
      <x:c r="S86" s="2" t="n">
        <x:v>59</x:v>
      </x:c>
      <x:c r="T86" s="2" t="n">
        <x:f>R86+S86+J86-I86</x:f>
        <x:v>138</x:v>
      </x:c>
      <x:c r="U86" s="2" t="n">
        <x:v>0</x:v>
      </x:c>
      <x:c r="V86" s="2" t="n">
        <x:v>3</x:v>
      </x:c>
      <x:c r="W86" s="2" t="n">
        <x:v>13</x:v>
      </x:c>
      <x:c r="X86" s="14" t="b">
        <x:v>0</x:v>
      </x:c>
      <x:c r="Y86" s="14" t="b">
        <x:v>0</x:v>
      </x:c>
      <x:c r="Z86" s="2" t="n">
        <x:f>ABS(T86-AA86)</x:f>
        <x:v>0</x:v>
      </x:c>
      <x:c r="AA86" s="2" t="n">
        <x:v>138</x:v>
      </x:c>
      <x:c r="AB86" s="2" t="n">
        <x:f>ABS(K86-W86)</x:f>
        <x:v>4</x:v>
      </x:c>
      <x:c r="AC86" s="2" t="n">
        <x:f>COUNTIF($A$2:$A$1921,A86)-1</x:f>
        <x:v>0</x:v>
      </x:c>
      <x:c r="AD86" s="2" t="n">
        <x:f>IF(AND(D86=D85,H86=H85,C86=C85+1),ABS(R86-T85),0)</x:f>
        <x:v>0</x:v>
      </x:c>
    </x:row>
    <x:row r="87" ht="23" customHeight="1">
      <x:c r="A87" s="2" t="str">
        <x:v>DEMO-102-0-6</x:v>
      </x:c>
      <x:c r="B87" s="15" t="d">
        <x:v>2026-06-08T00:00:00.000Z</x:v>
      </x:c>
      <x:c r="C87" s="2" t="n">
        <x:v>6</x:v>
      </x:c>
      <x:c r="D87" s="2" t="str">
        <x:v>DEMO-102</x:v>
      </x:c>
      <x:c r="E87" s="2" t="str">
        <x:v>Grid Journal</x:v>
      </x:c>
      <x:c r="F87" s="2" t="str">
        <x:v>Stationery</x:v>
      </x:c>
      <x:c r="G87" s="2" t="str">
        <x:v>Stores</x:v>
      </x:c>
      <x:c r="H87" s="2" t="str">
        <x:v>North Arcade</x:v>
      </x:c>
      <x:c r="I87" s="2" t="n">
        <x:v>12</x:v>
      </x:c>
      <x:c r="J87" s="2" t="n">
        <x:v>0</x:v>
      </x:c>
      <x:c r="K87" s="2" t="n">
        <x:f>I87-J87</x:f>
        <x:v>12</x:v>
      </x:c>
      <x:c r="L87" s="16" t="n">
        <x:v>14</x:v>
      </x:c>
      <x:c r="M87" s="16" t="n">
        <x:v>14</x:v>
      </x:c>
      <x:c r="N87" s="16" t="n">
        <x:v>5.39</x:v>
      </x:c>
      <x:c r="O87" s="16" t="n">
        <x:f>K87*M87</x:f>
        <x:v>168</x:v>
      </x:c>
      <x:c r="P87" s="16" t="n">
        <x:f>K87*N87</x:f>
        <x:v>64.67999999999999</x:v>
      </x:c>
      <x:c r="Q87" s="16" t="n">
        <x:f>O87-P87</x:f>
        <x:v>103.32000000000001</x:v>
      </x:c>
      <x:c r="R87" s="2" t="n">
        <x:v>138</x:v>
      </x:c>
      <x:c r="S87" s="2" t="n">
        <x:v>0</x:v>
      </x:c>
      <x:c r="T87" s="2" t="n">
        <x:f>R87+S87+J87-I87</x:f>
        <x:v>126</x:v>
      </x:c>
      <x:c r="U87" s="2" t="n">
        <x:v>0</x:v>
      </x:c>
      <x:c r="V87" s="2" t="n">
        <x:v>3</x:v>
      </x:c>
      <x:c r="W87" s="2" t="n">
        <x:v>15</x:v>
      </x:c>
      <x:c r="X87" s="14" t="b">
        <x:v>0</x:v>
      </x:c>
      <x:c r="Y87" s="14" t="b">
        <x:v>0</x:v>
      </x:c>
      <x:c r="Z87" s="2" t="n">
        <x:f>ABS(T87-AA87)</x:f>
        <x:v>0</x:v>
      </x:c>
      <x:c r="AA87" s="2" t="n">
        <x:v>126</x:v>
      </x:c>
      <x:c r="AB87" s="2" t="n">
        <x:f>ABS(K87-W87)</x:f>
        <x:v>3</x:v>
      </x:c>
      <x:c r="AC87" s="2" t="n">
        <x:f>COUNTIF($A$2:$A$1921,A87)-1</x:f>
        <x:v>0</x:v>
      </x:c>
      <x:c r="AD87" s="2" t="n">
        <x:f>IF(AND(D87=D86,H87=H86,C87=C86+1),ABS(R87-T86),0)</x:f>
        <x:v>0</x:v>
      </x:c>
    </x:row>
    <x:row r="88" ht="23" customHeight="1">
      <x:c r="A88" s="2" t="str">
        <x:v>DEMO-102-0-7</x:v>
      </x:c>
      <x:c r="B88" s="15" t="d">
        <x:v>2026-06-15T00:00:00.000Z</x:v>
      </x:c>
      <x:c r="C88" s="2" t="n">
        <x:v>7</x:v>
      </x:c>
      <x:c r="D88" s="2" t="str">
        <x:v>DEMO-102</x:v>
      </x:c>
      <x:c r="E88" s="2" t="str">
        <x:v>Grid Journal</x:v>
      </x:c>
      <x:c r="F88" s="2" t="str">
        <x:v>Stationery</x:v>
      </x:c>
      <x:c r="G88" s="2" t="str">
        <x:v>Stores</x:v>
      </x:c>
      <x:c r="H88" s="2" t="str">
        <x:v>North Arcade</x:v>
      </x:c>
      <x:c r="I88" s="2" t="n">
        <x:v>15</x:v>
      </x:c>
      <x:c r="J88" s="2" t="n">
        <x:v>0</x:v>
      </x:c>
      <x:c r="K88" s="2" t="n">
        <x:f>I88-J88</x:f>
        <x:v>15</x:v>
      </x:c>
      <x:c r="L88" s="16" t="n">
        <x:v>14</x:v>
      </x:c>
      <x:c r="M88" s="16" t="n">
        <x:v>14</x:v>
      </x:c>
      <x:c r="N88" s="16" t="n">
        <x:v>5.39</x:v>
      </x:c>
      <x:c r="O88" s="16" t="n">
        <x:f>K88*M88</x:f>
        <x:v>210</x:v>
      </x:c>
      <x:c r="P88" s="16" t="n">
        <x:f>K88*N88</x:f>
        <x:v>80.85</x:v>
      </x:c>
      <x:c r="Q88" s="16" t="n">
        <x:f>O88-P88</x:f>
        <x:v>129.15</x:v>
      </x:c>
      <x:c r="R88" s="2" t="n">
        <x:v>126</x:v>
      </x:c>
      <x:c r="S88" s="2" t="n">
        <x:v>0</x:v>
      </x:c>
      <x:c r="T88" s="2" t="n">
        <x:f>R88+S88+J88-I88</x:f>
        <x:v>111</x:v>
      </x:c>
      <x:c r="U88" s="2" t="n">
        <x:v>0</x:v>
      </x:c>
      <x:c r="V88" s="2" t="n">
        <x:v>3</x:v>
      </x:c>
      <x:c r="W88" s="2" t="n">
        <x:v>14</x:v>
      </x:c>
      <x:c r="X88" s="14" t="b">
        <x:v>0</x:v>
      </x:c>
      <x:c r="Y88" s="14" t="b">
        <x:v>0</x:v>
      </x:c>
      <x:c r="Z88" s="2" t="n">
        <x:f>ABS(T88-AA88)</x:f>
        <x:v>0</x:v>
      </x:c>
      <x:c r="AA88" s="2" t="n">
        <x:v>111</x:v>
      </x:c>
      <x:c r="AB88" s="2" t="n">
        <x:f>ABS(K88-W88)</x:f>
        <x:v>1</x:v>
      </x:c>
      <x:c r="AC88" s="2" t="n">
        <x:f>COUNTIF($A$2:$A$1921,A88)-1</x:f>
        <x:v>0</x:v>
      </x:c>
      <x:c r="AD88" s="2" t="n">
        <x:f>IF(AND(D88=D87,H88=H87,C88=C87+1),ABS(R88-T87),0)</x:f>
        <x:v>0</x:v>
      </x:c>
    </x:row>
    <x:row r="89" ht="23" customHeight="1">
      <x:c r="A89" s="2" t="str">
        <x:v>DEMO-102-0-8</x:v>
      </x:c>
      <x:c r="B89" s="15" t="d">
        <x:v>2026-06-22T00:00:00.000Z</x:v>
      </x:c>
      <x:c r="C89" s="2" t="n">
        <x:v>8</x:v>
      </x:c>
      <x:c r="D89" s="2" t="str">
        <x:v>DEMO-102</x:v>
      </x:c>
      <x:c r="E89" s="2" t="str">
        <x:v>Grid Journal</x:v>
      </x:c>
      <x:c r="F89" s="2" t="str">
        <x:v>Stationery</x:v>
      </x:c>
      <x:c r="G89" s="2" t="str">
        <x:v>Stores</x:v>
      </x:c>
      <x:c r="H89" s="2" t="str">
        <x:v>North Arcade</x:v>
      </x:c>
      <x:c r="I89" s="2" t="n">
        <x:v>15</x:v>
      </x:c>
      <x:c r="J89" s="2" t="n">
        <x:v>0</x:v>
      </x:c>
      <x:c r="K89" s="2" t="n">
        <x:f>I89-J89</x:f>
        <x:v>15</x:v>
      </x:c>
      <x:c r="L89" s="16" t="n">
        <x:v>14</x:v>
      </x:c>
      <x:c r="M89" s="16" t="n">
        <x:v>14</x:v>
      </x:c>
      <x:c r="N89" s="16" t="n">
        <x:v>5.39</x:v>
      </x:c>
      <x:c r="O89" s="16" t="n">
        <x:f>K89*M89</x:f>
        <x:v>210</x:v>
      </x:c>
      <x:c r="P89" s="16" t="n">
        <x:f>K89*N89</x:f>
        <x:v>80.85</x:v>
      </x:c>
      <x:c r="Q89" s="16" t="n">
        <x:f>O89-P89</x:f>
        <x:v>129.15</x:v>
      </x:c>
      <x:c r="R89" s="2" t="n">
        <x:v>111</x:v>
      </x:c>
      <x:c r="S89" s="2" t="n">
        <x:v>0</x:v>
      </x:c>
      <x:c r="T89" s="2" t="n">
        <x:f>R89+S89+J89-I89</x:f>
        <x:v>96</x:v>
      </x:c>
      <x:c r="U89" s="2" t="n">
        <x:v>0</x:v>
      </x:c>
      <x:c r="V89" s="2" t="n">
        <x:v>3</x:v>
      </x:c>
      <x:c r="W89" s="2" t="n">
        <x:v>14</x:v>
      </x:c>
      <x:c r="X89" s="14" t="b">
        <x:v>0</x:v>
      </x:c>
      <x:c r="Y89" s="14" t="b">
        <x:v>0</x:v>
      </x:c>
      <x:c r="Z89" s="2" t="n">
        <x:f>ABS(T89-AA89)</x:f>
        <x:v>0</x:v>
      </x:c>
      <x:c r="AA89" s="2" t="n">
        <x:v>96</x:v>
      </x:c>
      <x:c r="AB89" s="2" t="n">
        <x:f>ABS(K89-W89)</x:f>
        <x:v>1</x:v>
      </x:c>
      <x:c r="AC89" s="2" t="n">
        <x:f>COUNTIF($A$2:$A$1921,A89)-1</x:f>
        <x:v>0</x:v>
      </x:c>
      <x:c r="AD89" s="2" t="n">
        <x:f>IF(AND(D89=D88,H89=H88,C89=C88+1),ABS(R89-T88),0)</x:f>
        <x:v>0</x:v>
      </x:c>
    </x:row>
    <x:row r="90" ht="23" customHeight="1">
      <x:c r="A90" s="2" t="str">
        <x:v>DEMO-102-0-9</x:v>
      </x:c>
      <x:c r="B90" s="15" t="d">
        <x:v>2026-06-29T00:00:00.000Z</x:v>
      </x:c>
      <x:c r="C90" s="2" t="n">
        <x:v>9</x:v>
      </x:c>
      <x:c r="D90" s="2" t="str">
        <x:v>DEMO-102</x:v>
      </x:c>
      <x:c r="E90" s="2" t="str">
        <x:v>Grid Journal</x:v>
      </x:c>
      <x:c r="F90" s="2" t="str">
        <x:v>Stationery</x:v>
      </x:c>
      <x:c r="G90" s="2" t="str">
        <x:v>Stores</x:v>
      </x:c>
      <x:c r="H90" s="2" t="str">
        <x:v>North Arcade</x:v>
      </x:c>
      <x:c r="I90" s="2" t="n">
        <x:v>12</x:v>
      </x:c>
      <x:c r="J90" s="2" t="n">
        <x:v>0</x:v>
      </x:c>
      <x:c r="K90" s="2" t="n">
        <x:f>I90-J90</x:f>
        <x:v>12</x:v>
      </x:c>
      <x:c r="L90" s="16" t="n">
        <x:v>14</x:v>
      </x:c>
      <x:c r="M90" s="16" t="n">
        <x:v>14</x:v>
      </x:c>
      <x:c r="N90" s="16" t="n">
        <x:v>5.39</x:v>
      </x:c>
      <x:c r="O90" s="16" t="n">
        <x:f>K90*M90</x:f>
        <x:v>168</x:v>
      </x:c>
      <x:c r="P90" s="16" t="n">
        <x:f>K90*N90</x:f>
        <x:v>64.67999999999999</x:v>
      </x:c>
      <x:c r="Q90" s="16" t="n">
        <x:f>O90-P90</x:f>
        <x:v>103.32000000000001</x:v>
      </x:c>
      <x:c r="R90" s="2" t="n">
        <x:v>96</x:v>
      </x:c>
      <x:c r="S90" s="2" t="n">
        <x:v>59</x:v>
      </x:c>
      <x:c r="T90" s="2" t="n">
        <x:f>R90+S90+J90-I90</x:f>
        <x:v>143</x:v>
      </x:c>
      <x:c r="U90" s="2" t="n">
        <x:v>0</x:v>
      </x:c>
      <x:c r="V90" s="2" t="n">
        <x:v>3</x:v>
      </x:c>
      <x:c r="W90" s="2" t="n">
        <x:v>15</x:v>
      </x:c>
      <x:c r="X90" s="14" t="b">
        <x:v>0</x:v>
      </x:c>
      <x:c r="Y90" s="14" t="b">
        <x:v>0</x:v>
      </x:c>
      <x:c r="Z90" s="2" t="n">
        <x:f>ABS(T90-AA90)</x:f>
        <x:v>0</x:v>
      </x:c>
      <x:c r="AA90" s="2" t="n">
        <x:v>143</x:v>
      </x:c>
      <x:c r="AB90" s="2" t="n">
        <x:f>ABS(K90-W90)</x:f>
        <x:v>3</x:v>
      </x:c>
      <x:c r="AC90" s="2" t="n">
        <x:f>COUNTIF($A$2:$A$1921,A90)-1</x:f>
        <x:v>0</x:v>
      </x:c>
      <x:c r="AD90" s="2" t="n">
        <x:f>IF(AND(D90=D89,H90=H89,C90=C89+1),ABS(R90-T89),0)</x:f>
        <x:v>0</x:v>
      </x:c>
    </x:row>
    <x:row r="91" ht="23" customHeight="1">
      <x:c r="A91" s="2" t="str">
        <x:v>DEMO-102-0-10</x:v>
      </x:c>
      <x:c r="B91" s="15" t="d">
        <x:v>2026-07-06T00:00:00.000Z</x:v>
      </x:c>
      <x:c r="C91" s="2" t="n">
        <x:v>10</x:v>
      </x:c>
      <x:c r="D91" s="2" t="str">
        <x:v>DEMO-102</x:v>
      </x:c>
      <x:c r="E91" s="2" t="str">
        <x:v>Grid Journal</x:v>
      </x:c>
      <x:c r="F91" s="2" t="str">
        <x:v>Stationery</x:v>
      </x:c>
      <x:c r="G91" s="2" t="str">
        <x:v>Stores</x:v>
      </x:c>
      <x:c r="H91" s="2" t="str">
        <x:v>North Arcade</x:v>
      </x:c>
      <x:c r="I91" s="2" t="n">
        <x:v>14</x:v>
      </x:c>
      <x:c r="J91" s="2" t="n">
        <x:v>0</x:v>
      </x:c>
      <x:c r="K91" s="2" t="n">
        <x:f>I91-J91</x:f>
        <x:v>14</x:v>
      </x:c>
      <x:c r="L91" s="16" t="n">
        <x:v>14</x:v>
      </x:c>
      <x:c r="M91" s="16" t="n">
        <x:v>14</x:v>
      </x:c>
      <x:c r="N91" s="16" t="n">
        <x:v>5.39</x:v>
      </x:c>
      <x:c r="O91" s="16" t="n">
        <x:f>K91*M91</x:f>
        <x:v>196</x:v>
      </x:c>
      <x:c r="P91" s="16" t="n">
        <x:f>K91*N91</x:f>
        <x:v>75.46</x:v>
      </x:c>
      <x:c r="Q91" s="16" t="n">
        <x:f>O91-P91</x:f>
        <x:v>120.54</x:v>
      </x:c>
      <x:c r="R91" s="2" t="n">
        <x:v>143</x:v>
      </x:c>
      <x:c r="S91" s="2" t="n">
        <x:v>0</x:v>
      </x:c>
      <x:c r="T91" s="2" t="n">
        <x:f>R91+S91+J91-I91</x:f>
        <x:v>129</x:v>
      </x:c>
      <x:c r="U91" s="2" t="n">
        <x:v>0</x:v>
      </x:c>
      <x:c r="V91" s="2" t="n">
        <x:v>3</x:v>
      </x:c>
      <x:c r="W91" s="2" t="n">
        <x:v>14</x:v>
      </x:c>
      <x:c r="X91" s="14" t="b">
        <x:v>0</x:v>
      </x:c>
      <x:c r="Y91" s="14" t="b">
        <x:v>0</x:v>
      </x:c>
      <x:c r="Z91" s="2" t="n">
        <x:f>ABS(T91-AA91)</x:f>
        <x:v>0</x:v>
      </x:c>
      <x:c r="AA91" s="2" t="n">
        <x:v>129</x:v>
      </x:c>
      <x:c r="AB91" s="2" t="n">
        <x:f>ABS(K91-W91)</x:f>
        <x:v>0</x:v>
      </x:c>
      <x:c r="AC91" s="2" t="n">
        <x:f>COUNTIF($A$2:$A$1921,A91)-1</x:f>
        <x:v>0</x:v>
      </x:c>
      <x:c r="AD91" s="2" t="n">
        <x:f>IF(AND(D91=D90,H91=H90,C91=C90+1),ABS(R91-T90),0)</x:f>
        <x:v>0</x:v>
      </x:c>
    </x:row>
    <x:row r="92" ht="23" customHeight="1">
      <x:c r="A92" s="2" t="str">
        <x:v>DEMO-102-0-11</x:v>
      </x:c>
      <x:c r="B92" s="15" t="d">
        <x:v>2026-07-13T00:00:00.000Z</x:v>
      </x:c>
      <x:c r="C92" s="2" t="n">
        <x:v>11</x:v>
      </x:c>
      <x:c r="D92" s="2" t="str">
        <x:v>DEMO-102</x:v>
      </x:c>
      <x:c r="E92" s="2" t="str">
        <x:v>Grid Journal</x:v>
      </x:c>
      <x:c r="F92" s="2" t="str">
        <x:v>Stationery</x:v>
      </x:c>
      <x:c r="G92" s="2" t="str">
        <x:v>Stores</x:v>
      </x:c>
      <x:c r="H92" s="2" t="str">
        <x:v>North Arcade</x:v>
      </x:c>
      <x:c r="I92" s="2" t="n">
        <x:v>13</x:v>
      </x:c>
      <x:c r="J92" s="2" t="n">
        <x:v>0</x:v>
      </x:c>
      <x:c r="K92" s="2" t="n">
        <x:f>I92-J92</x:f>
        <x:v>13</x:v>
      </x:c>
      <x:c r="L92" s="16" t="n">
        <x:v>14</x:v>
      </x:c>
      <x:c r="M92" s="16" t="n">
        <x:v>14</x:v>
      </x:c>
      <x:c r="N92" s="16" t="n">
        <x:v>5.39</x:v>
      </x:c>
      <x:c r="O92" s="16" t="n">
        <x:f>K92*M92</x:f>
        <x:v>182</x:v>
      </x:c>
      <x:c r="P92" s="16" t="n">
        <x:f>K92*N92</x:f>
        <x:v>70.07</x:v>
      </x:c>
      <x:c r="Q92" s="16" t="n">
        <x:f>O92-P92</x:f>
        <x:v>111.93</x:v>
      </x:c>
      <x:c r="R92" s="2" t="n">
        <x:v>129</x:v>
      </x:c>
      <x:c r="S92" s="2" t="n">
        <x:v>0</x:v>
      </x:c>
      <x:c r="T92" s="2" t="n">
        <x:f>R92+S92+J92-I92</x:f>
        <x:v>116</x:v>
      </x:c>
      <x:c r="U92" s="2" t="n">
        <x:v>0</x:v>
      </x:c>
      <x:c r="V92" s="2" t="n">
        <x:v>3</x:v>
      </x:c>
      <x:c r="W92" s="2" t="n">
        <x:v>14</x:v>
      </x:c>
      <x:c r="X92" s="14" t="b">
        <x:v>0</x:v>
      </x:c>
      <x:c r="Y92" s="14" t="b">
        <x:v>0</x:v>
      </x:c>
      <x:c r="Z92" s="2" t="n">
        <x:f>ABS(T92-AA92)</x:f>
        <x:v>0</x:v>
      </x:c>
      <x:c r="AA92" s="2" t="n">
        <x:v>116</x:v>
      </x:c>
      <x:c r="AB92" s="2" t="n">
        <x:f>ABS(K92-W92)</x:f>
        <x:v>1</x:v>
      </x:c>
      <x:c r="AC92" s="2" t="n">
        <x:f>COUNTIF($A$2:$A$1921,A92)-1</x:f>
        <x:v>0</x:v>
      </x:c>
      <x:c r="AD92" s="2" t="n">
        <x:f>IF(AND(D92=D91,H92=H91,C92=C91+1),ABS(R92-T91),0)</x:f>
        <x:v>0</x:v>
      </x:c>
    </x:row>
    <x:row r="93" ht="23" customHeight="1">
      <x:c r="A93" s="2" t="str">
        <x:v>DEMO-102-0-12</x:v>
      </x:c>
      <x:c r="B93" s="15" t="d">
        <x:v>2026-07-20T00:00:00.000Z</x:v>
      </x:c>
      <x:c r="C93" s="2" t="n">
        <x:v>12</x:v>
      </x:c>
      <x:c r="D93" s="2" t="str">
        <x:v>DEMO-102</x:v>
      </x:c>
      <x:c r="E93" s="2" t="str">
        <x:v>Grid Journal</x:v>
      </x:c>
      <x:c r="F93" s="2" t="str">
        <x:v>Stationery</x:v>
      </x:c>
      <x:c r="G93" s="2" t="str">
        <x:v>Stores</x:v>
      </x:c>
      <x:c r="H93" s="2" t="str">
        <x:v>North Arcade</x:v>
      </x:c>
      <x:c r="I93" s="2" t="n">
        <x:v>16</x:v>
      </x:c>
      <x:c r="J93" s="2" t="n">
        <x:v>1</x:v>
      </x:c>
      <x:c r="K93" s="2" t="n">
        <x:f>I93-J93</x:f>
        <x:v>15</x:v>
      </x:c>
      <x:c r="L93" s="16" t="n">
        <x:v>14</x:v>
      </x:c>
      <x:c r="M93" s="16" t="n">
        <x:v>14</x:v>
      </x:c>
      <x:c r="N93" s="16" t="n">
        <x:v>5.39</x:v>
      </x:c>
      <x:c r="O93" s="16" t="n">
        <x:f>K93*M93</x:f>
        <x:v>210</x:v>
      </x:c>
      <x:c r="P93" s="16" t="n">
        <x:f>K93*N93</x:f>
        <x:v>80.85</x:v>
      </x:c>
      <x:c r="Q93" s="16" t="n">
        <x:f>O93-P93</x:f>
        <x:v>129.15</x:v>
      </x:c>
      <x:c r="R93" s="2" t="n">
        <x:v>116</x:v>
      </x:c>
      <x:c r="S93" s="2" t="n">
        <x:v>0</x:v>
      </x:c>
      <x:c r="T93" s="2" t="n">
        <x:f>R93+S93+J93-I93</x:f>
        <x:v>101</x:v>
      </x:c>
      <x:c r="U93" s="2" t="n">
        <x:v>0</x:v>
      </x:c>
      <x:c r="V93" s="2" t="n">
        <x:v>3</x:v>
      </x:c>
      <x:c r="W93" s="2" t="n">
        <x:v>14</x:v>
      </x:c>
      <x:c r="X93" s="14" t="b">
        <x:v>0</x:v>
      </x:c>
      <x:c r="Y93" s="14" t="b">
        <x:v>0</x:v>
      </x:c>
      <x:c r="Z93" s="2" t="n">
        <x:f>ABS(T93-AA93)</x:f>
        <x:v>0</x:v>
      </x:c>
      <x:c r="AA93" s="2" t="n">
        <x:v>101</x:v>
      </x:c>
      <x:c r="AB93" s="2" t="n">
        <x:f>ABS(K93-W93)</x:f>
        <x:v>1</x:v>
      </x:c>
      <x:c r="AC93" s="2" t="n">
        <x:f>COUNTIF($A$2:$A$1921,A93)-1</x:f>
        <x:v>0</x:v>
      </x:c>
      <x:c r="AD93" s="2" t="n">
        <x:f>IF(AND(D93=D92,H93=H92,C93=C92+1),ABS(R93-T92),0)</x:f>
        <x:v>0</x:v>
      </x:c>
    </x:row>
    <x:row r="94" ht="23" customHeight="1">
      <x:c r="A94" s="2" t="str">
        <x:v>DEMO-102-0-13</x:v>
      </x:c>
      <x:c r="B94" s="15" t="d">
        <x:v>2026-07-27T00:00:00.000Z</x:v>
      </x:c>
      <x:c r="C94" s="2" t="n">
        <x:v>13</x:v>
      </x:c>
      <x:c r="D94" s="2" t="str">
        <x:v>DEMO-102</x:v>
      </x:c>
      <x:c r="E94" s="2" t="str">
        <x:v>Grid Journal</x:v>
      </x:c>
      <x:c r="F94" s="2" t="str">
        <x:v>Stationery</x:v>
      </x:c>
      <x:c r="G94" s="2" t="str">
        <x:v>Stores</x:v>
      </x:c>
      <x:c r="H94" s="2" t="str">
        <x:v>North Arcade</x:v>
      </x:c>
      <x:c r="I94" s="2" t="n">
        <x:v>13</x:v>
      </x:c>
      <x:c r="J94" s="2" t="n">
        <x:v>1</x:v>
      </x:c>
      <x:c r="K94" s="2" t="n">
        <x:f>I94-J94</x:f>
        <x:v>12</x:v>
      </x:c>
      <x:c r="L94" s="16" t="n">
        <x:v>14</x:v>
      </x:c>
      <x:c r="M94" s="16" t="n">
        <x:v>14</x:v>
      </x:c>
      <x:c r="N94" s="16" t="n">
        <x:v>5.39</x:v>
      </x:c>
      <x:c r="O94" s="16" t="n">
        <x:f>K94*M94</x:f>
        <x:v>168</x:v>
      </x:c>
      <x:c r="P94" s="16" t="n">
        <x:f>K94*N94</x:f>
        <x:v>64.67999999999999</x:v>
      </x:c>
      <x:c r="Q94" s="16" t="n">
        <x:f>O94-P94</x:f>
        <x:v>103.32000000000001</x:v>
      </x:c>
      <x:c r="R94" s="2" t="n">
        <x:v>101</x:v>
      </x:c>
      <x:c r="S94" s="2" t="n">
        <x:v>59</x:v>
      </x:c>
      <x:c r="T94" s="2" t="n">
        <x:f>R94+S94+J94-I94</x:f>
        <x:v>148</x:v>
      </x:c>
      <x:c r="U94" s="2" t="n">
        <x:v>0</x:v>
      </x:c>
      <x:c r="V94" s="2" t="n">
        <x:v>3</x:v>
      </x:c>
      <x:c r="W94" s="2" t="n">
        <x:v>14</x:v>
      </x:c>
      <x:c r="X94" s="14" t="b">
        <x:v>0</x:v>
      </x:c>
      <x:c r="Y94" s="14" t="b">
        <x:v>0</x:v>
      </x:c>
      <x:c r="Z94" s="2" t="n">
        <x:f>ABS(T94-AA94)</x:f>
        <x:v>0</x:v>
      </x:c>
      <x:c r="AA94" s="2" t="n">
        <x:v>148</x:v>
      </x:c>
      <x:c r="AB94" s="2" t="n">
        <x:f>ABS(K94-W94)</x:f>
        <x:v>2</x:v>
      </x:c>
      <x:c r="AC94" s="2" t="n">
        <x:f>COUNTIF($A$2:$A$1921,A94)-1</x:f>
        <x:v>0</x:v>
      </x:c>
      <x:c r="AD94" s="2" t="n">
        <x:f>IF(AND(D94=D93,H94=H93,C94=C93+1),ABS(R94-T93),0)</x:f>
        <x:v>0</x:v>
      </x:c>
    </x:row>
    <x:row r="95" ht="23" customHeight="1">
      <x:c r="A95" s="2" t="str">
        <x:v>DEMO-102-0-14</x:v>
      </x:c>
      <x:c r="B95" s="15" t="d">
        <x:v>2026-08-03T00:00:00.000Z</x:v>
      </x:c>
      <x:c r="C95" s="2" t="n">
        <x:v>14</x:v>
      </x:c>
      <x:c r="D95" s="2" t="str">
        <x:v>DEMO-102</x:v>
      </x:c>
      <x:c r="E95" s="2" t="str">
        <x:v>Grid Journal</x:v>
      </x:c>
      <x:c r="F95" s="2" t="str">
        <x:v>Stationery</x:v>
      </x:c>
      <x:c r="G95" s="2" t="str">
        <x:v>Stores</x:v>
      </x:c>
      <x:c r="H95" s="2" t="str">
        <x:v>North Arcade</x:v>
      </x:c>
      <x:c r="I95" s="2" t="n">
        <x:v>13</x:v>
      </x:c>
      <x:c r="J95" s="2" t="n">
        <x:v>0</x:v>
      </x:c>
      <x:c r="K95" s="2" t="n">
        <x:f>I95-J95</x:f>
        <x:v>13</x:v>
      </x:c>
      <x:c r="L95" s="16" t="n">
        <x:v>14</x:v>
      </x:c>
      <x:c r="M95" s="16" t="n">
        <x:v>14</x:v>
      </x:c>
      <x:c r="N95" s="16" t="n">
        <x:v>5.39</x:v>
      </x:c>
      <x:c r="O95" s="16" t="n">
        <x:f>K95*M95</x:f>
        <x:v>182</x:v>
      </x:c>
      <x:c r="P95" s="16" t="n">
        <x:f>K95*N95</x:f>
        <x:v>70.07</x:v>
      </x:c>
      <x:c r="Q95" s="16" t="n">
        <x:f>O95-P95</x:f>
        <x:v>111.93</x:v>
      </x:c>
      <x:c r="R95" s="2" t="n">
        <x:v>148</x:v>
      </x:c>
      <x:c r="S95" s="2" t="n">
        <x:v>0</x:v>
      </x:c>
      <x:c r="T95" s="2" t="n">
        <x:f>R95+S95+J95-I95</x:f>
        <x:v>135</x:v>
      </x:c>
      <x:c r="U95" s="2" t="n">
        <x:v>0</x:v>
      </x:c>
      <x:c r="V95" s="2" t="n">
        <x:v>3</x:v>
      </x:c>
      <x:c r="W95" s="2" t="n">
        <x:v>14</x:v>
      </x:c>
      <x:c r="X95" s="14" t="b">
        <x:v>0</x:v>
      </x:c>
      <x:c r="Y95" s="14" t="b">
        <x:v>0</x:v>
      </x:c>
      <x:c r="Z95" s="2" t="n">
        <x:f>ABS(T95-AA95)</x:f>
        <x:v>0</x:v>
      </x:c>
      <x:c r="AA95" s="2" t="n">
        <x:v>135</x:v>
      </x:c>
      <x:c r="AB95" s="2" t="n">
        <x:f>ABS(K95-W95)</x:f>
        <x:v>1</x:v>
      </x:c>
      <x:c r="AC95" s="2" t="n">
        <x:f>COUNTIF($A$2:$A$1921,A95)-1</x:f>
        <x:v>0</x:v>
      </x:c>
      <x:c r="AD95" s="2" t="n">
        <x:f>IF(AND(D95=D94,H95=H94,C95=C94+1),ABS(R95-T94),0)</x:f>
        <x:v>0</x:v>
      </x:c>
    </x:row>
    <x:row r="96" ht="23" customHeight="1">
      <x:c r="A96" s="2" t="str">
        <x:v>DEMO-102-0-15</x:v>
      </x:c>
      <x:c r="B96" s="15" t="d">
        <x:v>2026-08-10T00:00:00.000Z</x:v>
      </x:c>
      <x:c r="C96" s="2" t="n">
        <x:v>15</x:v>
      </x:c>
      <x:c r="D96" s="2" t="str">
        <x:v>DEMO-102</x:v>
      </x:c>
      <x:c r="E96" s="2" t="str">
        <x:v>Grid Journal</x:v>
      </x:c>
      <x:c r="F96" s="2" t="str">
        <x:v>Stationery</x:v>
      </x:c>
      <x:c r="G96" s="2" t="str">
        <x:v>Stores</x:v>
      </x:c>
      <x:c r="H96" s="2" t="str">
        <x:v>North Arcade</x:v>
      </x:c>
      <x:c r="I96" s="2" t="n">
        <x:v>12</x:v>
      </x:c>
      <x:c r="J96" s="2" t="n">
        <x:v>0</x:v>
      </x:c>
      <x:c r="K96" s="2" t="n">
        <x:f>I96-J96</x:f>
        <x:v>12</x:v>
      </x:c>
      <x:c r="L96" s="16" t="n">
        <x:v>14</x:v>
      </x:c>
      <x:c r="M96" s="16" t="n">
        <x:v>14</x:v>
      </x:c>
      <x:c r="N96" s="16" t="n">
        <x:v>5.39</x:v>
      </x:c>
      <x:c r="O96" s="16" t="n">
        <x:f>K96*M96</x:f>
        <x:v>168</x:v>
      </x:c>
      <x:c r="P96" s="16" t="n">
        <x:f>K96*N96</x:f>
        <x:v>64.67999999999999</x:v>
      </x:c>
      <x:c r="Q96" s="16" t="n">
        <x:f>O96-P96</x:f>
        <x:v>103.32000000000001</x:v>
      </x:c>
      <x:c r="R96" s="2" t="n">
        <x:v>135</x:v>
      </x:c>
      <x:c r="S96" s="2" t="n">
        <x:v>0</x:v>
      </x:c>
      <x:c r="T96" s="2" t="n">
        <x:f>R96+S96+J96-I96</x:f>
        <x:v>123</x:v>
      </x:c>
      <x:c r="U96" s="2" t="n">
        <x:v>0</x:v>
      </x:c>
      <x:c r="V96" s="2" t="n">
        <x:v>3</x:v>
      </x:c>
      <x:c r="W96" s="2" t="n">
        <x:v>13</x:v>
      </x:c>
      <x:c r="X96" s="14" t="b">
        <x:v>0</x:v>
      </x:c>
      <x:c r="Y96" s="14" t="b">
        <x:v>0</x:v>
      </x:c>
      <x:c r="Z96" s="2" t="n">
        <x:f>ABS(T96-AA96)</x:f>
        <x:v>0</x:v>
      </x:c>
      <x:c r="AA96" s="2" t="n">
        <x:v>123</x:v>
      </x:c>
      <x:c r="AB96" s="2" t="n">
        <x:f>ABS(K96-W96)</x:f>
        <x:v>1</x:v>
      </x:c>
      <x:c r="AC96" s="2" t="n">
        <x:f>COUNTIF($A$2:$A$1921,A96)-1</x:f>
        <x:v>0</x:v>
      </x:c>
      <x:c r="AD96" s="2" t="n">
        <x:f>IF(AND(D96=D95,H96=H95,C96=C95+1),ABS(R96-T95),0)</x:f>
        <x:v>0</x:v>
      </x:c>
    </x:row>
    <x:row r="97" ht="23" customHeight="1">
      <x:c r="A97" s="2" t="str">
        <x:v>DEMO-102-0-16</x:v>
      </x:c>
      <x:c r="B97" s="15" t="d">
        <x:v>2026-08-17T00:00:00.000Z</x:v>
      </x:c>
      <x:c r="C97" s="2" t="n">
        <x:v>16</x:v>
      </x:c>
      <x:c r="D97" s="2" t="str">
        <x:v>DEMO-102</x:v>
      </x:c>
      <x:c r="E97" s="2" t="str">
        <x:v>Grid Journal</x:v>
      </x:c>
      <x:c r="F97" s="2" t="str">
        <x:v>Stationery</x:v>
      </x:c>
      <x:c r="G97" s="2" t="str">
        <x:v>Stores</x:v>
      </x:c>
      <x:c r="H97" s="2" t="str">
        <x:v>North Arcade</x:v>
      </x:c>
      <x:c r="I97" s="2" t="n">
        <x:v>13</x:v>
      </x:c>
      <x:c r="J97" s="2" t="n">
        <x:v>0</x:v>
      </x:c>
      <x:c r="K97" s="2" t="n">
        <x:f>I97-J97</x:f>
        <x:v>13</x:v>
      </x:c>
      <x:c r="L97" s="16" t="n">
        <x:v>14</x:v>
      </x:c>
      <x:c r="M97" s="16" t="n">
        <x:v>14</x:v>
      </x:c>
      <x:c r="N97" s="16" t="n">
        <x:v>5.39</x:v>
      </x:c>
      <x:c r="O97" s="16" t="n">
        <x:f>K97*M97</x:f>
        <x:v>182</x:v>
      </x:c>
      <x:c r="P97" s="16" t="n">
        <x:f>K97*N97</x:f>
        <x:v>70.07</x:v>
      </x:c>
      <x:c r="Q97" s="16" t="n">
        <x:f>O97-P97</x:f>
        <x:v>111.93</x:v>
      </x:c>
      <x:c r="R97" s="2" t="n">
        <x:v>123</x:v>
      </x:c>
      <x:c r="S97" s="2" t="n">
        <x:v>0</x:v>
      </x:c>
      <x:c r="T97" s="2" t="n">
        <x:f>R97+S97+J97-I97</x:f>
        <x:v>110</x:v>
      </x:c>
      <x:c r="U97" s="2" t="n">
        <x:v>0</x:v>
      </x:c>
      <x:c r="V97" s="2" t="n">
        <x:v>3</x:v>
      </x:c>
      <x:c r="W97" s="2" t="n">
        <x:v>13</x:v>
      </x:c>
      <x:c r="X97" s="14" t="b">
        <x:v>0</x:v>
      </x:c>
      <x:c r="Y97" s="14" t="b">
        <x:v>0</x:v>
      </x:c>
      <x:c r="Z97" s="2" t="n">
        <x:f>ABS(T97-AA97)</x:f>
        <x:v>0</x:v>
      </x:c>
      <x:c r="AA97" s="2" t="n">
        <x:v>110</x:v>
      </x:c>
      <x:c r="AB97" s="2" t="n">
        <x:f>ABS(K97-W97)</x:f>
        <x:v>0</x:v>
      </x:c>
      <x:c r="AC97" s="2" t="n">
        <x:f>COUNTIF($A$2:$A$1921,A97)-1</x:f>
        <x:v>0</x:v>
      </x:c>
      <x:c r="AD97" s="2" t="n">
        <x:f>IF(AND(D97=D96,H97=H96,C97=C96+1),ABS(R97-T96),0)</x:f>
        <x:v>0</x:v>
      </x:c>
    </x:row>
    <x:row r="98" ht="23" customHeight="1">
      <x:c r="A98" s="2" t="str">
        <x:v>DEMO-102-0-17</x:v>
      </x:c>
      <x:c r="B98" s="15" t="d">
        <x:v>2026-08-24T00:00:00.000Z</x:v>
      </x:c>
      <x:c r="C98" s="2" t="n">
        <x:v>17</x:v>
      </x:c>
      <x:c r="D98" s="2" t="str">
        <x:v>DEMO-102</x:v>
      </x:c>
      <x:c r="E98" s="2" t="str">
        <x:v>Grid Journal</x:v>
      </x:c>
      <x:c r="F98" s="2" t="str">
        <x:v>Stationery</x:v>
      </x:c>
      <x:c r="G98" s="2" t="str">
        <x:v>Stores</x:v>
      </x:c>
      <x:c r="H98" s="2" t="str">
        <x:v>North Arcade</x:v>
      </x:c>
      <x:c r="I98" s="2" t="n">
        <x:v>14</x:v>
      </x:c>
      <x:c r="J98" s="2" t="n">
        <x:v>1</x:v>
      </x:c>
      <x:c r="K98" s="2" t="n">
        <x:f>I98-J98</x:f>
        <x:v>13</x:v>
      </x:c>
      <x:c r="L98" s="16" t="n">
        <x:v>14</x:v>
      </x:c>
      <x:c r="M98" s="16" t="n">
        <x:v>14</x:v>
      </x:c>
      <x:c r="N98" s="16" t="n">
        <x:v>5.39</x:v>
      </x:c>
      <x:c r="O98" s="16" t="n">
        <x:f>K98*M98</x:f>
        <x:v>182</x:v>
      </x:c>
      <x:c r="P98" s="16" t="n">
        <x:f>K98*N98</x:f>
        <x:v>70.07</x:v>
      </x:c>
      <x:c r="Q98" s="16" t="n">
        <x:f>O98-P98</x:f>
        <x:v>111.93</x:v>
      </x:c>
      <x:c r="R98" s="2" t="n">
        <x:v>110</x:v>
      </x:c>
      <x:c r="S98" s="2" t="n">
        <x:v>59</x:v>
      </x:c>
      <x:c r="T98" s="2" t="n">
        <x:f>R98+S98+J98-I98</x:f>
        <x:v>156</x:v>
      </x:c>
      <x:c r="U98" s="2" t="n">
        <x:v>0</x:v>
      </x:c>
      <x:c r="V98" s="2" t="n">
        <x:v>3</x:v>
      </x:c>
      <x:c r="W98" s="2" t="n">
        <x:v>13</x:v>
      </x:c>
      <x:c r="X98" s="14" t="b">
        <x:v>0</x:v>
      </x:c>
      <x:c r="Y98" s="14" t="b">
        <x:v>0</x:v>
      </x:c>
      <x:c r="Z98" s="2" t="n">
        <x:f>ABS(T98-AA98)</x:f>
        <x:v>0</x:v>
      </x:c>
      <x:c r="AA98" s="2" t="n">
        <x:v>156</x:v>
      </x:c>
      <x:c r="AB98" s="2" t="n">
        <x:f>ABS(K98-W98)</x:f>
        <x:v>0</x:v>
      </x:c>
      <x:c r="AC98" s="2" t="n">
        <x:f>COUNTIF($A$2:$A$1921,A98)-1</x:f>
        <x:v>0</x:v>
      </x:c>
      <x:c r="AD98" s="2" t="n">
        <x:f>IF(AND(D98=D97,H98=H97,C98=C97+1),ABS(R98-T97),0)</x:f>
        <x:v>0</x:v>
      </x:c>
    </x:row>
    <x:row r="99" ht="23" customHeight="1">
      <x:c r="A99" s="2" t="str">
        <x:v>DEMO-102-0-18</x:v>
      </x:c>
      <x:c r="B99" s="15" t="d">
        <x:v>2026-08-31T00:00:00.000Z</x:v>
      </x:c>
      <x:c r="C99" s="2" t="n">
        <x:v>18</x:v>
      </x:c>
      <x:c r="D99" s="2" t="str">
        <x:v>DEMO-102</x:v>
      </x:c>
      <x:c r="E99" s="2" t="str">
        <x:v>Grid Journal</x:v>
      </x:c>
      <x:c r="F99" s="2" t="str">
        <x:v>Stationery</x:v>
      </x:c>
      <x:c r="G99" s="2" t="str">
        <x:v>Stores</x:v>
      </x:c>
      <x:c r="H99" s="2" t="str">
        <x:v>North Arcade</x:v>
      </x:c>
      <x:c r="I99" s="2" t="n">
        <x:v>11</x:v>
      </x:c>
      <x:c r="J99" s="2" t="n">
        <x:v>0</x:v>
      </x:c>
      <x:c r="K99" s="2" t="n">
        <x:f>I99-J99</x:f>
        <x:v>11</x:v>
      </x:c>
      <x:c r="L99" s="16" t="n">
        <x:v>14</x:v>
      </x:c>
      <x:c r="M99" s="16" t="n">
        <x:v>14</x:v>
      </x:c>
      <x:c r="N99" s="16" t="n">
        <x:v>5.39</x:v>
      </x:c>
      <x:c r="O99" s="16" t="n">
        <x:f>K99*M99</x:f>
        <x:v>154</x:v>
      </x:c>
      <x:c r="P99" s="16" t="n">
        <x:f>K99*N99</x:f>
        <x:v>59.29</x:v>
      </x:c>
      <x:c r="Q99" s="16" t="n">
        <x:f>O99-P99</x:f>
        <x:v>94.71000000000001</x:v>
      </x:c>
      <x:c r="R99" s="2" t="n">
        <x:v>156</x:v>
      </x:c>
      <x:c r="S99" s="2" t="n">
        <x:v>0</x:v>
      </x:c>
      <x:c r="T99" s="2" t="n">
        <x:f>R99+S99+J99-I99</x:f>
        <x:v>145</x:v>
      </x:c>
      <x:c r="U99" s="2" t="n">
        <x:v>0</x:v>
      </x:c>
      <x:c r="V99" s="2" t="n">
        <x:v>3</x:v>
      </x:c>
      <x:c r="W99" s="2" t="n">
        <x:v>13</x:v>
      </x:c>
      <x:c r="X99" s="14" t="b">
        <x:v>0</x:v>
      </x:c>
      <x:c r="Y99" s="14" t="b">
        <x:v>0</x:v>
      </x:c>
      <x:c r="Z99" s="2" t="n">
        <x:f>ABS(T99-AA99)</x:f>
        <x:v>0</x:v>
      </x:c>
      <x:c r="AA99" s="2" t="n">
        <x:v>145</x:v>
      </x:c>
      <x:c r="AB99" s="2" t="n">
        <x:f>ABS(K99-W99)</x:f>
        <x:v>2</x:v>
      </x:c>
      <x:c r="AC99" s="2" t="n">
        <x:f>COUNTIF($A$2:$A$1921,A99)-1</x:f>
        <x:v>0</x:v>
      </x:c>
      <x:c r="AD99" s="2" t="n">
        <x:f>IF(AND(D99=D98,H99=H98,C99=C98+1),ABS(R99-T98),0)</x:f>
        <x:v>0</x:v>
      </x:c>
    </x:row>
    <x:row r="100" ht="23" customHeight="1">
      <x:c r="A100" s="2" t="str">
        <x:v>DEMO-102-0-19</x:v>
      </x:c>
      <x:c r="B100" s="15" t="d">
        <x:v>2026-09-07T00:00:00.000Z</x:v>
      </x:c>
      <x:c r="C100" s="2" t="n">
        <x:v>19</x:v>
      </x:c>
      <x:c r="D100" s="2" t="str">
        <x:v>DEMO-102</x:v>
      </x:c>
      <x:c r="E100" s="2" t="str">
        <x:v>Grid Journal</x:v>
      </x:c>
      <x:c r="F100" s="2" t="str">
        <x:v>Stationery</x:v>
      </x:c>
      <x:c r="G100" s="2" t="str">
        <x:v>Stores</x:v>
      </x:c>
      <x:c r="H100" s="2" t="str">
        <x:v>North Arcade</x:v>
      </x:c>
      <x:c r="I100" s="2" t="n">
        <x:v>15</x:v>
      </x:c>
      <x:c r="J100" s="2" t="n">
        <x:v>0</x:v>
      </x:c>
      <x:c r="K100" s="2" t="n">
        <x:f>I100-J100</x:f>
        <x:v>15</x:v>
      </x:c>
      <x:c r="L100" s="16" t="n">
        <x:v>14</x:v>
      </x:c>
      <x:c r="M100" s="16" t="n">
        <x:v>14</x:v>
      </x:c>
      <x:c r="N100" s="16" t="n">
        <x:v>5.39</x:v>
      </x:c>
      <x:c r="O100" s="16" t="n">
        <x:f>K100*M100</x:f>
        <x:v>210</x:v>
      </x:c>
      <x:c r="P100" s="16" t="n">
        <x:f>K100*N100</x:f>
        <x:v>80.85</x:v>
      </x:c>
      <x:c r="Q100" s="16" t="n">
        <x:f>O100-P100</x:f>
        <x:v>129.15</x:v>
      </x:c>
      <x:c r="R100" s="2" t="n">
        <x:v>145</x:v>
      </x:c>
      <x:c r="S100" s="2" t="n">
        <x:v>0</x:v>
      </x:c>
      <x:c r="T100" s="2" t="n">
        <x:f>R100+S100+J100-I100</x:f>
        <x:v>130</x:v>
      </x:c>
      <x:c r="U100" s="2" t="n">
        <x:v>0</x:v>
      </x:c>
      <x:c r="V100" s="2" t="n">
        <x:v>3</x:v>
      </x:c>
      <x:c r="W100" s="2" t="n">
        <x:v>12</x:v>
      </x:c>
      <x:c r="X100" s="14" t="b">
        <x:v>0</x:v>
      </x:c>
      <x:c r="Y100" s="14" t="b">
        <x:v>0</x:v>
      </x:c>
      <x:c r="Z100" s="2" t="n">
        <x:f>ABS(T100-AA100)</x:f>
        <x:v>0</x:v>
      </x:c>
      <x:c r="AA100" s="2" t="n">
        <x:v>130</x:v>
      </x:c>
      <x:c r="AB100" s="2" t="n">
        <x:f>ABS(K100-W100)</x:f>
        <x:v>3</x:v>
      </x:c>
      <x:c r="AC100" s="2" t="n">
        <x:f>COUNTIF($A$2:$A$1921,A100)-1</x:f>
        <x:v>0</x:v>
      </x:c>
      <x:c r="AD100" s="2" t="n">
        <x:f>IF(AND(D100=D99,H100=H99,C100=C99+1),ABS(R100-T99),0)</x:f>
        <x:v>0</x:v>
      </x:c>
    </x:row>
    <x:row r="101" ht="23" customHeight="1">
      <x:c r="A101" s="2" t="str">
        <x:v>DEMO-102-0-20</x:v>
      </x:c>
      <x:c r="B101" s="15" t="d">
        <x:v>2026-09-14T00:00:00.000Z</x:v>
      </x:c>
      <x:c r="C101" s="2" t="n">
        <x:v>20</x:v>
      </x:c>
      <x:c r="D101" s="2" t="str">
        <x:v>DEMO-102</x:v>
      </x:c>
      <x:c r="E101" s="2" t="str">
        <x:v>Grid Journal</x:v>
      </x:c>
      <x:c r="F101" s="2" t="str">
        <x:v>Stationery</x:v>
      </x:c>
      <x:c r="G101" s="2" t="str">
        <x:v>Stores</x:v>
      </x:c>
      <x:c r="H101" s="2" t="str">
        <x:v>North Arcade</x:v>
      </x:c>
      <x:c r="I101" s="2" t="n">
        <x:v>16</x:v>
      </x:c>
      <x:c r="J101" s="2" t="n">
        <x:v>0</x:v>
      </x:c>
      <x:c r="K101" s="2" t="n">
        <x:f>I101-J101</x:f>
        <x:v>16</x:v>
      </x:c>
      <x:c r="L101" s="16" t="n">
        <x:v>14</x:v>
      </x:c>
      <x:c r="M101" s="16" t="n">
        <x:v>14</x:v>
      </x:c>
      <x:c r="N101" s="16" t="n">
        <x:v>5.39</x:v>
      </x:c>
      <x:c r="O101" s="16" t="n">
        <x:f>K101*M101</x:f>
        <x:v>224</x:v>
      </x:c>
      <x:c r="P101" s="16" t="n">
        <x:f>K101*N101</x:f>
        <x:v>86.24</x:v>
      </x:c>
      <x:c r="Q101" s="16" t="n">
        <x:f>O101-P101</x:f>
        <x:v>137.76</x:v>
      </x:c>
      <x:c r="R101" s="2" t="n">
        <x:v>130</x:v>
      </x:c>
      <x:c r="S101" s="2" t="n">
        <x:v>0</x:v>
      </x:c>
      <x:c r="T101" s="2" t="n">
        <x:f>R101+S101+J101-I101</x:f>
        <x:v>114</x:v>
      </x:c>
      <x:c r="U101" s="2" t="n">
        <x:v>18</x:v>
      </x:c>
      <x:c r="V101" s="2" t="n">
        <x:v>3</x:v>
      </x:c>
      <x:c r="W101" s="2" t="n">
        <x:v>13</x:v>
      </x:c>
      <x:c r="X101" s="14" t="b">
        <x:v>0</x:v>
      </x:c>
      <x:c r="Y101" s="14" t="b">
        <x:v>0</x:v>
      </x:c>
      <x:c r="Z101" s="2" t="n">
        <x:f>ABS(T101-AA101)</x:f>
        <x:v>0</x:v>
      </x:c>
      <x:c r="AA101" s="2" t="n">
        <x:v>114</x:v>
      </x:c>
      <x:c r="AB101" s="2" t="n">
        <x:f>ABS(K101-W101)</x:f>
        <x:v>3</x:v>
      </x:c>
      <x:c r="AC101" s="2" t="n">
        <x:f>COUNTIF($A$2:$A$1921,A101)-1</x:f>
        <x:v>0</x:v>
      </x:c>
      <x:c r="AD101" s="2" t="n">
        <x:f>IF(AND(D101=D100,H101=H100,C101=C100+1),ABS(R101-T100),0)</x:f>
        <x:v>0</x:v>
      </x:c>
    </x:row>
    <x:row r="102" ht="23" customHeight="1">
      <x:c r="A102" s="2" t="str">
        <x:v>DEMO-102-1-1</x:v>
      </x:c>
      <x:c r="B102" s="15" t="d">
        <x:v>2026-05-04T00:00:00.000Z</x:v>
      </x:c>
      <x:c r="C102" s="2" t="n">
        <x:v>1</x:v>
      </x:c>
      <x:c r="D102" s="2" t="str">
        <x:v>DEMO-102</x:v>
      </x:c>
      <x:c r="E102" s="2" t="str">
        <x:v>Grid Journal</x:v>
      </x:c>
      <x:c r="F102" s="2" t="str">
        <x:v>Stationery</x:v>
      </x:c>
      <x:c r="G102" s="2" t="str">
        <x:v>Stores</x:v>
      </x:c>
      <x:c r="H102" s="2" t="str">
        <x:v>Riverside</x:v>
      </x:c>
      <x:c r="I102" s="2" t="n">
        <x:v>16</x:v>
      </x:c>
      <x:c r="J102" s="2" t="n">
        <x:v>0</x:v>
      </x:c>
      <x:c r="K102" s="2" t="n">
        <x:f>I102-J102</x:f>
        <x:v>16</x:v>
      </x:c>
      <x:c r="L102" s="16" t="n">
        <x:v>14</x:v>
      </x:c>
      <x:c r="M102" s="16" t="n">
        <x:v>14</x:v>
      </x:c>
      <x:c r="N102" s="16" t="n">
        <x:v>5.39</x:v>
      </x:c>
      <x:c r="O102" s="16" t="n">
        <x:f>K102*M102</x:f>
        <x:v>224</x:v>
      </x:c>
      <x:c r="P102" s="16" t="n">
        <x:f>K102*N102</x:f>
        <x:v>86.24</x:v>
      </x:c>
      <x:c r="Q102" s="16" t="n">
        <x:f>O102-P102</x:f>
        <x:v>137.76</x:v>
      </x:c>
      <x:c r="R102" s="2" t="n">
        <x:v>90</x:v>
      </x:c>
      <x:c r="S102" s="2" t="n">
        <x:v>59</x:v>
      </x:c>
      <x:c r="T102" s="2" t="n">
        <x:f>R102+S102+J102-I102</x:f>
        <x:v>133</x:v>
      </x:c>
      <x:c r="U102" s="2" t="n">
        <x:v>0</x:v>
      </x:c>
      <x:c r="V102" s="2" t="n">
        <x:v>3</x:v>
      </x:c>
      <x:c r="W102" s="2" t="n">
        <x:v>14</x:v>
      </x:c>
      <x:c r="X102" s="14" t="b">
        <x:v>0</x:v>
      </x:c>
      <x:c r="Y102" s="14" t="b">
        <x:v>0</x:v>
      </x:c>
      <x:c r="Z102" s="2" t="n">
        <x:f>ABS(T102-AA102)</x:f>
        <x:v>0</x:v>
      </x:c>
      <x:c r="AA102" s="2" t="n">
        <x:v>133</x:v>
      </x:c>
      <x:c r="AB102" s="2" t="n">
        <x:f>ABS(K102-W102)</x:f>
        <x:v>2</x:v>
      </x:c>
      <x:c r="AC102" s="2" t="n">
        <x:f>COUNTIF($A$2:$A$1921,A102)-1</x:f>
        <x:v>0</x:v>
      </x:c>
      <x:c r="AD102" s="2" t="n">
        <x:f>IF(AND(D102=D101,H102=H101,C102=C101+1),ABS(R102-T101),0)</x:f>
        <x:v>0</x:v>
      </x:c>
    </x:row>
    <x:row r="103" ht="23" customHeight="1">
      <x:c r="A103" s="2" t="str">
        <x:v>DEMO-102-1-2</x:v>
      </x:c>
      <x:c r="B103" s="15" t="d">
        <x:v>2026-05-11T00:00:00.000Z</x:v>
      </x:c>
      <x:c r="C103" s="2" t="n">
        <x:v>2</x:v>
      </x:c>
      <x:c r="D103" s="2" t="str">
        <x:v>DEMO-102</x:v>
      </x:c>
      <x:c r="E103" s="2" t="str">
        <x:v>Grid Journal</x:v>
      </x:c>
      <x:c r="F103" s="2" t="str">
        <x:v>Stationery</x:v>
      </x:c>
      <x:c r="G103" s="2" t="str">
        <x:v>Stores</x:v>
      </x:c>
      <x:c r="H103" s="2" t="str">
        <x:v>Riverside</x:v>
      </x:c>
      <x:c r="I103" s="2" t="n">
        <x:v>13</x:v>
      </x:c>
      <x:c r="J103" s="2" t="n">
        <x:v>0</x:v>
      </x:c>
      <x:c r="K103" s="2" t="n">
        <x:f>I103-J103</x:f>
        <x:v>13</x:v>
      </x:c>
      <x:c r="L103" s="16" t="n">
        <x:v>14</x:v>
      </x:c>
      <x:c r="M103" s="16" t="n">
        <x:v>14</x:v>
      </x:c>
      <x:c r="N103" s="16" t="n">
        <x:v>5.39</x:v>
      </x:c>
      <x:c r="O103" s="16" t="n">
        <x:f>K103*M103</x:f>
        <x:v>182</x:v>
      </x:c>
      <x:c r="P103" s="16" t="n">
        <x:f>K103*N103</x:f>
        <x:v>70.07</x:v>
      </x:c>
      <x:c r="Q103" s="16" t="n">
        <x:f>O103-P103</x:f>
        <x:v>111.93</x:v>
      </x:c>
      <x:c r="R103" s="2" t="n">
        <x:v>133</x:v>
      </x:c>
      <x:c r="S103" s="2" t="n">
        <x:v>0</x:v>
      </x:c>
      <x:c r="T103" s="2" t="n">
        <x:f>R103+S103+J103-I103</x:f>
        <x:v>120</x:v>
      </x:c>
      <x:c r="U103" s="2" t="n">
        <x:v>0</x:v>
      </x:c>
      <x:c r="V103" s="2" t="n">
        <x:v>3</x:v>
      </x:c>
      <x:c r="W103" s="2" t="n">
        <x:v>16</x:v>
      </x:c>
      <x:c r="X103" s="14" t="b">
        <x:v>0</x:v>
      </x:c>
      <x:c r="Y103" s="14" t="b">
        <x:v>0</x:v>
      </x:c>
      <x:c r="Z103" s="2" t="n">
        <x:f>ABS(T103-AA103)</x:f>
        <x:v>0</x:v>
      </x:c>
      <x:c r="AA103" s="2" t="n">
        <x:v>120</x:v>
      </x:c>
      <x:c r="AB103" s="2" t="n">
        <x:f>ABS(K103-W103)</x:f>
        <x:v>3</x:v>
      </x:c>
      <x:c r="AC103" s="2" t="n">
        <x:f>COUNTIF($A$2:$A$1921,A103)-1</x:f>
        <x:v>0</x:v>
      </x:c>
      <x:c r="AD103" s="2" t="n">
        <x:f>IF(AND(D103=D102,H103=H102,C103=C102+1),ABS(R103-T102),0)</x:f>
        <x:v>0</x:v>
      </x:c>
    </x:row>
    <x:row r="104" ht="23" customHeight="1">
      <x:c r="A104" s="2" t="str">
        <x:v>DEMO-102-1-3</x:v>
      </x:c>
      <x:c r="B104" s="15" t="d">
        <x:v>2026-05-18T00:00:00.000Z</x:v>
      </x:c>
      <x:c r="C104" s="2" t="n">
        <x:v>3</x:v>
      </x:c>
      <x:c r="D104" s="2" t="str">
        <x:v>DEMO-102</x:v>
      </x:c>
      <x:c r="E104" s="2" t="str">
        <x:v>Grid Journal</x:v>
      </x:c>
      <x:c r="F104" s="2" t="str">
        <x:v>Stationery</x:v>
      </x:c>
      <x:c r="G104" s="2" t="str">
        <x:v>Stores</x:v>
      </x:c>
      <x:c r="H104" s="2" t="str">
        <x:v>Riverside</x:v>
      </x:c>
      <x:c r="I104" s="2" t="n">
        <x:v>16</x:v>
      </x:c>
      <x:c r="J104" s="2" t="n">
        <x:v>0</x:v>
      </x:c>
      <x:c r="K104" s="2" t="n">
        <x:f>I104-J104</x:f>
        <x:v>16</x:v>
      </x:c>
      <x:c r="L104" s="16" t="n">
        <x:v>14</x:v>
      </x:c>
      <x:c r="M104" s="16" t="n">
        <x:v>14</x:v>
      </x:c>
      <x:c r="N104" s="16" t="n">
        <x:v>5.39</x:v>
      </x:c>
      <x:c r="O104" s="16" t="n">
        <x:f>K104*M104</x:f>
        <x:v>224</x:v>
      </x:c>
      <x:c r="P104" s="16" t="n">
        <x:f>K104*N104</x:f>
        <x:v>86.24</x:v>
      </x:c>
      <x:c r="Q104" s="16" t="n">
        <x:f>O104-P104</x:f>
        <x:v>137.76</x:v>
      </x:c>
      <x:c r="R104" s="2" t="n">
        <x:v>120</x:v>
      </x:c>
      <x:c r="S104" s="2" t="n">
        <x:v>0</x:v>
      </x:c>
      <x:c r="T104" s="2" t="n">
        <x:f>R104+S104+J104-I104</x:f>
        <x:v>104</x:v>
      </x:c>
      <x:c r="U104" s="2" t="n">
        <x:v>0</x:v>
      </x:c>
      <x:c r="V104" s="2" t="n">
        <x:v>3</x:v>
      </x:c>
      <x:c r="W104" s="2" t="n">
        <x:v>15</x:v>
      </x:c>
      <x:c r="X104" s="14" t="b">
        <x:v>0</x:v>
      </x:c>
      <x:c r="Y104" s="14" t="b">
        <x:v>0</x:v>
      </x:c>
      <x:c r="Z104" s="2" t="n">
        <x:f>ABS(T104-AA104)</x:f>
        <x:v>0</x:v>
      </x:c>
      <x:c r="AA104" s="2" t="n">
        <x:v>104</x:v>
      </x:c>
      <x:c r="AB104" s="2" t="n">
        <x:f>ABS(K104-W104)</x:f>
        <x:v>1</x:v>
      </x:c>
      <x:c r="AC104" s="2" t="n">
        <x:f>COUNTIF($A$2:$A$1921,A104)-1</x:f>
        <x:v>0</x:v>
      </x:c>
      <x:c r="AD104" s="2" t="n">
        <x:f>IF(AND(D104=D103,H104=H103,C104=C103+1),ABS(R104-T103),0)</x:f>
        <x:v>0</x:v>
      </x:c>
    </x:row>
    <x:row r="105" ht="23" customHeight="1">
      <x:c r="A105" s="2" t="str">
        <x:v>DEMO-102-1-4</x:v>
      </x:c>
      <x:c r="B105" s="15" t="d">
        <x:v>2026-05-25T00:00:00.000Z</x:v>
      </x:c>
      <x:c r="C105" s="2" t="n">
        <x:v>4</x:v>
      </x:c>
      <x:c r="D105" s="2" t="str">
        <x:v>DEMO-102</x:v>
      </x:c>
      <x:c r="E105" s="2" t="str">
        <x:v>Grid Journal</x:v>
      </x:c>
      <x:c r="F105" s="2" t="str">
        <x:v>Stationery</x:v>
      </x:c>
      <x:c r="G105" s="2" t="str">
        <x:v>Stores</x:v>
      </x:c>
      <x:c r="H105" s="2" t="str">
        <x:v>Riverside</x:v>
      </x:c>
      <x:c r="I105" s="2" t="n">
        <x:v>14</x:v>
      </x:c>
      <x:c r="J105" s="2" t="n">
        <x:v>0</x:v>
      </x:c>
      <x:c r="K105" s="2" t="n">
        <x:f>I105-J105</x:f>
        <x:v>14</x:v>
      </x:c>
      <x:c r="L105" s="16" t="n">
        <x:v>14</x:v>
      </x:c>
      <x:c r="M105" s="16" t="n">
        <x:v>14</x:v>
      </x:c>
      <x:c r="N105" s="16" t="n">
        <x:v>5.39</x:v>
      </x:c>
      <x:c r="O105" s="16" t="n">
        <x:f>K105*M105</x:f>
        <x:v>196</x:v>
      </x:c>
      <x:c r="P105" s="16" t="n">
        <x:f>K105*N105</x:f>
        <x:v>75.46</x:v>
      </x:c>
      <x:c r="Q105" s="16" t="n">
        <x:f>O105-P105</x:f>
        <x:v>120.54</x:v>
      </x:c>
      <x:c r="R105" s="2" t="n">
        <x:v>104</x:v>
      </x:c>
      <x:c r="S105" s="2" t="n">
        <x:v>0</x:v>
      </x:c>
      <x:c r="T105" s="2" t="n">
        <x:f>R105+S105+J105-I105</x:f>
        <x:v>90</x:v>
      </x:c>
      <x:c r="U105" s="2" t="n">
        <x:v>0</x:v>
      </x:c>
      <x:c r="V105" s="2" t="n">
        <x:v>3</x:v>
      </x:c>
      <x:c r="W105" s="2" t="n">
        <x:v>15</x:v>
      </x:c>
      <x:c r="X105" s="14" t="b">
        <x:v>0</x:v>
      </x:c>
      <x:c r="Y105" s="14" t="b">
        <x:v>0</x:v>
      </x:c>
      <x:c r="Z105" s="2" t="n">
        <x:f>ABS(T105-AA105)</x:f>
        <x:v>0</x:v>
      </x:c>
      <x:c r="AA105" s="2" t="n">
        <x:v>90</x:v>
      </x:c>
      <x:c r="AB105" s="2" t="n">
        <x:f>ABS(K105-W105)</x:f>
        <x:v>1</x:v>
      </x:c>
      <x:c r="AC105" s="2" t="n">
        <x:f>COUNTIF($A$2:$A$1921,A105)-1</x:f>
        <x:v>0</x:v>
      </x:c>
      <x:c r="AD105" s="2" t="n">
        <x:f>IF(AND(D105=D104,H105=H104,C105=C104+1),ABS(R105-T104),0)</x:f>
        <x:v>0</x:v>
      </x:c>
    </x:row>
    <x:row r="106" ht="23" customHeight="1">
      <x:c r="A106" s="2" t="str">
        <x:v>DEMO-102-1-5</x:v>
      </x:c>
      <x:c r="B106" s="15" t="d">
        <x:v>2026-06-01T00:00:00.000Z</x:v>
      </x:c>
      <x:c r="C106" s="2" t="n">
        <x:v>5</x:v>
      </x:c>
      <x:c r="D106" s="2" t="str">
        <x:v>DEMO-102</x:v>
      </x:c>
      <x:c r="E106" s="2" t="str">
        <x:v>Grid Journal</x:v>
      </x:c>
      <x:c r="F106" s="2" t="str">
        <x:v>Stationery</x:v>
      </x:c>
      <x:c r="G106" s="2" t="str">
        <x:v>Stores</x:v>
      </x:c>
      <x:c r="H106" s="2" t="str">
        <x:v>Riverside</x:v>
      </x:c>
      <x:c r="I106" s="2" t="n">
        <x:v>14</x:v>
      </x:c>
      <x:c r="J106" s="2" t="n">
        <x:v>0</x:v>
      </x:c>
      <x:c r="K106" s="2" t="n">
        <x:f>I106-J106</x:f>
        <x:v>14</x:v>
      </x:c>
      <x:c r="L106" s="16" t="n">
        <x:v>14</x:v>
      </x:c>
      <x:c r="M106" s="16" t="n">
        <x:v>14</x:v>
      </x:c>
      <x:c r="N106" s="16" t="n">
        <x:v>5.39</x:v>
      </x:c>
      <x:c r="O106" s="16" t="n">
        <x:f>K106*M106</x:f>
        <x:v>196</x:v>
      </x:c>
      <x:c r="P106" s="16" t="n">
        <x:f>K106*N106</x:f>
        <x:v>75.46</x:v>
      </x:c>
      <x:c r="Q106" s="16" t="n">
        <x:f>O106-P106</x:f>
        <x:v>120.54</x:v>
      </x:c>
      <x:c r="R106" s="2" t="n">
        <x:v>90</x:v>
      </x:c>
      <x:c r="S106" s="2" t="n">
        <x:v>59</x:v>
      </x:c>
      <x:c r="T106" s="2" t="n">
        <x:f>R106+S106+J106-I106</x:f>
        <x:v>135</x:v>
      </x:c>
      <x:c r="U106" s="2" t="n">
        <x:v>0</x:v>
      </x:c>
      <x:c r="V106" s="2" t="n">
        <x:v>3</x:v>
      </x:c>
      <x:c r="W106" s="2" t="n">
        <x:v>15</x:v>
      </x:c>
      <x:c r="X106" s="14" t="b">
        <x:v>0</x:v>
      </x:c>
      <x:c r="Y106" s="14" t="b">
        <x:v>0</x:v>
      </x:c>
      <x:c r="Z106" s="2" t="n">
        <x:f>ABS(T106-AA106)</x:f>
        <x:v>0</x:v>
      </x:c>
      <x:c r="AA106" s="2" t="n">
        <x:v>135</x:v>
      </x:c>
      <x:c r="AB106" s="2" t="n">
        <x:f>ABS(K106-W106)</x:f>
        <x:v>1</x:v>
      </x:c>
      <x:c r="AC106" s="2" t="n">
        <x:f>COUNTIF($A$2:$A$1921,A106)-1</x:f>
        <x:v>0</x:v>
      </x:c>
      <x:c r="AD106" s="2" t="n">
        <x:f>IF(AND(D106=D105,H106=H105,C106=C105+1),ABS(R106-T105),0)</x:f>
        <x:v>0</x:v>
      </x:c>
    </x:row>
    <x:row r="107" ht="23" customHeight="1">
      <x:c r="A107" s="2" t="str">
        <x:v>DEMO-102-1-6</x:v>
      </x:c>
      <x:c r="B107" s="15" t="d">
        <x:v>2026-06-08T00:00:00.000Z</x:v>
      </x:c>
      <x:c r="C107" s="2" t="n">
        <x:v>6</x:v>
      </x:c>
      <x:c r="D107" s="2" t="str">
        <x:v>DEMO-102</x:v>
      </x:c>
      <x:c r="E107" s="2" t="str">
        <x:v>Grid Journal</x:v>
      </x:c>
      <x:c r="F107" s="2" t="str">
        <x:v>Stationery</x:v>
      </x:c>
      <x:c r="G107" s="2" t="str">
        <x:v>Stores</x:v>
      </x:c>
      <x:c r="H107" s="2" t="str">
        <x:v>Riverside</x:v>
      </x:c>
      <x:c r="I107" s="2" t="n">
        <x:v>12</x:v>
      </x:c>
      <x:c r="J107" s="2" t="n">
        <x:v>0</x:v>
      </x:c>
      <x:c r="K107" s="2" t="n">
        <x:f>I107-J107</x:f>
        <x:v>12</x:v>
      </x:c>
      <x:c r="L107" s="16" t="n">
        <x:v>14</x:v>
      </x:c>
      <x:c r="M107" s="16" t="n">
        <x:v>14</x:v>
      </x:c>
      <x:c r="N107" s="16" t="n">
        <x:v>5.39</x:v>
      </x:c>
      <x:c r="O107" s="16" t="n">
        <x:f>K107*M107</x:f>
        <x:v>168</x:v>
      </x:c>
      <x:c r="P107" s="16" t="n">
        <x:f>K107*N107</x:f>
        <x:v>64.67999999999999</x:v>
      </x:c>
      <x:c r="Q107" s="16" t="n">
        <x:f>O107-P107</x:f>
        <x:v>103.32000000000001</x:v>
      </x:c>
      <x:c r="R107" s="2" t="n">
        <x:v>135</x:v>
      </x:c>
      <x:c r="S107" s="2" t="n">
        <x:v>0</x:v>
      </x:c>
      <x:c r="T107" s="2" t="n">
        <x:f>R107+S107+J107-I107</x:f>
        <x:v>123</x:v>
      </x:c>
      <x:c r="U107" s="2" t="n">
        <x:v>0</x:v>
      </x:c>
      <x:c r="V107" s="2" t="n">
        <x:v>3</x:v>
      </x:c>
      <x:c r="W107" s="2" t="n">
        <x:v>14</x:v>
      </x:c>
      <x:c r="X107" s="14" t="b">
        <x:v>0</x:v>
      </x:c>
      <x:c r="Y107" s="14" t="b">
        <x:v>0</x:v>
      </x:c>
      <x:c r="Z107" s="2" t="n">
        <x:f>ABS(T107-AA107)</x:f>
        <x:v>0</x:v>
      </x:c>
      <x:c r="AA107" s="2" t="n">
        <x:v>123</x:v>
      </x:c>
      <x:c r="AB107" s="2" t="n">
        <x:f>ABS(K107-W107)</x:f>
        <x:v>2</x:v>
      </x:c>
      <x:c r="AC107" s="2" t="n">
        <x:f>COUNTIF($A$2:$A$1921,A107)-1</x:f>
        <x:v>0</x:v>
      </x:c>
      <x:c r="AD107" s="2" t="n">
        <x:f>IF(AND(D107=D106,H107=H106,C107=C106+1),ABS(R107-T106),0)</x:f>
        <x:v>0</x:v>
      </x:c>
    </x:row>
    <x:row r="108" ht="23" customHeight="1">
      <x:c r="A108" s="2" t="str">
        <x:v>DEMO-102-1-7</x:v>
      </x:c>
      <x:c r="B108" s="15" t="d">
        <x:v>2026-06-15T00:00:00.000Z</x:v>
      </x:c>
      <x:c r="C108" s="2" t="n">
        <x:v>7</x:v>
      </x:c>
      <x:c r="D108" s="2" t="str">
        <x:v>DEMO-102</x:v>
      </x:c>
      <x:c r="E108" s="2" t="str">
        <x:v>Grid Journal</x:v>
      </x:c>
      <x:c r="F108" s="2" t="str">
        <x:v>Stationery</x:v>
      </x:c>
      <x:c r="G108" s="2" t="str">
        <x:v>Stores</x:v>
      </x:c>
      <x:c r="H108" s="2" t="str">
        <x:v>Riverside</x:v>
      </x:c>
      <x:c r="I108" s="2" t="n">
        <x:v>13</x:v>
      </x:c>
      <x:c r="J108" s="2" t="n">
        <x:v>0</x:v>
      </x:c>
      <x:c r="K108" s="2" t="n">
        <x:f>I108-J108</x:f>
        <x:v>13</x:v>
      </x:c>
      <x:c r="L108" s="16" t="n">
        <x:v>14</x:v>
      </x:c>
      <x:c r="M108" s="16" t="n">
        <x:v>14</x:v>
      </x:c>
      <x:c r="N108" s="16" t="n">
        <x:v>5.39</x:v>
      </x:c>
      <x:c r="O108" s="16" t="n">
        <x:f>K108*M108</x:f>
        <x:v>182</x:v>
      </x:c>
      <x:c r="P108" s="16" t="n">
        <x:f>K108*N108</x:f>
        <x:v>70.07</x:v>
      </x:c>
      <x:c r="Q108" s="16" t="n">
        <x:f>O108-P108</x:f>
        <x:v>111.93</x:v>
      </x:c>
      <x:c r="R108" s="2" t="n">
        <x:v>123</x:v>
      </x:c>
      <x:c r="S108" s="2" t="n">
        <x:v>0</x:v>
      </x:c>
      <x:c r="T108" s="2" t="n">
        <x:f>R108+S108+J108-I108</x:f>
        <x:v>110</x:v>
      </x:c>
      <x:c r="U108" s="2" t="n">
        <x:v>0</x:v>
      </x:c>
      <x:c r="V108" s="2" t="n">
        <x:v>3</x:v>
      </x:c>
      <x:c r="W108" s="2" t="n">
        <x:v>14</x:v>
      </x:c>
      <x:c r="X108" s="14" t="b">
        <x:v>0</x:v>
      </x:c>
      <x:c r="Y108" s="14" t="b">
        <x:v>0</x:v>
      </x:c>
      <x:c r="Z108" s="2" t="n">
        <x:f>ABS(T108-AA108)</x:f>
        <x:v>0</x:v>
      </x:c>
      <x:c r="AA108" s="2" t="n">
        <x:v>110</x:v>
      </x:c>
      <x:c r="AB108" s="2" t="n">
        <x:f>ABS(K108-W108)</x:f>
        <x:v>1</x:v>
      </x:c>
      <x:c r="AC108" s="2" t="n">
        <x:f>COUNTIF($A$2:$A$1921,A108)-1</x:f>
        <x:v>0</x:v>
      </x:c>
      <x:c r="AD108" s="2" t="n">
        <x:f>IF(AND(D108=D107,H108=H107,C108=C107+1),ABS(R108-T107),0)</x:f>
        <x:v>0</x:v>
      </x:c>
    </x:row>
    <x:row r="109" ht="23" customHeight="1">
      <x:c r="A109" s="2" t="str">
        <x:v>DEMO-102-1-8</x:v>
      </x:c>
      <x:c r="B109" s="15" t="d">
        <x:v>2026-06-22T00:00:00.000Z</x:v>
      </x:c>
      <x:c r="C109" s="2" t="n">
        <x:v>8</x:v>
      </x:c>
      <x:c r="D109" s="2" t="str">
        <x:v>DEMO-102</x:v>
      </x:c>
      <x:c r="E109" s="2" t="str">
        <x:v>Grid Journal</x:v>
      </x:c>
      <x:c r="F109" s="2" t="str">
        <x:v>Stationery</x:v>
      </x:c>
      <x:c r="G109" s="2" t="str">
        <x:v>Stores</x:v>
      </x:c>
      <x:c r="H109" s="2" t="str">
        <x:v>Riverside</x:v>
      </x:c>
      <x:c r="I109" s="2" t="n">
        <x:v>12</x:v>
      </x:c>
      <x:c r="J109" s="2" t="n">
        <x:v>0</x:v>
      </x:c>
      <x:c r="K109" s="2" t="n">
        <x:f>I109-J109</x:f>
        <x:v>12</x:v>
      </x:c>
      <x:c r="L109" s="16" t="n">
        <x:v>14</x:v>
      </x:c>
      <x:c r="M109" s="16" t="n">
        <x:v>14</x:v>
      </x:c>
      <x:c r="N109" s="16" t="n">
        <x:v>5.39</x:v>
      </x:c>
      <x:c r="O109" s="16" t="n">
        <x:f>K109*M109</x:f>
        <x:v>168</x:v>
      </x:c>
      <x:c r="P109" s="16" t="n">
        <x:f>K109*N109</x:f>
        <x:v>64.67999999999999</x:v>
      </x:c>
      <x:c r="Q109" s="16" t="n">
        <x:f>O109-P109</x:f>
        <x:v>103.32000000000001</x:v>
      </x:c>
      <x:c r="R109" s="2" t="n">
        <x:v>110</x:v>
      </x:c>
      <x:c r="S109" s="2" t="n">
        <x:v>0</x:v>
      </x:c>
      <x:c r="T109" s="2" t="n">
        <x:f>R109+S109+J109-I109</x:f>
        <x:v>98</x:v>
      </x:c>
      <x:c r="U109" s="2" t="n">
        <x:v>0</x:v>
      </x:c>
      <x:c r="V109" s="2" t="n">
        <x:v>3</x:v>
      </x:c>
      <x:c r="W109" s="2" t="n">
        <x:v>13</x:v>
      </x:c>
      <x:c r="X109" s="14" t="b">
        <x:v>0</x:v>
      </x:c>
      <x:c r="Y109" s="14" t="b">
        <x:v>0</x:v>
      </x:c>
      <x:c r="Z109" s="2" t="n">
        <x:f>ABS(T109-AA109)</x:f>
        <x:v>0</x:v>
      </x:c>
      <x:c r="AA109" s="2" t="n">
        <x:v>98</x:v>
      </x:c>
      <x:c r="AB109" s="2" t="n">
        <x:f>ABS(K109-W109)</x:f>
        <x:v>1</x:v>
      </x:c>
      <x:c r="AC109" s="2" t="n">
        <x:f>COUNTIF($A$2:$A$1921,A109)-1</x:f>
        <x:v>0</x:v>
      </x:c>
      <x:c r="AD109" s="2" t="n">
        <x:f>IF(AND(D109=D108,H109=H108,C109=C108+1),ABS(R109-T108),0)</x:f>
        <x:v>0</x:v>
      </x:c>
    </x:row>
    <x:row r="110" ht="23" customHeight="1">
      <x:c r="A110" s="2" t="str">
        <x:v>DEMO-102-1-9</x:v>
      </x:c>
      <x:c r="B110" s="15" t="d">
        <x:v>2026-06-29T00:00:00.000Z</x:v>
      </x:c>
      <x:c r="C110" s="2" t="n">
        <x:v>9</x:v>
      </x:c>
      <x:c r="D110" s="2" t="str">
        <x:v>DEMO-102</x:v>
      </x:c>
      <x:c r="E110" s="2" t="str">
        <x:v>Grid Journal</x:v>
      </x:c>
      <x:c r="F110" s="2" t="str">
        <x:v>Stationery</x:v>
      </x:c>
      <x:c r="G110" s="2" t="str">
        <x:v>Stores</x:v>
      </x:c>
      <x:c r="H110" s="2" t="str">
        <x:v>Riverside</x:v>
      </x:c>
      <x:c r="I110" s="2" t="n">
        <x:v>14</x:v>
      </x:c>
      <x:c r="J110" s="2" t="n">
        <x:v>0</x:v>
      </x:c>
      <x:c r="K110" s="2" t="n">
        <x:f>I110-J110</x:f>
        <x:v>14</x:v>
      </x:c>
      <x:c r="L110" s="16" t="n">
        <x:v>14</x:v>
      </x:c>
      <x:c r="M110" s="16" t="n">
        <x:v>14</x:v>
      </x:c>
      <x:c r="N110" s="16" t="n">
        <x:v>5.39</x:v>
      </x:c>
      <x:c r="O110" s="16" t="n">
        <x:f>K110*M110</x:f>
        <x:v>196</x:v>
      </x:c>
      <x:c r="P110" s="16" t="n">
        <x:f>K110*N110</x:f>
        <x:v>75.46</x:v>
      </x:c>
      <x:c r="Q110" s="16" t="n">
        <x:f>O110-P110</x:f>
        <x:v>120.54</x:v>
      </x:c>
      <x:c r="R110" s="2" t="n">
        <x:v>98</x:v>
      </x:c>
      <x:c r="S110" s="2" t="n">
        <x:v>59</x:v>
      </x:c>
      <x:c r="T110" s="2" t="n">
        <x:f>R110+S110+J110-I110</x:f>
        <x:v>143</x:v>
      </x:c>
      <x:c r="U110" s="2" t="n">
        <x:v>0</x:v>
      </x:c>
      <x:c r="V110" s="2" t="n">
        <x:v>3</x:v>
      </x:c>
      <x:c r="W110" s="2" t="n">
        <x:v>13</x:v>
      </x:c>
      <x:c r="X110" s="14" t="b">
        <x:v>0</x:v>
      </x:c>
      <x:c r="Y110" s="14" t="b">
        <x:v>0</x:v>
      </x:c>
      <x:c r="Z110" s="2" t="n">
        <x:f>ABS(T110-AA110)</x:f>
        <x:v>0</x:v>
      </x:c>
      <x:c r="AA110" s="2" t="n">
        <x:v>143</x:v>
      </x:c>
      <x:c r="AB110" s="2" t="n">
        <x:f>ABS(K110-W110)</x:f>
        <x:v>1</x:v>
      </x:c>
      <x:c r="AC110" s="2" t="n">
        <x:f>COUNTIF($A$2:$A$1921,A110)-1</x:f>
        <x:v>0</x:v>
      </x:c>
      <x:c r="AD110" s="2" t="n">
        <x:f>IF(AND(D110=D109,H110=H109,C110=C109+1),ABS(R110-T109),0)</x:f>
        <x:v>0</x:v>
      </x:c>
    </x:row>
    <x:row r="111" ht="23" customHeight="1">
      <x:c r="A111" s="2" t="str">
        <x:v>DEMO-102-1-10</x:v>
      </x:c>
      <x:c r="B111" s="15" t="d">
        <x:v>2026-07-06T00:00:00.000Z</x:v>
      </x:c>
      <x:c r="C111" s="2" t="n">
        <x:v>10</x:v>
      </x:c>
      <x:c r="D111" s="2" t="str">
        <x:v>DEMO-102</x:v>
      </x:c>
      <x:c r="E111" s="2" t="str">
        <x:v>Grid Journal</x:v>
      </x:c>
      <x:c r="F111" s="2" t="str">
        <x:v>Stationery</x:v>
      </x:c>
      <x:c r="G111" s="2" t="str">
        <x:v>Stores</x:v>
      </x:c>
      <x:c r="H111" s="2" t="str">
        <x:v>Riverside</x:v>
      </x:c>
      <x:c r="I111" s="2" t="n">
        <x:v>12</x:v>
      </x:c>
      <x:c r="J111" s="2" t="n">
        <x:v>0</x:v>
      </x:c>
      <x:c r="K111" s="2" t="n">
        <x:f>I111-J111</x:f>
        <x:v>12</x:v>
      </x:c>
      <x:c r="L111" s="16" t="n">
        <x:v>14</x:v>
      </x:c>
      <x:c r="M111" s="16" t="n">
        <x:v>14</x:v>
      </x:c>
      <x:c r="N111" s="16" t="n">
        <x:v>5.39</x:v>
      </x:c>
      <x:c r="O111" s="16" t="n">
        <x:f>K111*M111</x:f>
        <x:v>168</x:v>
      </x:c>
      <x:c r="P111" s="16" t="n">
        <x:f>K111*N111</x:f>
        <x:v>64.67999999999999</x:v>
      </x:c>
      <x:c r="Q111" s="16" t="n">
        <x:f>O111-P111</x:f>
        <x:v>103.32000000000001</x:v>
      </x:c>
      <x:c r="R111" s="2" t="n">
        <x:v>143</x:v>
      </x:c>
      <x:c r="S111" s="2" t="n">
        <x:v>0</x:v>
      </x:c>
      <x:c r="T111" s="2" t="n">
        <x:f>R111+S111+J111-I111</x:f>
        <x:v>131</x:v>
      </x:c>
      <x:c r="U111" s="2" t="n">
        <x:v>0</x:v>
      </x:c>
      <x:c r="V111" s="2" t="n">
        <x:v>3</x:v>
      </x:c>
      <x:c r="W111" s="2" t="n">
        <x:v>13</x:v>
      </x:c>
      <x:c r="X111" s="14" t="b">
        <x:v>0</x:v>
      </x:c>
      <x:c r="Y111" s="14" t="b">
        <x:v>0</x:v>
      </x:c>
      <x:c r="Z111" s="2" t="n">
        <x:f>ABS(T111-AA111)</x:f>
        <x:v>0</x:v>
      </x:c>
      <x:c r="AA111" s="2" t="n">
        <x:v>131</x:v>
      </x:c>
      <x:c r="AB111" s="2" t="n">
        <x:f>ABS(K111-W111)</x:f>
        <x:v>1</x:v>
      </x:c>
      <x:c r="AC111" s="2" t="n">
        <x:f>COUNTIF($A$2:$A$1921,A111)-1</x:f>
        <x:v>0</x:v>
      </x:c>
      <x:c r="AD111" s="2" t="n">
        <x:f>IF(AND(D111=D110,H111=H110,C111=C110+1),ABS(R111-T110),0)</x:f>
        <x:v>0</x:v>
      </x:c>
    </x:row>
    <x:row r="112" ht="23" customHeight="1">
      <x:c r="A112" s="2" t="str">
        <x:v>DEMO-102-1-11</x:v>
      </x:c>
      <x:c r="B112" s="15" t="d">
        <x:v>2026-07-13T00:00:00.000Z</x:v>
      </x:c>
      <x:c r="C112" s="2" t="n">
        <x:v>11</x:v>
      </x:c>
      <x:c r="D112" s="2" t="str">
        <x:v>DEMO-102</x:v>
      </x:c>
      <x:c r="E112" s="2" t="str">
        <x:v>Grid Journal</x:v>
      </x:c>
      <x:c r="F112" s="2" t="str">
        <x:v>Stationery</x:v>
      </x:c>
      <x:c r="G112" s="2" t="str">
        <x:v>Stores</x:v>
      </x:c>
      <x:c r="H112" s="2" t="str">
        <x:v>Riverside</x:v>
      </x:c>
      <x:c r="I112" s="2" t="n">
        <x:v>11</x:v>
      </x:c>
      <x:c r="J112" s="2" t="n">
        <x:v>0</x:v>
      </x:c>
      <x:c r="K112" s="2" t="n">
        <x:f>I112-J112</x:f>
        <x:v>11</x:v>
      </x:c>
      <x:c r="L112" s="16" t="n">
        <x:v>14</x:v>
      </x:c>
      <x:c r="M112" s="16" t="n">
        <x:v>14</x:v>
      </x:c>
      <x:c r="N112" s="16" t="n">
        <x:v>5.39</x:v>
      </x:c>
      <x:c r="O112" s="16" t="n">
        <x:f>K112*M112</x:f>
        <x:v>154</x:v>
      </x:c>
      <x:c r="P112" s="16" t="n">
        <x:f>K112*N112</x:f>
        <x:v>59.29</x:v>
      </x:c>
      <x:c r="Q112" s="16" t="n">
        <x:f>O112-P112</x:f>
        <x:v>94.71000000000001</x:v>
      </x:c>
      <x:c r="R112" s="2" t="n">
        <x:v>131</x:v>
      </x:c>
      <x:c r="S112" s="2" t="n">
        <x:v>0</x:v>
      </x:c>
      <x:c r="T112" s="2" t="n">
        <x:f>R112+S112+J112-I112</x:f>
        <x:v>120</x:v>
      </x:c>
      <x:c r="U112" s="2" t="n">
        <x:v>0</x:v>
      </x:c>
      <x:c r="V112" s="2" t="n">
        <x:v>3</x:v>
      </x:c>
      <x:c r="W112" s="2" t="n">
        <x:v>13</x:v>
      </x:c>
      <x:c r="X112" s="14" t="b">
        <x:v>0</x:v>
      </x:c>
      <x:c r="Y112" s="14" t="b">
        <x:v>0</x:v>
      </x:c>
      <x:c r="Z112" s="2" t="n">
        <x:f>ABS(T112-AA112)</x:f>
        <x:v>0</x:v>
      </x:c>
      <x:c r="AA112" s="2" t="n">
        <x:v>120</x:v>
      </x:c>
      <x:c r="AB112" s="2" t="n">
        <x:f>ABS(K112-W112)</x:f>
        <x:v>2</x:v>
      </x:c>
      <x:c r="AC112" s="2" t="n">
        <x:f>COUNTIF($A$2:$A$1921,A112)-1</x:f>
        <x:v>0</x:v>
      </x:c>
      <x:c r="AD112" s="2" t="n">
        <x:f>IF(AND(D112=D111,H112=H111,C112=C111+1),ABS(R112-T111),0)</x:f>
        <x:v>0</x:v>
      </x:c>
    </x:row>
    <x:row r="113" ht="23" customHeight="1">
      <x:c r="A113" s="2" t="str">
        <x:v>DEMO-102-1-12</x:v>
      </x:c>
      <x:c r="B113" s="15" t="d">
        <x:v>2026-07-20T00:00:00.000Z</x:v>
      </x:c>
      <x:c r="C113" s="2" t="n">
        <x:v>12</x:v>
      </x:c>
      <x:c r="D113" s="2" t="str">
        <x:v>DEMO-102</x:v>
      </x:c>
      <x:c r="E113" s="2" t="str">
        <x:v>Grid Journal</x:v>
      </x:c>
      <x:c r="F113" s="2" t="str">
        <x:v>Stationery</x:v>
      </x:c>
      <x:c r="G113" s="2" t="str">
        <x:v>Stores</x:v>
      </x:c>
      <x:c r="H113" s="2" t="str">
        <x:v>Riverside</x:v>
      </x:c>
      <x:c r="I113" s="2" t="n">
        <x:v>13</x:v>
      </x:c>
      <x:c r="J113" s="2" t="n">
        <x:v>0</x:v>
      </x:c>
      <x:c r="K113" s="2" t="n">
        <x:f>I113-J113</x:f>
        <x:v>13</x:v>
      </x:c>
      <x:c r="L113" s="16" t="n">
        <x:v>14</x:v>
      </x:c>
      <x:c r="M113" s="16" t="n">
        <x:v>14</x:v>
      </x:c>
      <x:c r="N113" s="16" t="n">
        <x:v>5.39</x:v>
      </x:c>
      <x:c r="O113" s="16" t="n">
        <x:f>K113*M113</x:f>
        <x:v>182</x:v>
      </x:c>
      <x:c r="P113" s="16" t="n">
        <x:f>K113*N113</x:f>
        <x:v>70.07</x:v>
      </x:c>
      <x:c r="Q113" s="16" t="n">
        <x:f>O113-P113</x:f>
        <x:v>111.93</x:v>
      </x:c>
      <x:c r="R113" s="2" t="n">
        <x:v>120</x:v>
      </x:c>
      <x:c r="S113" s="2" t="n">
        <x:v>0</x:v>
      </x:c>
      <x:c r="T113" s="2" t="n">
        <x:f>R113+S113+J113-I113</x:f>
        <x:v>107</x:v>
      </x:c>
      <x:c r="U113" s="2" t="n">
        <x:v>0</x:v>
      </x:c>
      <x:c r="V113" s="2" t="n">
        <x:v>3</x:v>
      </x:c>
      <x:c r="W113" s="2" t="n">
        <x:v>12</x:v>
      </x:c>
      <x:c r="X113" s="14" t="b">
        <x:v>0</x:v>
      </x:c>
      <x:c r="Y113" s="14" t="b">
        <x:v>0</x:v>
      </x:c>
      <x:c r="Z113" s="2" t="n">
        <x:f>ABS(T113-AA113)</x:f>
        <x:v>0</x:v>
      </x:c>
      <x:c r="AA113" s="2" t="n">
        <x:v>107</x:v>
      </x:c>
      <x:c r="AB113" s="2" t="n">
        <x:f>ABS(K113-W113)</x:f>
        <x:v>1</x:v>
      </x:c>
      <x:c r="AC113" s="2" t="n">
        <x:f>COUNTIF($A$2:$A$1921,A113)-1</x:f>
        <x:v>0</x:v>
      </x:c>
      <x:c r="AD113" s="2" t="n">
        <x:f>IF(AND(D113=D112,H113=H112,C113=C112+1),ABS(R113-T112),0)</x:f>
        <x:v>0</x:v>
      </x:c>
    </x:row>
    <x:row r="114" ht="23" customHeight="1">
      <x:c r="A114" s="2" t="str">
        <x:v>DEMO-102-1-13</x:v>
      </x:c>
      <x:c r="B114" s="15" t="d">
        <x:v>2026-07-27T00:00:00.000Z</x:v>
      </x:c>
      <x:c r="C114" s="2" t="n">
        <x:v>13</x:v>
      </x:c>
      <x:c r="D114" s="2" t="str">
        <x:v>DEMO-102</x:v>
      </x:c>
      <x:c r="E114" s="2" t="str">
        <x:v>Grid Journal</x:v>
      </x:c>
      <x:c r="F114" s="2" t="str">
        <x:v>Stationery</x:v>
      </x:c>
      <x:c r="G114" s="2" t="str">
        <x:v>Stores</x:v>
      </x:c>
      <x:c r="H114" s="2" t="str">
        <x:v>Riverside</x:v>
      </x:c>
      <x:c r="I114" s="2" t="n">
        <x:v>14</x:v>
      </x:c>
      <x:c r="J114" s="2" t="n">
        <x:v>0</x:v>
      </x:c>
      <x:c r="K114" s="2" t="n">
        <x:f>I114-J114</x:f>
        <x:v>14</x:v>
      </x:c>
      <x:c r="L114" s="16" t="n">
        <x:v>14</x:v>
      </x:c>
      <x:c r="M114" s="16" t="n">
        <x:v>14</x:v>
      </x:c>
      <x:c r="N114" s="16" t="n">
        <x:v>5.39</x:v>
      </x:c>
      <x:c r="O114" s="16" t="n">
        <x:f>K114*M114</x:f>
        <x:v>196</x:v>
      </x:c>
      <x:c r="P114" s="16" t="n">
        <x:f>K114*N114</x:f>
        <x:v>75.46</x:v>
      </x:c>
      <x:c r="Q114" s="16" t="n">
        <x:f>O114-P114</x:f>
        <x:v>120.54</x:v>
      </x:c>
      <x:c r="R114" s="2" t="n">
        <x:v>107</x:v>
      </x:c>
      <x:c r="S114" s="2" t="n">
        <x:v>59</x:v>
      </x:c>
      <x:c r="T114" s="2" t="n">
        <x:f>R114+S114+J114-I114</x:f>
        <x:v>152</x:v>
      </x:c>
      <x:c r="U114" s="2" t="n">
        <x:v>0</x:v>
      </x:c>
      <x:c r="V114" s="2" t="n">
        <x:v>3</x:v>
      </x:c>
      <x:c r="W114" s="2" t="n">
        <x:v>13</x:v>
      </x:c>
      <x:c r="X114" s="14" t="b">
        <x:v>0</x:v>
      </x:c>
      <x:c r="Y114" s="14" t="b">
        <x:v>0</x:v>
      </x:c>
      <x:c r="Z114" s="2" t="n">
        <x:f>ABS(T114-AA114)</x:f>
        <x:v>0</x:v>
      </x:c>
      <x:c r="AA114" s="2" t="n">
        <x:v>152</x:v>
      </x:c>
      <x:c r="AB114" s="2" t="n">
        <x:f>ABS(K114-W114)</x:f>
        <x:v>1</x:v>
      </x:c>
      <x:c r="AC114" s="2" t="n">
        <x:f>COUNTIF($A$2:$A$1921,A114)-1</x:f>
        <x:v>0</x:v>
      </x:c>
      <x:c r="AD114" s="2" t="n">
        <x:f>IF(AND(D114=D113,H114=H113,C114=C113+1),ABS(R114-T113),0)</x:f>
        <x:v>0</x:v>
      </x:c>
    </x:row>
    <x:row r="115" ht="23" customHeight="1">
      <x:c r="A115" s="2" t="str">
        <x:v>DEMO-102-1-14</x:v>
      </x:c>
      <x:c r="B115" s="15" t="d">
        <x:v>2026-08-03T00:00:00.000Z</x:v>
      </x:c>
      <x:c r="C115" s="2" t="n">
        <x:v>14</x:v>
      </x:c>
      <x:c r="D115" s="2" t="str">
        <x:v>DEMO-102</x:v>
      </x:c>
      <x:c r="E115" s="2" t="str">
        <x:v>Grid Journal</x:v>
      </x:c>
      <x:c r="F115" s="2" t="str">
        <x:v>Stationery</x:v>
      </x:c>
      <x:c r="G115" s="2" t="str">
        <x:v>Stores</x:v>
      </x:c>
      <x:c r="H115" s="2" t="str">
        <x:v>Riverside</x:v>
      </x:c>
      <x:c r="I115" s="2" t="n">
        <x:v>16</x:v>
      </x:c>
      <x:c r="J115" s="2" t="n">
        <x:v>0</x:v>
      </x:c>
      <x:c r="K115" s="2" t="n">
        <x:f>I115-J115</x:f>
        <x:v>16</x:v>
      </x:c>
      <x:c r="L115" s="16" t="n">
        <x:v>14</x:v>
      </x:c>
      <x:c r="M115" s="16" t="n">
        <x:v>14</x:v>
      </x:c>
      <x:c r="N115" s="16" t="n">
        <x:v>5.39</x:v>
      </x:c>
      <x:c r="O115" s="16" t="n">
        <x:f>K115*M115</x:f>
        <x:v>224</x:v>
      </x:c>
      <x:c r="P115" s="16" t="n">
        <x:f>K115*N115</x:f>
        <x:v>86.24</x:v>
      </x:c>
      <x:c r="Q115" s="16" t="n">
        <x:f>O115-P115</x:f>
        <x:v>137.76</x:v>
      </x:c>
      <x:c r="R115" s="2" t="n">
        <x:v>152</x:v>
      </x:c>
      <x:c r="S115" s="2" t="n">
        <x:v>0</x:v>
      </x:c>
      <x:c r="T115" s="2" t="n">
        <x:f>R115+S115+J115-I115</x:f>
        <x:v>136</x:v>
      </x:c>
      <x:c r="U115" s="2" t="n">
        <x:v>0</x:v>
      </x:c>
      <x:c r="V115" s="2" t="n">
        <x:v>3</x:v>
      </x:c>
      <x:c r="W115" s="2" t="n">
        <x:v>13</x:v>
      </x:c>
      <x:c r="X115" s="14" t="b">
        <x:v>0</x:v>
      </x:c>
      <x:c r="Y115" s="14" t="b">
        <x:v>0</x:v>
      </x:c>
      <x:c r="Z115" s="2" t="n">
        <x:f>ABS(T115-AA115)</x:f>
        <x:v>0</x:v>
      </x:c>
      <x:c r="AA115" s="2" t="n">
        <x:v>136</x:v>
      </x:c>
      <x:c r="AB115" s="2" t="n">
        <x:f>ABS(K115-W115)</x:f>
        <x:v>3</x:v>
      </x:c>
      <x:c r="AC115" s="2" t="n">
        <x:f>COUNTIF($A$2:$A$1921,A115)-1</x:f>
        <x:v>0</x:v>
      </x:c>
      <x:c r="AD115" s="2" t="n">
        <x:f>IF(AND(D115=D114,H115=H114,C115=C114+1),ABS(R115-T114),0)</x:f>
        <x:v>0</x:v>
      </x:c>
    </x:row>
    <x:row r="116" ht="23" customHeight="1">
      <x:c r="A116" s="2" t="str">
        <x:v>DEMO-102-1-15</x:v>
      </x:c>
      <x:c r="B116" s="15" t="d">
        <x:v>2026-08-10T00:00:00.000Z</x:v>
      </x:c>
      <x:c r="C116" s="2" t="n">
        <x:v>15</x:v>
      </x:c>
      <x:c r="D116" s="2" t="str">
        <x:v>DEMO-102</x:v>
      </x:c>
      <x:c r="E116" s="2" t="str">
        <x:v>Grid Journal</x:v>
      </x:c>
      <x:c r="F116" s="2" t="str">
        <x:v>Stationery</x:v>
      </x:c>
      <x:c r="G116" s="2" t="str">
        <x:v>Stores</x:v>
      </x:c>
      <x:c r="H116" s="2" t="str">
        <x:v>Riverside</x:v>
      </x:c>
      <x:c r="I116" s="2" t="n">
        <x:v>11</x:v>
      </x:c>
      <x:c r="J116" s="2" t="n">
        <x:v>0</x:v>
      </x:c>
      <x:c r="K116" s="2" t="n">
        <x:f>I116-J116</x:f>
        <x:v>11</x:v>
      </x:c>
      <x:c r="L116" s="16" t="n">
        <x:v>14</x:v>
      </x:c>
      <x:c r="M116" s="16" t="n">
        <x:v>14</x:v>
      </x:c>
      <x:c r="N116" s="16" t="n">
        <x:v>5.39</x:v>
      </x:c>
      <x:c r="O116" s="16" t="n">
        <x:f>K116*M116</x:f>
        <x:v>154</x:v>
      </x:c>
      <x:c r="P116" s="16" t="n">
        <x:f>K116*N116</x:f>
        <x:v>59.29</x:v>
      </x:c>
      <x:c r="Q116" s="16" t="n">
        <x:f>O116-P116</x:f>
        <x:v>94.71000000000001</x:v>
      </x:c>
      <x:c r="R116" s="2" t="n">
        <x:v>136</x:v>
      </x:c>
      <x:c r="S116" s="2" t="n">
        <x:v>0</x:v>
      </x:c>
      <x:c r="T116" s="2" t="n">
        <x:f>R116+S116+J116-I116</x:f>
        <x:v>125</x:v>
      </x:c>
      <x:c r="U116" s="2" t="n">
        <x:v>0</x:v>
      </x:c>
      <x:c r="V116" s="2" t="n">
        <x:v>3</x:v>
      </x:c>
      <x:c r="W116" s="2" t="n">
        <x:v>14</x:v>
      </x:c>
      <x:c r="X116" s="14" t="b">
        <x:v>0</x:v>
      </x:c>
      <x:c r="Y116" s="14" t="b">
        <x:v>0</x:v>
      </x:c>
      <x:c r="Z116" s="2" t="n">
        <x:f>ABS(T116-AA116)</x:f>
        <x:v>0</x:v>
      </x:c>
      <x:c r="AA116" s="2" t="n">
        <x:v>125</x:v>
      </x:c>
      <x:c r="AB116" s="2" t="n">
        <x:f>ABS(K116-W116)</x:f>
        <x:v>3</x:v>
      </x:c>
      <x:c r="AC116" s="2" t="n">
        <x:f>COUNTIF($A$2:$A$1921,A116)-1</x:f>
        <x:v>0</x:v>
      </x:c>
      <x:c r="AD116" s="2" t="n">
        <x:f>IF(AND(D116=D115,H116=H115,C116=C115+1),ABS(R116-T115),0)</x:f>
        <x:v>0</x:v>
      </x:c>
    </x:row>
    <x:row r="117" ht="23" customHeight="1">
      <x:c r="A117" s="2" t="str">
        <x:v>DEMO-102-1-16</x:v>
      </x:c>
      <x:c r="B117" s="15" t="d">
        <x:v>2026-08-17T00:00:00.000Z</x:v>
      </x:c>
      <x:c r="C117" s="2" t="n">
        <x:v>16</x:v>
      </x:c>
      <x:c r="D117" s="2" t="str">
        <x:v>DEMO-102</x:v>
      </x:c>
      <x:c r="E117" s="2" t="str">
        <x:v>Grid Journal</x:v>
      </x:c>
      <x:c r="F117" s="2" t="str">
        <x:v>Stationery</x:v>
      </x:c>
      <x:c r="G117" s="2" t="str">
        <x:v>Stores</x:v>
      </x:c>
      <x:c r="H117" s="2" t="str">
        <x:v>Riverside</x:v>
      </x:c>
      <x:c r="I117" s="2" t="n">
        <x:v>16</x:v>
      </x:c>
      <x:c r="J117" s="2" t="n">
        <x:v>0</x:v>
      </x:c>
      <x:c r="K117" s="2" t="n">
        <x:f>I117-J117</x:f>
        <x:v>16</x:v>
      </x:c>
      <x:c r="L117" s="16" t="n">
        <x:v>14</x:v>
      </x:c>
      <x:c r="M117" s="16" t="n">
        <x:v>14</x:v>
      </x:c>
      <x:c r="N117" s="16" t="n">
        <x:v>5.39</x:v>
      </x:c>
      <x:c r="O117" s="16" t="n">
        <x:f>K117*M117</x:f>
        <x:v>224</x:v>
      </x:c>
      <x:c r="P117" s="16" t="n">
        <x:f>K117*N117</x:f>
        <x:v>86.24</x:v>
      </x:c>
      <x:c r="Q117" s="16" t="n">
        <x:f>O117-P117</x:f>
        <x:v>137.76</x:v>
      </x:c>
      <x:c r="R117" s="2" t="n">
        <x:v>125</x:v>
      </x:c>
      <x:c r="S117" s="2" t="n">
        <x:v>0</x:v>
      </x:c>
      <x:c r="T117" s="2" t="n">
        <x:f>R117+S117+J117-I117</x:f>
        <x:v>109</x:v>
      </x:c>
      <x:c r="U117" s="2" t="n">
        <x:v>0</x:v>
      </x:c>
      <x:c r="V117" s="2" t="n">
        <x:v>3</x:v>
      </x:c>
      <x:c r="W117" s="2" t="n">
        <x:v>14</x:v>
      </x:c>
      <x:c r="X117" s="14" t="b">
        <x:v>0</x:v>
      </x:c>
      <x:c r="Y117" s="14" t="b">
        <x:v>0</x:v>
      </x:c>
      <x:c r="Z117" s="2" t="n">
        <x:f>ABS(T117-AA117)</x:f>
        <x:v>0</x:v>
      </x:c>
      <x:c r="AA117" s="2" t="n">
        <x:v>109</x:v>
      </x:c>
      <x:c r="AB117" s="2" t="n">
        <x:f>ABS(K117-W117)</x:f>
        <x:v>2</x:v>
      </x:c>
      <x:c r="AC117" s="2" t="n">
        <x:f>COUNTIF($A$2:$A$1921,A117)-1</x:f>
        <x:v>0</x:v>
      </x:c>
      <x:c r="AD117" s="2" t="n">
        <x:f>IF(AND(D117=D116,H117=H116,C117=C116+1),ABS(R117-T116),0)</x:f>
        <x:v>0</x:v>
      </x:c>
    </x:row>
    <x:row r="118" ht="23" customHeight="1">
      <x:c r="A118" s="2" t="str">
        <x:v>DEMO-102-1-17</x:v>
      </x:c>
      <x:c r="B118" s="15" t="d">
        <x:v>2026-08-24T00:00:00.000Z</x:v>
      </x:c>
      <x:c r="C118" s="2" t="n">
        <x:v>17</x:v>
      </x:c>
      <x:c r="D118" s="2" t="str">
        <x:v>DEMO-102</x:v>
      </x:c>
      <x:c r="E118" s="2" t="str">
        <x:v>Grid Journal</x:v>
      </x:c>
      <x:c r="F118" s="2" t="str">
        <x:v>Stationery</x:v>
      </x:c>
      <x:c r="G118" s="2" t="str">
        <x:v>Stores</x:v>
      </x:c>
      <x:c r="H118" s="2" t="str">
        <x:v>Riverside</x:v>
      </x:c>
      <x:c r="I118" s="2" t="n">
        <x:v>16</x:v>
      </x:c>
      <x:c r="J118" s="2" t="n">
        <x:v>0</x:v>
      </x:c>
      <x:c r="K118" s="2" t="n">
        <x:f>I118-J118</x:f>
        <x:v>16</x:v>
      </x:c>
      <x:c r="L118" s="16" t="n">
        <x:v>14</x:v>
      </x:c>
      <x:c r="M118" s="16" t="n">
        <x:v>14</x:v>
      </x:c>
      <x:c r="N118" s="16" t="n">
        <x:v>5.39</x:v>
      </x:c>
      <x:c r="O118" s="16" t="n">
        <x:f>K118*M118</x:f>
        <x:v>224</x:v>
      </x:c>
      <x:c r="P118" s="16" t="n">
        <x:f>K118*N118</x:f>
        <x:v>86.24</x:v>
      </x:c>
      <x:c r="Q118" s="16" t="n">
        <x:f>O118-P118</x:f>
        <x:v>137.76</x:v>
      </x:c>
      <x:c r="R118" s="2" t="n">
        <x:v>109</x:v>
      </x:c>
      <x:c r="S118" s="2" t="n">
        <x:v>59</x:v>
      </x:c>
      <x:c r="T118" s="2" t="n">
        <x:f>R118+S118+J118-I118</x:f>
        <x:v>152</x:v>
      </x:c>
      <x:c r="U118" s="2" t="n">
        <x:v>0</x:v>
      </x:c>
      <x:c r="V118" s="2" t="n">
        <x:v>3</x:v>
      </x:c>
      <x:c r="W118" s="2" t="n">
        <x:v>14</x:v>
      </x:c>
      <x:c r="X118" s="14" t="b">
        <x:v>0</x:v>
      </x:c>
      <x:c r="Y118" s="14" t="b">
        <x:v>0</x:v>
      </x:c>
      <x:c r="Z118" s="2" t="n">
        <x:f>ABS(T118-AA118)</x:f>
        <x:v>0</x:v>
      </x:c>
      <x:c r="AA118" s="2" t="n">
        <x:v>152</x:v>
      </x:c>
      <x:c r="AB118" s="2" t="n">
        <x:f>ABS(K118-W118)</x:f>
        <x:v>2</x:v>
      </x:c>
      <x:c r="AC118" s="2" t="n">
        <x:f>COUNTIF($A$2:$A$1921,A118)-1</x:f>
        <x:v>0</x:v>
      </x:c>
      <x:c r="AD118" s="2" t="n">
        <x:f>IF(AND(D118=D117,H118=H117,C118=C117+1),ABS(R118-T117),0)</x:f>
        <x:v>0</x:v>
      </x:c>
    </x:row>
    <x:row r="119" ht="23" customHeight="1">
      <x:c r="A119" s="2" t="str">
        <x:v>DEMO-102-1-18</x:v>
      </x:c>
      <x:c r="B119" s="15" t="d">
        <x:v>2026-08-31T00:00:00.000Z</x:v>
      </x:c>
      <x:c r="C119" s="2" t="n">
        <x:v>18</x:v>
      </x:c>
      <x:c r="D119" s="2" t="str">
        <x:v>DEMO-102</x:v>
      </x:c>
      <x:c r="E119" s="2" t="str">
        <x:v>Grid Journal</x:v>
      </x:c>
      <x:c r="F119" s="2" t="str">
        <x:v>Stationery</x:v>
      </x:c>
      <x:c r="G119" s="2" t="str">
        <x:v>Stores</x:v>
      </x:c>
      <x:c r="H119" s="2" t="str">
        <x:v>Riverside</x:v>
      </x:c>
      <x:c r="I119" s="2" t="n">
        <x:v>15</x:v>
      </x:c>
      <x:c r="J119" s="2" t="n">
        <x:v>0</x:v>
      </x:c>
      <x:c r="K119" s="2" t="n">
        <x:f>I119-J119</x:f>
        <x:v>15</x:v>
      </x:c>
      <x:c r="L119" s="16" t="n">
        <x:v>14</x:v>
      </x:c>
      <x:c r="M119" s="16" t="n">
        <x:v>14</x:v>
      </x:c>
      <x:c r="N119" s="16" t="n">
        <x:v>5.39</x:v>
      </x:c>
      <x:c r="O119" s="16" t="n">
        <x:f>K119*M119</x:f>
        <x:v>210</x:v>
      </x:c>
      <x:c r="P119" s="16" t="n">
        <x:f>K119*N119</x:f>
        <x:v>80.85</x:v>
      </x:c>
      <x:c r="Q119" s="16" t="n">
        <x:f>O119-P119</x:f>
        <x:v>129.15</x:v>
      </x:c>
      <x:c r="R119" s="2" t="n">
        <x:v>152</x:v>
      </x:c>
      <x:c r="S119" s="2" t="n">
        <x:v>0</x:v>
      </x:c>
      <x:c r="T119" s="2" t="n">
        <x:f>R119+S119+J119-I119</x:f>
        <x:v>137</x:v>
      </x:c>
      <x:c r="U119" s="2" t="n">
        <x:v>0</x:v>
      </x:c>
      <x:c r="V119" s="2" t="n">
        <x:v>3</x:v>
      </x:c>
      <x:c r="W119" s="2" t="n">
        <x:v>15</x:v>
      </x:c>
      <x:c r="X119" s="14" t="b">
        <x:v>0</x:v>
      </x:c>
      <x:c r="Y119" s="14" t="b">
        <x:v>0</x:v>
      </x:c>
      <x:c r="Z119" s="2" t="n">
        <x:f>ABS(T119-AA119)</x:f>
        <x:v>0</x:v>
      </x:c>
      <x:c r="AA119" s="2" t="n">
        <x:v>137</x:v>
      </x:c>
      <x:c r="AB119" s="2" t="n">
        <x:f>ABS(K119-W119)</x:f>
        <x:v>0</x:v>
      </x:c>
      <x:c r="AC119" s="2" t="n">
        <x:f>COUNTIF($A$2:$A$1921,A119)-1</x:f>
        <x:v>0</x:v>
      </x:c>
      <x:c r="AD119" s="2" t="n">
        <x:f>IF(AND(D119=D118,H119=H118,C119=C118+1),ABS(R119-T118),0)</x:f>
        <x:v>0</x:v>
      </x:c>
    </x:row>
    <x:row r="120" ht="23" customHeight="1">
      <x:c r="A120" s="2" t="str">
        <x:v>DEMO-102-1-19</x:v>
      </x:c>
      <x:c r="B120" s="15" t="d">
        <x:v>2026-09-07T00:00:00.000Z</x:v>
      </x:c>
      <x:c r="C120" s="2" t="n">
        <x:v>19</x:v>
      </x:c>
      <x:c r="D120" s="2" t="str">
        <x:v>DEMO-102</x:v>
      </x:c>
      <x:c r="E120" s="2" t="str">
        <x:v>Grid Journal</x:v>
      </x:c>
      <x:c r="F120" s="2" t="str">
        <x:v>Stationery</x:v>
      </x:c>
      <x:c r="G120" s="2" t="str">
        <x:v>Stores</x:v>
      </x:c>
      <x:c r="H120" s="2" t="str">
        <x:v>Riverside</x:v>
      </x:c>
      <x:c r="I120" s="2" t="n">
        <x:v>11</x:v>
      </x:c>
      <x:c r="J120" s="2" t="n">
        <x:v>0</x:v>
      </x:c>
      <x:c r="K120" s="2" t="n">
        <x:f>I120-J120</x:f>
        <x:v>11</x:v>
      </x:c>
      <x:c r="L120" s="16" t="n">
        <x:v>14</x:v>
      </x:c>
      <x:c r="M120" s="16" t="n">
        <x:v>14</x:v>
      </x:c>
      <x:c r="N120" s="16" t="n">
        <x:v>5.39</x:v>
      </x:c>
      <x:c r="O120" s="16" t="n">
        <x:f>K120*M120</x:f>
        <x:v>154</x:v>
      </x:c>
      <x:c r="P120" s="16" t="n">
        <x:f>K120*N120</x:f>
        <x:v>59.29</x:v>
      </x:c>
      <x:c r="Q120" s="16" t="n">
        <x:f>O120-P120</x:f>
        <x:v>94.71000000000001</x:v>
      </x:c>
      <x:c r="R120" s="2" t="n">
        <x:v>137</x:v>
      </x:c>
      <x:c r="S120" s="2" t="n">
        <x:v>0</x:v>
      </x:c>
      <x:c r="T120" s="2" t="n">
        <x:f>R120+S120+J120-I120</x:f>
        <x:v>126</x:v>
      </x:c>
      <x:c r="U120" s="2" t="n">
        <x:v>0</x:v>
      </x:c>
      <x:c r="V120" s="2" t="n">
        <x:v>3</x:v>
      </x:c>
      <x:c r="W120" s="2" t="n">
        <x:v>15</x:v>
      </x:c>
      <x:c r="X120" s="14" t="b">
        <x:v>0</x:v>
      </x:c>
      <x:c r="Y120" s="14" t="b">
        <x:v>0</x:v>
      </x:c>
      <x:c r="Z120" s="2" t="n">
        <x:f>ABS(T120-AA120)</x:f>
        <x:v>0</x:v>
      </x:c>
      <x:c r="AA120" s="2" t="n">
        <x:v>126</x:v>
      </x:c>
      <x:c r="AB120" s="2" t="n">
        <x:f>ABS(K120-W120)</x:f>
        <x:v>4</x:v>
      </x:c>
      <x:c r="AC120" s="2" t="n">
        <x:f>COUNTIF($A$2:$A$1921,A120)-1</x:f>
        <x:v>0</x:v>
      </x:c>
      <x:c r="AD120" s="2" t="n">
        <x:f>IF(AND(D120=D119,H120=H119,C120=C119+1),ABS(R120-T119),0)</x:f>
        <x:v>0</x:v>
      </x:c>
    </x:row>
    <x:row r="121" ht="23" customHeight="1">
      <x:c r="A121" s="2" t="str">
        <x:v>DEMO-102-1-20</x:v>
      </x:c>
      <x:c r="B121" s="15" t="d">
        <x:v>2026-09-14T00:00:00.000Z</x:v>
      </x:c>
      <x:c r="C121" s="2" t="n">
        <x:v>20</x:v>
      </x:c>
      <x:c r="D121" s="2" t="str">
        <x:v>DEMO-102</x:v>
      </x:c>
      <x:c r="E121" s="2" t="str">
        <x:v>Grid Journal</x:v>
      </x:c>
      <x:c r="F121" s="2" t="str">
        <x:v>Stationery</x:v>
      </x:c>
      <x:c r="G121" s="2" t="str">
        <x:v>Stores</x:v>
      </x:c>
      <x:c r="H121" s="2" t="str">
        <x:v>Riverside</x:v>
      </x:c>
      <x:c r="I121" s="2" t="n">
        <x:v>16</x:v>
      </x:c>
      <x:c r="J121" s="2" t="n">
        <x:v>0</x:v>
      </x:c>
      <x:c r="K121" s="2" t="n">
        <x:f>I121-J121</x:f>
        <x:v>16</x:v>
      </x:c>
      <x:c r="L121" s="16" t="n">
        <x:v>14</x:v>
      </x:c>
      <x:c r="M121" s="16" t="n">
        <x:v>14</x:v>
      </x:c>
      <x:c r="N121" s="16" t="n">
        <x:v>5.39</x:v>
      </x:c>
      <x:c r="O121" s="16" t="n">
        <x:f>K121*M121</x:f>
        <x:v>224</x:v>
      </x:c>
      <x:c r="P121" s="16" t="n">
        <x:f>K121*N121</x:f>
        <x:v>86.24</x:v>
      </x:c>
      <x:c r="Q121" s="16" t="n">
        <x:f>O121-P121</x:f>
        <x:v>137.76</x:v>
      </x:c>
      <x:c r="R121" s="2" t="n">
        <x:v>126</x:v>
      </x:c>
      <x:c r="S121" s="2" t="n">
        <x:v>0</x:v>
      </x:c>
      <x:c r="T121" s="2" t="n">
        <x:f>R121+S121+J121-I121</x:f>
        <x:v>110</x:v>
      </x:c>
      <x:c r="U121" s="2" t="n">
        <x:v>18</x:v>
      </x:c>
      <x:c r="V121" s="2" t="n">
        <x:v>3</x:v>
      </x:c>
      <x:c r="W121" s="2" t="n">
        <x:v>15</x:v>
      </x:c>
      <x:c r="X121" s="14" t="b">
        <x:v>0</x:v>
      </x:c>
      <x:c r="Y121" s="14" t="b">
        <x:v>0</x:v>
      </x:c>
      <x:c r="Z121" s="2" t="n">
        <x:f>ABS(T121-AA121)</x:f>
        <x:v>0</x:v>
      </x:c>
      <x:c r="AA121" s="2" t="n">
        <x:v>110</x:v>
      </x:c>
      <x:c r="AB121" s="2" t="n">
        <x:f>ABS(K121-W121)</x:f>
        <x:v>1</x:v>
      </x:c>
      <x:c r="AC121" s="2" t="n">
        <x:f>COUNTIF($A$2:$A$1921,A121)-1</x:f>
        <x:v>0</x:v>
      </x:c>
      <x:c r="AD121" s="2" t="n">
        <x:f>IF(AND(D121=D120,H121=H120,C121=C120+1),ABS(R121-T120),0)</x:f>
        <x:v>0</x:v>
      </x:c>
    </x:row>
    <x:row r="122" ht="23" customHeight="1">
      <x:c r="A122" s="2" t="str">
        <x:v>DEMO-102-2-1</x:v>
      </x:c>
      <x:c r="B122" s="15" t="d">
        <x:v>2026-05-04T00:00:00.000Z</x:v>
      </x:c>
      <x:c r="C122" s="2" t="n">
        <x:v>1</x:v>
      </x:c>
      <x:c r="D122" s="2" t="str">
        <x:v>DEMO-102</x:v>
      </x:c>
      <x:c r="E122" s="2" t="str">
        <x:v>Grid Journal</x:v>
      </x:c>
      <x:c r="F122" s="2" t="str">
        <x:v>Stationery</x:v>
      </x:c>
      <x:c r="G122" s="2" t="str">
        <x:v>Stores</x:v>
      </x:c>
      <x:c r="H122" s="2" t="str">
        <x:v>Central Market</x:v>
      </x:c>
      <x:c r="I122" s="2" t="n">
        <x:v>12</x:v>
      </x:c>
      <x:c r="J122" s="2" t="n">
        <x:v>0</x:v>
      </x:c>
      <x:c r="K122" s="2" t="n">
        <x:f>I122-J122</x:f>
        <x:v>12</x:v>
      </x:c>
      <x:c r="L122" s="16" t="n">
        <x:v>14</x:v>
      </x:c>
      <x:c r="M122" s="16" t="n">
        <x:v>14</x:v>
      </x:c>
      <x:c r="N122" s="16" t="n">
        <x:v>5.39</x:v>
      </x:c>
      <x:c r="O122" s="16" t="n">
        <x:f>K122*M122</x:f>
        <x:v>168</x:v>
      </x:c>
      <x:c r="P122" s="16" t="n">
        <x:f>K122*N122</x:f>
        <x:v>64.67999999999999</x:v>
      </x:c>
      <x:c r="Q122" s="16" t="n">
        <x:f>O122-P122</x:f>
        <x:v>103.32000000000001</x:v>
      </x:c>
      <x:c r="R122" s="2" t="n">
        <x:v>90</x:v>
      </x:c>
      <x:c r="S122" s="2" t="n">
        <x:v>59</x:v>
      </x:c>
      <x:c r="T122" s="2" t="n">
        <x:f>R122+S122+J122-I122</x:f>
        <x:v>137</x:v>
      </x:c>
      <x:c r="U122" s="2" t="n">
        <x:v>0</x:v>
      </x:c>
      <x:c r="V122" s="2" t="n">
        <x:v>3</x:v>
      </x:c>
      <x:c r="W122" s="2" t="n">
        <x:v>14</x:v>
      </x:c>
      <x:c r="X122" s="14" t="b">
        <x:v>0</x:v>
      </x:c>
      <x:c r="Y122" s="14" t="b">
        <x:v>0</x:v>
      </x:c>
      <x:c r="Z122" s="2" t="n">
        <x:f>ABS(T122-AA122)</x:f>
        <x:v>0</x:v>
      </x:c>
      <x:c r="AA122" s="2" t="n">
        <x:v>137</x:v>
      </x:c>
      <x:c r="AB122" s="2" t="n">
        <x:f>ABS(K122-W122)</x:f>
        <x:v>2</x:v>
      </x:c>
      <x:c r="AC122" s="2" t="n">
        <x:f>COUNTIF($A$2:$A$1921,A122)-1</x:f>
        <x:v>0</x:v>
      </x:c>
      <x:c r="AD122" s="2" t="n">
        <x:f>IF(AND(D122=D121,H122=H121,C122=C121+1),ABS(R122-T121),0)</x:f>
        <x:v>0</x:v>
      </x:c>
    </x:row>
    <x:row r="123" ht="23" customHeight="1">
      <x:c r="A123" s="2" t="str">
        <x:v>DEMO-102-2-2</x:v>
      </x:c>
      <x:c r="B123" s="15" t="d">
        <x:v>2026-05-11T00:00:00.000Z</x:v>
      </x:c>
      <x:c r="C123" s="2" t="n">
        <x:v>2</x:v>
      </x:c>
      <x:c r="D123" s="2" t="str">
        <x:v>DEMO-102</x:v>
      </x:c>
      <x:c r="E123" s="2" t="str">
        <x:v>Grid Journal</x:v>
      </x:c>
      <x:c r="F123" s="2" t="str">
        <x:v>Stationery</x:v>
      </x:c>
      <x:c r="G123" s="2" t="str">
        <x:v>Stores</x:v>
      </x:c>
      <x:c r="H123" s="2" t="str">
        <x:v>Central Market</x:v>
      </x:c>
      <x:c r="I123" s="2" t="n">
        <x:v>15</x:v>
      </x:c>
      <x:c r="J123" s="2" t="n">
        <x:v>1</x:v>
      </x:c>
      <x:c r="K123" s="2" t="n">
        <x:f>I123-J123</x:f>
        <x:v>14</x:v>
      </x:c>
      <x:c r="L123" s="16" t="n">
        <x:v>14</x:v>
      </x:c>
      <x:c r="M123" s="16" t="n">
        <x:v>14</x:v>
      </x:c>
      <x:c r="N123" s="16" t="n">
        <x:v>5.39</x:v>
      </x:c>
      <x:c r="O123" s="16" t="n">
        <x:f>K123*M123</x:f>
        <x:v>196</x:v>
      </x:c>
      <x:c r="P123" s="16" t="n">
        <x:f>K123*N123</x:f>
        <x:v>75.46</x:v>
      </x:c>
      <x:c r="Q123" s="16" t="n">
        <x:f>O123-P123</x:f>
        <x:v>120.54</x:v>
      </x:c>
      <x:c r="R123" s="2" t="n">
        <x:v>137</x:v>
      </x:c>
      <x:c r="S123" s="2" t="n">
        <x:v>0</x:v>
      </x:c>
      <x:c r="T123" s="2" t="n">
        <x:f>R123+S123+J123-I123</x:f>
        <x:v>123</x:v>
      </x:c>
      <x:c r="U123" s="2" t="n">
        <x:v>0</x:v>
      </x:c>
      <x:c r="V123" s="2" t="n">
        <x:v>3</x:v>
      </x:c>
      <x:c r="W123" s="2" t="n">
        <x:v>12</x:v>
      </x:c>
      <x:c r="X123" s="14" t="b">
        <x:v>0</x:v>
      </x:c>
      <x:c r="Y123" s="14" t="b">
        <x:v>0</x:v>
      </x:c>
      <x:c r="Z123" s="2" t="n">
        <x:f>ABS(T123-AA123)</x:f>
        <x:v>0</x:v>
      </x:c>
      <x:c r="AA123" s="2" t="n">
        <x:v>123</x:v>
      </x:c>
      <x:c r="AB123" s="2" t="n">
        <x:f>ABS(K123-W123)</x:f>
        <x:v>2</x:v>
      </x:c>
      <x:c r="AC123" s="2" t="n">
        <x:f>COUNTIF($A$2:$A$1921,A123)-1</x:f>
        <x:v>0</x:v>
      </x:c>
      <x:c r="AD123" s="2" t="n">
        <x:f>IF(AND(D123=D122,H123=H122,C123=C122+1),ABS(R123-T122),0)</x:f>
        <x:v>0</x:v>
      </x:c>
    </x:row>
    <x:row r="124" ht="23" customHeight="1">
      <x:c r="A124" s="2" t="str">
        <x:v>DEMO-102-2-3</x:v>
      </x:c>
      <x:c r="B124" s="15" t="d">
        <x:v>2026-05-18T00:00:00.000Z</x:v>
      </x:c>
      <x:c r="C124" s="2" t="n">
        <x:v>3</x:v>
      </x:c>
      <x:c r="D124" s="2" t="str">
        <x:v>DEMO-102</x:v>
      </x:c>
      <x:c r="E124" s="2" t="str">
        <x:v>Grid Journal</x:v>
      </x:c>
      <x:c r="F124" s="2" t="str">
        <x:v>Stationery</x:v>
      </x:c>
      <x:c r="G124" s="2" t="str">
        <x:v>Stores</x:v>
      </x:c>
      <x:c r="H124" s="2" t="str">
        <x:v>Central Market</x:v>
      </x:c>
      <x:c r="I124" s="2" t="n">
        <x:v>15</x:v>
      </x:c>
      <x:c r="J124" s="2" t="n">
        <x:v>1</x:v>
      </x:c>
      <x:c r="K124" s="2" t="n">
        <x:f>I124-J124</x:f>
        <x:v>14</x:v>
      </x:c>
      <x:c r="L124" s="16" t="n">
        <x:v>14</x:v>
      </x:c>
      <x:c r="M124" s="16" t="n">
        <x:v>14</x:v>
      </x:c>
      <x:c r="N124" s="16" t="n">
        <x:v>5.39</x:v>
      </x:c>
      <x:c r="O124" s="16" t="n">
        <x:f>K124*M124</x:f>
        <x:v>196</x:v>
      </x:c>
      <x:c r="P124" s="16" t="n">
        <x:f>K124*N124</x:f>
        <x:v>75.46</x:v>
      </x:c>
      <x:c r="Q124" s="16" t="n">
        <x:f>O124-P124</x:f>
        <x:v>120.54</x:v>
      </x:c>
      <x:c r="R124" s="2" t="n">
        <x:v>123</x:v>
      </x:c>
      <x:c r="S124" s="2" t="n">
        <x:v>0</x:v>
      </x:c>
      <x:c r="T124" s="2" t="n">
        <x:f>R124+S124+J124-I124</x:f>
        <x:v>109</x:v>
      </x:c>
      <x:c r="U124" s="2" t="n">
        <x:v>0</x:v>
      </x:c>
      <x:c r="V124" s="2" t="n">
        <x:v>3</x:v>
      </x:c>
      <x:c r="W124" s="2" t="n">
        <x:v>13</x:v>
      </x:c>
      <x:c r="X124" s="14" t="b">
        <x:v>0</x:v>
      </x:c>
      <x:c r="Y124" s="14" t="b">
        <x:v>0</x:v>
      </x:c>
      <x:c r="Z124" s="2" t="n">
        <x:f>ABS(T124-AA124)</x:f>
        <x:v>0</x:v>
      </x:c>
      <x:c r="AA124" s="2" t="n">
        <x:v>109</x:v>
      </x:c>
      <x:c r="AB124" s="2" t="n">
        <x:f>ABS(K124-W124)</x:f>
        <x:v>1</x:v>
      </x:c>
      <x:c r="AC124" s="2" t="n">
        <x:f>COUNTIF($A$2:$A$1921,A124)-1</x:f>
        <x:v>0</x:v>
      </x:c>
      <x:c r="AD124" s="2" t="n">
        <x:f>IF(AND(D124=D123,H124=H123,C124=C123+1),ABS(R124-T123),0)</x:f>
        <x:v>0</x:v>
      </x:c>
    </x:row>
    <x:row r="125" ht="23" customHeight="1">
      <x:c r="A125" s="2" t="str">
        <x:v>DEMO-102-2-4</x:v>
      </x:c>
      <x:c r="B125" s="15" t="d">
        <x:v>2026-05-25T00:00:00.000Z</x:v>
      </x:c>
      <x:c r="C125" s="2" t="n">
        <x:v>4</x:v>
      </x:c>
      <x:c r="D125" s="2" t="str">
        <x:v>DEMO-102</x:v>
      </x:c>
      <x:c r="E125" s="2" t="str">
        <x:v>Grid Journal</x:v>
      </x:c>
      <x:c r="F125" s="2" t="str">
        <x:v>Stationery</x:v>
      </x:c>
      <x:c r="G125" s="2" t="str">
        <x:v>Stores</x:v>
      </x:c>
      <x:c r="H125" s="2" t="str">
        <x:v>Central Market</x:v>
      </x:c>
      <x:c r="I125" s="2" t="n">
        <x:v>16</x:v>
      </x:c>
      <x:c r="J125" s="2" t="n">
        <x:v>0</x:v>
      </x:c>
      <x:c r="K125" s="2" t="n">
        <x:f>I125-J125</x:f>
        <x:v>16</x:v>
      </x:c>
      <x:c r="L125" s="16" t="n">
        <x:v>14</x:v>
      </x:c>
      <x:c r="M125" s="16" t="n">
        <x:v>14</x:v>
      </x:c>
      <x:c r="N125" s="16" t="n">
        <x:v>5.39</x:v>
      </x:c>
      <x:c r="O125" s="16" t="n">
        <x:f>K125*M125</x:f>
        <x:v>224</x:v>
      </x:c>
      <x:c r="P125" s="16" t="n">
        <x:f>K125*N125</x:f>
        <x:v>86.24</x:v>
      </x:c>
      <x:c r="Q125" s="16" t="n">
        <x:f>O125-P125</x:f>
        <x:v>137.76</x:v>
      </x:c>
      <x:c r="R125" s="2" t="n">
        <x:v>109</x:v>
      </x:c>
      <x:c r="S125" s="2" t="n">
        <x:v>0</x:v>
      </x:c>
      <x:c r="T125" s="2" t="n">
        <x:f>R125+S125+J125-I125</x:f>
        <x:v>93</x:v>
      </x:c>
      <x:c r="U125" s="2" t="n">
        <x:v>0</x:v>
      </x:c>
      <x:c r="V125" s="2" t="n">
        <x:v>3</x:v>
      </x:c>
      <x:c r="W125" s="2" t="n">
        <x:v>13</x:v>
      </x:c>
      <x:c r="X125" s="14" t="b">
        <x:v>0</x:v>
      </x:c>
      <x:c r="Y125" s="14" t="b">
        <x:v>0</x:v>
      </x:c>
      <x:c r="Z125" s="2" t="n">
        <x:f>ABS(T125-AA125)</x:f>
        <x:v>0</x:v>
      </x:c>
      <x:c r="AA125" s="2" t="n">
        <x:v>93</x:v>
      </x:c>
      <x:c r="AB125" s="2" t="n">
        <x:f>ABS(K125-W125)</x:f>
        <x:v>3</x:v>
      </x:c>
      <x:c r="AC125" s="2" t="n">
        <x:f>COUNTIF($A$2:$A$1921,A125)-1</x:f>
        <x:v>0</x:v>
      </x:c>
      <x:c r="AD125" s="2" t="n">
        <x:f>IF(AND(D125=D124,H125=H124,C125=C124+1),ABS(R125-T124),0)</x:f>
        <x:v>0</x:v>
      </x:c>
    </x:row>
    <x:row r="126" ht="23" customHeight="1">
      <x:c r="A126" s="2" t="str">
        <x:v>DEMO-102-2-5</x:v>
      </x:c>
      <x:c r="B126" s="15" t="d">
        <x:v>2026-06-01T00:00:00.000Z</x:v>
      </x:c>
      <x:c r="C126" s="2" t="n">
        <x:v>5</x:v>
      </x:c>
      <x:c r="D126" s="2" t="str">
        <x:v>DEMO-102</x:v>
      </x:c>
      <x:c r="E126" s="2" t="str">
        <x:v>Grid Journal</x:v>
      </x:c>
      <x:c r="F126" s="2" t="str">
        <x:v>Stationery</x:v>
      </x:c>
      <x:c r="G126" s="2" t="str">
        <x:v>Stores</x:v>
      </x:c>
      <x:c r="H126" s="2" t="str">
        <x:v>Central Market</x:v>
      </x:c>
      <x:c r="I126" s="2" t="n">
        <x:v>12</x:v>
      </x:c>
      <x:c r="J126" s="2" t="n">
        <x:v>0</x:v>
      </x:c>
      <x:c r="K126" s="2" t="n">
        <x:f>I126-J126</x:f>
        <x:v>12</x:v>
      </x:c>
      <x:c r="L126" s="16" t="n">
        <x:v>14</x:v>
      </x:c>
      <x:c r="M126" s="16" t="n">
        <x:v>14</x:v>
      </x:c>
      <x:c r="N126" s="16" t="n">
        <x:v>5.39</x:v>
      </x:c>
      <x:c r="O126" s="16" t="n">
        <x:f>K126*M126</x:f>
        <x:v>168</x:v>
      </x:c>
      <x:c r="P126" s="16" t="n">
        <x:f>K126*N126</x:f>
        <x:v>64.67999999999999</x:v>
      </x:c>
      <x:c r="Q126" s="16" t="n">
        <x:f>O126-P126</x:f>
        <x:v>103.32000000000001</x:v>
      </x:c>
      <x:c r="R126" s="2" t="n">
        <x:v>93</x:v>
      </x:c>
      <x:c r="S126" s="2" t="n">
        <x:v>59</x:v>
      </x:c>
      <x:c r="T126" s="2" t="n">
        <x:f>R126+S126+J126-I126</x:f>
        <x:v>140</x:v>
      </x:c>
      <x:c r="U126" s="2" t="n">
        <x:v>0</x:v>
      </x:c>
      <x:c r="V126" s="2" t="n">
        <x:v>3</x:v>
      </x:c>
      <x:c r="W126" s="2" t="n">
        <x:v>14</x:v>
      </x:c>
      <x:c r="X126" s="14" t="b">
        <x:v>0</x:v>
      </x:c>
      <x:c r="Y126" s="14" t="b">
        <x:v>0</x:v>
      </x:c>
      <x:c r="Z126" s="2" t="n">
        <x:f>ABS(T126-AA126)</x:f>
        <x:v>0</x:v>
      </x:c>
      <x:c r="AA126" s="2" t="n">
        <x:v>140</x:v>
      </x:c>
      <x:c r="AB126" s="2" t="n">
        <x:f>ABS(K126-W126)</x:f>
        <x:v>2</x:v>
      </x:c>
      <x:c r="AC126" s="2" t="n">
        <x:f>COUNTIF($A$2:$A$1921,A126)-1</x:f>
        <x:v>0</x:v>
      </x:c>
      <x:c r="AD126" s="2" t="n">
        <x:f>IF(AND(D126=D125,H126=H125,C126=C125+1),ABS(R126-T125),0)</x:f>
        <x:v>0</x:v>
      </x:c>
    </x:row>
    <x:row r="127" ht="23" customHeight="1">
      <x:c r="A127" s="2" t="str">
        <x:v>DEMO-102-2-6</x:v>
      </x:c>
      <x:c r="B127" s="15" t="d">
        <x:v>2026-06-08T00:00:00.000Z</x:v>
      </x:c>
      <x:c r="C127" s="2" t="n">
        <x:v>6</x:v>
      </x:c>
      <x:c r="D127" s="2" t="str">
        <x:v>DEMO-102</x:v>
      </x:c>
      <x:c r="E127" s="2" t="str">
        <x:v>Grid Journal</x:v>
      </x:c>
      <x:c r="F127" s="2" t="str">
        <x:v>Stationery</x:v>
      </x:c>
      <x:c r="G127" s="2" t="str">
        <x:v>Stores</x:v>
      </x:c>
      <x:c r="H127" s="2" t="str">
        <x:v>Central Market</x:v>
      </x:c>
      <x:c r="I127" s="2" t="n">
        <x:v>15</x:v>
      </x:c>
      <x:c r="J127" s="2" t="n">
        <x:v>0</x:v>
      </x:c>
      <x:c r="K127" s="2" t="n">
        <x:f>I127-J127</x:f>
        <x:v>15</x:v>
      </x:c>
      <x:c r="L127" s="16" t="n">
        <x:v>14</x:v>
      </x:c>
      <x:c r="M127" s="16" t="n">
        <x:v>14</x:v>
      </x:c>
      <x:c r="N127" s="16" t="n">
        <x:v>5.39</x:v>
      </x:c>
      <x:c r="O127" s="16" t="n">
        <x:f>K127*M127</x:f>
        <x:v>210</x:v>
      </x:c>
      <x:c r="P127" s="16" t="n">
        <x:f>K127*N127</x:f>
        <x:v>80.85</x:v>
      </x:c>
      <x:c r="Q127" s="16" t="n">
        <x:f>O127-P127</x:f>
        <x:v>129.15</x:v>
      </x:c>
      <x:c r="R127" s="2" t="n">
        <x:v>140</x:v>
      </x:c>
      <x:c r="S127" s="2" t="n">
        <x:v>0</x:v>
      </x:c>
      <x:c r="T127" s="2" t="n">
        <x:f>R127+S127+J127-I127</x:f>
        <x:v>125</x:v>
      </x:c>
      <x:c r="U127" s="2" t="n">
        <x:v>0</x:v>
      </x:c>
      <x:c r="V127" s="2" t="n">
        <x:v>3</x:v>
      </x:c>
      <x:c r="W127" s="2" t="n">
        <x:v>14</x:v>
      </x:c>
      <x:c r="X127" s="14" t="b">
        <x:v>0</x:v>
      </x:c>
      <x:c r="Y127" s="14" t="b">
        <x:v>0</x:v>
      </x:c>
      <x:c r="Z127" s="2" t="n">
        <x:f>ABS(T127-AA127)</x:f>
        <x:v>0</x:v>
      </x:c>
      <x:c r="AA127" s="2" t="n">
        <x:v>125</x:v>
      </x:c>
      <x:c r="AB127" s="2" t="n">
        <x:f>ABS(K127-W127)</x:f>
        <x:v>1</x:v>
      </x:c>
      <x:c r="AC127" s="2" t="n">
        <x:f>COUNTIF($A$2:$A$1921,A127)-1</x:f>
        <x:v>0</x:v>
      </x:c>
      <x:c r="AD127" s="2" t="n">
        <x:f>IF(AND(D127=D126,H127=H126,C127=C126+1),ABS(R127-T126),0)</x:f>
        <x:v>0</x:v>
      </x:c>
    </x:row>
    <x:row r="128" ht="23" customHeight="1">
      <x:c r="A128" s="2" t="str">
        <x:v>DEMO-102-2-7</x:v>
      </x:c>
      <x:c r="B128" s="15" t="d">
        <x:v>2026-06-15T00:00:00.000Z</x:v>
      </x:c>
      <x:c r="C128" s="2" t="n">
        <x:v>7</x:v>
      </x:c>
      <x:c r="D128" s="2" t="str">
        <x:v>DEMO-102</x:v>
      </x:c>
      <x:c r="E128" s="2" t="str">
        <x:v>Grid Journal</x:v>
      </x:c>
      <x:c r="F128" s="2" t="str">
        <x:v>Stationery</x:v>
      </x:c>
      <x:c r="G128" s="2" t="str">
        <x:v>Stores</x:v>
      </x:c>
      <x:c r="H128" s="2" t="str">
        <x:v>Central Market</x:v>
      </x:c>
      <x:c r="I128" s="2" t="n">
        <x:v>16</x:v>
      </x:c>
      <x:c r="J128" s="2" t="n">
        <x:v>1</x:v>
      </x:c>
      <x:c r="K128" s="2" t="n">
        <x:f>I128-J128</x:f>
        <x:v>15</x:v>
      </x:c>
      <x:c r="L128" s="16" t="n">
        <x:v>14</x:v>
      </x:c>
      <x:c r="M128" s="16" t="n">
        <x:v>14</x:v>
      </x:c>
      <x:c r="N128" s="16" t="n">
        <x:v>5.39</x:v>
      </x:c>
      <x:c r="O128" s="16" t="n">
        <x:f>K128*M128</x:f>
        <x:v>210</x:v>
      </x:c>
      <x:c r="P128" s="16" t="n">
        <x:f>K128*N128</x:f>
        <x:v>80.85</x:v>
      </x:c>
      <x:c r="Q128" s="16" t="n">
        <x:f>O128-P128</x:f>
        <x:v>129.15</x:v>
      </x:c>
      <x:c r="R128" s="2" t="n">
        <x:v>125</x:v>
      </x:c>
      <x:c r="S128" s="2" t="n">
        <x:v>0</x:v>
      </x:c>
      <x:c r="T128" s="2" t="n">
        <x:f>R128+S128+J128-I128</x:f>
        <x:v>110</x:v>
      </x:c>
      <x:c r="U128" s="2" t="n">
        <x:v>0</x:v>
      </x:c>
      <x:c r="V128" s="2" t="n">
        <x:v>3</x:v>
      </x:c>
      <x:c r="W128" s="2" t="n">
        <x:v>14</x:v>
      </x:c>
      <x:c r="X128" s="14" t="b">
        <x:v>0</x:v>
      </x:c>
      <x:c r="Y128" s="14" t="b">
        <x:v>0</x:v>
      </x:c>
      <x:c r="Z128" s="2" t="n">
        <x:f>ABS(T128-AA128)</x:f>
        <x:v>0</x:v>
      </x:c>
      <x:c r="AA128" s="2" t="n">
        <x:v>110</x:v>
      </x:c>
      <x:c r="AB128" s="2" t="n">
        <x:f>ABS(K128-W128)</x:f>
        <x:v>1</x:v>
      </x:c>
      <x:c r="AC128" s="2" t="n">
        <x:f>COUNTIF($A$2:$A$1921,A128)-1</x:f>
        <x:v>0</x:v>
      </x:c>
      <x:c r="AD128" s="2" t="n">
        <x:f>IF(AND(D128=D127,H128=H127,C128=C127+1),ABS(R128-T127),0)</x:f>
        <x:v>0</x:v>
      </x:c>
    </x:row>
    <x:row r="129" ht="23" customHeight="1">
      <x:c r="A129" s="2" t="str">
        <x:v>DEMO-102-2-8</x:v>
      </x:c>
      <x:c r="B129" s="15" t="d">
        <x:v>2026-06-22T00:00:00.000Z</x:v>
      </x:c>
      <x:c r="C129" s="2" t="n">
        <x:v>8</x:v>
      </x:c>
      <x:c r="D129" s="2" t="str">
        <x:v>DEMO-102</x:v>
      </x:c>
      <x:c r="E129" s="2" t="str">
        <x:v>Grid Journal</x:v>
      </x:c>
      <x:c r="F129" s="2" t="str">
        <x:v>Stationery</x:v>
      </x:c>
      <x:c r="G129" s="2" t="str">
        <x:v>Stores</x:v>
      </x:c>
      <x:c r="H129" s="2" t="str">
        <x:v>Central Market</x:v>
      </x:c>
      <x:c r="I129" s="2" t="n">
        <x:v>12</x:v>
      </x:c>
      <x:c r="J129" s="2" t="n">
        <x:v>0</x:v>
      </x:c>
      <x:c r="K129" s="2" t="n">
        <x:f>I129-J129</x:f>
        <x:v>12</x:v>
      </x:c>
      <x:c r="L129" s="16" t="n">
        <x:v>14</x:v>
      </x:c>
      <x:c r="M129" s="16" t="n">
        <x:v>14</x:v>
      </x:c>
      <x:c r="N129" s="16" t="n">
        <x:v>5.39</x:v>
      </x:c>
      <x:c r="O129" s="16" t="n">
        <x:f>K129*M129</x:f>
        <x:v>168</x:v>
      </x:c>
      <x:c r="P129" s="16" t="n">
        <x:f>K129*N129</x:f>
        <x:v>64.67999999999999</x:v>
      </x:c>
      <x:c r="Q129" s="16" t="n">
        <x:f>O129-P129</x:f>
        <x:v>103.32000000000001</x:v>
      </x:c>
      <x:c r="R129" s="2" t="n">
        <x:v>110</x:v>
      </x:c>
      <x:c r="S129" s="2" t="n">
        <x:v>0</x:v>
      </x:c>
      <x:c r="T129" s="2" t="n">
        <x:f>R129+S129+J129-I129</x:f>
        <x:v>98</x:v>
      </x:c>
      <x:c r="U129" s="2" t="n">
        <x:v>0</x:v>
      </x:c>
      <x:c r="V129" s="2" t="n">
        <x:v>3</x:v>
      </x:c>
      <x:c r="W129" s="2" t="n">
        <x:v>15</x:v>
      </x:c>
      <x:c r="X129" s="14" t="b">
        <x:v>0</x:v>
      </x:c>
      <x:c r="Y129" s="14" t="b">
        <x:v>0</x:v>
      </x:c>
      <x:c r="Z129" s="2" t="n">
        <x:f>ABS(T129-AA129)</x:f>
        <x:v>0</x:v>
      </x:c>
      <x:c r="AA129" s="2" t="n">
        <x:v>98</x:v>
      </x:c>
      <x:c r="AB129" s="2" t="n">
        <x:f>ABS(K129-W129)</x:f>
        <x:v>3</x:v>
      </x:c>
      <x:c r="AC129" s="2" t="n">
        <x:f>COUNTIF($A$2:$A$1921,A129)-1</x:f>
        <x:v>0</x:v>
      </x:c>
      <x:c r="AD129" s="2" t="n">
        <x:f>IF(AND(D129=D128,H129=H128,C129=C128+1),ABS(R129-T128),0)</x:f>
        <x:v>0</x:v>
      </x:c>
    </x:row>
    <x:row r="130" ht="23" customHeight="1">
      <x:c r="A130" s="2" t="str">
        <x:v>DEMO-102-2-9</x:v>
      </x:c>
      <x:c r="B130" s="15" t="d">
        <x:v>2026-06-29T00:00:00.000Z</x:v>
      </x:c>
      <x:c r="C130" s="2" t="n">
        <x:v>9</x:v>
      </x:c>
      <x:c r="D130" s="2" t="str">
        <x:v>DEMO-102</x:v>
      </x:c>
      <x:c r="E130" s="2" t="str">
        <x:v>Grid Journal</x:v>
      </x:c>
      <x:c r="F130" s="2" t="str">
        <x:v>Stationery</x:v>
      </x:c>
      <x:c r="G130" s="2" t="str">
        <x:v>Stores</x:v>
      </x:c>
      <x:c r="H130" s="2" t="str">
        <x:v>Central Market</x:v>
      </x:c>
      <x:c r="I130" s="2" t="n">
        <x:v>14</x:v>
      </x:c>
      <x:c r="J130" s="2" t="n">
        <x:v>0</x:v>
      </x:c>
      <x:c r="K130" s="2" t="n">
        <x:f>I130-J130</x:f>
        <x:v>14</x:v>
      </x:c>
      <x:c r="L130" s="16" t="n">
        <x:v>14</x:v>
      </x:c>
      <x:c r="M130" s="16" t="n">
        <x:v>14</x:v>
      </x:c>
      <x:c r="N130" s="16" t="n">
        <x:v>5.39</x:v>
      </x:c>
      <x:c r="O130" s="16" t="n">
        <x:f>K130*M130</x:f>
        <x:v>196</x:v>
      </x:c>
      <x:c r="P130" s="16" t="n">
        <x:f>K130*N130</x:f>
        <x:v>75.46</x:v>
      </x:c>
      <x:c r="Q130" s="16" t="n">
        <x:f>O130-P130</x:f>
        <x:v>120.54</x:v>
      </x:c>
      <x:c r="R130" s="2" t="n">
        <x:v>98</x:v>
      </x:c>
      <x:c r="S130" s="2" t="n">
        <x:v>59</x:v>
      </x:c>
      <x:c r="T130" s="2" t="n">
        <x:f>R130+S130+J130-I130</x:f>
        <x:v>143</x:v>
      </x:c>
      <x:c r="U130" s="2" t="n">
        <x:v>0</x:v>
      </x:c>
      <x:c r="V130" s="2" t="n">
        <x:v>3</x:v>
      </x:c>
      <x:c r="W130" s="2" t="n">
        <x:v>14</x:v>
      </x:c>
      <x:c r="X130" s="14" t="b">
        <x:v>0</x:v>
      </x:c>
      <x:c r="Y130" s="14" t="b">
        <x:v>0</x:v>
      </x:c>
      <x:c r="Z130" s="2" t="n">
        <x:f>ABS(T130-AA130)</x:f>
        <x:v>0</x:v>
      </x:c>
      <x:c r="AA130" s="2" t="n">
        <x:v>143</x:v>
      </x:c>
      <x:c r="AB130" s="2" t="n">
        <x:f>ABS(K130-W130)</x:f>
        <x:v>0</x:v>
      </x:c>
      <x:c r="AC130" s="2" t="n">
        <x:f>COUNTIF($A$2:$A$1921,A130)-1</x:f>
        <x:v>0</x:v>
      </x:c>
      <x:c r="AD130" s="2" t="n">
        <x:f>IF(AND(D130=D129,H130=H129,C130=C129+1),ABS(R130-T129),0)</x:f>
        <x:v>0</x:v>
      </x:c>
    </x:row>
    <x:row r="131" ht="23" customHeight="1">
      <x:c r="A131" s="2" t="str">
        <x:v>DEMO-102-2-10</x:v>
      </x:c>
      <x:c r="B131" s="15" t="d">
        <x:v>2026-07-06T00:00:00.000Z</x:v>
      </x:c>
      <x:c r="C131" s="2" t="n">
        <x:v>10</x:v>
      </x:c>
      <x:c r="D131" s="2" t="str">
        <x:v>DEMO-102</x:v>
      </x:c>
      <x:c r="E131" s="2" t="str">
        <x:v>Grid Journal</x:v>
      </x:c>
      <x:c r="F131" s="2" t="str">
        <x:v>Stationery</x:v>
      </x:c>
      <x:c r="G131" s="2" t="str">
        <x:v>Stores</x:v>
      </x:c>
      <x:c r="H131" s="2" t="str">
        <x:v>Central Market</x:v>
      </x:c>
      <x:c r="I131" s="2" t="n">
        <x:v>14</x:v>
      </x:c>
      <x:c r="J131" s="2" t="n">
        <x:v>0</x:v>
      </x:c>
      <x:c r="K131" s="2" t="n">
        <x:f>I131-J131</x:f>
        <x:v>14</x:v>
      </x:c>
      <x:c r="L131" s="16" t="n">
        <x:v>14</x:v>
      </x:c>
      <x:c r="M131" s="16" t="n">
        <x:v>14</x:v>
      </x:c>
      <x:c r="N131" s="16" t="n">
        <x:v>5.39</x:v>
      </x:c>
      <x:c r="O131" s="16" t="n">
        <x:f>K131*M131</x:f>
        <x:v>196</x:v>
      </x:c>
      <x:c r="P131" s="16" t="n">
        <x:f>K131*N131</x:f>
        <x:v>75.46</x:v>
      </x:c>
      <x:c r="Q131" s="16" t="n">
        <x:f>O131-P131</x:f>
        <x:v>120.54</x:v>
      </x:c>
      <x:c r="R131" s="2" t="n">
        <x:v>143</x:v>
      </x:c>
      <x:c r="S131" s="2" t="n">
        <x:v>0</x:v>
      </x:c>
      <x:c r="T131" s="2" t="n">
        <x:f>R131+S131+J131-I131</x:f>
        <x:v>129</x:v>
      </x:c>
      <x:c r="U131" s="2" t="n">
        <x:v>0</x:v>
      </x:c>
      <x:c r="V131" s="2" t="n">
        <x:v>3</x:v>
      </x:c>
      <x:c r="W131" s="2" t="n">
        <x:v>14</x:v>
      </x:c>
      <x:c r="X131" s="14" t="b">
        <x:v>0</x:v>
      </x:c>
      <x:c r="Y131" s="14" t="b">
        <x:v>0</x:v>
      </x:c>
      <x:c r="Z131" s="2" t="n">
        <x:f>ABS(T131-AA131)</x:f>
        <x:v>0</x:v>
      </x:c>
      <x:c r="AA131" s="2" t="n">
        <x:v>129</x:v>
      </x:c>
      <x:c r="AB131" s="2" t="n">
        <x:f>ABS(K131-W131)</x:f>
        <x:v>0</x:v>
      </x:c>
      <x:c r="AC131" s="2" t="n">
        <x:f>COUNTIF($A$2:$A$1921,A131)-1</x:f>
        <x:v>0</x:v>
      </x:c>
      <x:c r="AD131" s="2" t="n">
        <x:f>IF(AND(D131=D130,H131=H130,C131=C130+1),ABS(R131-T130),0)</x:f>
        <x:v>0</x:v>
      </x:c>
    </x:row>
    <x:row r="132" ht="23" customHeight="1">
      <x:c r="A132" s="2" t="str">
        <x:v>DEMO-102-2-11</x:v>
      </x:c>
      <x:c r="B132" s="15" t="d">
        <x:v>2026-07-13T00:00:00.000Z</x:v>
      </x:c>
      <x:c r="C132" s="2" t="n">
        <x:v>11</x:v>
      </x:c>
      <x:c r="D132" s="2" t="str">
        <x:v>DEMO-102</x:v>
      </x:c>
      <x:c r="E132" s="2" t="str">
        <x:v>Grid Journal</x:v>
      </x:c>
      <x:c r="F132" s="2" t="str">
        <x:v>Stationery</x:v>
      </x:c>
      <x:c r="G132" s="2" t="str">
        <x:v>Stores</x:v>
      </x:c>
      <x:c r="H132" s="2" t="str">
        <x:v>Central Market</x:v>
      </x:c>
      <x:c r="I132" s="2" t="n">
        <x:v>14</x:v>
      </x:c>
      <x:c r="J132" s="2" t="n">
        <x:v>0</x:v>
      </x:c>
      <x:c r="K132" s="2" t="n">
        <x:f>I132-J132</x:f>
        <x:v>14</x:v>
      </x:c>
      <x:c r="L132" s="16" t="n">
        <x:v>14</x:v>
      </x:c>
      <x:c r="M132" s="16" t="n">
        <x:v>14</x:v>
      </x:c>
      <x:c r="N132" s="16" t="n">
        <x:v>5.39</x:v>
      </x:c>
      <x:c r="O132" s="16" t="n">
        <x:f>K132*M132</x:f>
        <x:v>196</x:v>
      </x:c>
      <x:c r="P132" s="16" t="n">
        <x:f>K132*N132</x:f>
        <x:v>75.46</x:v>
      </x:c>
      <x:c r="Q132" s="16" t="n">
        <x:f>O132-P132</x:f>
        <x:v>120.54</x:v>
      </x:c>
      <x:c r="R132" s="2" t="n">
        <x:v>129</x:v>
      </x:c>
      <x:c r="S132" s="2" t="n">
        <x:v>0</x:v>
      </x:c>
      <x:c r="T132" s="2" t="n">
        <x:f>R132+S132+J132-I132</x:f>
        <x:v>115</x:v>
      </x:c>
      <x:c r="U132" s="2" t="n">
        <x:v>0</x:v>
      </x:c>
      <x:c r="V132" s="2" t="n">
        <x:v>3</x:v>
      </x:c>
      <x:c r="W132" s="2" t="n">
        <x:v>14</x:v>
      </x:c>
      <x:c r="X132" s="14" t="b">
        <x:v>0</x:v>
      </x:c>
      <x:c r="Y132" s="14" t="b">
        <x:v>0</x:v>
      </x:c>
      <x:c r="Z132" s="2" t="n">
        <x:f>ABS(T132-AA132)</x:f>
        <x:v>0</x:v>
      </x:c>
      <x:c r="AA132" s="2" t="n">
        <x:v>115</x:v>
      </x:c>
      <x:c r="AB132" s="2" t="n">
        <x:f>ABS(K132-W132)</x:f>
        <x:v>0</x:v>
      </x:c>
      <x:c r="AC132" s="2" t="n">
        <x:f>COUNTIF($A$2:$A$1921,A132)-1</x:f>
        <x:v>0</x:v>
      </x:c>
      <x:c r="AD132" s="2" t="n">
        <x:f>IF(AND(D132=D131,H132=H131,C132=C131+1),ABS(R132-T131),0)</x:f>
        <x:v>0</x:v>
      </x:c>
    </x:row>
    <x:row r="133" ht="23" customHeight="1">
      <x:c r="A133" s="2" t="str">
        <x:v>DEMO-102-2-12</x:v>
      </x:c>
      <x:c r="B133" s="15" t="d">
        <x:v>2026-07-20T00:00:00.000Z</x:v>
      </x:c>
      <x:c r="C133" s="2" t="n">
        <x:v>12</x:v>
      </x:c>
      <x:c r="D133" s="2" t="str">
        <x:v>DEMO-102</x:v>
      </x:c>
      <x:c r="E133" s="2" t="str">
        <x:v>Grid Journal</x:v>
      </x:c>
      <x:c r="F133" s="2" t="str">
        <x:v>Stationery</x:v>
      </x:c>
      <x:c r="G133" s="2" t="str">
        <x:v>Stores</x:v>
      </x:c>
      <x:c r="H133" s="2" t="str">
        <x:v>Central Market</x:v>
      </x:c>
      <x:c r="I133" s="2" t="n">
        <x:v>17</x:v>
      </x:c>
      <x:c r="J133" s="2" t="n">
        <x:v>0</x:v>
      </x:c>
      <x:c r="K133" s="2" t="n">
        <x:f>I133-J133</x:f>
        <x:v>17</x:v>
      </x:c>
      <x:c r="L133" s="16" t="n">
        <x:v>14</x:v>
      </x:c>
      <x:c r="M133" s="16" t="n">
        <x:v>14</x:v>
      </x:c>
      <x:c r="N133" s="16" t="n">
        <x:v>5.39</x:v>
      </x:c>
      <x:c r="O133" s="16" t="n">
        <x:f>K133*M133</x:f>
        <x:v>238</x:v>
      </x:c>
      <x:c r="P133" s="16" t="n">
        <x:f>K133*N133</x:f>
        <x:v>91.63</x:v>
      </x:c>
      <x:c r="Q133" s="16" t="n">
        <x:f>O133-P133</x:f>
        <x:v>146.37</x:v>
      </x:c>
      <x:c r="R133" s="2" t="n">
        <x:v>115</x:v>
      </x:c>
      <x:c r="S133" s="2" t="n">
        <x:v>0</x:v>
      </x:c>
      <x:c r="T133" s="2" t="n">
        <x:f>R133+S133+J133-I133</x:f>
        <x:v>98</x:v>
      </x:c>
      <x:c r="U133" s="2" t="n">
        <x:v>0</x:v>
      </x:c>
      <x:c r="V133" s="2" t="n">
        <x:v>3</x:v>
      </x:c>
      <x:c r="W133" s="2" t="n">
        <x:v>14</x:v>
      </x:c>
      <x:c r="X133" s="14" t="b">
        <x:v>0</x:v>
      </x:c>
      <x:c r="Y133" s="14" t="b">
        <x:v>0</x:v>
      </x:c>
      <x:c r="Z133" s="2" t="n">
        <x:f>ABS(T133-AA133)</x:f>
        <x:v>0</x:v>
      </x:c>
      <x:c r="AA133" s="2" t="n">
        <x:v>98</x:v>
      </x:c>
      <x:c r="AB133" s="2" t="n">
        <x:f>ABS(K133-W133)</x:f>
        <x:v>3</x:v>
      </x:c>
      <x:c r="AC133" s="2" t="n">
        <x:f>COUNTIF($A$2:$A$1921,A133)-1</x:f>
        <x:v>0</x:v>
      </x:c>
      <x:c r="AD133" s="2" t="n">
        <x:f>IF(AND(D133=D132,H133=H132,C133=C132+1),ABS(R133-T132),0)</x:f>
        <x:v>0</x:v>
      </x:c>
    </x:row>
    <x:row r="134" ht="23" customHeight="1">
      <x:c r="A134" s="2" t="str">
        <x:v>DEMO-102-2-13</x:v>
      </x:c>
      <x:c r="B134" s="15" t="d">
        <x:v>2026-07-27T00:00:00.000Z</x:v>
      </x:c>
      <x:c r="C134" s="2" t="n">
        <x:v>13</x:v>
      </x:c>
      <x:c r="D134" s="2" t="str">
        <x:v>DEMO-102</x:v>
      </x:c>
      <x:c r="E134" s="2" t="str">
        <x:v>Grid Journal</x:v>
      </x:c>
      <x:c r="F134" s="2" t="str">
        <x:v>Stationery</x:v>
      </x:c>
      <x:c r="G134" s="2" t="str">
        <x:v>Stores</x:v>
      </x:c>
      <x:c r="H134" s="2" t="str">
        <x:v>Central Market</x:v>
      </x:c>
      <x:c r="I134" s="2" t="n">
        <x:v>13</x:v>
      </x:c>
      <x:c r="J134" s="2" t="n">
        <x:v>1</x:v>
      </x:c>
      <x:c r="K134" s="2" t="n">
        <x:f>I134-J134</x:f>
        <x:v>12</x:v>
      </x:c>
      <x:c r="L134" s="16" t="n">
        <x:v>14</x:v>
      </x:c>
      <x:c r="M134" s="16" t="n">
        <x:v>14</x:v>
      </x:c>
      <x:c r="N134" s="16" t="n">
        <x:v>5.39</x:v>
      </x:c>
      <x:c r="O134" s="16" t="n">
        <x:f>K134*M134</x:f>
        <x:v>168</x:v>
      </x:c>
      <x:c r="P134" s="16" t="n">
        <x:f>K134*N134</x:f>
        <x:v>64.67999999999999</x:v>
      </x:c>
      <x:c r="Q134" s="16" t="n">
        <x:f>O134-P134</x:f>
        <x:v>103.32000000000001</x:v>
      </x:c>
      <x:c r="R134" s="2" t="n">
        <x:v>98</x:v>
      </x:c>
      <x:c r="S134" s="2" t="n">
        <x:v>59</x:v>
      </x:c>
      <x:c r="T134" s="2" t="n">
        <x:f>R134+S134+J134-I134</x:f>
        <x:v>145</x:v>
      </x:c>
      <x:c r="U134" s="2" t="n">
        <x:v>0</x:v>
      </x:c>
      <x:c r="V134" s="2" t="n">
        <x:v>3</x:v>
      </x:c>
      <x:c r="W134" s="2" t="n">
        <x:v>15</x:v>
      </x:c>
      <x:c r="X134" s="14" t="b">
        <x:v>0</x:v>
      </x:c>
      <x:c r="Y134" s="14" t="b">
        <x:v>0</x:v>
      </x:c>
      <x:c r="Z134" s="2" t="n">
        <x:f>ABS(T134-AA134)</x:f>
        <x:v>0</x:v>
      </x:c>
      <x:c r="AA134" s="2" t="n">
        <x:v>145</x:v>
      </x:c>
      <x:c r="AB134" s="2" t="n">
        <x:f>ABS(K134-W134)</x:f>
        <x:v>3</x:v>
      </x:c>
      <x:c r="AC134" s="2" t="n">
        <x:f>COUNTIF($A$2:$A$1921,A134)-1</x:f>
        <x:v>0</x:v>
      </x:c>
      <x:c r="AD134" s="2" t="n">
        <x:f>IF(AND(D134=D133,H134=H133,C134=C133+1),ABS(R134-T133),0)</x:f>
        <x:v>0</x:v>
      </x:c>
    </x:row>
    <x:row r="135" ht="23" customHeight="1">
      <x:c r="A135" s="2" t="str">
        <x:v>DEMO-102-2-14</x:v>
      </x:c>
      <x:c r="B135" s="15" t="d">
        <x:v>2026-08-03T00:00:00.000Z</x:v>
      </x:c>
      <x:c r="C135" s="2" t="n">
        <x:v>14</x:v>
      </x:c>
      <x:c r="D135" s="2" t="str">
        <x:v>DEMO-102</x:v>
      </x:c>
      <x:c r="E135" s="2" t="str">
        <x:v>Grid Journal</x:v>
      </x:c>
      <x:c r="F135" s="2" t="str">
        <x:v>Stationery</x:v>
      </x:c>
      <x:c r="G135" s="2" t="str">
        <x:v>Stores</x:v>
      </x:c>
      <x:c r="H135" s="2" t="str">
        <x:v>Central Market</x:v>
      </x:c>
      <x:c r="I135" s="2" t="n">
        <x:v>12</x:v>
      </x:c>
      <x:c r="J135" s="2" t="n">
        <x:v>0</x:v>
      </x:c>
      <x:c r="K135" s="2" t="n">
        <x:f>I135-J135</x:f>
        <x:v>12</x:v>
      </x:c>
      <x:c r="L135" s="16" t="n">
        <x:v>14</x:v>
      </x:c>
      <x:c r="M135" s="16" t="n">
        <x:v>14</x:v>
      </x:c>
      <x:c r="N135" s="16" t="n">
        <x:v>5.39</x:v>
      </x:c>
      <x:c r="O135" s="16" t="n">
        <x:f>K135*M135</x:f>
        <x:v>168</x:v>
      </x:c>
      <x:c r="P135" s="16" t="n">
        <x:f>K135*N135</x:f>
        <x:v>64.67999999999999</x:v>
      </x:c>
      <x:c r="Q135" s="16" t="n">
        <x:f>O135-P135</x:f>
        <x:v>103.32000000000001</x:v>
      </x:c>
      <x:c r="R135" s="2" t="n">
        <x:v>145</x:v>
      </x:c>
      <x:c r="S135" s="2" t="n">
        <x:v>0</x:v>
      </x:c>
      <x:c r="T135" s="2" t="n">
        <x:f>R135+S135+J135-I135</x:f>
        <x:v>133</x:v>
      </x:c>
      <x:c r="U135" s="2" t="n">
        <x:v>0</x:v>
      </x:c>
      <x:c r="V135" s="2" t="n">
        <x:v>3</x:v>
      </x:c>
      <x:c r="W135" s="2" t="n">
        <x:v>14</x:v>
      </x:c>
      <x:c r="X135" s="14" t="b">
        <x:v>0</x:v>
      </x:c>
      <x:c r="Y135" s="14" t="b">
        <x:v>0</x:v>
      </x:c>
      <x:c r="Z135" s="2" t="n">
        <x:f>ABS(T135-AA135)</x:f>
        <x:v>0</x:v>
      </x:c>
      <x:c r="AA135" s="2" t="n">
        <x:v>133</x:v>
      </x:c>
      <x:c r="AB135" s="2" t="n">
        <x:f>ABS(K135-W135)</x:f>
        <x:v>2</x:v>
      </x:c>
      <x:c r="AC135" s="2" t="n">
        <x:f>COUNTIF($A$2:$A$1921,A135)-1</x:f>
        <x:v>0</x:v>
      </x:c>
      <x:c r="AD135" s="2" t="n">
        <x:f>IF(AND(D135=D134,H135=H134,C135=C134+1),ABS(R135-T134),0)</x:f>
        <x:v>0</x:v>
      </x:c>
    </x:row>
    <x:row r="136" ht="23" customHeight="1">
      <x:c r="A136" s="2" t="str">
        <x:v>DEMO-102-2-15</x:v>
      </x:c>
      <x:c r="B136" s="15" t="d">
        <x:v>2026-08-10T00:00:00.000Z</x:v>
      </x:c>
      <x:c r="C136" s="2" t="n">
        <x:v>15</x:v>
      </x:c>
      <x:c r="D136" s="2" t="str">
        <x:v>DEMO-102</x:v>
      </x:c>
      <x:c r="E136" s="2" t="str">
        <x:v>Grid Journal</x:v>
      </x:c>
      <x:c r="F136" s="2" t="str">
        <x:v>Stationery</x:v>
      </x:c>
      <x:c r="G136" s="2" t="str">
        <x:v>Stores</x:v>
      </x:c>
      <x:c r="H136" s="2" t="str">
        <x:v>Central Market</x:v>
      </x:c>
      <x:c r="I136" s="2" t="n">
        <x:v>17</x:v>
      </x:c>
      <x:c r="J136" s="2" t="n">
        <x:v>0</x:v>
      </x:c>
      <x:c r="K136" s="2" t="n">
        <x:f>I136-J136</x:f>
        <x:v>17</x:v>
      </x:c>
      <x:c r="L136" s="16" t="n">
        <x:v>14</x:v>
      </x:c>
      <x:c r="M136" s="16" t="n">
        <x:v>14</x:v>
      </x:c>
      <x:c r="N136" s="16" t="n">
        <x:v>5.39</x:v>
      </x:c>
      <x:c r="O136" s="16" t="n">
        <x:f>K136*M136</x:f>
        <x:v>238</x:v>
      </x:c>
      <x:c r="P136" s="16" t="n">
        <x:f>K136*N136</x:f>
        <x:v>91.63</x:v>
      </x:c>
      <x:c r="Q136" s="16" t="n">
        <x:f>O136-P136</x:f>
        <x:v>146.37</x:v>
      </x:c>
      <x:c r="R136" s="2" t="n">
        <x:v>133</x:v>
      </x:c>
      <x:c r="S136" s="2" t="n">
        <x:v>0</x:v>
      </x:c>
      <x:c r="T136" s="2" t="n">
        <x:f>R136+S136+J136-I136</x:f>
        <x:v>116</x:v>
      </x:c>
      <x:c r="U136" s="2" t="n">
        <x:v>0</x:v>
      </x:c>
      <x:c r="V136" s="2" t="n">
        <x:v>3</x:v>
      </x:c>
      <x:c r="W136" s="2" t="n">
        <x:v>14</x:v>
      </x:c>
      <x:c r="X136" s="14" t="b">
        <x:v>0</x:v>
      </x:c>
      <x:c r="Y136" s="14" t="b">
        <x:v>0</x:v>
      </x:c>
      <x:c r="Z136" s="2" t="n">
        <x:f>ABS(T136-AA136)</x:f>
        <x:v>0</x:v>
      </x:c>
      <x:c r="AA136" s="2" t="n">
        <x:v>116</x:v>
      </x:c>
      <x:c r="AB136" s="2" t="n">
        <x:f>ABS(K136-W136)</x:f>
        <x:v>3</x:v>
      </x:c>
      <x:c r="AC136" s="2" t="n">
        <x:f>COUNTIF($A$2:$A$1921,A136)-1</x:f>
        <x:v>0</x:v>
      </x:c>
      <x:c r="AD136" s="2" t="n">
        <x:f>IF(AND(D136=D135,H136=H135,C136=C135+1),ABS(R136-T135),0)</x:f>
        <x:v>0</x:v>
      </x:c>
    </x:row>
    <x:row r="137" ht="23" customHeight="1">
      <x:c r="A137" s="2" t="str">
        <x:v>DEMO-102-2-16</x:v>
      </x:c>
      <x:c r="B137" s="15" t="d">
        <x:v>2026-08-17T00:00:00.000Z</x:v>
      </x:c>
      <x:c r="C137" s="2" t="n">
        <x:v>16</x:v>
      </x:c>
      <x:c r="D137" s="2" t="str">
        <x:v>DEMO-102</x:v>
      </x:c>
      <x:c r="E137" s="2" t="str">
        <x:v>Grid Journal</x:v>
      </x:c>
      <x:c r="F137" s="2" t="str">
        <x:v>Stationery</x:v>
      </x:c>
      <x:c r="G137" s="2" t="str">
        <x:v>Stores</x:v>
      </x:c>
      <x:c r="H137" s="2" t="str">
        <x:v>Central Market</x:v>
      </x:c>
      <x:c r="I137" s="2" t="n">
        <x:v>15</x:v>
      </x:c>
      <x:c r="J137" s="2" t="n">
        <x:v>0</x:v>
      </x:c>
      <x:c r="K137" s="2" t="n">
        <x:f>I137-J137</x:f>
        <x:v>15</x:v>
      </x:c>
      <x:c r="L137" s="16" t="n">
        <x:v>14</x:v>
      </x:c>
      <x:c r="M137" s="16" t="n">
        <x:v>14</x:v>
      </x:c>
      <x:c r="N137" s="16" t="n">
        <x:v>5.39</x:v>
      </x:c>
      <x:c r="O137" s="16" t="n">
        <x:f>K137*M137</x:f>
        <x:v>210</x:v>
      </x:c>
      <x:c r="P137" s="16" t="n">
        <x:f>K137*N137</x:f>
        <x:v>80.85</x:v>
      </x:c>
      <x:c r="Q137" s="16" t="n">
        <x:f>O137-P137</x:f>
        <x:v>129.15</x:v>
      </x:c>
      <x:c r="R137" s="2" t="n">
        <x:v>116</x:v>
      </x:c>
      <x:c r="S137" s="2" t="n">
        <x:v>0</x:v>
      </x:c>
      <x:c r="T137" s="2" t="n">
        <x:f>R137+S137+J137-I137</x:f>
        <x:v>101</x:v>
      </x:c>
      <x:c r="U137" s="2" t="n">
        <x:v>0</x:v>
      </x:c>
      <x:c r="V137" s="2" t="n">
        <x:v>3</x:v>
      </x:c>
      <x:c r="W137" s="2" t="n">
        <x:v>15</x:v>
      </x:c>
      <x:c r="X137" s="14" t="b">
        <x:v>0</x:v>
      </x:c>
      <x:c r="Y137" s="14" t="b">
        <x:v>0</x:v>
      </x:c>
      <x:c r="Z137" s="2" t="n">
        <x:f>ABS(T137-AA137)</x:f>
        <x:v>0</x:v>
      </x:c>
      <x:c r="AA137" s="2" t="n">
        <x:v>101</x:v>
      </x:c>
      <x:c r="AB137" s="2" t="n">
        <x:f>ABS(K137-W137)</x:f>
        <x:v>0</x:v>
      </x:c>
      <x:c r="AC137" s="2" t="n">
        <x:f>COUNTIF($A$2:$A$1921,A137)-1</x:f>
        <x:v>0</x:v>
      </x:c>
      <x:c r="AD137" s="2" t="n">
        <x:f>IF(AND(D137=D136,H137=H136,C137=C136+1),ABS(R137-T136),0)</x:f>
        <x:v>0</x:v>
      </x:c>
    </x:row>
    <x:row r="138" ht="23" customHeight="1">
      <x:c r="A138" s="2" t="str">
        <x:v>DEMO-102-2-17</x:v>
      </x:c>
      <x:c r="B138" s="15" t="d">
        <x:v>2026-08-24T00:00:00.000Z</x:v>
      </x:c>
      <x:c r="C138" s="2" t="n">
        <x:v>17</x:v>
      </x:c>
      <x:c r="D138" s="2" t="str">
        <x:v>DEMO-102</x:v>
      </x:c>
      <x:c r="E138" s="2" t="str">
        <x:v>Grid Journal</x:v>
      </x:c>
      <x:c r="F138" s="2" t="str">
        <x:v>Stationery</x:v>
      </x:c>
      <x:c r="G138" s="2" t="str">
        <x:v>Stores</x:v>
      </x:c>
      <x:c r="H138" s="2" t="str">
        <x:v>Central Market</x:v>
      </x:c>
      <x:c r="I138" s="2" t="n">
        <x:v>13</x:v>
      </x:c>
      <x:c r="J138" s="2" t="n">
        <x:v>0</x:v>
      </x:c>
      <x:c r="K138" s="2" t="n">
        <x:f>I138-J138</x:f>
        <x:v>13</x:v>
      </x:c>
      <x:c r="L138" s="16" t="n">
        <x:v>14</x:v>
      </x:c>
      <x:c r="M138" s="16" t="n">
        <x:v>14</x:v>
      </x:c>
      <x:c r="N138" s="16" t="n">
        <x:v>5.39</x:v>
      </x:c>
      <x:c r="O138" s="16" t="n">
        <x:f>K138*M138</x:f>
        <x:v>182</x:v>
      </x:c>
      <x:c r="P138" s="16" t="n">
        <x:f>K138*N138</x:f>
        <x:v>70.07</x:v>
      </x:c>
      <x:c r="Q138" s="16" t="n">
        <x:f>O138-P138</x:f>
        <x:v>111.93</x:v>
      </x:c>
      <x:c r="R138" s="2" t="n">
        <x:v>101</x:v>
      </x:c>
      <x:c r="S138" s="2" t="n">
        <x:v>59</x:v>
      </x:c>
      <x:c r="T138" s="2" t="n">
        <x:f>R138+S138+J138-I138</x:f>
        <x:v>147</x:v>
      </x:c>
      <x:c r="U138" s="2" t="n">
        <x:v>0</x:v>
      </x:c>
      <x:c r="V138" s="2" t="n">
        <x:v>3</x:v>
      </x:c>
      <x:c r="W138" s="2" t="n">
        <x:v>14</x:v>
      </x:c>
      <x:c r="X138" s="14" t="b">
        <x:v>0</x:v>
      </x:c>
      <x:c r="Y138" s="14" t="b">
        <x:v>0</x:v>
      </x:c>
      <x:c r="Z138" s="2" t="n">
        <x:f>ABS(T138-AA138)</x:f>
        <x:v>0</x:v>
      </x:c>
      <x:c r="AA138" s="2" t="n">
        <x:v>147</x:v>
      </x:c>
      <x:c r="AB138" s="2" t="n">
        <x:f>ABS(K138-W138)</x:f>
        <x:v>1</x:v>
      </x:c>
      <x:c r="AC138" s="2" t="n">
        <x:f>COUNTIF($A$2:$A$1921,A138)-1</x:f>
        <x:v>0</x:v>
      </x:c>
      <x:c r="AD138" s="2" t="n">
        <x:f>IF(AND(D138=D137,H138=H137,C138=C137+1),ABS(R138-T137),0)</x:f>
        <x:v>0</x:v>
      </x:c>
    </x:row>
    <x:row r="139" ht="23" customHeight="1">
      <x:c r="A139" s="2" t="str">
        <x:v>DEMO-102-2-18</x:v>
      </x:c>
      <x:c r="B139" s="15" t="d">
        <x:v>2026-08-31T00:00:00.000Z</x:v>
      </x:c>
      <x:c r="C139" s="2" t="n">
        <x:v>18</x:v>
      </x:c>
      <x:c r="D139" s="2" t="str">
        <x:v>DEMO-102</x:v>
      </x:c>
      <x:c r="E139" s="2" t="str">
        <x:v>Grid Journal</x:v>
      </x:c>
      <x:c r="F139" s="2" t="str">
        <x:v>Stationery</x:v>
      </x:c>
      <x:c r="G139" s="2" t="str">
        <x:v>Stores</x:v>
      </x:c>
      <x:c r="H139" s="2" t="str">
        <x:v>Central Market</x:v>
      </x:c>
      <x:c r="I139" s="2" t="n">
        <x:v>12</x:v>
      </x:c>
      <x:c r="J139" s="2" t="n">
        <x:v>0</x:v>
      </x:c>
      <x:c r="K139" s="2" t="n">
        <x:f>I139-J139</x:f>
        <x:v>12</x:v>
      </x:c>
      <x:c r="L139" s="16" t="n">
        <x:v>14</x:v>
      </x:c>
      <x:c r="M139" s="16" t="n">
        <x:v>14</x:v>
      </x:c>
      <x:c r="N139" s="16" t="n">
        <x:v>5.39</x:v>
      </x:c>
      <x:c r="O139" s="16" t="n">
        <x:f>K139*M139</x:f>
        <x:v>168</x:v>
      </x:c>
      <x:c r="P139" s="16" t="n">
        <x:f>K139*N139</x:f>
        <x:v>64.67999999999999</x:v>
      </x:c>
      <x:c r="Q139" s="16" t="n">
        <x:f>O139-P139</x:f>
        <x:v>103.32000000000001</x:v>
      </x:c>
      <x:c r="R139" s="2" t="n">
        <x:v>147</x:v>
      </x:c>
      <x:c r="S139" s="2" t="n">
        <x:v>0</x:v>
      </x:c>
      <x:c r="T139" s="2" t="n">
        <x:f>R139+S139+J139-I139</x:f>
        <x:v>135</x:v>
      </x:c>
      <x:c r="U139" s="2" t="n">
        <x:v>0</x:v>
      </x:c>
      <x:c r="V139" s="2" t="n">
        <x:v>3</x:v>
      </x:c>
      <x:c r="W139" s="2" t="n">
        <x:v>14</x:v>
      </x:c>
      <x:c r="X139" s="14" t="b">
        <x:v>0</x:v>
      </x:c>
      <x:c r="Y139" s="14" t="b">
        <x:v>0</x:v>
      </x:c>
      <x:c r="Z139" s="2" t="n">
        <x:f>ABS(T139-AA139)</x:f>
        <x:v>0</x:v>
      </x:c>
      <x:c r="AA139" s="2" t="n">
        <x:v>135</x:v>
      </x:c>
      <x:c r="AB139" s="2" t="n">
        <x:f>ABS(K139-W139)</x:f>
        <x:v>2</x:v>
      </x:c>
      <x:c r="AC139" s="2" t="n">
        <x:f>COUNTIF($A$2:$A$1921,A139)-1</x:f>
        <x:v>0</x:v>
      </x:c>
      <x:c r="AD139" s="2" t="n">
        <x:f>IF(AND(D139=D138,H139=H138,C139=C138+1),ABS(R139-T138),0)</x:f>
        <x:v>0</x:v>
      </x:c>
    </x:row>
    <x:row r="140" ht="23" customHeight="1">
      <x:c r="A140" s="2" t="str">
        <x:v>DEMO-102-2-19</x:v>
      </x:c>
      <x:c r="B140" s="15" t="d">
        <x:v>2026-09-07T00:00:00.000Z</x:v>
      </x:c>
      <x:c r="C140" s="2" t="n">
        <x:v>19</x:v>
      </x:c>
      <x:c r="D140" s="2" t="str">
        <x:v>DEMO-102</x:v>
      </x:c>
      <x:c r="E140" s="2" t="str">
        <x:v>Grid Journal</x:v>
      </x:c>
      <x:c r="F140" s="2" t="str">
        <x:v>Stationery</x:v>
      </x:c>
      <x:c r="G140" s="2" t="str">
        <x:v>Stores</x:v>
      </x:c>
      <x:c r="H140" s="2" t="str">
        <x:v>Central Market</x:v>
      </x:c>
      <x:c r="I140" s="2" t="n">
        <x:v>15</x:v>
      </x:c>
      <x:c r="J140" s="2" t="n">
        <x:v>1</x:v>
      </x:c>
      <x:c r="K140" s="2" t="n">
        <x:f>I140-J140</x:f>
        <x:v>14</x:v>
      </x:c>
      <x:c r="L140" s="16" t="n">
        <x:v>14</x:v>
      </x:c>
      <x:c r="M140" s="16" t="n">
        <x:v>14</x:v>
      </x:c>
      <x:c r="N140" s="16" t="n">
        <x:v>5.39</x:v>
      </x:c>
      <x:c r="O140" s="16" t="n">
        <x:f>K140*M140</x:f>
        <x:v>196</x:v>
      </x:c>
      <x:c r="P140" s="16" t="n">
        <x:f>K140*N140</x:f>
        <x:v>75.46</x:v>
      </x:c>
      <x:c r="Q140" s="16" t="n">
        <x:f>O140-P140</x:f>
        <x:v>120.54</x:v>
      </x:c>
      <x:c r="R140" s="2" t="n">
        <x:v>135</x:v>
      </x:c>
      <x:c r="S140" s="2" t="n">
        <x:v>0</x:v>
      </x:c>
      <x:c r="T140" s="2" t="n">
        <x:f>R140+S140+J140-I140</x:f>
        <x:v>121</x:v>
      </x:c>
      <x:c r="U140" s="2" t="n">
        <x:v>0</x:v>
      </x:c>
      <x:c r="V140" s="2" t="n">
        <x:v>3</x:v>
      </x:c>
      <x:c r="W140" s="2" t="n">
        <x:v>14</x:v>
      </x:c>
      <x:c r="X140" s="14" t="b">
        <x:v>0</x:v>
      </x:c>
      <x:c r="Y140" s="14" t="b">
        <x:v>0</x:v>
      </x:c>
      <x:c r="Z140" s="2" t="n">
        <x:f>ABS(T140-AA140)</x:f>
        <x:v>0</x:v>
      </x:c>
      <x:c r="AA140" s="2" t="n">
        <x:v>121</x:v>
      </x:c>
      <x:c r="AB140" s="2" t="n">
        <x:f>ABS(K140-W140)</x:f>
        <x:v>0</x:v>
      </x:c>
      <x:c r="AC140" s="2" t="n">
        <x:f>COUNTIF($A$2:$A$1921,A140)-1</x:f>
        <x:v>0</x:v>
      </x:c>
      <x:c r="AD140" s="2" t="n">
        <x:f>IF(AND(D140=D139,H140=H139,C140=C139+1),ABS(R140-T139),0)</x:f>
        <x:v>0</x:v>
      </x:c>
    </x:row>
    <x:row r="141" ht="23" customHeight="1">
      <x:c r="A141" s="2" t="str">
        <x:v>DEMO-102-2-20</x:v>
      </x:c>
      <x:c r="B141" s="15" t="d">
        <x:v>2026-09-14T00:00:00.000Z</x:v>
      </x:c>
      <x:c r="C141" s="2" t="n">
        <x:v>20</x:v>
      </x:c>
      <x:c r="D141" s="2" t="str">
        <x:v>DEMO-102</x:v>
      </x:c>
      <x:c r="E141" s="2" t="str">
        <x:v>Grid Journal</x:v>
      </x:c>
      <x:c r="F141" s="2" t="str">
        <x:v>Stationery</x:v>
      </x:c>
      <x:c r="G141" s="2" t="str">
        <x:v>Stores</x:v>
      </x:c>
      <x:c r="H141" s="2" t="str">
        <x:v>Central Market</x:v>
      </x:c>
      <x:c r="I141" s="2" t="n">
        <x:v>12</x:v>
      </x:c>
      <x:c r="J141" s="2" t="n">
        <x:v>0</x:v>
      </x:c>
      <x:c r="K141" s="2" t="n">
        <x:f>I141-J141</x:f>
        <x:v>12</x:v>
      </x:c>
      <x:c r="L141" s="16" t="n">
        <x:v>14</x:v>
      </x:c>
      <x:c r="M141" s="16" t="n">
        <x:v>14</x:v>
      </x:c>
      <x:c r="N141" s="16" t="n">
        <x:v>5.39</x:v>
      </x:c>
      <x:c r="O141" s="16" t="n">
        <x:f>K141*M141</x:f>
        <x:v>168</x:v>
      </x:c>
      <x:c r="P141" s="16" t="n">
        <x:f>K141*N141</x:f>
        <x:v>64.67999999999999</x:v>
      </x:c>
      <x:c r="Q141" s="16" t="n">
        <x:f>O141-P141</x:f>
        <x:v>103.32000000000001</x:v>
      </x:c>
      <x:c r="R141" s="2" t="n">
        <x:v>121</x:v>
      </x:c>
      <x:c r="S141" s="2" t="n">
        <x:v>0</x:v>
      </x:c>
      <x:c r="T141" s="2" t="n">
        <x:f>R141+S141+J141-I141</x:f>
        <x:v>109</x:v>
      </x:c>
      <x:c r="U141" s="2" t="n">
        <x:v>18</x:v>
      </x:c>
      <x:c r="V141" s="2" t="n">
        <x:v>3</x:v>
      </x:c>
      <x:c r="W141" s="2" t="n">
        <x:v>14</x:v>
      </x:c>
      <x:c r="X141" s="14" t="b">
        <x:v>0</x:v>
      </x:c>
      <x:c r="Y141" s="14" t="b">
        <x:v>0</x:v>
      </x:c>
      <x:c r="Z141" s="2" t="n">
        <x:f>ABS(T141-AA141)</x:f>
        <x:v>0</x:v>
      </x:c>
      <x:c r="AA141" s="2" t="n">
        <x:v>109</x:v>
      </x:c>
      <x:c r="AB141" s="2" t="n">
        <x:f>ABS(K141-W141)</x:f>
        <x:v>2</x:v>
      </x:c>
      <x:c r="AC141" s="2" t="n">
        <x:f>COUNTIF($A$2:$A$1921,A141)-1</x:f>
        <x:v>0</x:v>
      </x:c>
      <x:c r="AD141" s="2" t="n">
        <x:f>IF(AND(D141=D140,H141=H140,C141=C140+1),ABS(R141-T140),0)</x:f>
        <x:v>0</x:v>
      </x:c>
    </x:row>
    <x:row r="142" ht="23" customHeight="1">
      <x:c r="A142" s="2" t="str">
        <x:v>DEMO-102-3-1</x:v>
      </x:c>
      <x:c r="B142" s="15" t="d">
        <x:v>2026-05-04T00:00:00.000Z</x:v>
      </x:c>
      <x:c r="C142" s="2" t="n">
        <x:v>1</x:v>
      </x:c>
      <x:c r="D142" s="2" t="str">
        <x:v>DEMO-102</x:v>
      </x:c>
      <x:c r="E142" s="2" t="str">
        <x:v>Grid Journal</x:v>
      </x:c>
      <x:c r="F142" s="2" t="str">
        <x:v>Stationery</x:v>
      </x:c>
      <x:c r="G142" s="2" t="str">
        <x:v>Online</x:v>
      </x:c>
      <x:c r="H142" s="2" t="str">
        <x:v>Online</x:v>
      </x:c>
      <x:c r="I142" s="2" t="n">
        <x:v>20</x:v>
      </x:c>
      <x:c r="J142" s="2" t="n">
        <x:v>0</x:v>
      </x:c>
      <x:c r="K142" s="2" t="n">
        <x:f>I142-J142</x:f>
        <x:v>20</x:v>
      </x:c>
      <x:c r="L142" s="16" t="n">
        <x:v>14</x:v>
      </x:c>
      <x:c r="M142" s="16" t="n">
        <x:v>14</x:v>
      </x:c>
      <x:c r="N142" s="16" t="n">
        <x:v>5.39</x:v>
      </x:c>
      <x:c r="O142" s="16" t="n">
        <x:f>K142*M142</x:f>
        <x:v>280</x:v>
      </x:c>
      <x:c r="P142" s="16" t="n">
        <x:f>K142*N142</x:f>
        <x:v>107.8</x:v>
      </x:c>
      <x:c r="Q142" s="16" t="n">
        <x:f>O142-P142</x:f>
        <x:v>172.2</x:v>
      </x:c>
      <x:c r="R142" s="2" t="n">
        <x:v>90</x:v>
      </x:c>
      <x:c r="S142" s="2" t="n">
        <x:v>100</x:v>
      </x:c>
      <x:c r="T142" s="2" t="n">
        <x:f>R142+S142+J142-I142</x:f>
        <x:v>170</x:v>
      </x:c>
      <x:c r="U142" s="2" t="n">
        <x:v>0</x:v>
      </x:c>
      <x:c r="V142" s="2" t="n">
        <x:v>3</x:v>
      </x:c>
      <x:c r="W142" s="2" t="n">
        <x:v>24</x:v>
      </x:c>
      <x:c r="X142" s="14" t="b">
        <x:v>0</x:v>
      </x:c>
      <x:c r="Y142" s="14" t="b">
        <x:v>0</x:v>
      </x:c>
      <x:c r="Z142" s="2" t="n">
        <x:f>ABS(T142-AA142)</x:f>
        <x:v>0</x:v>
      </x:c>
      <x:c r="AA142" s="2" t="n">
        <x:v>170</x:v>
      </x:c>
      <x:c r="AB142" s="2" t="n">
        <x:f>ABS(K142-W142)</x:f>
        <x:v>4</x:v>
      </x:c>
      <x:c r="AC142" s="2" t="n">
        <x:f>COUNTIF($A$2:$A$1921,A142)-1</x:f>
        <x:v>0</x:v>
      </x:c>
      <x:c r="AD142" s="2" t="n">
        <x:f>IF(AND(D142=D141,H142=H141,C142=C141+1),ABS(R142-T141),0)</x:f>
        <x:v>0</x:v>
      </x:c>
    </x:row>
    <x:row r="143" ht="23" customHeight="1">
      <x:c r="A143" s="2" t="str">
        <x:v>DEMO-102-3-2</x:v>
      </x:c>
      <x:c r="B143" s="15" t="d">
        <x:v>2026-05-11T00:00:00.000Z</x:v>
      </x:c>
      <x:c r="C143" s="2" t="n">
        <x:v>2</x:v>
      </x:c>
      <x:c r="D143" s="2" t="str">
        <x:v>DEMO-102</x:v>
      </x:c>
      <x:c r="E143" s="2" t="str">
        <x:v>Grid Journal</x:v>
      </x:c>
      <x:c r="F143" s="2" t="str">
        <x:v>Stationery</x:v>
      </x:c>
      <x:c r="G143" s="2" t="str">
        <x:v>Online</x:v>
      </x:c>
      <x:c r="H143" s="2" t="str">
        <x:v>Online</x:v>
      </x:c>
      <x:c r="I143" s="2" t="n">
        <x:v>20</x:v>
      </x:c>
      <x:c r="J143" s="2" t="n">
        <x:v>0</x:v>
      </x:c>
      <x:c r="K143" s="2" t="n">
        <x:f>I143-J143</x:f>
        <x:v>20</x:v>
      </x:c>
      <x:c r="L143" s="16" t="n">
        <x:v>14</x:v>
      </x:c>
      <x:c r="M143" s="16" t="n">
        <x:v>14</x:v>
      </x:c>
      <x:c r="N143" s="16" t="n">
        <x:v>5.39</x:v>
      </x:c>
      <x:c r="O143" s="16" t="n">
        <x:f>K143*M143</x:f>
        <x:v>280</x:v>
      </x:c>
      <x:c r="P143" s="16" t="n">
        <x:f>K143*N143</x:f>
        <x:v>107.8</x:v>
      </x:c>
      <x:c r="Q143" s="16" t="n">
        <x:f>O143-P143</x:f>
        <x:v>172.2</x:v>
      </x:c>
      <x:c r="R143" s="2" t="n">
        <x:v>170</x:v>
      </x:c>
      <x:c r="S143" s="2" t="n">
        <x:v>0</x:v>
      </x:c>
      <x:c r="T143" s="2" t="n">
        <x:f>R143+S143+J143-I143</x:f>
        <x:v>150</x:v>
      </x:c>
      <x:c r="U143" s="2" t="n">
        <x:v>0</x:v>
      </x:c>
      <x:c r="V143" s="2" t="n">
        <x:v>3</x:v>
      </x:c>
      <x:c r="W143" s="2" t="n">
        <x:v>20</x:v>
      </x:c>
      <x:c r="X143" s="14" t="b">
        <x:v>0</x:v>
      </x:c>
      <x:c r="Y143" s="14" t="b">
        <x:v>0</x:v>
      </x:c>
      <x:c r="Z143" s="2" t="n">
        <x:f>ABS(T143-AA143)</x:f>
        <x:v>0</x:v>
      </x:c>
      <x:c r="AA143" s="2" t="n">
        <x:v>150</x:v>
      </x:c>
      <x:c r="AB143" s="2" t="n">
        <x:f>ABS(K143-W143)</x:f>
        <x:v>0</x:v>
      </x:c>
      <x:c r="AC143" s="2" t="n">
        <x:f>COUNTIF($A$2:$A$1921,A143)-1</x:f>
        <x:v>0</x:v>
      </x:c>
      <x:c r="AD143" s="2" t="n">
        <x:f>IF(AND(D143=D142,H143=H142,C143=C142+1),ABS(R143-T142),0)</x:f>
        <x:v>0</x:v>
      </x:c>
    </x:row>
    <x:row r="144" ht="23" customHeight="1">
      <x:c r="A144" s="2" t="str">
        <x:v>DEMO-102-3-3</x:v>
      </x:c>
      <x:c r="B144" s="15" t="d">
        <x:v>2026-05-18T00:00:00.000Z</x:v>
      </x:c>
      <x:c r="C144" s="2" t="n">
        <x:v>3</x:v>
      </x:c>
      <x:c r="D144" s="2" t="str">
        <x:v>DEMO-102</x:v>
      </x:c>
      <x:c r="E144" s="2" t="str">
        <x:v>Grid Journal</x:v>
      </x:c>
      <x:c r="F144" s="2" t="str">
        <x:v>Stationery</x:v>
      </x:c>
      <x:c r="G144" s="2" t="str">
        <x:v>Online</x:v>
      </x:c>
      <x:c r="H144" s="2" t="str">
        <x:v>Online</x:v>
      </x:c>
      <x:c r="I144" s="2" t="n">
        <x:v>22</x:v>
      </x:c>
      <x:c r="J144" s="2" t="n">
        <x:v>0</x:v>
      </x:c>
      <x:c r="K144" s="2" t="n">
        <x:f>I144-J144</x:f>
        <x:v>22</x:v>
      </x:c>
      <x:c r="L144" s="16" t="n">
        <x:v>14</x:v>
      </x:c>
      <x:c r="M144" s="16" t="n">
        <x:v>14</x:v>
      </x:c>
      <x:c r="N144" s="16" t="n">
        <x:v>5.39</x:v>
      </x:c>
      <x:c r="O144" s="16" t="n">
        <x:f>K144*M144</x:f>
        <x:v>308</x:v>
      </x:c>
      <x:c r="P144" s="16" t="n">
        <x:f>K144*N144</x:f>
        <x:v>118.58</x:v>
      </x:c>
      <x:c r="Q144" s="16" t="n">
        <x:f>O144-P144</x:f>
        <x:v>189.42000000000002</x:v>
      </x:c>
      <x:c r="R144" s="2" t="n">
        <x:v>150</x:v>
      </x:c>
      <x:c r="S144" s="2" t="n">
        <x:v>0</x:v>
      </x:c>
      <x:c r="T144" s="2" t="n">
        <x:f>R144+S144+J144-I144</x:f>
        <x:v>128</x:v>
      </x:c>
      <x:c r="U144" s="2" t="n">
        <x:v>0</x:v>
      </x:c>
      <x:c r="V144" s="2" t="n">
        <x:v>3</x:v>
      </x:c>
      <x:c r="W144" s="2" t="n">
        <x:v>20</x:v>
      </x:c>
      <x:c r="X144" s="14" t="b">
        <x:v>0</x:v>
      </x:c>
      <x:c r="Y144" s="14" t="b">
        <x:v>0</x:v>
      </x:c>
      <x:c r="Z144" s="2" t="n">
        <x:f>ABS(T144-AA144)</x:f>
        <x:v>0</x:v>
      </x:c>
      <x:c r="AA144" s="2" t="n">
        <x:v>128</x:v>
      </x:c>
      <x:c r="AB144" s="2" t="n">
        <x:f>ABS(K144-W144)</x:f>
        <x:v>2</x:v>
      </x:c>
      <x:c r="AC144" s="2" t="n">
        <x:f>COUNTIF($A$2:$A$1921,A144)-1</x:f>
        <x:v>0</x:v>
      </x:c>
      <x:c r="AD144" s="2" t="n">
        <x:f>IF(AND(D144=D143,H144=H143,C144=C143+1),ABS(R144-T143),0)</x:f>
        <x:v>0</x:v>
      </x:c>
    </x:row>
    <x:row r="145" ht="23" customHeight="1">
      <x:c r="A145" s="2" t="str">
        <x:v>DEMO-102-3-4</x:v>
      </x:c>
      <x:c r="B145" s="15" t="d">
        <x:v>2026-05-25T00:00:00.000Z</x:v>
      </x:c>
      <x:c r="C145" s="2" t="n">
        <x:v>4</x:v>
      </x:c>
      <x:c r="D145" s="2" t="str">
        <x:v>DEMO-102</x:v>
      </x:c>
      <x:c r="E145" s="2" t="str">
        <x:v>Grid Journal</x:v>
      </x:c>
      <x:c r="F145" s="2" t="str">
        <x:v>Stationery</x:v>
      </x:c>
      <x:c r="G145" s="2" t="str">
        <x:v>Online</x:v>
      </x:c>
      <x:c r="H145" s="2" t="str">
        <x:v>Online</x:v>
      </x:c>
      <x:c r="I145" s="2" t="n">
        <x:v>24</x:v>
      </x:c>
      <x:c r="J145" s="2" t="n">
        <x:v>0</x:v>
      </x:c>
      <x:c r="K145" s="2" t="n">
        <x:f>I145-J145</x:f>
        <x:v>24</x:v>
      </x:c>
      <x:c r="L145" s="16" t="n">
        <x:v>14</x:v>
      </x:c>
      <x:c r="M145" s="16" t="n">
        <x:v>14</x:v>
      </x:c>
      <x:c r="N145" s="16" t="n">
        <x:v>5.39</x:v>
      </x:c>
      <x:c r="O145" s="16" t="n">
        <x:f>K145*M145</x:f>
        <x:v>336</x:v>
      </x:c>
      <x:c r="P145" s="16" t="n">
        <x:f>K145*N145</x:f>
        <x:v>129.35999999999999</x:v>
      </x:c>
      <x:c r="Q145" s="16" t="n">
        <x:f>O145-P145</x:f>
        <x:v>206.64000000000001</x:v>
      </x:c>
      <x:c r="R145" s="2" t="n">
        <x:v>128</x:v>
      </x:c>
      <x:c r="S145" s="2" t="n">
        <x:v>0</x:v>
      </x:c>
      <x:c r="T145" s="2" t="n">
        <x:f>R145+S145+J145-I145</x:f>
        <x:v>104</x:v>
      </x:c>
      <x:c r="U145" s="2" t="n">
        <x:v>0</x:v>
      </x:c>
      <x:c r="V145" s="2" t="n">
        <x:v>3</x:v>
      </x:c>
      <x:c r="W145" s="2" t="n">
        <x:v>21</x:v>
      </x:c>
      <x:c r="X145" s="14" t="b">
        <x:v>0</x:v>
      </x:c>
      <x:c r="Y145" s="14" t="b">
        <x:v>0</x:v>
      </x:c>
      <x:c r="Z145" s="2" t="n">
        <x:f>ABS(T145-AA145)</x:f>
        <x:v>0</x:v>
      </x:c>
      <x:c r="AA145" s="2" t="n">
        <x:v>104</x:v>
      </x:c>
      <x:c r="AB145" s="2" t="n">
        <x:f>ABS(K145-W145)</x:f>
        <x:v>3</x:v>
      </x:c>
      <x:c r="AC145" s="2" t="n">
        <x:f>COUNTIF($A$2:$A$1921,A145)-1</x:f>
        <x:v>0</x:v>
      </x:c>
      <x:c r="AD145" s="2" t="n">
        <x:f>IF(AND(D145=D144,H145=H144,C145=C144+1),ABS(R145-T144),0)</x:f>
        <x:v>0</x:v>
      </x:c>
    </x:row>
    <x:row r="146" ht="23" customHeight="1">
      <x:c r="A146" s="2" t="str">
        <x:v>DEMO-102-3-5</x:v>
      </x:c>
      <x:c r="B146" s="15" t="d">
        <x:v>2026-06-01T00:00:00.000Z</x:v>
      </x:c>
      <x:c r="C146" s="2" t="n">
        <x:v>5</x:v>
      </x:c>
      <x:c r="D146" s="2" t="str">
        <x:v>DEMO-102</x:v>
      </x:c>
      <x:c r="E146" s="2" t="str">
        <x:v>Grid Journal</x:v>
      </x:c>
      <x:c r="F146" s="2" t="str">
        <x:v>Stationery</x:v>
      </x:c>
      <x:c r="G146" s="2" t="str">
        <x:v>Online</x:v>
      </x:c>
      <x:c r="H146" s="2" t="str">
        <x:v>Online</x:v>
      </x:c>
      <x:c r="I146" s="2" t="n">
        <x:v>24</x:v>
      </x:c>
      <x:c r="J146" s="2" t="n">
        <x:v>0</x:v>
      </x:c>
      <x:c r="K146" s="2" t="n">
        <x:f>I146-J146</x:f>
        <x:v>24</x:v>
      </x:c>
      <x:c r="L146" s="16" t="n">
        <x:v>14</x:v>
      </x:c>
      <x:c r="M146" s="16" t="n">
        <x:v>14</x:v>
      </x:c>
      <x:c r="N146" s="16" t="n">
        <x:v>5.39</x:v>
      </x:c>
      <x:c r="O146" s="16" t="n">
        <x:f>K146*M146</x:f>
        <x:v>336</x:v>
      </x:c>
      <x:c r="P146" s="16" t="n">
        <x:f>K146*N146</x:f>
        <x:v>129.35999999999999</x:v>
      </x:c>
      <x:c r="Q146" s="16" t="n">
        <x:f>O146-P146</x:f>
        <x:v>206.64000000000001</x:v>
      </x:c>
      <x:c r="R146" s="2" t="n">
        <x:v>104</x:v>
      </x:c>
      <x:c r="S146" s="2" t="n">
        <x:v>100</x:v>
      </x:c>
      <x:c r="T146" s="2" t="n">
        <x:f>R146+S146+J146-I146</x:f>
        <x:v>180</x:v>
      </x:c>
      <x:c r="U146" s="2" t="n">
        <x:v>0</x:v>
      </x:c>
      <x:c r="V146" s="2" t="n">
        <x:v>3</x:v>
      </x:c>
      <x:c r="W146" s="2" t="n">
        <x:v>22</x:v>
      </x:c>
      <x:c r="X146" s="14" t="b">
        <x:v>0</x:v>
      </x:c>
      <x:c r="Y146" s="14" t="b">
        <x:v>0</x:v>
      </x:c>
      <x:c r="Z146" s="2" t="n">
        <x:f>ABS(T146-AA146)</x:f>
        <x:v>0</x:v>
      </x:c>
      <x:c r="AA146" s="2" t="n">
        <x:v>180</x:v>
      </x:c>
      <x:c r="AB146" s="2" t="n">
        <x:f>ABS(K146-W146)</x:f>
        <x:v>2</x:v>
      </x:c>
      <x:c r="AC146" s="2" t="n">
        <x:f>COUNTIF($A$2:$A$1921,A146)-1</x:f>
        <x:v>0</x:v>
      </x:c>
      <x:c r="AD146" s="2" t="n">
        <x:f>IF(AND(D146=D145,H146=H145,C146=C145+1),ABS(R146-T145),0)</x:f>
        <x:v>0</x:v>
      </x:c>
    </x:row>
    <x:row r="147" ht="23" customHeight="1">
      <x:c r="A147" s="2" t="str">
        <x:v>DEMO-102-3-6</x:v>
      </x:c>
      <x:c r="B147" s="15" t="d">
        <x:v>2026-06-08T00:00:00.000Z</x:v>
      </x:c>
      <x:c r="C147" s="2" t="n">
        <x:v>6</x:v>
      </x:c>
      <x:c r="D147" s="2" t="str">
        <x:v>DEMO-102</x:v>
      </x:c>
      <x:c r="E147" s="2" t="str">
        <x:v>Grid Journal</x:v>
      </x:c>
      <x:c r="F147" s="2" t="str">
        <x:v>Stationery</x:v>
      </x:c>
      <x:c r="G147" s="2" t="str">
        <x:v>Online</x:v>
      </x:c>
      <x:c r="H147" s="2" t="str">
        <x:v>Online</x:v>
      </x:c>
      <x:c r="I147" s="2" t="n">
        <x:v>24</x:v>
      </x:c>
      <x:c r="J147" s="2" t="n">
        <x:v>0</x:v>
      </x:c>
      <x:c r="K147" s="2" t="n">
        <x:f>I147-J147</x:f>
        <x:v>24</x:v>
      </x:c>
      <x:c r="L147" s="16" t="n">
        <x:v>14</x:v>
      </x:c>
      <x:c r="M147" s="16" t="n">
        <x:v>14</x:v>
      </x:c>
      <x:c r="N147" s="16" t="n">
        <x:v>5.39</x:v>
      </x:c>
      <x:c r="O147" s="16" t="n">
        <x:f>K147*M147</x:f>
        <x:v>336</x:v>
      </x:c>
      <x:c r="P147" s="16" t="n">
        <x:f>K147*N147</x:f>
        <x:v>129.35999999999999</x:v>
      </x:c>
      <x:c r="Q147" s="16" t="n">
        <x:f>O147-P147</x:f>
        <x:v>206.64000000000001</x:v>
      </x:c>
      <x:c r="R147" s="2" t="n">
        <x:v>180</x:v>
      </x:c>
      <x:c r="S147" s="2" t="n">
        <x:v>0</x:v>
      </x:c>
      <x:c r="T147" s="2" t="n">
        <x:f>R147+S147+J147-I147</x:f>
        <x:v>156</x:v>
      </x:c>
      <x:c r="U147" s="2" t="n">
        <x:v>0</x:v>
      </x:c>
      <x:c r="V147" s="2" t="n">
        <x:v>3</x:v>
      </x:c>
      <x:c r="W147" s="2" t="n">
        <x:v>23</x:v>
      </x:c>
      <x:c r="X147" s="14" t="b">
        <x:v>0</x:v>
      </x:c>
      <x:c r="Y147" s="14" t="b">
        <x:v>0</x:v>
      </x:c>
      <x:c r="Z147" s="2" t="n">
        <x:f>ABS(T147-AA147)</x:f>
        <x:v>0</x:v>
      </x:c>
      <x:c r="AA147" s="2" t="n">
        <x:v>156</x:v>
      </x:c>
      <x:c r="AB147" s="2" t="n">
        <x:f>ABS(K147-W147)</x:f>
        <x:v>1</x:v>
      </x:c>
      <x:c r="AC147" s="2" t="n">
        <x:f>COUNTIF($A$2:$A$1921,A147)-1</x:f>
        <x:v>0</x:v>
      </x:c>
      <x:c r="AD147" s="2" t="n">
        <x:f>IF(AND(D147=D146,H147=H146,C147=C146+1),ABS(R147-T146),0)</x:f>
        <x:v>0</x:v>
      </x:c>
    </x:row>
    <x:row r="148" ht="23" customHeight="1">
      <x:c r="A148" s="2" t="str">
        <x:v>DEMO-102-3-7</x:v>
      </x:c>
      <x:c r="B148" s="15" t="d">
        <x:v>2026-06-15T00:00:00.000Z</x:v>
      </x:c>
      <x:c r="C148" s="2" t="n">
        <x:v>7</x:v>
      </x:c>
      <x:c r="D148" s="2" t="str">
        <x:v>DEMO-102</x:v>
      </x:c>
      <x:c r="E148" s="2" t="str">
        <x:v>Grid Journal</x:v>
      </x:c>
      <x:c r="F148" s="2" t="str">
        <x:v>Stationery</x:v>
      </x:c>
      <x:c r="G148" s="2" t="str">
        <x:v>Online</x:v>
      </x:c>
      <x:c r="H148" s="2" t="str">
        <x:v>Online</x:v>
      </x:c>
      <x:c r="I148" s="2" t="n">
        <x:v>19</x:v>
      </x:c>
      <x:c r="J148" s="2" t="n">
        <x:v>0</x:v>
      </x:c>
      <x:c r="K148" s="2" t="n">
        <x:f>I148-J148</x:f>
        <x:v>19</x:v>
      </x:c>
      <x:c r="L148" s="16" t="n">
        <x:v>14</x:v>
      </x:c>
      <x:c r="M148" s="16" t="n">
        <x:v>14</x:v>
      </x:c>
      <x:c r="N148" s="16" t="n">
        <x:v>5.39</x:v>
      </x:c>
      <x:c r="O148" s="16" t="n">
        <x:f>K148*M148</x:f>
        <x:v>266</x:v>
      </x:c>
      <x:c r="P148" s="16" t="n">
        <x:f>K148*N148</x:f>
        <x:v>102.41</x:v>
      </x:c>
      <x:c r="Q148" s="16" t="n">
        <x:f>O148-P148</x:f>
        <x:v>163.59</x:v>
      </x:c>
      <x:c r="R148" s="2" t="n">
        <x:v>156</x:v>
      </x:c>
      <x:c r="S148" s="2" t="n">
        <x:v>0</x:v>
      </x:c>
      <x:c r="T148" s="2" t="n">
        <x:f>R148+S148+J148-I148</x:f>
        <x:v>137</x:v>
      </x:c>
      <x:c r="U148" s="2" t="n">
        <x:v>0</x:v>
      </x:c>
      <x:c r="V148" s="2" t="n">
        <x:v>3</x:v>
      </x:c>
      <x:c r="W148" s="2" t="n">
        <x:v>24</x:v>
      </x:c>
      <x:c r="X148" s="14" t="b">
        <x:v>0</x:v>
      </x:c>
      <x:c r="Y148" s="14" t="b">
        <x:v>0</x:v>
      </x:c>
      <x:c r="Z148" s="2" t="n">
        <x:f>ABS(T148-AA148)</x:f>
        <x:v>0</x:v>
      </x:c>
      <x:c r="AA148" s="2" t="n">
        <x:v>137</x:v>
      </x:c>
      <x:c r="AB148" s="2" t="n">
        <x:f>ABS(K148-W148)</x:f>
        <x:v>5</x:v>
      </x:c>
      <x:c r="AC148" s="2" t="n">
        <x:f>COUNTIF($A$2:$A$1921,A148)-1</x:f>
        <x:v>0</x:v>
      </x:c>
      <x:c r="AD148" s="2" t="n">
        <x:f>IF(AND(D148=D147,H148=H147,C148=C147+1),ABS(R148-T147),0)</x:f>
        <x:v>0</x:v>
      </x:c>
    </x:row>
    <x:row r="149" ht="23" customHeight="1">
      <x:c r="A149" s="2" t="str">
        <x:v>DEMO-102-3-8</x:v>
      </x:c>
      <x:c r="B149" s="15" t="d">
        <x:v>2026-06-22T00:00:00.000Z</x:v>
      </x:c>
      <x:c r="C149" s="2" t="n">
        <x:v>8</x:v>
      </x:c>
      <x:c r="D149" s="2" t="str">
        <x:v>DEMO-102</x:v>
      </x:c>
      <x:c r="E149" s="2" t="str">
        <x:v>Grid Journal</x:v>
      </x:c>
      <x:c r="F149" s="2" t="str">
        <x:v>Stationery</x:v>
      </x:c>
      <x:c r="G149" s="2" t="str">
        <x:v>Online</x:v>
      </x:c>
      <x:c r="H149" s="2" t="str">
        <x:v>Online</x:v>
      </x:c>
      <x:c r="I149" s="2" t="n">
        <x:v>20</x:v>
      </x:c>
      <x:c r="J149" s="2" t="n">
        <x:v>0</x:v>
      </x:c>
      <x:c r="K149" s="2" t="n">
        <x:f>I149-J149</x:f>
        <x:v>20</x:v>
      </x:c>
      <x:c r="L149" s="16" t="n">
        <x:v>14</x:v>
      </x:c>
      <x:c r="M149" s="16" t="n">
        <x:v>14</x:v>
      </x:c>
      <x:c r="N149" s="16" t="n">
        <x:v>5.39</x:v>
      </x:c>
      <x:c r="O149" s="16" t="n">
        <x:f>K149*M149</x:f>
        <x:v>280</x:v>
      </x:c>
      <x:c r="P149" s="16" t="n">
        <x:f>K149*N149</x:f>
        <x:v>107.8</x:v>
      </x:c>
      <x:c r="Q149" s="16" t="n">
        <x:f>O149-P149</x:f>
        <x:v>172.2</x:v>
      </x:c>
      <x:c r="R149" s="2" t="n">
        <x:v>137</x:v>
      </x:c>
      <x:c r="S149" s="2" t="n">
        <x:v>0</x:v>
      </x:c>
      <x:c r="T149" s="2" t="n">
        <x:f>R149+S149+J149-I149</x:f>
        <x:v>117</x:v>
      </x:c>
      <x:c r="U149" s="2" t="n">
        <x:v>0</x:v>
      </x:c>
      <x:c r="V149" s="2" t="n">
        <x:v>3</x:v>
      </x:c>
      <x:c r="W149" s="2" t="n">
        <x:v>23</x:v>
      </x:c>
      <x:c r="X149" s="14" t="b">
        <x:v>0</x:v>
      </x:c>
      <x:c r="Y149" s="14" t="b">
        <x:v>0</x:v>
      </x:c>
      <x:c r="Z149" s="2" t="n">
        <x:f>ABS(T149-AA149)</x:f>
        <x:v>0</x:v>
      </x:c>
      <x:c r="AA149" s="2" t="n">
        <x:v>117</x:v>
      </x:c>
      <x:c r="AB149" s="2" t="n">
        <x:f>ABS(K149-W149)</x:f>
        <x:v>3</x:v>
      </x:c>
      <x:c r="AC149" s="2" t="n">
        <x:f>COUNTIF($A$2:$A$1921,A149)-1</x:f>
        <x:v>0</x:v>
      </x:c>
      <x:c r="AD149" s="2" t="n">
        <x:f>IF(AND(D149=D148,H149=H148,C149=C148+1),ABS(R149-T148),0)</x:f>
        <x:v>0</x:v>
      </x:c>
    </x:row>
    <x:row r="150" ht="23" customHeight="1">
      <x:c r="A150" s="2" t="str">
        <x:v>DEMO-102-3-9</x:v>
      </x:c>
      <x:c r="B150" s="15" t="d">
        <x:v>2026-06-29T00:00:00.000Z</x:v>
      </x:c>
      <x:c r="C150" s="2" t="n">
        <x:v>9</x:v>
      </x:c>
      <x:c r="D150" s="2" t="str">
        <x:v>DEMO-102</x:v>
      </x:c>
      <x:c r="E150" s="2" t="str">
        <x:v>Grid Journal</x:v>
      </x:c>
      <x:c r="F150" s="2" t="str">
        <x:v>Stationery</x:v>
      </x:c>
      <x:c r="G150" s="2" t="str">
        <x:v>Online</x:v>
      </x:c>
      <x:c r="H150" s="2" t="str">
        <x:v>Online</x:v>
      </x:c>
      <x:c r="I150" s="2" t="n">
        <x:v>28</x:v>
      </x:c>
      <x:c r="J150" s="2" t="n">
        <x:v>0</x:v>
      </x:c>
      <x:c r="K150" s="2" t="n">
        <x:f>I150-J150</x:f>
        <x:v>28</x:v>
      </x:c>
      <x:c r="L150" s="16" t="n">
        <x:v>14</x:v>
      </x:c>
      <x:c r="M150" s="16" t="n">
        <x:v>14</x:v>
      </x:c>
      <x:c r="N150" s="16" t="n">
        <x:v>5.39</x:v>
      </x:c>
      <x:c r="O150" s="16" t="n">
        <x:f>K150*M150</x:f>
        <x:v>392</x:v>
      </x:c>
      <x:c r="P150" s="16" t="n">
        <x:f>K150*N150</x:f>
        <x:v>150.92</x:v>
      </x:c>
      <x:c r="Q150" s="16" t="n">
        <x:f>O150-P150</x:f>
        <x:v>241.08</x:v>
      </x:c>
      <x:c r="R150" s="2" t="n">
        <x:v>117</x:v>
      </x:c>
      <x:c r="S150" s="2" t="n">
        <x:v>100</x:v>
      </x:c>
      <x:c r="T150" s="2" t="n">
        <x:f>R150+S150+J150-I150</x:f>
        <x:v>189</x:v>
      </x:c>
      <x:c r="U150" s="2" t="n">
        <x:v>0</x:v>
      </x:c>
      <x:c r="V150" s="2" t="n">
        <x:v>3</x:v>
      </x:c>
      <x:c r="W150" s="2" t="n">
        <x:v>22</x:v>
      </x:c>
      <x:c r="X150" s="14" t="b">
        <x:v>0</x:v>
      </x:c>
      <x:c r="Y150" s="14" t="b">
        <x:v>0</x:v>
      </x:c>
      <x:c r="Z150" s="2" t="n">
        <x:f>ABS(T150-AA150)</x:f>
        <x:v>0</x:v>
      </x:c>
      <x:c r="AA150" s="2" t="n">
        <x:v>189</x:v>
      </x:c>
      <x:c r="AB150" s="2" t="n">
        <x:f>ABS(K150-W150)</x:f>
        <x:v>6</x:v>
      </x:c>
      <x:c r="AC150" s="2" t="n">
        <x:f>COUNTIF($A$2:$A$1921,A150)-1</x:f>
        <x:v>0</x:v>
      </x:c>
      <x:c r="AD150" s="2" t="n">
        <x:f>IF(AND(D150=D149,H150=H149,C150=C149+1),ABS(R150-T149),0)</x:f>
        <x:v>0</x:v>
      </x:c>
    </x:row>
    <x:row r="151" ht="23" customHeight="1">
      <x:c r="A151" s="2" t="str">
        <x:v>DEMO-102-3-10</x:v>
      </x:c>
      <x:c r="B151" s="15" t="d">
        <x:v>2026-07-06T00:00:00.000Z</x:v>
      </x:c>
      <x:c r="C151" s="2" t="n">
        <x:v>10</x:v>
      </x:c>
      <x:c r="D151" s="2" t="str">
        <x:v>DEMO-102</x:v>
      </x:c>
      <x:c r="E151" s="2" t="str">
        <x:v>Grid Journal</x:v>
      </x:c>
      <x:c r="F151" s="2" t="str">
        <x:v>Stationery</x:v>
      </x:c>
      <x:c r="G151" s="2" t="str">
        <x:v>Online</x:v>
      </x:c>
      <x:c r="H151" s="2" t="str">
        <x:v>Online</x:v>
      </x:c>
      <x:c r="I151" s="2" t="n">
        <x:v>27</x:v>
      </x:c>
      <x:c r="J151" s="2" t="n">
        <x:v>0</x:v>
      </x:c>
      <x:c r="K151" s="2" t="n">
        <x:f>I151-J151</x:f>
        <x:v>27</x:v>
      </x:c>
      <x:c r="L151" s="16" t="n">
        <x:v>14</x:v>
      </x:c>
      <x:c r="M151" s="16" t="n">
        <x:v>14</x:v>
      </x:c>
      <x:c r="N151" s="16" t="n">
        <x:v>5.39</x:v>
      </x:c>
      <x:c r="O151" s="16" t="n">
        <x:f>K151*M151</x:f>
        <x:v>378</x:v>
      </x:c>
      <x:c r="P151" s="16" t="n">
        <x:f>K151*N151</x:f>
        <x:v>145.53</x:v>
      </x:c>
      <x:c r="Q151" s="16" t="n">
        <x:f>O151-P151</x:f>
        <x:v>232.47</x:v>
      </x:c>
      <x:c r="R151" s="2" t="n">
        <x:v>189</x:v>
      </x:c>
      <x:c r="S151" s="2" t="n">
        <x:v>0</x:v>
      </x:c>
      <x:c r="T151" s="2" t="n">
        <x:f>R151+S151+J151-I151</x:f>
        <x:v>162</x:v>
      </x:c>
      <x:c r="U151" s="2" t="n">
        <x:v>0</x:v>
      </x:c>
      <x:c r="V151" s="2" t="n">
        <x:v>3</x:v>
      </x:c>
      <x:c r="W151" s="2" t="n">
        <x:v>23</x:v>
      </x:c>
      <x:c r="X151" s="14" t="b">
        <x:v>0</x:v>
      </x:c>
      <x:c r="Y151" s="14" t="b">
        <x:v>0</x:v>
      </x:c>
      <x:c r="Z151" s="2" t="n">
        <x:f>ABS(T151-AA151)</x:f>
        <x:v>0</x:v>
      </x:c>
      <x:c r="AA151" s="2" t="n">
        <x:v>162</x:v>
      </x:c>
      <x:c r="AB151" s="2" t="n">
        <x:f>ABS(K151-W151)</x:f>
        <x:v>4</x:v>
      </x:c>
      <x:c r="AC151" s="2" t="n">
        <x:f>COUNTIF($A$2:$A$1921,A151)-1</x:f>
        <x:v>0</x:v>
      </x:c>
      <x:c r="AD151" s="2" t="n">
        <x:f>IF(AND(D151=D150,H151=H150,C151=C150+1),ABS(R151-T150),0)</x:f>
        <x:v>0</x:v>
      </x:c>
    </x:row>
    <x:row r="152" ht="23" customHeight="1">
      <x:c r="A152" s="2" t="str">
        <x:v>DEMO-102-3-11</x:v>
      </x:c>
      <x:c r="B152" s="15" t="d">
        <x:v>2026-07-13T00:00:00.000Z</x:v>
      </x:c>
      <x:c r="C152" s="2" t="n">
        <x:v>11</x:v>
      </x:c>
      <x:c r="D152" s="2" t="str">
        <x:v>DEMO-102</x:v>
      </x:c>
      <x:c r="E152" s="2" t="str">
        <x:v>Grid Journal</x:v>
      </x:c>
      <x:c r="F152" s="2" t="str">
        <x:v>Stationery</x:v>
      </x:c>
      <x:c r="G152" s="2" t="str">
        <x:v>Online</x:v>
      </x:c>
      <x:c r="H152" s="2" t="str">
        <x:v>Online</x:v>
      </x:c>
      <x:c r="I152" s="2" t="n">
        <x:v>22</x:v>
      </x:c>
      <x:c r="J152" s="2" t="n">
        <x:v>0</x:v>
      </x:c>
      <x:c r="K152" s="2" t="n">
        <x:f>I152-J152</x:f>
        <x:v>22</x:v>
      </x:c>
      <x:c r="L152" s="16" t="n">
        <x:v>14</x:v>
      </x:c>
      <x:c r="M152" s="16" t="n">
        <x:v>14</x:v>
      </x:c>
      <x:c r="N152" s="16" t="n">
        <x:v>5.39</x:v>
      </x:c>
      <x:c r="O152" s="16" t="n">
        <x:f>K152*M152</x:f>
        <x:v>308</x:v>
      </x:c>
      <x:c r="P152" s="16" t="n">
        <x:f>K152*N152</x:f>
        <x:v>118.58</x:v>
      </x:c>
      <x:c r="Q152" s="16" t="n">
        <x:f>O152-P152</x:f>
        <x:v>189.42000000000002</x:v>
      </x:c>
      <x:c r="R152" s="2" t="n">
        <x:v>162</x:v>
      </x:c>
      <x:c r="S152" s="2" t="n">
        <x:v>0</x:v>
      </x:c>
      <x:c r="T152" s="2" t="n">
        <x:f>R152+S152+J152-I152</x:f>
        <x:v>140</x:v>
      </x:c>
      <x:c r="U152" s="2" t="n">
        <x:v>0</x:v>
      </x:c>
      <x:c r="V152" s="2" t="n">
        <x:v>3</x:v>
      </x:c>
      <x:c r="W152" s="2" t="n">
        <x:v>24</x:v>
      </x:c>
      <x:c r="X152" s="14" t="b">
        <x:v>0</x:v>
      </x:c>
      <x:c r="Y152" s="14" t="b">
        <x:v>0</x:v>
      </x:c>
      <x:c r="Z152" s="2" t="n">
        <x:f>ABS(T152-AA152)</x:f>
        <x:v>0</x:v>
      </x:c>
      <x:c r="AA152" s="2" t="n">
        <x:v>140</x:v>
      </x:c>
      <x:c r="AB152" s="2" t="n">
        <x:f>ABS(K152-W152)</x:f>
        <x:v>2</x:v>
      </x:c>
      <x:c r="AC152" s="2" t="n">
        <x:f>COUNTIF($A$2:$A$1921,A152)-1</x:f>
        <x:v>0</x:v>
      </x:c>
      <x:c r="AD152" s="2" t="n">
        <x:f>IF(AND(D152=D151,H152=H151,C152=C151+1),ABS(R152-T151),0)</x:f>
        <x:v>0</x:v>
      </x:c>
    </x:row>
    <x:row r="153" ht="23" customHeight="1">
      <x:c r="A153" s="2" t="str">
        <x:v>DEMO-102-3-12</x:v>
      </x:c>
      <x:c r="B153" s="15" t="d">
        <x:v>2026-07-20T00:00:00.000Z</x:v>
      </x:c>
      <x:c r="C153" s="2" t="n">
        <x:v>12</x:v>
      </x:c>
      <x:c r="D153" s="2" t="str">
        <x:v>DEMO-102</x:v>
      </x:c>
      <x:c r="E153" s="2" t="str">
        <x:v>Grid Journal</x:v>
      </x:c>
      <x:c r="F153" s="2" t="str">
        <x:v>Stationery</x:v>
      </x:c>
      <x:c r="G153" s="2" t="str">
        <x:v>Online</x:v>
      </x:c>
      <x:c r="H153" s="2" t="str">
        <x:v>Online</x:v>
      </x:c>
      <x:c r="I153" s="2" t="n">
        <x:v>23</x:v>
      </x:c>
      <x:c r="J153" s="2" t="n">
        <x:v>0</x:v>
      </x:c>
      <x:c r="K153" s="2" t="n">
        <x:f>I153-J153</x:f>
        <x:v>23</x:v>
      </x:c>
      <x:c r="L153" s="16" t="n">
        <x:v>14</x:v>
      </x:c>
      <x:c r="M153" s="16" t="n">
        <x:v>14</x:v>
      </x:c>
      <x:c r="N153" s="16" t="n">
        <x:v>5.39</x:v>
      </x:c>
      <x:c r="O153" s="16" t="n">
        <x:f>K153*M153</x:f>
        <x:v>322</x:v>
      </x:c>
      <x:c r="P153" s="16" t="n">
        <x:f>K153*N153</x:f>
        <x:v>123.97</x:v>
      </x:c>
      <x:c r="Q153" s="16" t="n">
        <x:f>O153-P153</x:f>
        <x:v>198.03</x:v>
      </x:c>
      <x:c r="R153" s="2" t="n">
        <x:v>140</x:v>
      </x:c>
      <x:c r="S153" s="2" t="n">
        <x:v>0</x:v>
      </x:c>
      <x:c r="T153" s="2" t="n">
        <x:f>R153+S153+J153-I153</x:f>
        <x:v>117</x:v>
      </x:c>
      <x:c r="U153" s="2" t="n">
        <x:v>0</x:v>
      </x:c>
      <x:c r="V153" s="2" t="n">
        <x:v>3</x:v>
      </x:c>
      <x:c r="W153" s="2" t="n">
        <x:v>24</x:v>
      </x:c>
      <x:c r="X153" s="14" t="b">
        <x:v>0</x:v>
      </x:c>
      <x:c r="Y153" s="14" t="b">
        <x:v>0</x:v>
      </x:c>
      <x:c r="Z153" s="2" t="n">
        <x:f>ABS(T153-AA153)</x:f>
        <x:v>0</x:v>
      </x:c>
      <x:c r="AA153" s="2" t="n">
        <x:v>117</x:v>
      </x:c>
      <x:c r="AB153" s="2" t="n">
        <x:f>ABS(K153-W153)</x:f>
        <x:v>1</x:v>
      </x:c>
      <x:c r="AC153" s="2" t="n">
        <x:f>COUNTIF($A$2:$A$1921,A153)-1</x:f>
        <x:v>0</x:v>
      </x:c>
      <x:c r="AD153" s="2" t="n">
        <x:f>IF(AND(D153=D152,H153=H152,C153=C152+1),ABS(R153-T152),0)</x:f>
        <x:v>0</x:v>
      </x:c>
    </x:row>
    <x:row r="154" ht="23" customHeight="1">
      <x:c r="A154" s="2" t="str">
        <x:v>DEMO-102-3-13</x:v>
      </x:c>
      <x:c r="B154" s="15" t="d">
        <x:v>2026-07-27T00:00:00.000Z</x:v>
      </x:c>
      <x:c r="C154" s="2" t="n">
        <x:v>13</x:v>
      </x:c>
      <x:c r="D154" s="2" t="str">
        <x:v>DEMO-102</x:v>
      </x:c>
      <x:c r="E154" s="2" t="str">
        <x:v>Grid Journal</x:v>
      </x:c>
      <x:c r="F154" s="2" t="str">
        <x:v>Stationery</x:v>
      </x:c>
      <x:c r="G154" s="2" t="str">
        <x:v>Online</x:v>
      </x:c>
      <x:c r="H154" s="2" t="str">
        <x:v>Online</x:v>
      </x:c>
      <x:c r="I154" s="2" t="n">
        <x:v>22</x:v>
      </x:c>
      <x:c r="J154" s="2" t="n">
        <x:v>1</x:v>
      </x:c>
      <x:c r="K154" s="2" t="n">
        <x:f>I154-J154</x:f>
        <x:v>21</x:v>
      </x:c>
      <x:c r="L154" s="16" t="n">
        <x:v>14</x:v>
      </x:c>
      <x:c r="M154" s="16" t="n">
        <x:v>14</x:v>
      </x:c>
      <x:c r="N154" s="16" t="n">
        <x:v>5.39</x:v>
      </x:c>
      <x:c r="O154" s="16" t="n">
        <x:f>K154*M154</x:f>
        <x:v>294</x:v>
      </x:c>
      <x:c r="P154" s="16" t="n">
        <x:f>K154*N154</x:f>
        <x:v>113.19</x:v>
      </x:c>
      <x:c r="Q154" s="16" t="n">
        <x:f>O154-P154</x:f>
        <x:v>180.81</x:v>
      </x:c>
      <x:c r="R154" s="2" t="n">
        <x:v>117</x:v>
      </x:c>
      <x:c r="S154" s="2" t="n">
        <x:v>100</x:v>
      </x:c>
      <x:c r="T154" s="2" t="n">
        <x:f>R154+S154+J154-I154</x:f>
        <x:v>196</x:v>
      </x:c>
      <x:c r="U154" s="2" t="n">
        <x:v>0</x:v>
      </x:c>
      <x:c r="V154" s="2" t="n">
        <x:v>3</x:v>
      </x:c>
      <x:c r="W154" s="2" t="n">
        <x:v>25</x:v>
      </x:c>
      <x:c r="X154" s="14" t="b">
        <x:v>0</x:v>
      </x:c>
      <x:c r="Y154" s="14" t="b">
        <x:v>0</x:v>
      </x:c>
      <x:c r="Z154" s="2" t="n">
        <x:f>ABS(T154-AA154)</x:f>
        <x:v>0</x:v>
      </x:c>
      <x:c r="AA154" s="2" t="n">
        <x:v>196</x:v>
      </x:c>
      <x:c r="AB154" s="2" t="n">
        <x:f>ABS(K154-W154)</x:f>
        <x:v>4</x:v>
      </x:c>
      <x:c r="AC154" s="2" t="n">
        <x:f>COUNTIF($A$2:$A$1921,A154)-1</x:f>
        <x:v>0</x:v>
      </x:c>
      <x:c r="AD154" s="2" t="n">
        <x:f>IF(AND(D154=D153,H154=H153,C154=C153+1),ABS(R154-T153),0)</x:f>
        <x:v>0</x:v>
      </x:c>
    </x:row>
    <x:row r="155" ht="23" customHeight="1">
      <x:c r="A155" s="2" t="str">
        <x:v>DEMO-102-3-14</x:v>
      </x:c>
      <x:c r="B155" s="15" t="d">
        <x:v>2026-08-03T00:00:00.000Z</x:v>
      </x:c>
      <x:c r="C155" s="2" t="n">
        <x:v>14</x:v>
      </x:c>
      <x:c r="D155" s="2" t="str">
        <x:v>DEMO-102</x:v>
      </x:c>
      <x:c r="E155" s="2" t="str">
        <x:v>Grid Journal</x:v>
      </x:c>
      <x:c r="F155" s="2" t="str">
        <x:v>Stationery</x:v>
      </x:c>
      <x:c r="G155" s="2" t="str">
        <x:v>Online</x:v>
      </x:c>
      <x:c r="H155" s="2" t="str">
        <x:v>Online</x:v>
      </x:c>
      <x:c r="I155" s="2" t="n">
        <x:v>28</x:v>
      </x:c>
      <x:c r="J155" s="2" t="n">
        <x:v>0</x:v>
      </x:c>
      <x:c r="K155" s="2" t="n">
        <x:f>I155-J155</x:f>
        <x:v>28</x:v>
      </x:c>
      <x:c r="L155" s="16" t="n">
        <x:v>14</x:v>
      </x:c>
      <x:c r="M155" s="16" t="n">
        <x:v>14</x:v>
      </x:c>
      <x:c r="N155" s="16" t="n">
        <x:v>5.39</x:v>
      </x:c>
      <x:c r="O155" s="16" t="n">
        <x:f>K155*M155</x:f>
        <x:v>392</x:v>
      </x:c>
      <x:c r="P155" s="16" t="n">
        <x:f>K155*N155</x:f>
        <x:v>150.92</x:v>
      </x:c>
      <x:c r="Q155" s="16" t="n">
        <x:f>O155-P155</x:f>
        <x:v>241.08</x:v>
      </x:c>
      <x:c r="R155" s="2" t="n">
        <x:v>196</x:v>
      </x:c>
      <x:c r="S155" s="2" t="n">
        <x:v>0</x:v>
      </x:c>
      <x:c r="T155" s="2" t="n">
        <x:f>R155+S155+J155-I155</x:f>
        <x:v>168</x:v>
      </x:c>
      <x:c r="U155" s="2" t="n">
        <x:v>0</x:v>
      </x:c>
      <x:c r="V155" s="2" t="n">
        <x:v>3</x:v>
      </x:c>
      <x:c r="W155" s="2" t="n">
        <x:v>23</x:v>
      </x:c>
      <x:c r="X155" s="14" t="b">
        <x:v>0</x:v>
      </x:c>
      <x:c r="Y155" s="14" t="b">
        <x:v>0</x:v>
      </x:c>
      <x:c r="Z155" s="2" t="n">
        <x:f>ABS(T155-AA155)</x:f>
        <x:v>0</x:v>
      </x:c>
      <x:c r="AA155" s="2" t="n">
        <x:v>168</x:v>
      </x:c>
      <x:c r="AB155" s="2" t="n">
        <x:f>ABS(K155-W155)</x:f>
        <x:v>5</x:v>
      </x:c>
      <x:c r="AC155" s="2" t="n">
        <x:f>COUNTIF($A$2:$A$1921,A155)-1</x:f>
        <x:v>0</x:v>
      </x:c>
      <x:c r="AD155" s="2" t="n">
        <x:f>IF(AND(D155=D154,H155=H154,C155=C154+1),ABS(R155-T154),0)</x:f>
        <x:v>0</x:v>
      </x:c>
    </x:row>
    <x:row r="156" ht="23" customHeight="1">
      <x:c r="A156" s="2" t="str">
        <x:v>DEMO-102-3-15</x:v>
      </x:c>
      <x:c r="B156" s="15" t="d">
        <x:v>2026-08-10T00:00:00.000Z</x:v>
      </x:c>
      <x:c r="C156" s="2" t="n">
        <x:v>15</x:v>
      </x:c>
      <x:c r="D156" s="2" t="str">
        <x:v>DEMO-102</x:v>
      </x:c>
      <x:c r="E156" s="2" t="str">
        <x:v>Grid Journal</x:v>
      </x:c>
      <x:c r="F156" s="2" t="str">
        <x:v>Stationery</x:v>
      </x:c>
      <x:c r="G156" s="2" t="str">
        <x:v>Online</x:v>
      </x:c>
      <x:c r="H156" s="2" t="str">
        <x:v>Online</x:v>
      </x:c>
      <x:c r="I156" s="2" t="n">
        <x:v>25</x:v>
      </x:c>
      <x:c r="J156" s="2" t="n">
        <x:v>0</x:v>
      </x:c>
      <x:c r="K156" s="2" t="n">
        <x:f>I156-J156</x:f>
        <x:v>25</x:v>
      </x:c>
      <x:c r="L156" s="16" t="n">
        <x:v>14</x:v>
      </x:c>
      <x:c r="M156" s="16" t="n">
        <x:v>14</x:v>
      </x:c>
      <x:c r="N156" s="16" t="n">
        <x:v>5.39</x:v>
      </x:c>
      <x:c r="O156" s="16" t="n">
        <x:f>K156*M156</x:f>
        <x:v>350</x:v>
      </x:c>
      <x:c r="P156" s="16" t="n">
        <x:f>K156*N156</x:f>
        <x:v>134.75</x:v>
      </x:c>
      <x:c r="Q156" s="16" t="n">
        <x:f>O156-P156</x:f>
        <x:v>215.25</x:v>
      </x:c>
      <x:c r="R156" s="2" t="n">
        <x:v>168</x:v>
      </x:c>
      <x:c r="S156" s="2" t="n">
        <x:v>0</x:v>
      </x:c>
      <x:c r="T156" s="2" t="n">
        <x:f>R156+S156+J156-I156</x:f>
        <x:v>143</x:v>
      </x:c>
      <x:c r="U156" s="2" t="n">
        <x:v>0</x:v>
      </x:c>
      <x:c r="V156" s="2" t="n">
        <x:v>3</x:v>
      </x:c>
      <x:c r="W156" s="2" t="n">
        <x:v>24</x:v>
      </x:c>
      <x:c r="X156" s="14" t="b">
        <x:v>0</x:v>
      </x:c>
      <x:c r="Y156" s="14" t="b">
        <x:v>0</x:v>
      </x:c>
      <x:c r="Z156" s="2" t="n">
        <x:f>ABS(T156-AA156)</x:f>
        <x:v>0</x:v>
      </x:c>
      <x:c r="AA156" s="2" t="n">
        <x:v>143</x:v>
      </x:c>
      <x:c r="AB156" s="2" t="n">
        <x:f>ABS(K156-W156)</x:f>
        <x:v>1</x:v>
      </x:c>
      <x:c r="AC156" s="2" t="n">
        <x:f>COUNTIF($A$2:$A$1921,A156)-1</x:f>
        <x:v>0</x:v>
      </x:c>
      <x:c r="AD156" s="2" t="n">
        <x:f>IF(AND(D156=D155,H156=H155,C156=C155+1),ABS(R156-T155),0)</x:f>
        <x:v>0</x:v>
      </x:c>
    </x:row>
    <x:row r="157" ht="23" customHeight="1">
      <x:c r="A157" s="2" t="str">
        <x:v>DEMO-102-3-16</x:v>
      </x:c>
      <x:c r="B157" s="15" t="d">
        <x:v>2026-08-17T00:00:00.000Z</x:v>
      </x:c>
      <x:c r="C157" s="2" t="n">
        <x:v>16</x:v>
      </x:c>
      <x:c r="D157" s="2" t="str">
        <x:v>DEMO-102</x:v>
      </x:c>
      <x:c r="E157" s="2" t="str">
        <x:v>Grid Journal</x:v>
      </x:c>
      <x:c r="F157" s="2" t="str">
        <x:v>Stationery</x:v>
      </x:c>
      <x:c r="G157" s="2" t="str">
        <x:v>Online</x:v>
      </x:c>
      <x:c r="H157" s="2" t="str">
        <x:v>Online</x:v>
      </x:c>
      <x:c r="I157" s="2" t="n">
        <x:v>27</x:v>
      </x:c>
      <x:c r="J157" s="2" t="n">
        <x:v>0</x:v>
      </x:c>
      <x:c r="K157" s="2" t="n">
        <x:f>I157-J157</x:f>
        <x:v>27</x:v>
      </x:c>
      <x:c r="L157" s="16" t="n">
        <x:v>14</x:v>
      </x:c>
      <x:c r="M157" s="16" t="n">
        <x:v>14</x:v>
      </x:c>
      <x:c r="N157" s="16" t="n">
        <x:v>5.39</x:v>
      </x:c>
      <x:c r="O157" s="16" t="n">
        <x:f>K157*M157</x:f>
        <x:v>378</x:v>
      </x:c>
      <x:c r="P157" s="16" t="n">
        <x:f>K157*N157</x:f>
        <x:v>145.53</x:v>
      </x:c>
      <x:c r="Q157" s="16" t="n">
        <x:f>O157-P157</x:f>
        <x:v>232.47</x:v>
      </x:c>
      <x:c r="R157" s="2" t="n">
        <x:v>143</x:v>
      </x:c>
      <x:c r="S157" s="2" t="n">
        <x:v>0</x:v>
      </x:c>
      <x:c r="T157" s="2" t="n">
        <x:f>R157+S157+J157-I157</x:f>
        <x:v>116</x:v>
      </x:c>
      <x:c r="U157" s="2" t="n">
        <x:v>0</x:v>
      </x:c>
      <x:c r="V157" s="2" t="n">
        <x:v>3</x:v>
      </x:c>
      <x:c r="W157" s="2" t="n">
        <x:v>24</x:v>
      </x:c>
      <x:c r="X157" s="14" t="b">
        <x:v>0</x:v>
      </x:c>
      <x:c r="Y157" s="14" t="b">
        <x:v>0</x:v>
      </x:c>
      <x:c r="Z157" s="2" t="n">
        <x:f>ABS(T157-AA157)</x:f>
        <x:v>0</x:v>
      </x:c>
      <x:c r="AA157" s="2" t="n">
        <x:v>116</x:v>
      </x:c>
      <x:c r="AB157" s="2" t="n">
        <x:f>ABS(K157-W157)</x:f>
        <x:v>3</x:v>
      </x:c>
      <x:c r="AC157" s="2" t="n">
        <x:f>COUNTIF($A$2:$A$1921,A157)-1</x:f>
        <x:v>0</x:v>
      </x:c>
      <x:c r="AD157" s="2" t="n">
        <x:f>IF(AND(D157=D156,H157=H156,C157=C156+1),ABS(R157-T156),0)</x:f>
        <x:v>0</x:v>
      </x:c>
    </x:row>
    <x:row r="158" ht="23" customHeight="1">
      <x:c r="A158" s="2" t="str">
        <x:v>DEMO-102-3-17</x:v>
      </x:c>
      <x:c r="B158" s="15" t="d">
        <x:v>2026-08-24T00:00:00.000Z</x:v>
      </x:c>
      <x:c r="C158" s="2" t="n">
        <x:v>17</x:v>
      </x:c>
      <x:c r="D158" s="2" t="str">
        <x:v>DEMO-102</x:v>
      </x:c>
      <x:c r="E158" s="2" t="str">
        <x:v>Grid Journal</x:v>
      </x:c>
      <x:c r="F158" s="2" t="str">
        <x:v>Stationery</x:v>
      </x:c>
      <x:c r="G158" s="2" t="str">
        <x:v>Online</x:v>
      </x:c>
      <x:c r="H158" s="2" t="str">
        <x:v>Online</x:v>
      </x:c>
      <x:c r="I158" s="2" t="n">
        <x:v>22</x:v>
      </x:c>
      <x:c r="J158" s="2" t="n">
        <x:v>0</x:v>
      </x:c>
      <x:c r="K158" s="2" t="n">
        <x:f>I158-J158</x:f>
        <x:v>22</x:v>
      </x:c>
      <x:c r="L158" s="16" t="n">
        <x:v>14</x:v>
      </x:c>
      <x:c r="M158" s="16" t="n">
        <x:v>14</x:v>
      </x:c>
      <x:c r="N158" s="16" t="n">
        <x:v>5.39</x:v>
      </x:c>
      <x:c r="O158" s="16" t="n">
        <x:f>K158*M158</x:f>
        <x:v>308</x:v>
      </x:c>
      <x:c r="P158" s="16" t="n">
        <x:f>K158*N158</x:f>
        <x:v>118.58</x:v>
      </x:c>
      <x:c r="Q158" s="16" t="n">
        <x:f>O158-P158</x:f>
        <x:v>189.42000000000002</x:v>
      </x:c>
      <x:c r="R158" s="2" t="n">
        <x:v>116</x:v>
      </x:c>
      <x:c r="S158" s="2" t="n">
        <x:v>100</x:v>
      </x:c>
      <x:c r="T158" s="2" t="n">
        <x:f>R158+S158+J158-I158</x:f>
        <x:v>194</x:v>
      </x:c>
      <x:c r="U158" s="2" t="n">
        <x:v>0</x:v>
      </x:c>
      <x:c r="V158" s="2" t="n">
        <x:v>3</x:v>
      </x:c>
      <x:c r="W158" s="2" t="n">
        <x:v>25</x:v>
      </x:c>
      <x:c r="X158" s="14" t="b">
        <x:v>0</x:v>
      </x:c>
      <x:c r="Y158" s="14" t="b">
        <x:v>0</x:v>
      </x:c>
      <x:c r="Z158" s="2" t="n">
        <x:f>ABS(T158-AA158)</x:f>
        <x:v>0</x:v>
      </x:c>
      <x:c r="AA158" s="2" t="n">
        <x:v>194</x:v>
      </x:c>
      <x:c r="AB158" s="2" t="n">
        <x:f>ABS(K158-W158)</x:f>
        <x:v>3</x:v>
      </x:c>
      <x:c r="AC158" s="2" t="n">
        <x:f>COUNTIF($A$2:$A$1921,A158)-1</x:f>
        <x:v>0</x:v>
      </x:c>
      <x:c r="AD158" s="2" t="n">
        <x:f>IF(AND(D158=D157,H158=H157,C158=C157+1),ABS(R158-T157),0)</x:f>
        <x:v>0</x:v>
      </x:c>
    </x:row>
    <x:row r="159" ht="23" customHeight="1">
      <x:c r="A159" s="2" t="str">
        <x:v>DEMO-102-3-18</x:v>
      </x:c>
      <x:c r="B159" s="15" t="d">
        <x:v>2026-08-31T00:00:00.000Z</x:v>
      </x:c>
      <x:c r="C159" s="2" t="n">
        <x:v>18</x:v>
      </x:c>
      <x:c r="D159" s="2" t="str">
        <x:v>DEMO-102</x:v>
      </x:c>
      <x:c r="E159" s="2" t="str">
        <x:v>Grid Journal</x:v>
      </x:c>
      <x:c r="F159" s="2" t="str">
        <x:v>Stationery</x:v>
      </x:c>
      <x:c r="G159" s="2" t="str">
        <x:v>Online</x:v>
      </x:c>
      <x:c r="H159" s="2" t="str">
        <x:v>Online</x:v>
      </x:c>
      <x:c r="I159" s="2" t="n">
        <x:v>26</x:v>
      </x:c>
      <x:c r="J159" s="2" t="n">
        <x:v>0</x:v>
      </x:c>
      <x:c r="K159" s="2" t="n">
        <x:f>I159-J159</x:f>
        <x:v>26</x:v>
      </x:c>
      <x:c r="L159" s="16" t="n">
        <x:v>14</x:v>
      </x:c>
      <x:c r="M159" s="16" t="n">
        <x:v>14</x:v>
      </x:c>
      <x:c r="N159" s="16" t="n">
        <x:v>5.39</x:v>
      </x:c>
      <x:c r="O159" s="16" t="n">
        <x:f>K159*M159</x:f>
        <x:v>364</x:v>
      </x:c>
      <x:c r="P159" s="16" t="n">
        <x:f>K159*N159</x:f>
        <x:v>140.14</x:v>
      </x:c>
      <x:c r="Q159" s="16" t="n">
        <x:f>O159-P159</x:f>
        <x:v>223.86</x:v>
      </x:c>
      <x:c r="R159" s="2" t="n">
        <x:v>194</x:v>
      </x:c>
      <x:c r="S159" s="2" t="n">
        <x:v>0</x:v>
      </x:c>
      <x:c r="T159" s="2" t="n">
        <x:f>R159+S159+J159-I159</x:f>
        <x:v>168</x:v>
      </x:c>
      <x:c r="U159" s="2" t="n">
        <x:v>0</x:v>
      </x:c>
      <x:c r="V159" s="2" t="n">
        <x:v>3</x:v>
      </x:c>
      <x:c r="W159" s="2" t="n">
        <x:v>26</x:v>
      </x:c>
      <x:c r="X159" s="14" t="b">
        <x:v>0</x:v>
      </x:c>
      <x:c r="Y159" s="14" t="b">
        <x:v>0</x:v>
      </x:c>
      <x:c r="Z159" s="2" t="n">
        <x:f>ABS(T159-AA159)</x:f>
        <x:v>0</x:v>
      </x:c>
      <x:c r="AA159" s="2" t="n">
        <x:v>168</x:v>
      </x:c>
      <x:c r="AB159" s="2" t="n">
        <x:f>ABS(K159-W159)</x:f>
        <x:v>0</x:v>
      </x:c>
      <x:c r="AC159" s="2" t="n">
        <x:f>COUNTIF($A$2:$A$1921,A159)-1</x:f>
        <x:v>0</x:v>
      </x:c>
      <x:c r="AD159" s="2" t="n">
        <x:f>IF(AND(D159=D158,H159=H158,C159=C158+1),ABS(R159-T158),0)</x:f>
        <x:v>0</x:v>
      </x:c>
    </x:row>
    <x:row r="160" ht="23" customHeight="1">
      <x:c r="A160" s="2" t="str">
        <x:v>DEMO-102-3-19</x:v>
      </x:c>
      <x:c r="B160" s="15" t="d">
        <x:v>2026-09-07T00:00:00.000Z</x:v>
      </x:c>
      <x:c r="C160" s="2" t="n">
        <x:v>19</x:v>
      </x:c>
      <x:c r="D160" s="2" t="str">
        <x:v>DEMO-102</x:v>
      </x:c>
      <x:c r="E160" s="2" t="str">
        <x:v>Grid Journal</x:v>
      </x:c>
      <x:c r="F160" s="2" t="str">
        <x:v>Stationery</x:v>
      </x:c>
      <x:c r="G160" s="2" t="str">
        <x:v>Online</x:v>
      </x:c>
      <x:c r="H160" s="2" t="str">
        <x:v>Online</x:v>
      </x:c>
      <x:c r="I160" s="2" t="n">
        <x:v>23</x:v>
      </x:c>
      <x:c r="J160" s="2" t="n">
        <x:v>0</x:v>
      </x:c>
      <x:c r="K160" s="2" t="n">
        <x:f>I160-J160</x:f>
        <x:v>23</x:v>
      </x:c>
      <x:c r="L160" s="16" t="n">
        <x:v>14</x:v>
      </x:c>
      <x:c r="M160" s="16" t="n">
        <x:v>14</x:v>
      </x:c>
      <x:c r="N160" s="16" t="n">
        <x:v>5.39</x:v>
      </x:c>
      <x:c r="O160" s="16" t="n">
        <x:f>K160*M160</x:f>
        <x:v>322</x:v>
      </x:c>
      <x:c r="P160" s="16" t="n">
        <x:f>K160*N160</x:f>
        <x:v>123.97</x:v>
      </x:c>
      <x:c r="Q160" s="16" t="n">
        <x:f>O160-P160</x:f>
        <x:v>198.03</x:v>
      </x:c>
      <x:c r="R160" s="2" t="n">
        <x:v>168</x:v>
      </x:c>
      <x:c r="S160" s="2" t="n">
        <x:v>0</x:v>
      </x:c>
      <x:c r="T160" s="2" t="n">
        <x:f>R160+S160+J160-I160</x:f>
        <x:v>145</x:v>
      </x:c>
      <x:c r="U160" s="2" t="n">
        <x:v>0</x:v>
      </x:c>
      <x:c r="V160" s="2" t="n">
        <x:v>3</x:v>
      </x:c>
      <x:c r="W160" s="2" t="n">
        <x:v>25</x:v>
      </x:c>
      <x:c r="X160" s="14" t="b">
        <x:v>0</x:v>
      </x:c>
      <x:c r="Y160" s="14" t="b">
        <x:v>0</x:v>
      </x:c>
      <x:c r="Z160" s="2" t="n">
        <x:f>ABS(T160-AA160)</x:f>
        <x:v>0</x:v>
      </x:c>
      <x:c r="AA160" s="2" t="n">
        <x:v>145</x:v>
      </x:c>
      <x:c r="AB160" s="2" t="n">
        <x:f>ABS(K160-W160)</x:f>
        <x:v>2</x:v>
      </x:c>
      <x:c r="AC160" s="2" t="n">
        <x:f>COUNTIF($A$2:$A$1921,A160)-1</x:f>
        <x:v>0</x:v>
      </x:c>
      <x:c r="AD160" s="2" t="n">
        <x:f>IF(AND(D160=D159,H160=H159,C160=C159+1),ABS(R160-T159),0)</x:f>
        <x:v>0</x:v>
      </x:c>
    </x:row>
    <x:row r="161" ht="23" customHeight="1">
      <x:c r="A161" s="2" t="str">
        <x:v>DEMO-102-3-20</x:v>
      </x:c>
      <x:c r="B161" s="15" t="d">
        <x:v>2026-09-14T00:00:00.000Z</x:v>
      </x:c>
      <x:c r="C161" s="2" t="n">
        <x:v>20</x:v>
      </x:c>
      <x:c r="D161" s="2" t="str">
        <x:v>DEMO-102</x:v>
      </x:c>
      <x:c r="E161" s="2" t="str">
        <x:v>Grid Journal</x:v>
      </x:c>
      <x:c r="F161" s="2" t="str">
        <x:v>Stationery</x:v>
      </x:c>
      <x:c r="G161" s="2" t="str">
        <x:v>Online</x:v>
      </x:c>
      <x:c r="H161" s="2" t="str">
        <x:v>Online</x:v>
      </x:c>
      <x:c r="I161" s="2" t="n">
        <x:v>26</x:v>
      </x:c>
      <x:c r="J161" s="2" t="n">
        <x:v>0</x:v>
      </x:c>
      <x:c r="K161" s="2" t="n">
        <x:f>I161-J161</x:f>
        <x:v>26</x:v>
      </x:c>
      <x:c r="L161" s="16" t="n">
        <x:v>14</x:v>
      </x:c>
      <x:c r="M161" s="16" t="n">
        <x:v>14</x:v>
      </x:c>
      <x:c r="N161" s="16" t="n">
        <x:v>5.39</x:v>
      </x:c>
      <x:c r="O161" s="16" t="n">
        <x:f>K161*M161</x:f>
        <x:v>364</x:v>
      </x:c>
      <x:c r="P161" s="16" t="n">
        <x:f>K161*N161</x:f>
        <x:v>140.14</x:v>
      </x:c>
      <x:c r="Q161" s="16" t="n">
        <x:f>O161-P161</x:f>
        <x:v>223.86</x:v>
      </x:c>
      <x:c r="R161" s="2" t="n">
        <x:v>145</x:v>
      </x:c>
      <x:c r="S161" s="2" t="n">
        <x:v>0</x:v>
      </x:c>
      <x:c r="T161" s="2" t="n">
        <x:f>R161+S161+J161-I161</x:f>
        <x:v>119</x:v>
      </x:c>
      <x:c r="U161" s="2" t="n">
        <x:v>18</x:v>
      </x:c>
      <x:c r="V161" s="2" t="n">
        <x:v>3</x:v>
      </x:c>
      <x:c r="W161" s="2" t="n">
        <x:v>25</x:v>
      </x:c>
      <x:c r="X161" s="14" t="b">
        <x:v>0</x:v>
      </x:c>
      <x:c r="Y161" s="14" t="b">
        <x:v>0</x:v>
      </x:c>
      <x:c r="Z161" s="2" t="n">
        <x:f>ABS(T161-AA161)</x:f>
        <x:v>0</x:v>
      </x:c>
      <x:c r="AA161" s="2" t="n">
        <x:v>119</x:v>
      </x:c>
      <x:c r="AB161" s="2" t="n">
        <x:f>ABS(K161-W161)</x:f>
        <x:v>1</x:v>
      </x:c>
      <x:c r="AC161" s="2" t="n">
        <x:f>COUNTIF($A$2:$A$1921,A161)-1</x:f>
        <x:v>0</x:v>
      </x:c>
      <x:c r="AD161" s="2" t="n">
        <x:f>IF(AND(D161=D160,H161=H160,C161=C160+1),ABS(R161-T160),0)</x:f>
        <x:v>0</x:v>
      </x:c>
    </x:row>
    <x:row r="162" ht="23" customHeight="1">
      <x:c r="A162" s="2" t="str">
        <x:v>DEMO-103-0-1</x:v>
      </x:c>
      <x:c r="B162" s="15" t="d">
        <x:v>2026-05-04T00:00:00.000Z</x:v>
      </x:c>
      <x:c r="C162" s="2" t="n">
        <x:v>1</x:v>
      </x:c>
      <x:c r="D162" s="2" t="str">
        <x:v>DEMO-103</x:v>
      </x:c>
      <x:c r="E162" s="2" t="str">
        <x:v>Cloud Pen Set</x:v>
      </x:c>
      <x:c r="F162" s="2" t="str">
        <x:v>Stationery</x:v>
      </x:c>
      <x:c r="G162" s="2" t="str">
        <x:v>Stores</x:v>
      </x:c>
      <x:c r="H162" s="2" t="str">
        <x:v>North Arcade</x:v>
      </x:c>
      <x:c r="I162" s="2" t="n">
        <x:v>19</x:v>
      </x:c>
      <x:c r="J162" s="2" t="n">
        <x:v>1</x:v>
      </x:c>
      <x:c r="K162" s="2" t="n">
        <x:f>I162-J162</x:f>
        <x:v>18</x:v>
      </x:c>
      <x:c r="L162" s="16" t="n">
        <x:v>16</x:v>
      </x:c>
      <x:c r="M162" s="16" t="n">
        <x:v>16</x:v>
      </x:c>
      <x:c r="N162" s="16" t="n">
        <x:v>6.56</x:v>
      </x:c>
      <x:c r="O162" s="16" t="n">
        <x:f>K162*M162</x:f>
        <x:v>288</x:v>
      </x:c>
      <x:c r="P162" s="16" t="n">
        <x:f>K162*N162</x:f>
        <x:v>118.08</x:v>
      </x:c>
      <x:c r="Q162" s="16" t="n">
        <x:f>O162-P162</x:f>
        <x:v>169.92000000000002</x:v>
      </x:c>
      <x:c r="R162" s="2" t="n">
        <x:v>90</x:v>
      </x:c>
      <x:c r="S162" s="2" t="n">
        <x:v>71</x:v>
      </x:c>
      <x:c r="T162" s="2" t="n">
        <x:f>R162+S162+J162-I162</x:f>
        <x:v>143</x:v>
      </x:c>
      <x:c r="U162" s="2" t="n">
        <x:v>0</x:v>
      </x:c>
      <x:c r="V162" s="2" t="n">
        <x:v>4</x:v>
      </x:c>
      <x:c r="W162" s="2" t="n">
        <x:v>17</x:v>
      </x:c>
      <x:c r="X162" s="14" t="b">
        <x:v>0</x:v>
      </x:c>
      <x:c r="Y162" s="14" t="b">
        <x:v>0</x:v>
      </x:c>
      <x:c r="Z162" s="2" t="n">
        <x:f>ABS(T162-AA162)</x:f>
        <x:v>0</x:v>
      </x:c>
      <x:c r="AA162" s="2" t="n">
        <x:v>143</x:v>
      </x:c>
      <x:c r="AB162" s="2" t="n">
        <x:f>ABS(K162-W162)</x:f>
        <x:v>1</x:v>
      </x:c>
      <x:c r="AC162" s="2" t="n">
        <x:f>COUNTIF($A$2:$A$1921,A162)-1</x:f>
        <x:v>0</x:v>
      </x:c>
      <x:c r="AD162" s="2" t="n">
        <x:f>IF(AND(D162=D161,H162=H161,C162=C161+1),ABS(R162-T161),0)</x:f>
        <x:v>0</x:v>
      </x:c>
    </x:row>
    <x:row r="163" ht="23" customHeight="1">
      <x:c r="A163" s="2" t="str">
        <x:v>DEMO-103-0-2</x:v>
      </x:c>
      <x:c r="B163" s="15" t="d">
        <x:v>2026-05-11T00:00:00.000Z</x:v>
      </x:c>
      <x:c r="C163" s="2" t="n">
        <x:v>2</x:v>
      </x:c>
      <x:c r="D163" s="2" t="str">
        <x:v>DEMO-103</x:v>
      </x:c>
      <x:c r="E163" s="2" t="str">
        <x:v>Cloud Pen Set</x:v>
      </x:c>
      <x:c r="F163" s="2" t="str">
        <x:v>Stationery</x:v>
      </x:c>
      <x:c r="G163" s="2" t="str">
        <x:v>Stores</x:v>
      </x:c>
      <x:c r="H163" s="2" t="str">
        <x:v>North Arcade</x:v>
      </x:c>
      <x:c r="I163" s="2" t="n">
        <x:v>20</x:v>
      </x:c>
      <x:c r="J163" s="2" t="n">
        <x:v>0</x:v>
      </x:c>
      <x:c r="K163" s="2" t="n">
        <x:f>I163-J163</x:f>
        <x:v>20</x:v>
      </x:c>
      <x:c r="L163" s="16" t="n">
        <x:v>16</x:v>
      </x:c>
      <x:c r="M163" s="16" t="n">
        <x:v>16</x:v>
      </x:c>
      <x:c r="N163" s="16" t="n">
        <x:v>6.56</x:v>
      </x:c>
      <x:c r="O163" s="16" t="n">
        <x:f>K163*M163</x:f>
        <x:v>320</x:v>
      </x:c>
      <x:c r="P163" s="16" t="n">
        <x:f>K163*N163</x:f>
        <x:v>131.2</x:v>
      </x:c>
      <x:c r="Q163" s="16" t="n">
        <x:f>O163-P163</x:f>
        <x:v>188.8</x:v>
      </x:c>
      <x:c r="R163" s="2" t="n">
        <x:v>143</x:v>
      </x:c>
      <x:c r="S163" s="2" t="n">
        <x:v>0</x:v>
      </x:c>
      <x:c r="T163" s="2" t="n">
        <x:f>R163+S163+J163-I163</x:f>
        <x:v>123</x:v>
      </x:c>
      <x:c r="U163" s="2" t="n">
        <x:v>0</x:v>
      </x:c>
      <x:c r="V163" s="2" t="n">
        <x:v>4</x:v>
      </x:c>
      <x:c r="W163" s="2" t="n">
        <x:v>18</x:v>
      </x:c>
      <x:c r="X163" s="14" t="b">
        <x:v>0</x:v>
      </x:c>
      <x:c r="Y163" s="14" t="b">
        <x:v>0</x:v>
      </x:c>
      <x:c r="Z163" s="2" t="n">
        <x:f>ABS(T163-AA163)</x:f>
        <x:v>0</x:v>
      </x:c>
      <x:c r="AA163" s="2" t="n">
        <x:v>123</x:v>
      </x:c>
      <x:c r="AB163" s="2" t="n">
        <x:f>ABS(K163-W163)</x:f>
        <x:v>2</x:v>
      </x:c>
      <x:c r="AC163" s="2" t="n">
        <x:f>COUNTIF($A$2:$A$1921,A163)-1</x:f>
        <x:v>0</x:v>
      </x:c>
      <x:c r="AD163" s="2" t="n">
        <x:f>IF(AND(D163=D162,H163=H162,C163=C162+1),ABS(R163-T162),0)</x:f>
        <x:v>0</x:v>
      </x:c>
    </x:row>
    <x:row r="164" ht="23" customHeight="1">
      <x:c r="A164" s="2" t="str">
        <x:v>DEMO-103-0-3</x:v>
      </x:c>
      <x:c r="B164" s="15" t="d">
        <x:v>2026-05-18T00:00:00.000Z</x:v>
      </x:c>
      <x:c r="C164" s="2" t="n">
        <x:v>3</x:v>
      </x:c>
      <x:c r="D164" s="2" t="str">
        <x:v>DEMO-103</x:v>
      </x:c>
      <x:c r="E164" s="2" t="str">
        <x:v>Cloud Pen Set</x:v>
      </x:c>
      <x:c r="F164" s="2" t="str">
        <x:v>Stationery</x:v>
      </x:c>
      <x:c r="G164" s="2" t="str">
        <x:v>Stores</x:v>
      </x:c>
      <x:c r="H164" s="2" t="str">
        <x:v>North Arcade</x:v>
      </x:c>
      <x:c r="I164" s="2" t="n">
        <x:v>19</x:v>
      </x:c>
      <x:c r="J164" s="2" t="n">
        <x:v>0</x:v>
      </x:c>
      <x:c r="K164" s="2" t="n">
        <x:f>I164-J164</x:f>
        <x:v>19</x:v>
      </x:c>
      <x:c r="L164" s="16" t="n">
        <x:v>16</x:v>
      </x:c>
      <x:c r="M164" s="16" t="n">
        <x:v>16</x:v>
      </x:c>
      <x:c r="N164" s="16" t="n">
        <x:v>6.56</x:v>
      </x:c>
      <x:c r="O164" s="16" t="n">
        <x:f>K164*M164</x:f>
        <x:v>304</x:v>
      </x:c>
      <x:c r="P164" s="16" t="n">
        <x:f>K164*N164</x:f>
        <x:v>124.63999999999999</x:v>
      </x:c>
      <x:c r="Q164" s="16" t="n">
        <x:f>O164-P164</x:f>
        <x:v>179.36</x:v>
      </x:c>
      <x:c r="R164" s="2" t="n">
        <x:v>123</x:v>
      </x:c>
      <x:c r="S164" s="2" t="n">
        <x:v>0</x:v>
      </x:c>
      <x:c r="T164" s="2" t="n">
        <x:f>R164+S164+J164-I164</x:f>
        <x:v>104</x:v>
      </x:c>
      <x:c r="U164" s="2" t="n">
        <x:v>0</x:v>
      </x:c>
      <x:c r="V164" s="2" t="n">
        <x:v>4</x:v>
      </x:c>
      <x:c r="W164" s="2" t="n">
        <x:v>19</x:v>
      </x:c>
      <x:c r="X164" s="14" t="b">
        <x:v>0</x:v>
      </x:c>
      <x:c r="Y164" s="14" t="b">
        <x:v>0</x:v>
      </x:c>
      <x:c r="Z164" s="2" t="n">
        <x:f>ABS(T164-AA164)</x:f>
        <x:v>0</x:v>
      </x:c>
      <x:c r="AA164" s="2" t="n">
        <x:v>104</x:v>
      </x:c>
      <x:c r="AB164" s="2" t="n">
        <x:f>ABS(K164-W164)</x:f>
        <x:v>0</x:v>
      </x:c>
      <x:c r="AC164" s="2" t="n">
        <x:f>COUNTIF($A$2:$A$1921,A164)-1</x:f>
        <x:v>0</x:v>
      </x:c>
      <x:c r="AD164" s="2" t="n">
        <x:f>IF(AND(D164=D163,H164=H163,C164=C163+1),ABS(R164-T163),0)</x:f>
        <x:v>0</x:v>
      </x:c>
    </x:row>
    <x:row r="165" ht="23" customHeight="1">
      <x:c r="A165" s="2" t="str">
        <x:v>DEMO-103-0-4</x:v>
      </x:c>
      <x:c r="B165" s="15" t="d">
        <x:v>2026-05-25T00:00:00.000Z</x:v>
      </x:c>
      <x:c r="C165" s="2" t="n">
        <x:v>4</x:v>
      </x:c>
      <x:c r="D165" s="2" t="str">
        <x:v>DEMO-103</x:v>
      </x:c>
      <x:c r="E165" s="2" t="str">
        <x:v>Cloud Pen Set</x:v>
      </x:c>
      <x:c r="F165" s="2" t="str">
        <x:v>Stationery</x:v>
      </x:c>
      <x:c r="G165" s="2" t="str">
        <x:v>Stores</x:v>
      </x:c>
      <x:c r="H165" s="2" t="str">
        <x:v>North Arcade</x:v>
      </x:c>
      <x:c r="I165" s="2" t="n">
        <x:v>17</x:v>
      </x:c>
      <x:c r="J165" s="2" t="n">
        <x:v>0</x:v>
      </x:c>
      <x:c r="K165" s="2" t="n">
        <x:f>I165-J165</x:f>
        <x:v>17</x:v>
      </x:c>
      <x:c r="L165" s="16" t="n">
        <x:v>16</x:v>
      </x:c>
      <x:c r="M165" s="16" t="n">
        <x:v>16</x:v>
      </x:c>
      <x:c r="N165" s="16" t="n">
        <x:v>6.56</x:v>
      </x:c>
      <x:c r="O165" s="16" t="n">
        <x:f>K165*M165</x:f>
        <x:v>272</x:v>
      </x:c>
      <x:c r="P165" s="16" t="n">
        <x:f>K165*N165</x:f>
        <x:v>111.52</x:v>
      </x:c>
      <x:c r="Q165" s="16" t="n">
        <x:f>O165-P165</x:f>
        <x:v>160.48000000000002</x:v>
      </x:c>
      <x:c r="R165" s="2" t="n">
        <x:v>104</x:v>
      </x:c>
      <x:c r="S165" s="2" t="n">
        <x:v>0</x:v>
      </x:c>
      <x:c r="T165" s="2" t="n">
        <x:f>R165+S165+J165-I165</x:f>
        <x:v>87</x:v>
      </x:c>
      <x:c r="U165" s="2" t="n">
        <x:v>0</x:v>
      </x:c>
      <x:c r="V165" s="2" t="n">
        <x:v>4</x:v>
      </x:c>
      <x:c r="W165" s="2" t="n">
        <x:v>19</x:v>
      </x:c>
      <x:c r="X165" s="14" t="b">
        <x:v>0</x:v>
      </x:c>
      <x:c r="Y165" s="14" t="b">
        <x:v>0</x:v>
      </x:c>
      <x:c r="Z165" s="2" t="n">
        <x:f>ABS(T165-AA165)</x:f>
        <x:v>0</x:v>
      </x:c>
      <x:c r="AA165" s="2" t="n">
        <x:v>87</x:v>
      </x:c>
      <x:c r="AB165" s="2" t="n">
        <x:f>ABS(K165-W165)</x:f>
        <x:v>2</x:v>
      </x:c>
      <x:c r="AC165" s="2" t="n">
        <x:f>COUNTIF($A$2:$A$1921,A165)-1</x:f>
        <x:v>0</x:v>
      </x:c>
      <x:c r="AD165" s="2" t="n">
        <x:f>IF(AND(D165=D164,H165=H164,C165=C164+1),ABS(R165-T164),0)</x:f>
        <x:v>0</x:v>
      </x:c>
    </x:row>
    <x:row r="166" ht="23" customHeight="1">
      <x:c r="A166" s="2" t="str">
        <x:v>DEMO-103-0-5</x:v>
      </x:c>
      <x:c r="B166" s="15" t="d">
        <x:v>2026-06-01T00:00:00.000Z</x:v>
      </x:c>
      <x:c r="C166" s="2" t="n">
        <x:v>5</x:v>
      </x:c>
      <x:c r="D166" s="2" t="str">
        <x:v>DEMO-103</x:v>
      </x:c>
      <x:c r="E166" s="2" t="str">
        <x:v>Cloud Pen Set</x:v>
      </x:c>
      <x:c r="F166" s="2" t="str">
        <x:v>Stationery</x:v>
      </x:c>
      <x:c r="G166" s="2" t="str">
        <x:v>Stores</x:v>
      </x:c>
      <x:c r="H166" s="2" t="str">
        <x:v>North Arcade</x:v>
      </x:c>
      <x:c r="I166" s="2" t="n">
        <x:v>18</x:v>
      </x:c>
      <x:c r="J166" s="2" t="n">
        <x:v>0</x:v>
      </x:c>
      <x:c r="K166" s="2" t="n">
        <x:f>I166-J166</x:f>
        <x:v>18</x:v>
      </x:c>
      <x:c r="L166" s="16" t="n">
        <x:v>16</x:v>
      </x:c>
      <x:c r="M166" s="16" t="n">
        <x:v>16</x:v>
      </x:c>
      <x:c r="N166" s="16" t="n">
        <x:v>6.56</x:v>
      </x:c>
      <x:c r="O166" s="16" t="n">
        <x:f>K166*M166</x:f>
        <x:v>288</x:v>
      </x:c>
      <x:c r="P166" s="16" t="n">
        <x:f>K166*N166</x:f>
        <x:v>118.08</x:v>
      </x:c>
      <x:c r="Q166" s="16" t="n">
        <x:f>O166-P166</x:f>
        <x:v>169.92000000000002</x:v>
      </x:c>
      <x:c r="R166" s="2" t="n">
        <x:v>87</x:v>
      </x:c>
      <x:c r="S166" s="2" t="n">
        <x:v>71</x:v>
      </x:c>
      <x:c r="T166" s="2" t="n">
        <x:f>R166+S166+J166-I166</x:f>
        <x:v>140</x:v>
      </x:c>
      <x:c r="U166" s="2" t="n">
        <x:v>0</x:v>
      </x:c>
      <x:c r="V166" s="2" t="n">
        <x:v>4</x:v>
      </x:c>
      <x:c r="W166" s="2" t="n">
        <x:v>19</x:v>
      </x:c>
      <x:c r="X166" s="14" t="b">
        <x:v>0</x:v>
      </x:c>
      <x:c r="Y166" s="14" t="b">
        <x:v>0</x:v>
      </x:c>
      <x:c r="Z166" s="2" t="n">
        <x:f>ABS(T166-AA166)</x:f>
        <x:v>0</x:v>
      </x:c>
      <x:c r="AA166" s="2" t="n">
        <x:v>140</x:v>
      </x:c>
      <x:c r="AB166" s="2" t="n">
        <x:f>ABS(K166-W166)</x:f>
        <x:v>1</x:v>
      </x:c>
      <x:c r="AC166" s="2" t="n">
        <x:f>COUNTIF($A$2:$A$1921,A166)-1</x:f>
        <x:v>0</x:v>
      </x:c>
      <x:c r="AD166" s="2" t="n">
        <x:f>IF(AND(D166=D165,H166=H165,C166=C165+1),ABS(R166-T165),0)</x:f>
        <x:v>0</x:v>
      </x:c>
    </x:row>
    <x:row r="167" ht="23" customHeight="1">
      <x:c r="A167" s="2" t="str">
        <x:v>DEMO-103-0-6</x:v>
      </x:c>
      <x:c r="B167" s="15" t="d">
        <x:v>2026-06-08T00:00:00.000Z</x:v>
      </x:c>
      <x:c r="C167" s="2" t="n">
        <x:v>6</x:v>
      </x:c>
      <x:c r="D167" s="2" t="str">
        <x:v>DEMO-103</x:v>
      </x:c>
      <x:c r="E167" s="2" t="str">
        <x:v>Cloud Pen Set</x:v>
      </x:c>
      <x:c r="F167" s="2" t="str">
        <x:v>Stationery</x:v>
      </x:c>
      <x:c r="G167" s="2" t="str">
        <x:v>Stores</x:v>
      </x:c>
      <x:c r="H167" s="2" t="str">
        <x:v>North Arcade</x:v>
      </x:c>
      <x:c r="I167" s="2" t="n">
        <x:v>18</x:v>
      </x:c>
      <x:c r="J167" s="2" t="n">
        <x:v>0</x:v>
      </x:c>
      <x:c r="K167" s="2" t="n">
        <x:f>I167-J167</x:f>
        <x:v>18</x:v>
      </x:c>
      <x:c r="L167" s="16" t="n">
        <x:v>16</x:v>
      </x:c>
      <x:c r="M167" s="16" t="n">
        <x:v>16</x:v>
      </x:c>
      <x:c r="N167" s="16" t="n">
        <x:v>6.56</x:v>
      </x:c>
      <x:c r="O167" s="16" t="n">
        <x:f>K167*M167</x:f>
        <x:v>288</x:v>
      </x:c>
      <x:c r="P167" s="16" t="n">
        <x:f>K167*N167</x:f>
        <x:v>118.08</x:v>
      </x:c>
      <x:c r="Q167" s="16" t="n">
        <x:f>O167-P167</x:f>
        <x:v>169.92000000000002</x:v>
      </x:c>
      <x:c r="R167" s="2" t="n">
        <x:v>140</x:v>
      </x:c>
      <x:c r="S167" s="2" t="n">
        <x:v>0</x:v>
      </x:c>
      <x:c r="T167" s="2" t="n">
        <x:f>R167+S167+J167-I167</x:f>
        <x:v>122</x:v>
      </x:c>
      <x:c r="U167" s="2" t="n">
        <x:v>0</x:v>
      </x:c>
      <x:c r="V167" s="2" t="n">
        <x:v>4</x:v>
      </x:c>
      <x:c r="W167" s="2" t="n">
        <x:v>19</x:v>
      </x:c>
      <x:c r="X167" s="14" t="b">
        <x:v>0</x:v>
      </x:c>
      <x:c r="Y167" s="14" t="b">
        <x:v>0</x:v>
      </x:c>
      <x:c r="Z167" s="2" t="n">
        <x:f>ABS(T167-AA167)</x:f>
        <x:v>0</x:v>
      </x:c>
      <x:c r="AA167" s="2" t="n">
        <x:v>122</x:v>
      </x:c>
      <x:c r="AB167" s="2" t="n">
        <x:f>ABS(K167-W167)</x:f>
        <x:v>1</x:v>
      </x:c>
      <x:c r="AC167" s="2" t="n">
        <x:f>COUNTIF($A$2:$A$1921,A167)-1</x:f>
        <x:v>0</x:v>
      </x:c>
      <x:c r="AD167" s="2" t="n">
        <x:f>IF(AND(D167=D166,H167=H166,C167=C166+1),ABS(R167-T166),0)</x:f>
        <x:v>0</x:v>
      </x:c>
    </x:row>
    <x:row r="168" ht="23" customHeight="1">
      <x:c r="A168" s="2" t="str">
        <x:v>DEMO-103-0-7</x:v>
      </x:c>
      <x:c r="B168" s="15" t="d">
        <x:v>2026-06-15T00:00:00.000Z</x:v>
      </x:c>
      <x:c r="C168" s="2" t="n">
        <x:v>7</x:v>
      </x:c>
      <x:c r="D168" s="2" t="str">
        <x:v>DEMO-103</x:v>
      </x:c>
      <x:c r="E168" s="2" t="str">
        <x:v>Cloud Pen Set</x:v>
      </x:c>
      <x:c r="F168" s="2" t="str">
        <x:v>Stationery</x:v>
      </x:c>
      <x:c r="G168" s="2" t="str">
        <x:v>Stores</x:v>
      </x:c>
      <x:c r="H168" s="2" t="str">
        <x:v>North Arcade</x:v>
      </x:c>
      <x:c r="I168" s="2" t="n">
        <x:v>16</x:v>
      </x:c>
      <x:c r="J168" s="2" t="n">
        <x:v>0</x:v>
      </x:c>
      <x:c r="K168" s="2" t="n">
        <x:f>I168-J168</x:f>
        <x:v>16</x:v>
      </x:c>
      <x:c r="L168" s="16" t="n">
        <x:v>16</x:v>
      </x:c>
      <x:c r="M168" s="16" t="n">
        <x:v>16</x:v>
      </x:c>
      <x:c r="N168" s="16" t="n">
        <x:v>6.56</x:v>
      </x:c>
      <x:c r="O168" s="16" t="n">
        <x:f>K168*M168</x:f>
        <x:v>256</x:v>
      </x:c>
      <x:c r="P168" s="16" t="n">
        <x:f>K168*N168</x:f>
        <x:v>104.96</x:v>
      </x:c>
      <x:c r="Q168" s="16" t="n">
        <x:f>O168-P168</x:f>
        <x:v>151.04000000000002</x:v>
      </x:c>
      <x:c r="R168" s="2" t="n">
        <x:v>122</x:v>
      </x:c>
      <x:c r="S168" s="2" t="n">
        <x:v>0</x:v>
      </x:c>
      <x:c r="T168" s="2" t="n">
        <x:f>R168+S168+J168-I168</x:f>
        <x:v>106</x:v>
      </x:c>
      <x:c r="U168" s="2" t="n">
        <x:v>0</x:v>
      </x:c>
      <x:c r="V168" s="2" t="n">
        <x:v>4</x:v>
      </x:c>
      <x:c r="W168" s="2" t="n">
        <x:v>18</x:v>
      </x:c>
      <x:c r="X168" s="14" t="b">
        <x:v>0</x:v>
      </x:c>
      <x:c r="Y168" s="14" t="b">
        <x:v>0</x:v>
      </x:c>
      <x:c r="Z168" s="2" t="n">
        <x:f>ABS(T168-AA168)</x:f>
        <x:v>0</x:v>
      </x:c>
      <x:c r="AA168" s="2" t="n">
        <x:v>106</x:v>
      </x:c>
      <x:c r="AB168" s="2" t="n">
        <x:f>ABS(K168-W168)</x:f>
        <x:v>2</x:v>
      </x:c>
      <x:c r="AC168" s="2" t="n">
        <x:f>COUNTIF($A$2:$A$1921,A168)-1</x:f>
        <x:v>0</x:v>
      </x:c>
      <x:c r="AD168" s="2" t="n">
        <x:f>IF(AND(D168=D167,H168=H167,C168=C167+1),ABS(R168-T167),0)</x:f>
        <x:v>0</x:v>
      </x:c>
    </x:row>
    <x:row r="169" ht="23" customHeight="1">
      <x:c r="A169" s="2" t="str">
        <x:v>DEMO-103-0-8</x:v>
      </x:c>
      <x:c r="B169" s="15" t="d">
        <x:v>2026-06-22T00:00:00.000Z</x:v>
      </x:c>
      <x:c r="C169" s="2" t="n">
        <x:v>8</x:v>
      </x:c>
      <x:c r="D169" s="2" t="str">
        <x:v>DEMO-103</x:v>
      </x:c>
      <x:c r="E169" s="2" t="str">
        <x:v>Cloud Pen Set</x:v>
      </x:c>
      <x:c r="F169" s="2" t="str">
        <x:v>Stationery</x:v>
      </x:c>
      <x:c r="G169" s="2" t="str">
        <x:v>Stores</x:v>
      </x:c>
      <x:c r="H169" s="2" t="str">
        <x:v>North Arcade</x:v>
      </x:c>
      <x:c r="I169" s="2" t="n">
        <x:v>16</x:v>
      </x:c>
      <x:c r="J169" s="2" t="n">
        <x:v>1</x:v>
      </x:c>
      <x:c r="K169" s="2" t="n">
        <x:f>I169-J169</x:f>
        <x:v>15</x:v>
      </x:c>
      <x:c r="L169" s="16" t="n">
        <x:v>16</x:v>
      </x:c>
      <x:c r="M169" s="16" t="n">
        <x:v>16</x:v>
      </x:c>
      <x:c r="N169" s="16" t="n">
        <x:v>6.56</x:v>
      </x:c>
      <x:c r="O169" s="16" t="n">
        <x:f>K169*M169</x:f>
        <x:v>240</x:v>
      </x:c>
      <x:c r="P169" s="16" t="n">
        <x:f>K169*N169</x:f>
        <x:v>98.39999999999999</x:v>
      </x:c>
      <x:c r="Q169" s="16" t="n">
        <x:f>O169-P169</x:f>
        <x:v>141.60000000000002</x:v>
      </x:c>
      <x:c r="R169" s="2" t="n">
        <x:v>106</x:v>
      </x:c>
      <x:c r="S169" s="2" t="n">
        <x:v>0</x:v>
      </x:c>
      <x:c r="T169" s="2" t="n">
        <x:f>R169+S169+J169-I169</x:f>
        <x:v>91</x:v>
      </x:c>
      <x:c r="U169" s="2" t="n">
        <x:v>0</x:v>
      </x:c>
      <x:c r="V169" s="2" t="n">
        <x:v>4</x:v>
      </x:c>
      <x:c r="W169" s="2" t="n">
        <x:v>17</x:v>
      </x:c>
      <x:c r="X169" s="14" t="b">
        <x:v>0</x:v>
      </x:c>
      <x:c r="Y169" s="14" t="b">
        <x:v>0</x:v>
      </x:c>
      <x:c r="Z169" s="2" t="n">
        <x:f>ABS(T169-AA169)</x:f>
        <x:v>0</x:v>
      </x:c>
      <x:c r="AA169" s="2" t="n">
        <x:v>91</x:v>
      </x:c>
      <x:c r="AB169" s="2" t="n">
        <x:f>ABS(K169-W169)</x:f>
        <x:v>2</x:v>
      </x:c>
      <x:c r="AC169" s="2" t="n">
        <x:f>COUNTIF($A$2:$A$1921,A169)-1</x:f>
        <x:v>0</x:v>
      </x:c>
      <x:c r="AD169" s="2" t="n">
        <x:f>IF(AND(D169=D168,H169=H168,C169=C168+1),ABS(R169-T168),0)</x:f>
        <x:v>0</x:v>
      </x:c>
    </x:row>
    <x:row r="170" ht="23" customHeight="1">
      <x:c r="A170" s="2" t="str">
        <x:v>DEMO-103-0-9</x:v>
      </x:c>
      <x:c r="B170" s="15" t="d">
        <x:v>2026-06-29T00:00:00.000Z</x:v>
      </x:c>
      <x:c r="C170" s="2" t="n">
        <x:v>9</x:v>
      </x:c>
      <x:c r="D170" s="2" t="str">
        <x:v>DEMO-103</x:v>
      </x:c>
      <x:c r="E170" s="2" t="str">
        <x:v>Cloud Pen Set</x:v>
      </x:c>
      <x:c r="F170" s="2" t="str">
        <x:v>Stationery</x:v>
      </x:c>
      <x:c r="G170" s="2" t="str">
        <x:v>Stores</x:v>
      </x:c>
      <x:c r="H170" s="2" t="str">
        <x:v>North Arcade</x:v>
      </x:c>
      <x:c r="I170" s="2" t="n">
        <x:v>16</x:v>
      </x:c>
      <x:c r="J170" s="2" t="n">
        <x:v>0</x:v>
      </x:c>
      <x:c r="K170" s="2" t="n">
        <x:f>I170-J170</x:f>
        <x:v>16</x:v>
      </x:c>
      <x:c r="L170" s="16" t="n">
        <x:v>16</x:v>
      </x:c>
      <x:c r="M170" s="16" t="n">
        <x:v>16</x:v>
      </x:c>
      <x:c r="N170" s="16" t="n">
        <x:v>6.56</x:v>
      </x:c>
      <x:c r="O170" s="16" t="n">
        <x:f>K170*M170</x:f>
        <x:v>256</x:v>
      </x:c>
      <x:c r="P170" s="16" t="n">
        <x:f>K170*N170</x:f>
        <x:v>104.96</x:v>
      </x:c>
      <x:c r="Q170" s="16" t="n">
        <x:f>O170-P170</x:f>
        <x:v>151.04000000000002</x:v>
      </x:c>
      <x:c r="R170" s="2" t="n">
        <x:v>91</x:v>
      </x:c>
      <x:c r="S170" s="2" t="n">
        <x:v>71</x:v>
      </x:c>
      <x:c r="T170" s="2" t="n">
        <x:f>R170+S170+J170-I170</x:f>
        <x:v>146</x:v>
      </x:c>
      <x:c r="U170" s="2" t="n">
        <x:v>0</x:v>
      </x:c>
      <x:c r="V170" s="2" t="n">
        <x:v>4</x:v>
      </x:c>
      <x:c r="W170" s="2" t="n">
        <x:v>17</x:v>
      </x:c>
      <x:c r="X170" s="14" t="b">
        <x:v>0</x:v>
      </x:c>
      <x:c r="Y170" s="14" t="b">
        <x:v>0</x:v>
      </x:c>
      <x:c r="Z170" s="2" t="n">
        <x:f>ABS(T170-AA170)</x:f>
        <x:v>0</x:v>
      </x:c>
      <x:c r="AA170" s="2" t="n">
        <x:v>146</x:v>
      </x:c>
      <x:c r="AB170" s="2" t="n">
        <x:f>ABS(K170-W170)</x:f>
        <x:v>1</x:v>
      </x:c>
      <x:c r="AC170" s="2" t="n">
        <x:f>COUNTIF($A$2:$A$1921,A170)-1</x:f>
        <x:v>0</x:v>
      </x:c>
      <x:c r="AD170" s="2" t="n">
        <x:f>IF(AND(D170=D169,H170=H169,C170=C169+1),ABS(R170-T169),0)</x:f>
        <x:v>0</x:v>
      </x:c>
    </x:row>
    <x:row r="171" ht="23" customHeight="1">
      <x:c r="A171" s="2" t="str">
        <x:v>DEMO-103-0-10</x:v>
      </x:c>
      <x:c r="B171" s="15" t="d">
        <x:v>2026-07-06T00:00:00.000Z</x:v>
      </x:c>
      <x:c r="C171" s="2" t="n">
        <x:v>10</x:v>
      </x:c>
      <x:c r="D171" s="2" t="str">
        <x:v>DEMO-103</x:v>
      </x:c>
      <x:c r="E171" s="2" t="str">
        <x:v>Cloud Pen Set</x:v>
      </x:c>
      <x:c r="F171" s="2" t="str">
        <x:v>Stationery</x:v>
      </x:c>
      <x:c r="G171" s="2" t="str">
        <x:v>Stores</x:v>
      </x:c>
      <x:c r="H171" s="2" t="str">
        <x:v>North Arcade</x:v>
      </x:c>
      <x:c r="I171" s="2" t="n">
        <x:v>15</x:v>
      </x:c>
      <x:c r="J171" s="2" t="n">
        <x:v>0</x:v>
      </x:c>
      <x:c r="K171" s="2" t="n">
        <x:f>I171-J171</x:f>
        <x:v>15</x:v>
      </x:c>
      <x:c r="L171" s="16" t="n">
        <x:v>16</x:v>
      </x:c>
      <x:c r="M171" s="16" t="n">
        <x:v>16</x:v>
      </x:c>
      <x:c r="N171" s="16" t="n">
        <x:v>6.56</x:v>
      </x:c>
      <x:c r="O171" s="16" t="n">
        <x:f>K171*M171</x:f>
        <x:v>240</x:v>
      </x:c>
      <x:c r="P171" s="16" t="n">
        <x:f>K171*N171</x:f>
        <x:v>98.39999999999999</x:v>
      </x:c>
      <x:c r="Q171" s="16" t="n">
        <x:f>O171-P171</x:f>
        <x:v>141.60000000000002</x:v>
      </x:c>
      <x:c r="R171" s="2" t="n">
        <x:v>146</x:v>
      </x:c>
      <x:c r="S171" s="2" t="n">
        <x:v>0</x:v>
      </x:c>
      <x:c r="T171" s="2" t="n">
        <x:f>R171+S171+J171-I171</x:f>
        <x:v>131</x:v>
      </x:c>
      <x:c r="U171" s="2" t="n">
        <x:v>0</x:v>
      </x:c>
      <x:c r="V171" s="2" t="n">
        <x:v>4</x:v>
      </x:c>
      <x:c r="W171" s="2" t="n">
        <x:v>16</x:v>
      </x:c>
      <x:c r="X171" s="14" t="b">
        <x:v>0</x:v>
      </x:c>
      <x:c r="Y171" s="14" t="b">
        <x:v>0</x:v>
      </x:c>
      <x:c r="Z171" s="2" t="n">
        <x:f>ABS(T171-AA171)</x:f>
        <x:v>0</x:v>
      </x:c>
      <x:c r="AA171" s="2" t="n">
        <x:v>131</x:v>
      </x:c>
      <x:c r="AB171" s="2" t="n">
        <x:f>ABS(K171-W171)</x:f>
        <x:v>1</x:v>
      </x:c>
      <x:c r="AC171" s="2" t="n">
        <x:f>COUNTIF($A$2:$A$1921,A171)-1</x:f>
        <x:v>0</x:v>
      </x:c>
      <x:c r="AD171" s="2" t="n">
        <x:f>IF(AND(D171=D170,H171=H170,C171=C170+1),ABS(R171-T170),0)</x:f>
        <x:v>0</x:v>
      </x:c>
    </x:row>
    <x:row r="172" ht="23" customHeight="1">
      <x:c r="A172" s="2" t="str">
        <x:v>DEMO-103-0-11</x:v>
      </x:c>
      <x:c r="B172" s="15" t="d">
        <x:v>2026-07-13T00:00:00.000Z</x:v>
      </x:c>
      <x:c r="C172" s="2" t="n">
        <x:v>11</x:v>
      </x:c>
      <x:c r="D172" s="2" t="str">
        <x:v>DEMO-103</x:v>
      </x:c>
      <x:c r="E172" s="2" t="str">
        <x:v>Cloud Pen Set</x:v>
      </x:c>
      <x:c r="F172" s="2" t="str">
        <x:v>Stationery</x:v>
      </x:c>
      <x:c r="G172" s="2" t="str">
        <x:v>Stores</x:v>
      </x:c>
      <x:c r="H172" s="2" t="str">
        <x:v>North Arcade</x:v>
      </x:c>
      <x:c r="I172" s="2" t="n">
        <x:v>19</x:v>
      </x:c>
      <x:c r="J172" s="2" t="n">
        <x:v>0</x:v>
      </x:c>
      <x:c r="K172" s="2" t="n">
        <x:f>I172-J172</x:f>
        <x:v>19</x:v>
      </x:c>
      <x:c r="L172" s="16" t="n">
        <x:v>16</x:v>
      </x:c>
      <x:c r="M172" s="16" t="n">
        <x:v>16</x:v>
      </x:c>
      <x:c r="N172" s="16" t="n">
        <x:v>6.56</x:v>
      </x:c>
      <x:c r="O172" s="16" t="n">
        <x:f>K172*M172</x:f>
        <x:v>304</x:v>
      </x:c>
      <x:c r="P172" s="16" t="n">
        <x:f>K172*N172</x:f>
        <x:v>124.63999999999999</x:v>
      </x:c>
      <x:c r="Q172" s="16" t="n">
        <x:f>O172-P172</x:f>
        <x:v>179.36</x:v>
      </x:c>
      <x:c r="R172" s="2" t="n">
        <x:v>131</x:v>
      </x:c>
      <x:c r="S172" s="2" t="n">
        <x:v>0</x:v>
      </x:c>
      <x:c r="T172" s="2" t="n">
        <x:f>R172+S172+J172-I172</x:f>
        <x:v>112</x:v>
      </x:c>
      <x:c r="U172" s="2" t="n">
        <x:v>0</x:v>
      </x:c>
      <x:c r="V172" s="2" t="n">
        <x:v>4</x:v>
      </x:c>
      <x:c r="W172" s="2" t="n">
        <x:v>16</x:v>
      </x:c>
      <x:c r="X172" s="14" t="b">
        <x:v>0</x:v>
      </x:c>
      <x:c r="Y172" s="14" t="b">
        <x:v>0</x:v>
      </x:c>
      <x:c r="Z172" s="2" t="n">
        <x:f>ABS(T172-AA172)</x:f>
        <x:v>0</x:v>
      </x:c>
      <x:c r="AA172" s="2" t="n">
        <x:v>112</x:v>
      </x:c>
      <x:c r="AB172" s="2" t="n">
        <x:f>ABS(K172-W172)</x:f>
        <x:v>3</x:v>
      </x:c>
      <x:c r="AC172" s="2" t="n">
        <x:f>COUNTIF($A$2:$A$1921,A172)-1</x:f>
        <x:v>0</x:v>
      </x:c>
      <x:c r="AD172" s="2" t="n">
        <x:f>IF(AND(D172=D171,H172=H171,C172=C171+1),ABS(R172-T171),0)</x:f>
        <x:v>0</x:v>
      </x:c>
    </x:row>
    <x:row r="173" ht="23" customHeight="1">
      <x:c r="A173" s="2" t="str">
        <x:v>DEMO-103-0-12</x:v>
      </x:c>
      <x:c r="B173" s="15" t="d">
        <x:v>2026-07-20T00:00:00.000Z</x:v>
      </x:c>
      <x:c r="C173" s="2" t="n">
        <x:v>12</x:v>
      </x:c>
      <x:c r="D173" s="2" t="str">
        <x:v>DEMO-103</x:v>
      </x:c>
      <x:c r="E173" s="2" t="str">
        <x:v>Cloud Pen Set</x:v>
      </x:c>
      <x:c r="F173" s="2" t="str">
        <x:v>Stationery</x:v>
      </x:c>
      <x:c r="G173" s="2" t="str">
        <x:v>Stores</x:v>
      </x:c>
      <x:c r="H173" s="2" t="str">
        <x:v>North Arcade</x:v>
      </x:c>
      <x:c r="I173" s="2" t="n">
        <x:v>18</x:v>
      </x:c>
      <x:c r="J173" s="2" t="n">
        <x:v>0</x:v>
      </x:c>
      <x:c r="K173" s="2" t="n">
        <x:f>I173-J173</x:f>
        <x:v>18</x:v>
      </x:c>
      <x:c r="L173" s="16" t="n">
        <x:v>16</x:v>
      </x:c>
      <x:c r="M173" s="16" t="n">
        <x:v>16</x:v>
      </x:c>
      <x:c r="N173" s="16" t="n">
        <x:v>6.56</x:v>
      </x:c>
      <x:c r="O173" s="16" t="n">
        <x:f>K173*M173</x:f>
        <x:v>288</x:v>
      </x:c>
      <x:c r="P173" s="16" t="n">
        <x:f>K173*N173</x:f>
        <x:v>118.08</x:v>
      </x:c>
      <x:c r="Q173" s="16" t="n">
        <x:f>O173-P173</x:f>
        <x:v>169.92000000000002</x:v>
      </x:c>
      <x:c r="R173" s="2" t="n">
        <x:v>112</x:v>
      </x:c>
      <x:c r="S173" s="2" t="n">
        <x:v>0</x:v>
      </x:c>
      <x:c r="T173" s="2" t="n">
        <x:f>R173+S173+J173-I173</x:f>
        <x:v>94</x:v>
      </x:c>
      <x:c r="U173" s="2" t="n">
        <x:v>0</x:v>
      </x:c>
      <x:c r="V173" s="2" t="n">
        <x:v>4</x:v>
      </x:c>
      <x:c r="W173" s="2" t="n">
        <x:v>16</x:v>
      </x:c>
      <x:c r="X173" s="14" t="b">
        <x:v>0</x:v>
      </x:c>
      <x:c r="Y173" s="14" t="b">
        <x:v>0</x:v>
      </x:c>
      <x:c r="Z173" s="2" t="n">
        <x:f>ABS(T173-AA173)</x:f>
        <x:v>0</x:v>
      </x:c>
      <x:c r="AA173" s="2" t="n">
        <x:v>94</x:v>
      </x:c>
      <x:c r="AB173" s="2" t="n">
        <x:f>ABS(K173-W173)</x:f>
        <x:v>2</x:v>
      </x:c>
      <x:c r="AC173" s="2" t="n">
        <x:f>COUNTIF($A$2:$A$1921,A173)-1</x:f>
        <x:v>0</x:v>
      </x:c>
      <x:c r="AD173" s="2" t="n">
        <x:f>IF(AND(D173=D172,H173=H172,C173=C172+1),ABS(R173-T172),0)</x:f>
        <x:v>0</x:v>
      </x:c>
    </x:row>
    <x:row r="174" ht="23" customHeight="1">
      <x:c r="A174" s="2" t="str">
        <x:v>DEMO-103-0-13</x:v>
      </x:c>
      <x:c r="B174" s="15" t="d">
        <x:v>2026-07-27T00:00:00.000Z</x:v>
      </x:c>
      <x:c r="C174" s="2" t="n">
        <x:v>13</x:v>
      </x:c>
      <x:c r="D174" s="2" t="str">
        <x:v>DEMO-103</x:v>
      </x:c>
      <x:c r="E174" s="2" t="str">
        <x:v>Cloud Pen Set</x:v>
      </x:c>
      <x:c r="F174" s="2" t="str">
        <x:v>Stationery</x:v>
      </x:c>
      <x:c r="G174" s="2" t="str">
        <x:v>Stores</x:v>
      </x:c>
      <x:c r="H174" s="2" t="str">
        <x:v>North Arcade</x:v>
      </x:c>
      <x:c r="I174" s="2" t="n">
        <x:v>15</x:v>
      </x:c>
      <x:c r="J174" s="2" t="n">
        <x:v>1</x:v>
      </x:c>
      <x:c r="K174" s="2" t="n">
        <x:f>I174-J174</x:f>
        <x:v>14</x:v>
      </x:c>
      <x:c r="L174" s="16" t="n">
        <x:v>16</x:v>
      </x:c>
      <x:c r="M174" s="16" t="n">
        <x:v>16</x:v>
      </x:c>
      <x:c r="N174" s="16" t="n">
        <x:v>6.56</x:v>
      </x:c>
      <x:c r="O174" s="16" t="n">
        <x:f>K174*M174</x:f>
        <x:v>224</x:v>
      </x:c>
      <x:c r="P174" s="16" t="n">
        <x:f>K174*N174</x:f>
        <x:v>91.83999999999999</x:v>
      </x:c>
      <x:c r="Q174" s="16" t="n">
        <x:f>O174-P174</x:f>
        <x:v>132.16000000000003</x:v>
      </x:c>
      <x:c r="R174" s="2" t="n">
        <x:v>94</x:v>
      </x:c>
      <x:c r="S174" s="2" t="n">
        <x:v>71</x:v>
      </x:c>
      <x:c r="T174" s="2" t="n">
        <x:f>R174+S174+J174-I174</x:f>
        <x:v>151</x:v>
      </x:c>
      <x:c r="U174" s="2" t="n">
        <x:v>0</x:v>
      </x:c>
      <x:c r="V174" s="2" t="n">
        <x:v>4</x:v>
      </x:c>
      <x:c r="W174" s="2" t="n">
        <x:v>17</x:v>
      </x:c>
      <x:c r="X174" s="14" t="b">
        <x:v>0</x:v>
      </x:c>
      <x:c r="Y174" s="14" t="b">
        <x:v>0</x:v>
      </x:c>
      <x:c r="Z174" s="2" t="n">
        <x:f>ABS(T174-AA174)</x:f>
        <x:v>0</x:v>
      </x:c>
      <x:c r="AA174" s="2" t="n">
        <x:v>151</x:v>
      </x:c>
      <x:c r="AB174" s="2" t="n">
        <x:f>ABS(K174-W174)</x:f>
        <x:v>3</x:v>
      </x:c>
      <x:c r="AC174" s="2" t="n">
        <x:f>COUNTIF($A$2:$A$1921,A174)-1</x:f>
        <x:v>0</x:v>
      </x:c>
      <x:c r="AD174" s="2" t="n">
        <x:f>IF(AND(D174=D173,H174=H173,C174=C173+1),ABS(R174-T173),0)</x:f>
        <x:v>0</x:v>
      </x:c>
    </x:row>
    <x:row r="175" ht="23" customHeight="1">
      <x:c r="A175" s="2" t="str">
        <x:v>DEMO-103-0-14</x:v>
      </x:c>
      <x:c r="B175" s="15" t="d">
        <x:v>2026-08-03T00:00:00.000Z</x:v>
      </x:c>
      <x:c r="C175" s="2" t="n">
        <x:v>14</x:v>
      </x:c>
      <x:c r="D175" s="2" t="str">
        <x:v>DEMO-103</x:v>
      </x:c>
      <x:c r="E175" s="2" t="str">
        <x:v>Cloud Pen Set</x:v>
      </x:c>
      <x:c r="F175" s="2" t="str">
        <x:v>Stationery</x:v>
      </x:c>
      <x:c r="G175" s="2" t="str">
        <x:v>Stores</x:v>
      </x:c>
      <x:c r="H175" s="2" t="str">
        <x:v>North Arcade</x:v>
      </x:c>
      <x:c r="I175" s="2" t="n">
        <x:v>19</x:v>
      </x:c>
      <x:c r="J175" s="2" t="n">
        <x:v>0</x:v>
      </x:c>
      <x:c r="K175" s="2" t="n">
        <x:f>I175-J175</x:f>
        <x:v>19</x:v>
      </x:c>
      <x:c r="L175" s="16" t="n">
        <x:v>16</x:v>
      </x:c>
      <x:c r="M175" s="16" t="n">
        <x:v>16</x:v>
      </x:c>
      <x:c r="N175" s="16" t="n">
        <x:v>6.56</x:v>
      </x:c>
      <x:c r="O175" s="16" t="n">
        <x:f>K175*M175</x:f>
        <x:v>304</x:v>
      </x:c>
      <x:c r="P175" s="16" t="n">
        <x:f>K175*N175</x:f>
        <x:v>124.63999999999999</x:v>
      </x:c>
      <x:c r="Q175" s="16" t="n">
        <x:f>O175-P175</x:f>
        <x:v>179.36</x:v>
      </x:c>
      <x:c r="R175" s="2" t="n">
        <x:v>151</x:v>
      </x:c>
      <x:c r="S175" s="2" t="n">
        <x:v>0</x:v>
      </x:c>
      <x:c r="T175" s="2" t="n">
        <x:f>R175+S175+J175-I175</x:f>
        <x:v>132</x:v>
      </x:c>
      <x:c r="U175" s="2" t="n">
        <x:v>0</x:v>
      </x:c>
      <x:c r="V175" s="2" t="n">
        <x:v>4</x:v>
      </x:c>
      <x:c r="W175" s="2" t="n">
        <x:v>17</x:v>
      </x:c>
      <x:c r="X175" s="14" t="b">
        <x:v>0</x:v>
      </x:c>
      <x:c r="Y175" s="14" t="b">
        <x:v>0</x:v>
      </x:c>
      <x:c r="Z175" s="2" t="n">
        <x:f>ABS(T175-AA175)</x:f>
        <x:v>0</x:v>
      </x:c>
      <x:c r="AA175" s="2" t="n">
        <x:v>132</x:v>
      </x:c>
      <x:c r="AB175" s="2" t="n">
        <x:f>ABS(K175-W175)</x:f>
        <x:v>2</x:v>
      </x:c>
      <x:c r="AC175" s="2" t="n">
        <x:f>COUNTIF($A$2:$A$1921,A175)-1</x:f>
        <x:v>0</x:v>
      </x:c>
      <x:c r="AD175" s="2" t="n">
        <x:f>IF(AND(D175=D174,H175=H174,C175=C174+1),ABS(R175-T174),0)</x:f>
        <x:v>0</x:v>
      </x:c>
    </x:row>
    <x:row r="176" ht="23" customHeight="1">
      <x:c r="A176" s="2" t="str">
        <x:v>DEMO-103-0-15</x:v>
      </x:c>
      <x:c r="B176" s="15" t="d">
        <x:v>2026-08-10T00:00:00.000Z</x:v>
      </x:c>
      <x:c r="C176" s="2" t="n">
        <x:v>15</x:v>
      </x:c>
      <x:c r="D176" s="2" t="str">
        <x:v>DEMO-103</x:v>
      </x:c>
      <x:c r="E176" s="2" t="str">
        <x:v>Cloud Pen Set</x:v>
      </x:c>
      <x:c r="F176" s="2" t="str">
        <x:v>Stationery</x:v>
      </x:c>
      <x:c r="G176" s="2" t="str">
        <x:v>Stores</x:v>
      </x:c>
      <x:c r="H176" s="2" t="str">
        <x:v>North Arcade</x:v>
      </x:c>
      <x:c r="I176" s="2" t="n">
        <x:v>14</x:v>
      </x:c>
      <x:c r="J176" s="2" t="n">
        <x:v>0</x:v>
      </x:c>
      <x:c r="K176" s="2" t="n">
        <x:f>I176-J176</x:f>
        <x:v>14</x:v>
      </x:c>
      <x:c r="L176" s="16" t="n">
        <x:v>16</x:v>
      </x:c>
      <x:c r="M176" s="16" t="n">
        <x:v>16</x:v>
      </x:c>
      <x:c r="N176" s="16" t="n">
        <x:v>6.56</x:v>
      </x:c>
      <x:c r="O176" s="16" t="n">
        <x:f>K176*M176</x:f>
        <x:v>224</x:v>
      </x:c>
      <x:c r="P176" s="16" t="n">
        <x:f>K176*N176</x:f>
        <x:v>91.83999999999999</x:v>
      </x:c>
      <x:c r="Q176" s="16" t="n">
        <x:f>O176-P176</x:f>
        <x:v>132.16000000000003</x:v>
      </x:c>
      <x:c r="R176" s="2" t="n">
        <x:v>132</x:v>
      </x:c>
      <x:c r="S176" s="2" t="n">
        <x:v>0</x:v>
      </x:c>
      <x:c r="T176" s="2" t="n">
        <x:f>R176+S176+J176-I176</x:f>
        <x:v>118</x:v>
      </x:c>
      <x:c r="U176" s="2" t="n">
        <x:v>0</x:v>
      </x:c>
      <x:c r="V176" s="2" t="n">
        <x:v>4</x:v>
      </x:c>
      <x:c r="W176" s="2" t="n">
        <x:v>18</x:v>
      </x:c>
      <x:c r="X176" s="14" t="b">
        <x:v>0</x:v>
      </x:c>
      <x:c r="Y176" s="14" t="b">
        <x:v>0</x:v>
      </x:c>
      <x:c r="Z176" s="2" t="n">
        <x:f>ABS(T176-AA176)</x:f>
        <x:v>0</x:v>
      </x:c>
      <x:c r="AA176" s="2" t="n">
        <x:v>118</x:v>
      </x:c>
      <x:c r="AB176" s="2" t="n">
        <x:f>ABS(K176-W176)</x:f>
        <x:v>4</x:v>
      </x:c>
      <x:c r="AC176" s="2" t="n">
        <x:f>COUNTIF($A$2:$A$1921,A176)-1</x:f>
        <x:v>0</x:v>
      </x:c>
      <x:c r="AD176" s="2" t="n">
        <x:f>IF(AND(D176=D175,H176=H175,C176=C175+1),ABS(R176-T175),0)</x:f>
        <x:v>0</x:v>
      </x:c>
    </x:row>
    <x:row r="177" ht="23" customHeight="1">
      <x:c r="A177" s="2" t="str">
        <x:v>DEMO-103-0-16</x:v>
      </x:c>
      <x:c r="B177" s="15" t="d">
        <x:v>2026-08-17T00:00:00.000Z</x:v>
      </x:c>
      <x:c r="C177" s="2" t="n">
        <x:v>16</x:v>
      </x:c>
      <x:c r="D177" s="2" t="str">
        <x:v>DEMO-103</x:v>
      </x:c>
      <x:c r="E177" s="2" t="str">
        <x:v>Cloud Pen Set</x:v>
      </x:c>
      <x:c r="F177" s="2" t="str">
        <x:v>Stationery</x:v>
      </x:c>
      <x:c r="G177" s="2" t="str">
        <x:v>Stores</x:v>
      </x:c>
      <x:c r="H177" s="2" t="str">
        <x:v>North Arcade</x:v>
      </x:c>
      <x:c r="I177" s="2" t="n">
        <x:v>14</x:v>
      </x:c>
      <x:c r="J177" s="2" t="n">
        <x:v>0</x:v>
      </x:c>
      <x:c r="K177" s="2" t="n">
        <x:f>I177-J177</x:f>
        <x:v>14</x:v>
      </x:c>
      <x:c r="L177" s="16" t="n">
        <x:v>16</x:v>
      </x:c>
      <x:c r="M177" s="16" t="n">
        <x:v>16</x:v>
      </x:c>
      <x:c r="N177" s="16" t="n">
        <x:v>6.56</x:v>
      </x:c>
      <x:c r="O177" s="16" t="n">
        <x:f>K177*M177</x:f>
        <x:v>224</x:v>
      </x:c>
      <x:c r="P177" s="16" t="n">
        <x:f>K177*N177</x:f>
        <x:v>91.83999999999999</x:v>
      </x:c>
      <x:c r="Q177" s="16" t="n">
        <x:f>O177-P177</x:f>
        <x:v>132.16000000000003</x:v>
      </x:c>
      <x:c r="R177" s="2" t="n">
        <x:v>118</x:v>
      </x:c>
      <x:c r="S177" s="2" t="n">
        <x:v>0</x:v>
      </x:c>
      <x:c r="T177" s="2" t="n">
        <x:f>R177+S177+J177-I177</x:f>
        <x:v>104</x:v>
      </x:c>
      <x:c r="U177" s="2" t="n">
        <x:v>0</x:v>
      </x:c>
      <x:c r="V177" s="2" t="n">
        <x:v>4</x:v>
      </x:c>
      <x:c r="W177" s="2" t="n">
        <x:v>16</x:v>
      </x:c>
      <x:c r="X177" s="14" t="b">
        <x:v>0</x:v>
      </x:c>
      <x:c r="Y177" s="14" t="b">
        <x:v>0</x:v>
      </x:c>
      <x:c r="Z177" s="2" t="n">
        <x:f>ABS(T177-AA177)</x:f>
        <x:v>0</x:v>
      </x:c>
      <x:c r="AA177" s="2" t="n">
        <x:v>104</x:v>
      </x:c>
      <x:c r="AB177" s="2" t="n">
        <x:f>ABS(K177-W177)</x:f>
        <x:v>2</x:v>
      </x:c>
      <x:c r="AC177" s="2" t="n">
        <x:f>COUNTIF($A$2:$A$1921,A177)-1</x:f>
        <x:v>0</x:v>
      </x:c>
      <x:c r="AD177" s="2" t="n">
        <x:f>IF(AND(D177=D176,H177=H176,C177=C176+1),ABS(R177-T176),0)</x:f>
        <x:v>0</x:v>
      </x:c>
    </x:row>
    <x:row r="178" ht="23" customHeight="1">
      <x:c r="A178" s="2" t="str">
        <x:v>DEMO-103-0-17</x:v>
      </x:c>
      <x:c r="B178" s="15" t="d">
        <x:v>2026-08-24T00:00:00.000Z</x:v>
      </x:c>
      <x:c r="C178" s="2" t="n">
        <x:v>17</x:v>
      </x:c>
      <x:c r="D178" s="2" t="str">
        <x:v>DEMO-103</x:v>
      </x:c>
      <x:c r="E178" s="2" t="str">
        <x:v>Cloud Pen Set</x:v>
      </x:c>
      <x:c r="F178" s="2" t="str">
        <x:v>Stationery</x:v>
      </x:c>
      <x:c r="G178" s="2" t="str">
        <x:v>Stores</x:v>
      </x:c>
      <x:c r="H178" s="2" t="str">
        <x:v>North Arcade</x:v>
      </x:c>
      <x:c r="I178" s="2" t="n">
        <x:v>20</x:v>
      </x:c>
      <x:c r="J178" s="2" t="n">
        <x:v>0</x:v>
      </x:c>
      <x:c r="K178" s="2" t="n">
        <x:f>I178-J178</x:f>
        <x:v>20</x:v>
      </x:c>
      <x:c r="L178" s="16" t="n">
        <x:v>16</x:v>
      </x:c>
      <x:c r="M178" s="16" t="n">
        <x:v>16</x:v>
      </x:c>
      <x:c r="N178" s="16" t="n">
        <x:v>6.56</x:v>
      </x:c>
      <x:c r="O178" s="16" t="n">
        <x:f>K178*M178</x:f>
        <x:v>320</x:v>
      </x:c>
      <x:c r="P178" s="16" t="n">
        <x:f>K178*N178</x:f>
        <x:v>131.2</x:v>
      </x:c>
      <x:c r="Q178" s="16" t="n">
        <x:f>O178-P178</x:f>
        <x:v>188.8</x:v>
      </x:c>
      <x:c r="R178" s="2" t="n">
        <x:v>104</x:v>
      </x:c>
      <x:c r="S178" s="2" t="n">
        <x:v>71</x:v>
      </x:c>
      <x:c r="T178" s="2" t="n">
        <x:f>R178+S178+J178-I178</x:f>
        <x:v>155</x:v>
      </x:c>
      <x:c r="U178" s="2" t="n">
        <x:v>0</x:v>
      </x:c>
      <x:c r="V178" s="2" t="n">
        <x:v>4</x:v>
      </x:c>
      <x:c r="W178" s="2" t="n">
        <x:v>15</x:v>
      </x:c>
      <x:c r="X178" s="14" t="b">
        <x:v>0</x:v>
      </x:c>
      <x:c r="Y178" s="14" t="b">
        <x:v>0</x:v>
      </x:c>
      <x:c r="Z178" s="2" t="n">
        <x:f>ABS(T178-AA178)</x:f>
        <x:v>0</x:v>
      </x:c>
      <x:c r="AA178" s="2" t="n">
        <x:v>155</x:v>
      </x:c>
      <x:c r="AB178" s="2" t="n">
        <x:f>ABS(K178-W178)</x:f>
        <x:v>5</x:v>
      </x:c>
      <x:c r="AC178" s="2" t="n">
        <x:f>COUNTIF($A$2:$A$1921,A178)-1</x:f>
        <x:v>0</x:v>
      </x:c>
      <x:c r="AD178" s="2" t="n">
        <x:f>IF(AND(D178=D177,H178=H177,C178=C177+1),ABS(R178-T177),0)</x:f>
        <x:v>0</x:v>
      </x:c>
    </x:row>
    <x:row r="179" ht="23" customHeight="1">
      <x:c r="A179" s="2" t="str">
        <x:v>DEMO-103-0-18</x:v>
      </x:c>
      <x:c r="B179" s="15" t="d">
        <x:v>2026-08-31T00:00:00.000Z</x:v>
      </x:c>
      <x:c r="C179" s="2" t="n">
        <x:v>18</x:v>
      </x:c>
      <x:c r="D179" s="2" t="str">
        <x:v>DEMO-103</x:v>
      </x:c>
      <x:c r="E179" s="2" t="str">
        <x:v>Cloud Pen Set</x:v>
      </x:c>
      <x:c r="F179" s="2" t="str">
        <x:v>Stationery</x:v>
      </x:c>
      <x:c r="G179" s="2" t="str">
        <x:v>Stores</x:v>
      </x:c>
      <x:c r="H179" s="2" t="str">
        <x:v>North Arcade</x:v>
      </x:c>
      <x:c r="I179" s="2" t="n">
        <x:v>16</x:v>
      </x:c>
      <x:c r="J179" s="2" t="n">
        <x:v>0</x:v>
      </x:c>
      <x:c r="K179" s="2" t="n">
        <x:f>I179-J179</x:f>
        <x:v>16</x:v>
      </x:c>
      <x:c r="L179" s="16" t="n">
        <x:v>16</x:v>
      </x:c>
      <x:c r="M179" s="16" t="n">
        <x:v>16</x:v>
      </x:c>
      <x:c r="N179" s="16" t="n">
        <x:v>6.56</x:v>
      </x:c>
      <x:c r="O179" s="16" t="n">
        <x:f>K179*M179</x:f>
        <x:v>256</x:v>
      </x:c>
      <x:c r="P179" s="16" t="n">
        <x:f>K179*N179</x:f>
        <x:v>104.96</x:v>
      </x:c>
      <x:c r="Q179" s="16" t="n">
        <x:f>O179-P179</x:f>
        <x:v>151.04000000000002</x:v>
      </x:c>
      <x:c r="R179" s="2" t="n">
        <x:v>155</x:v>
      </x:c>
      <x:c r="S179" s="2" t="n">
        <x:v>0</x:v>
      </x:c>
      <x:c r="T179" s="2" t="n">
        <x:f>R179+S179+J179-I179</x:f>
        <x:v>139</x:v>
      </x:c>
      <x:c r="U179" s="2" t="n">
        <x:v>0</x:v>
      </x:c>
      <x:c r="V179" s="2" t="n">
        <x:v>4</x:v>
      </x:c>
      <x:c r="W179" s="2" t="n">
        <x:v>17</x:v>
      </x:c>
      <x:c r="X179" s="14" t="b">
        <x:v>0</x:v>
      </x:c>
      <x:c r="Y179" s="14" t="b">
        <x:v>0</x:v>
      </x:c>
      <x:c r="Z179" s="2" t="n">
        <x:f>ABS(T179-AA179)</x:f>
        <x:v>0</x:v>
      </x:c>
      <x:c r="AA179" s="2" t="n">
        <x:v>139</x:v>
      </x:c>
      <x:c r="AB179" s="2" t="n">
        <x:f>ABS(K179-W179)</x:f>
        <x:v>1</x:v>
      </x:c>
      <x:c r="AC179" s="2" t="n">
        <x:f>COUNTIF($A$2:$A$1921,A179)-1</x:f>
        <x:v>0</x:v>
      </x:c>
      <x:c r="AD179" s="2" t="n">
        <x:f>IF(AND(D179=D178,H179=H178,C179=C178+1),ABS(R179-T178),0)</x:f>
        <x:v>0</x:v>
      </x:c>
    </x:row>
    <x:row r="180" ht="23" customHeight="1">
      <x:c r="A180" s="2" t="str">
        <x:v>DEMO-103-0-19</x:v>
      </x:c>
      <x:c r="B180" s="15" t="d">
        <x:v>2026-09-07T00:00:00.000Z</x:v>
      </x:c>
      <x:c r="C180" s="2" t="n">
        <x:v>19</x:v>
      </x:c>
      <x:c r="D180" s="2" t="str">
        <x:v>DEMO-103</x:v>
      </x:c>
      <x:c r="E180" s="2" t="str">
        <x:v>Cloud Pen Set</x:v>
      </x:c>
      <x:c r="F180" s="2" t="str">
        <x:v>Stationery</x:v>
      </x:c>
      <x:c r="G180" s="2" t="str">
        <x:v>Stores</x:v>
      </x:c>
      <x:c r="H180" s="2" t="str">
        <x:v>North Arcade</x:v>
      </x:c>
      <x:c r="I180" s="2" t="n">
        <x:v>14</x:v>
      </x:c>
      <x:c r="J180" s="2" t="n">
        <x:v>0</x:v>
      </x:c>
      <x:c r="K180" s="2" t="n">
        <x:f>I180-J180</x:f>
        <x:v>14</x:v>
      </x:c>
      <x:c r="L180" s="16" t="n">
        <x:v>16</x:v>
      </x:c>
      <x:c r="M180" s="16" t="n">
        <x:v>16</x:v>
      </x:c>
      <x:c r="N180" s="16" t="n">
        <x:v>6.56</x:v>
      </x:c>
      <x:c r="O180" s="16" t="n">
        <x:f>K180*M180</x:f>
        <x:v>224</x:v>
      </x:c>
      <x:c r="P180" s="16" t="n">
        <x:f>K180*N180</x:f>
        <x:v>91.83999999999999</x:v>
      </x:c>
      <x:c r="Q180" s="16" t="n">
        <x:f>O180-P180</x:f>
        <x:v>132.16000000000003</x:v>
      </x:c>
      <x:c r="R180" s="2" t="n">
        <x:v>139</x:v>
      </x:c>
      <x:c r="S180" s="2" t="n">
        <x:v>0</x:v>
      </x:c>
      <x:c r="T180" s="2" t="n">
        <x:f>R180+S180+J180-I180</x:f>
        <x:v>125</x:v>
      </x:c>
      <x:c r="U180" s="2" t="n">
        <x:v>0</x:v>
      </x:c>
      <x:c r="V180" s="2" t="n">
        <x:v>4</x:v>
      </x:c>
      <x:c r="W180" s="2" t="n">
        <x:v>16</x:v>
      </x:c>
      <x:c r="X180" s="14" t="b">
        <x:v>0</x:v>
      </x:c>
      <x:c r="Y180" s="14" t="b">
        <x:v>0</x:v>
      </x:c>
      <x:c r="Z180" s="2" t="n">
        <x:f>ABS(T180-AA180)</x:f>
        <x:v>0</x:v>
      </x:c>
      <x:c r="AA180" s="2" t="n">
        <x:v>125</x:v>
      </x:c>
      <x:c r="AB180" s="2" t="n">
        <x:f>ABS(K180-W180)</x:f>
        <x:v>2</x:v>
      </x:c>
      <x:c r="AC180" s="2" t="n">
        <x:f>COUNTIF($A$2:$A$1921,A180)-1</x:f>
        <x:v>0</x:v>
      </x:c>
      <x:c r="AD180" s="2" t="n">
        <x:f>IF(AND(D180=D179,H180=H179,C180=C179+1),ABS(R180-T179),0)</x:f>
        <x:v>0</x:v>
      </x:c>
    </x:row>
    <x:row r="181" ht="23" customHeight="1">
      <x:c r="A181" s="2" t="str">
        <x:v>DEMO-103-0-20</x:v>
      </x:c>
      <x:c r="B181" s="15" t="d">
        <x:v>2026-09-14T00:00:00.000Z</x:v>
      </x:c>
      <x:c r="C181" s="2" t="n">
        <x:v>20</x:v>
      </x:c>
      <x:c r="D181" s="2" t="str">
        <x:v>DEMO-103</x:v>
      </x:c>
      <x:c r="E181" s="2" t="str">
        <x:v>Cloud Pen Set</x:v>
      </x:c>
      <x:c r="F181" s="2" t="str">
        <x:v>Stationery</x:v>
      </x:c>
      <x:c r="G181" s="2" t="str">
        <x:v>Stores</x:v>
      </x:c>
      <x:c r="H181" s="2" t="str">
        <x:v>North Arcade</x:v>
      </x:c>
      <x:c r="I181" s="2" t="n">
        <x:v>19</x:v>
      </x:c>
      <x:c r="J181" s="2" t="n">
        <x:v>0</x:v>
      </x:c>
      <x:c r="K181" s="2" t="n">
        <x:f>I181-J181</x:f>
        <x:v>19</x:v>
      </x:c>
      <x:c r="L181" s="16" t="n">
        <x:v>16</x:v>
      </x:c>
      <x:c r="M181" s="16" t="n">
        <x:v>16</x:v>
      </x:c>
      <x:c r="N181" s="16" t="n">
        <x:v>6.56</x:v>
      </x:c>
      <x:c r="O181" s="16" t="n">
        <x:f>K181*M181</x:f>
        <x:v>304</x:v>
      </x:c>
      <x:c r="P181" s="16" t="n">
        <x:f>K181*N181</x:f>
        <x:v>124.63999999999999</x:v>
      </x:c>
      <x:c r="Q181" s="16" t="n">
        <x:f>O181-P181</x:f>
        <x:v>179.36</x:v>
      </x:c>
      <x:c r="R181" s="2" t="n">
        <x:v>125</x:v>
      </x:c>
      <x:c r="S181" s="2" t="n">
        <x:v>0</x:v>
      </x:c>
      <x:c r="T181" s="2" t="n">
        <x:f>R181+S181+J181-I181</x:f>
        <x:v>106</x:v>
      </x:c>
      <x:c r="U181" s="2" t="n">
        <x:v>18</x:v>
      </x:c>
      <x:c r="V181" s="2" t="n">
        <x:v>4</x:v>
      </x:c>
      <x:c r="W181" s="2" t="n">
        <x:v>16</x:v>
      </x:c>
      <x:c r="X181" s="14" t="b">
        <x:v>0</x:v>
      </x:c>
      <x:c r="Y181" s="14" t="b">
        <x:v>0</x:v>
      </x:c>
      <x:c r="Z181" s="2" t="n">
        <x:f>ABS(T181-AA181)</x:f>
        <x:v>0</x:v>
      </x:c>
      <x:c r="AA181" s="2" t="n">
        <x:v>106</x:v>
      </x:c>
      <x:c r="AB181" s="2" t="n">
        <x:f>ABS(K181-W181)</x:f>
        <x:v>3</x:v>
      </x:c>
      <x:c r="AC181" s="2" t="n">
        <x:f>COUNTIF($A$2:$A$1921,A181)-1</x:f>
        <x:v>0</x:v>
      </x:c>
      <x:c r="AD181" s="2" t="n">
        <x:f>IF(AND(D181=D180,H181=H180,C181=C180+1),ABS(R181-T180),0)</x:f>
        <x:v>0</x:v>
      </x:c>
    </x:row>
    <x:row r="182" ht="23" customHeight="1">
      <x:c r="A182" s="2" t="str">
        <x:v>DEMO-103-1-1</x:v>
      </x:c>
      <x:c r="B182" s="15" t="d">
        <x:v>2026-05-04T00:00:00.000Z</x:v>
      </x:c>
      <x:c r="C182" s="2" t="n">
        <x:v>1</x:v>
      </x:c>
      <x:c r="D182" s="2" t="str">
        <x:v>DEMO-103</x:v>
      </x:c>
      <x:c r="E182" s="2" t="str">
        <x:v>Cloud Pen Set</x:v>
      </x:c>
      <x:c r="F182" s="2" t="str">
        <x:v>Stationery</x:v>
      </x:c>
      <x:c r="G182" s="2" t="str">
        <x:v>Stores</x:v>
      </x:c>
      <x:c r="H182" s="2" t="str">
        <x:v>Riverside</x:v>
      </x:c>
      <x:c r="I182" s="2" t="n">
        <x:v>19</x:v>
      </x:c>
      <x:c r="J182" s="2" t="n">
        <x:v>1</x:v>
      </x:c>
      <x:c r="K182" s="2" t="n">
        <x:f>I182-J182</x:f>
        <x:v>18</x:v>
      </x:c>
      <x:c r="L182" s="16" t="n">
        <x:v>16</x:v>
      </x:c>
      <x:c r="M182" s="16" t="n">
        <x:v>16</x:v>
      </x:c>
      <x:c r="N182" s="16" t="n">
        <x:v>6.56</x:v>
      </x:c>
      <x:c r="O182" s="16" t="n">
        <x:f>K182*M182</x:f>
        <x:v>288</x:v>
      </x:c>
      <x:c r="P182" s="16" t="n">
        <x:f>K182*N182</x:f>
        <x:v>118.08</x:v>
      </x:c>
      <x:c r="Q182" s="16" t="n">
        <x:f>O182-P182</x:f>
        <x:v>169.92000000000002</x:v>
      </x:c>
      <x:c r="R182" s="2" t="n">
        <x:v>90</x:v>
      </x:c>
      <x:c r="S182" s="2" t="n">
        <x:v>71</x:v>
      </x:c>
      <x:c r="T182" s="2" t="n">
        <x:f>R182+S182+J182-I182</x:f>
        <x:v>143</x:v>
      </x:c>
      <x:c r="U182" s="2" t="n">
        <x:v>0</x:v>
      </x:c>
      <x:c r="V182" s="2" t="n">
        <x:v>4</x:v>
      </x:c>
      <x:c r="W182" s="2" t="n">
        <x:v>17</x:v>
      </x:c>
      <x:c r="X182" s="14" t="b">
        <x:v>0</x:v>
      </x:c>
      <x:c r="Y182" s="14" t="b">
        <x:v>0</x:v>
      </x:c>
      <x:c r="Z182" s="2" t="n">
        <x:f>ABS(T182-AA182)</x:f>
        <x:v>0</x:v>
      </x:c>
      <x:c r="AA182" s="2" t="n">
        <x:v>143</x:v>
      </x:c>
      <x:c r="AB182" s="2" t="n">
        <x:f>ABS(K182-W182)</x:f>
        <x:v>1</x:v>
      </x:c>
      <x:c r="AC182" s="2" t="n">
        <x:f>COUNTIF($A$2:$A$1921,A182)-1</x:f>
        <x:v>0</x:v>
      </x:c>
      <x:c r="AD182" s="2" t="n">
        <x:f>IF(AND(D182=D181,H182=H181,C182=C181+1),ABS(R182-T181),0)</x:f>
        <x:v>0</x:v>
      </x:c>
    </x:row>
    <x:row r="183" ht="23" customHeight="1">
      <x:c r="A183" s="2" t="str">
        <x:v>DEMO-103-1-2</x:v>
      </x:c>
      <x:c r="B183" s="15" t="d">
        <x:v>2026-05-11T00:00:00.000Z</x:v>
      </x:c>
      <x:c r="C183" s="2" t="n">
        <x:v>2</x:v>
      </x:c>
      <x:c r="D183" s="2" t="str">
        <x:v>DEMO-103</x:v>
      </x:c>
      <x:c r="E183" s="2" t="str">
        <x:v>Cloud Pen Set</x:v>
      </x:c>
      <x:c r="F183" s="2" t="str">
        <x:v>Stationery</x:v>
      </x:c>
      <x:c r="G183" s="2" t="str">
        <x:v>Stores</x:v>
      </x:c>
      <x:c r="H183" s="2" t="str">
        <x:v>Riverside</x:v>
      </x:c>
      <x:c r="I183" s="2" t="n">
        <x:v>19</x:v>
      </x:c>
      <x:c r="J183" s="2" t="n">
        <x:v>0</x:v>
      </x:c>
      <x:c r="K183" s="2" t="n">
        <x:f>I183-J183</x:f>
        <x:v>19</x:v>
      </x:c>
      <x:c r="L183" s="16" t="n">
        <x:v>16</x:v>
      </x:c>
      <x:c r="M183" s="16" t="n">
        <x:v>16</x:v>
      </x:c>
      <x:c r="N183" s="16" t="n">
        <x:v>6.56</x:v>
      </x:c>
      <x:c r="O183" s="16" t="n">
        <x:f>K183*M183</x:f>
        <x:v>304</x:v>
      </x:c>
      <x:c r="P183" s="16" t="n">
        <x:f>K183*N183</x:f>
        <x:v>124.63999999999999</x:v>
      </x:c>
      <x:c r="Q183" s="16" t="n">
        <x:f>O183-P183</x:f>
        <x:v>179.36</x:v>
      </x:c>
      <x:c r="R183" s="2" t="n">
        <x:v>143</x:v>
      </x:c>
      <x:c r="S183" s="2" t="n">
        <x:v>0</x:v>
      </x:c>
      <x:c r="T183" s="2" t="n">
        <x:f>R183+S183+J183-I183</x:f>
        <x:v>124</x:v>
      </x:c>
      <x:c r="U183" s="2" t="n">
        <x:v>0</x:v>
      </x:c>
      <x:c r="V183" s="2" t="n">
        <x:v>4</x:v>
      </x:c>
      <x:c r="W183" s="2" t="n">
        <x:v>18</x:v>
      </x:c>
      <x:c r="X183" s="14" t="b">
        <x:v>0</x:v>
      </x:c>
      <x:c r="Y183" s="14" t="b">
        <x:v>0</x:v>
      </x:c>
      <x:c r="Z183" s="2" t="n">
        <x:f>ABS(T183-AA183)</x:f>
        <x:v>0</x:v>
      </x:c>
      <x:c r="AA183" s="2" t="n">
        <x:v>124</x:v>
      </x:c>
      <x:c r="AB183" s="2" t="n">
        <x:f>ABS(K183-W183)</x:f>
        <x:v>1</x:v>
      </x:c>
      <x:c r="AC183" s="2" t="n">
        <x:f>COUNTIF($A$2:$A$1921,A183)-1</x:f>
        <x:v>0</x:v>
      </x:c>
      <x:c r="AD183" s="2" t="n">
        <x:f>IF(AND(D183=D182,H183=H182,C183=C182+1),ABS(R183-T182),0)</x:f>
        <x:v>0</x:v>
      </x:c>
    </x:row>
    <x:row r="184" ht="23" customHeight="1">
      <x:c r="A184" s="2" t="str">
        <x:v>DEMO-103-1-3</x:v>
      </x:c>
      <x:c r="B184" s="15" t="d">
        <x:v>2026-05-18T00:00:00.000Z</x:v>
      </x:c>
      <x:c r="C184" s="2" t="n">
        <x:v>3</x:v>
      </x:c>
      <x:c r="D184" s="2" t="str">
        <x:v>DEMO-103</x:v>
      </x:c>
      <x:c r="E184" s="2" t="str">
        <x:v>Cloud Pen Set</x:v>
      </x:c>
      <x:c r="F184" s="2" t="str">
        <x:v>Stationery</x:v>
      </x:c>
      <x:c r="G184" s="2" t="str">
        <x:v>Stores</x:v>
      </x:c>
      <x:c r="H184" s="2" t="str">
        <x:v>Riverside</x:v>
      </x:c>
      <x:c r="I184" s="2" t="n">
        <x:v>20</x:v>
      </x:c>
      <x:c r="J184" s="2" t="n">
        <x:v>0</x:v>
      </x:c>
      <x:c r="K184" s="2" t="n">
        <x:f>I184-J184</x:f>
        <x:v>20</x:v>
      </x:c>
      <x:c r="L184" s="16" t="n">
        <x:v>16</x:v>
      </x:c>
      <x:c r="M184" s="16" t="n">
        <x:v>16</x:v>
      </x:c>
      <x:c r="N184" s="16" t="n">
        <x:v>6.56</x:v>
      </x:c>
      <x:c r="O184" s="16" t="n">
        <x:f>K184*M184</x:f>
        <x:v>320</x:v>
      </x:c>
      <x:c r="P184" s="16" t="n">
        <x:f>K184*N184</x:f>
        <x:v>131.2</x:v>
      </x:c>
      <x:c r="Q184" s="16" t="n">
        <x:f>O184-P184</x:f>
        <x:v>188.8</x:v>
      </x:c>
      <x:c r="R184" s="2" t="n">
        <x:v>124</x:v>
      </x:c>
      <x:c r="S184" s="2" t="n">
        <x:v>0</x:v>
      </x:c>
      <x:c r="T184" s="2" t="n">
        <x:f>R184+S184+J184-I184</x:f>
        <x:v>104</x:v>
      </x:c>
      <x:c r="U184" s="2" t="n">
        <x:v>0</x:v>
      </x:c>
      <x:c r="V184" s="2" t="n">
        <x:v>4</x:v>
      </x:c>
      <x:c r="W184" s="2" t="n">
        <x:v>19</x:v>
      </x:c>
      <x:c r="X184" s="14" t="b">
        <x:v>0</x:v>
      </x:c>
      <x:c r="Y184" s="14" t="b">
        <x:v>0</x:v>
      </x:c>
      <x:c r="Z184" s="2" t="n">
        <x:f>ABS(T184-AA184)</x:f>
        <x:v>0</x:v>
      </x:c>
      <x:c r="AA184" s="2" t="n">
        <x:v>104</x:v>
      </x:c>
      <x:c r="AB184" s="2" t="n">
        <x:f>ABS(K184-W184)</x:f>
        <x:v>1</x:v>
      </x:c>
      <x:c r="AC184" s="2" t="n">
        <x:f>COUNTIF($A$2:$A$1921,A184)-1</x:f>
        <x:v>0</x:v>
      </x:c>
      <x:c r="AD184" s="2" t="n">
        <x:f>IF(AND(D184=D183,H184=H183,C184=C183+1),ABS(R184-T183),0)</x:f>
        <x:v>0</x:v>
      </x:c>
    </x:row>
    <x:row r="185" ht="23" customHeight="1">
      <x:c r="A185" s="2" t="str">
        <x:v>DEMO-103-1-4</x:v>
      </x:c>
      <x:c r="B185" s="15" t="d">
        <x:v>2026-05-25T00:00:00.000Z</x:v>
      </x:c>
      <x:c r="C185" s="2" t="n">
        <x:v>4</x:v>
      </x:c>
      <x:c r="D185" s="2" t="str">
        <x:v>DEMO-103</x:v>
      </x:c>
      <x:c r="E185" s="2" t="str">
        <x:v>Cloud Pen Set</x:v>
      </x:c>
      <x:c r="F185" s="2" t="str">
        <x:v>Stationery</x:v>
      </x:c>
      <x:c r="G185" s="2" t="str">
        <x:v>Stores</x:v>
      </x:c>
      <x:c r="H185" s="2" t="str">
        <x:v>Riverside</x:v>
      </x:c>
      <x:c r="I185" s="2" t="n">
        <x:v>17</x:v>
      </x:c>
      <x:c r="J185" s="2" t="n">
        <x:v>1</x:v>
      </x:c>
      <x:c r="K185" s="2" t="n">
        <x:f>I185-J185</x:f>
        <x:v>16</x:v>
      </x:c>
      <x:c r="L185" s="16" t="n">
        <x:v>16</x:v>
      </x:c>
      <x:c r="M185" s="16" t="n">
        <x:v>16</x:v>
      </x:c>
      <x:c r="N185" s="16" t="n">
        <x:v>6.56</x:v>
      </x:c>
      <x:c r="O185" s="16" t="n">
        <x:f>K185*M185</x:f>
        <x:v>256</x:v>
      </x:c>
      <x:c r="P185" s="16" t="n">
        <x:f>K185*N185</x:f>
        <x:v>104.96</x:v>
      </x:c>
      <x:c r="Q185" s="16" t="n">
        <x:f>O185-P185</x:f>
        <x:v>151.04000000000002</x:v>
      </x:c>
      <x:c r="R185" s="2" t="n">
        <x:v>104</x:v>
      </x:c>
      <x:c r="S185" s="2" t="n">
        <x:v>0</x:v>
      </x:c>
      <x:c r="T185" s="2" t="n">
        <x:f>R185+S185+J185-I185</x:f>
        <x:v>88</x:v>
      </x:c>
      <x:c r="U185" s="2" t="n">
        <x:v>0</x:v>
      </x:c>
      <x:c r="V185" s="2" t="n">
        <x:v>4</x:v>
      </x:c>
      <x:c r="W185" s="2" t="n">
        <x:v>19</x:v>
      </x:c>
      <x:c r="X185" s="14" t="b">
        <x:v>0</x:v>
      </x:c>
      <x:c r="Y185" s="14" t="b">
        <x:v>0</x:v>
      </x:c>
      <x:c r="Z185" s="2" t="n">
        <x:f>ABS(T185-AA185)</x:f>
        <x:v>0</x:v>
      </x:c>
      <x:c r="AA185" s="2" t="n">
        <x:v>88</x:v>
      </x:c>
      <x:c r="AB185" s="2" t="n">
        <x:f>ABS(K185-W185)</x:f>
        <x:v>3</x:v>
      </x:c>
      <x:c r="AC185" s="2" t="n">
        <x:f>COUNTIF($A$2:$A$1921,A185)-1</x:f>
        <x:v>0</x:v>
      </x:c>
      <x:c r="AD185" s="2" t="n">
        <x:f>IF(AND(D185=D184,H185=H184,C185=C184+1),ABS(R185-T184),0)</x:f>
        <x:v>0</x:v>
      </x:c>
    </x:row>
    <x:row r="186" ht="23" customHeight="1">
      <x:c r="A186" s="2" t="str">
        <x:v>DEMO-103-1-5</x:v>
      </x:c>
      <x:c r="B186" s="15" t="d">
        <x:v>2026-06-01T00:00:00.000Z</x:v>
      </x:c>
      <x:c r="C186" s="2" t="n">
        <x:v>5</x:v>
      </x:c>
      <x:c r="D186" s="2" t="str">
        <x:v>DEMO-103</x:v>
      </x:c>
      <x:c r="E186" s="2" t="str">
        <x:v>Cloud Pen Set</x:v>
      </x:c>
      <x:c r="F186" s="2" t="str">
        <x:v>Stationery</x:v>
      </x:c>
      <x:c r="G186" s="2" t="str">
        <x:v>Stores</x:v>
      </x:c>
      <x:c r="H186" s="2" t="str">
        <x:v>Riverside</x:v>
      </x:c>
      <x:c r="I186" s="2" t="n">
        <x:v>18</x:v>
      </x:c>
      <x:c r="J186" s="2" t="n">
        <x:v>0</x:v>
      </x:c>
      <x:c r="K186" s="2" t="n">
        <x:f>I186-J186</x:f>
        <x:v>18</x:v>
      </x:c>
      <x:c r="L186" s="16" t="n">
        <x:v>16</x:v>
      </x:c>
      <x:c r="M186" s="16" t="n">
        <x:v>16</x:v>
      </x:c>
      <x:c r="N186" s="16" t="n">
        <x:v>6.56</x:v>
      </x:c>
      <x:c r="O186" s="16" t="n">
        <x:f>K186*M186</x:f>
        <x:v>288</x:v>
      </x:c>
      <x:c r="P186" s="16" t="n">
        <x:f>K186*N186</x:f>
        <x:v>118.08</x:v>
      </x:c>
      <x:c r="Q186" s="16" t="n">
        <x:f>O186-P186</x:f>
        <x:v>169.92000000000002</x:v>
      </x:c>
      <x:c r="R186" s="2" t="n">
        <x:v>88</x:v>
      </x:c>
      <x:c r="S186" s="2" t="n">
        <x:v>71</x:v>
      </x:c>
      <x:c r="T186" s="2" t="n">
        <x:f>R186+S186+J186-I186</x:f>
        <x:v>141</x:v>
      </x:c>
      <x:c r="U186" s="2" t="n">
        <x:v>0</x:v>
      </x:c>
      <x:c r="V186" s="2" t="n">
        <x:v>4</x:v>
      </x:c>
      <x:c r="W186" s="2" t="n">
        <x:v>18</x:v>
      </x:c>
      <x:c r="X186" s="14" t="b">
        <x:v>0</x:v>
      </x:c>
      <x:c r="Y186" s="14" t="b">
        <x:v>0</x:v>
      </x:c>
      <x:c r="Z186" s="2" t="n">
        <x:f>ABS(T186-AA186)</x:f>
        <x:v>0</x:v>
      </x:c>
      <x:c r="AA186" s="2" t="n">
        <x:v>141</x:v>
      </x:c>
      <x:c r="AB186" s="2" t="n">
        <x:f>ABS(K186-W186)</x:f>
        <x:v>0</x:v>
      </x:c>
      <x:c r="AC186" s="2" t="n">
        <x:f>COUNTIF($A$2:$A$1921,A186)-1</x:f>
        <x:v>0</x:v>
      </x:c>
      <x:c r="AD186" s="2" t="n">
        <x:f>IF(AND(D186=D185,H186=H185,C186=C185+1),ABS(R186-T185),0)</x:f>
        <x:v>0</x:v>
      </x:c>
    </x:row>
    <x:row r="187" ht="23" customHeight="1">
      <x:c r="A187" s="2" t="str">
        <x:v>DEMO-103-1-6</x:v>
      </x:c>
      <x:c r="B187" s="15" t="d">
        <x:v>2026-06-08T00:00:00.000Z</x:v>
      </x:c>
      <x:c r="C187" s="2" t="n">
        <x:v>6</x:v>
      </x:c>
      <x:c r="D187" s="2" t="str">
        <x:v>DEMO-103</x:v>
      </x:c>
      <x:c r="E187" s="2" t="str">
        <x:v>Cloud Pen Set</x:v>
      </x:c>
      <x:c r="F187" s="2" t="str">
        <x:v>Stationery</x:v>
      </x:c>
      <x:c r="G187" s="2" t="str">
        <x:v>Stores</x:v>
      </x:c>
      <x:c r="H187" s="2" t="str">
        <x:v>Riverside</x:v>
      </x:c>
      <x:c r="I187" s="2" t="n">
        <x:v>18</x:v>
      </x:c>
      <x:c r="J187" s="2" t="n">
        <x:v>1</x:v>
      </x:c>
      <x:c r="K187" s="2" t="n">
        <x:f>I187-J187</x:f>
        <x:v>17</x:v>
      </x:c>
      <x:c r="L187" s="16" t="n">
        <x:v>16</x:v>
      </x:c>
      <x:c r="M187" s="16" t="n">
        <x:v>16</x:v>
      </x:c>
      <x:c r="N187" s="16" t="n">
        <x:v>6.56</x:v>
      </x:c>
      <x:c r="O187" s="16" t="n">
        <x:f>K187*M187</x:f>
        <x:v>272</x:v>
      </x:c>
      <x:c r="P187" s="16" t="n">
        <x:f>K187*N187</x:f>
        <x:v>111.52</x:v>
      </x:c>
      <x:c r="Q187" s="16" t="n">
        <x:f>O187-P187</x:f>
        <x:v>160.48000000000002</x:v>
      </x:c>
      <x:c r="R187" s="2" t="n">
        <x:v>141</x:v>
      </x:c>
      <x:c r="S187" s="2" t="n">
        <x:v>0</x:v>
      </x:c>
      <x:c r="T187" s="2" t="n">
        <x:f>R187+S187+J187-I187</x:f>
        <x:v>124</x:v>
      </x:c>
      <x:c r="U187" s="2" t="n">
        <x:v>0</x:v>
      </x:c>
      <x:c r="V187" s="2" t="n">
        <x:v>4</x:v>
      </x:c>
      <x:c r="W187" s="2" t="n">
        <x:v>18</x:v>
      </x:c>
      <x:c r="X187" s="14" t="b">
        <x:v>0</x:v>
      </x:c>
      <x:c r="Y187" s="14" t="b">
        <x:v>0</x:v>
      </x:c>
      <x:c r="Z187" s="2" t="n">
        <x:f>ABS(T187-AA187)</x:f>
        <x:v>0</x:v>
      </x:c>
      <x:c r="AA187" s="2" t="n">
        <x:v>124</x:v>
      </x:c>
      <x:c r="AB187" s="2" t="n">
        <x:f>ABS(K187-W187)</x:f>
        <x:v>1</x:v>
      </x:c>
      <x:c r="AC187" s="2" t="n">
        <x:f>COUNTIF($A$2:$A$1921,A187)-1</x:f>
        <x:v>0</x:v>
      </x:c>
      <x:c r="AD187" s="2" t="n">
        <x:f>IF(AND(D187=D186,H187=H186,C187=C186+1),ABS(R187-T186),0)</x:f>
        <x:v>0</x:v>
      </x:c>
    </x:row>
    <x:row r="188" ht="23" customHeight="1">
      <x:c r="A188" s="2" t="str">
        <x:v>DEMO-103-1-7</x:v>
      </x:c>
      <x:c r="B188" s="15" t="d">
        <x:v>2026-06-15T00:00:00.000Z</x:v>
      </x:c>
      <x:c r="C188" s="2" t="n">
        <x:v>7</x:v>
      </x:c>
      <x:c r="D188" s="2" t="str">
        <x:v>DEMO-103</x:v>
      </x:c>
      <x:c r="E188" s="2" t="str">
        <x:v>Cloud Pen Set</x:v>
      </x:c>
      <x:c r="F188" s="2" t="str">
        <x:v>Stationery</x:v>
      </x:c>
      <x:c r="G188" s="2" t="str">
        <x:v>Stores</x:v>
      </x:c>
      <x:c r="H188" s="2" t="str">
        <x:v>Riverside</x:v>
      </x:c>
      <x:c r="I188" s="2" t="n">
        <x:v>19</x:v>
      </x:c>
      <x:c r="J188" s="2" t="n">
        <x:v>0</x:v>
      </x:c>
      <x:c r="K188" s="2" t="n">
        <x:f>I188-J188</x:f>
        <x:v>19</x:v>
      </x:c>
      <x:c r="L188" s="16" t="n">
        <x:v>16</x:v>
      </x:c>
      <x:c r="M188" s="16" t="n">
        <x:v>16</x:v>
      </x:c>
      <x:c r="N188" s="16" t="n">
        <x:v>6.56</x:v>
      </x:c>
      <x:c r="O188" s="16" t="n">
        <x:f>K188*M188</x:f>
        <x:v>304</x:v>
      </x:c>
      <x:c r="P188" s="16" t="n">
        <x:f>K188*N188</x:f>
        <x:v>124.63999999999999</x:v>
      </x:c>
      <x:c r="Q188" s="16" t="n">
        <x:f>O188-P188</x:f>
        <x:v>179.36</x:v>
      </x:c>
      <x:c r="R188" s="2" t="n">
        <x:v>124</x:v>
      </x:c>
      <x:c r="S188" s="2" t="n">
        <x:v>0</x:v>
      </x:c>
      <x:c r="T188" s="2" t="n">
        <x:f>R188+S188+J188-I188</x:f>
        <x:v>105</x:v>
      </x:c>
      <x:c r="U188" s="2" t="n">
        <x:v>0</x:v>
      </x:c>
      <x:c r="V188" s="2" t="n">
        <x:v>4</x:v>
      </x:c>
      <x:c r="W188" s="2" t="n">
        <x:v>18</x:v>
      </x:c>
      <x:c r="X188" s="14" t="b">
        <x:v>0</x:v>
      </x:c>
      <x:c r="Y188" s="14" t="b">
        <x:v>0</x:v>
      </x:c>
      <x:c r="Z188" s="2" t="n">
        <x:f>ABS(T188-AA188)</x:f>
        <x:v>0</x:v>
      </x:c>
      <x:c r="AA188" s="2" t="n">
        <x:v>105</x:v>
      </x:c>
      <x:c r="AB188" s="2" t="n">
        <x:f>ABS(K188-W188)</x:f>
        <x:v>1</x:v>
      </x:c>
      <x:c r="AC188" s="2" t="n">
        <x:f>COUNTIF($A$2:$A$1921,A188)-1</x:f>
        <x:v>0</x:v>
      </x:c>
      <x:c r="AD188" s="2" t="n">
        <x:f>IF(AND(D188=D187,H188=H187,C188=C187+1),ABS(R188-T187),0)</x:f>
        <x:v>0</x:v>
      </x:c>
    </x:row>
    <x:row r="189" ht="23" customHeight="1">
      <x:c r="A189" s="2" t="str">
        <x:v>DEMO-103-1-8</x:v>
      </x:c>
      <x:c r="B189" s="15" t="d">
        <x:v>2026-06-22T00:00:00.000Z</x:v>
      </x:c>
      <x:c r="C189" s="2" t="n">
        <x:v>8</x:v>
      </x:c>
      <x:c r="D189" s="2" t="str">
        <x:v>DEMO-103</x:v>
      </x:c>
      <x:c r="E189" s="2" t="str">
        <x:v>Cloud Pen Set</x:v>
      </x:c>
      <x:c r="F189" s="2" t="str">
        <x:v>Stationery</x:v>
      </x:c>
      <x:c r="G189" s="2" t="str">
        <x:v>Stores</x:v>
      </x:c>
      <x:c r="H189" s="2" t="str">
        <x:v>Riverside</x:v>
      </x:c>
      <x:c r="I189" s="2" t="n">
        <x:v>14</x:v>
      </x:c>
      <x:c r="J189" s="2" t="n">
        <x:v>0</x:v>
      </x:c>
      <x:c r="K189" s="2" t="n">
        <x:f>I189-J189</x:f>
        <x:v>14</x:v>
      </x:c>
      <x:c r="L189" s="16" t="n">
        <x:v>16</x:v>
      </x:c>
      <x:c r="M189" s="16" t="n">
        <x:v>16</x:v>
      </x:c>
      <x:c r="N189" s="16" t="n">
        <x:v>6.56</x:v>
      </x:c>
      <x:c r="O189" s="16" t="n">
        <x:f>K189*M189</x:f>
        <x:v>224</x:v>
      </x:c>
      <x:c r="P189" s="16" t="n">
        <x:f>K189*N189</x:f>
        <x:v>91.83999999999999</x:v>
      </x:c>
      <x:c r="Q189" s="16" t="n">
        <x:f>O189-P189</x:f>
        <x:v>132.16000000000003</x:v>
      </x:c>
      <x:c r="R189" s="2" t="n">
        <x:v>105</x:v>
      </x:c>
      <x:c r="S189" s="2" t="n">
        <x:v>0</x:v>
      </x:c>
      <x:c r="T189" s="2" t="n">
        <x:f>R189+S189+J189-I189</x:f>
        <x:v>91</x:v>
      </x:c>
      <x:c r="U189" s="2" t="n">
        <x:v>0</x:v>
      </x:c>
      <x:c r="V189" s="2" t="n">
        <x:v>4</x:v>
      </x:c>
      <x:c r="W189" s="2" t="n">
        <x:v>18</x:v>
      </x:c>
      <x:c r="X189" s="14" t="b">
        <x:v>0</x:v>
      </x:c>
      <x:c r="Y189" s="14" t="b">
        <x:v>0</x:v>
      </x:c>
      <x:c r="Z189" s="2" t="n">
        <x:f>ABS(T189-AA189)</x:f>
        <x:v>0</x:v>
      </x:c>
      <x:c r="AA189" s="2" t="n">
        <x:v>91</x:v>
      </x:c>
      <x:c r="AB189" s="2" t="n">
        <x:f>ABS(K189-W189)</x:f>
        <x:v>4</x:v>
      </x:c>
      <x:c r="AC189" s="2" t="n">
        <x:f>COUNTIF($A$2:$A$1921,A189)-1</x:f>
        <x:v>0</x:v>
      </x:c>
      <x:c r="AD189" s="2" t="n">
        <x:f>IF(AND(D189=D188,H189=H188,C189=C188+1),ABS(R189-T188),0)</x:f>
        <x:v>0</x:v>
      </x:c>
    </x:row>
    <x:row r="190" ht="23" customHeight="1">
      <x:c r="A190" s="2" t="str">
        <x:v>DEMO-103-1-9</x:v>
      </x:c>
      <x:c r="B190" s="15" t="d">
        <x:v>2026-06-29T00:00:00.000Z</x:v>
      </x:c>
      <x:c r="C190" s="2" t="n">
        <x:v>9</x:v>
      </x:c>
      <x:c r="D190" s="2" t="str">
        <x:v>DEMO-103</x:v>
      </x:c>
      <x:c r="E190" s="2" t="str">
        <x:v>Cloud Pen Set</x:v>
      </x:c>
      <x:c r="F190" s="2" t="str">
        <x:v>Stationery</x:v>
      </x:c>
      <x:c r="G190" s="2" t="str">
        <x:v>Stores</x:v>
      </x:c>
      <x:c r="H190" s="2" t="str">
        <x:v>Riverside</x:v>
      </x:c>
      <x:c r="I190" s="2" t="n">
        <x:v>20</x:v>
      </x:c>
      <x:c r="J190" s="2" t="n">
        <x:v>0</x:v>
      </x:c>
      <x:c r="K190" s="2" t="n">
        <x:f>I190-J190</x:f>
        <x:v>20</x:v>
      </x:c>
      <x:c r="L190" s="16" t="n">
        <x:v>16</x:v>
      </x:c>
      <x:c r="M190" s="16" t="n">
        <x:v>16</x:v>
      </x:c>
      <x:c r="N190" s="16" t="n">
        <x:v>6.56</x:v>
      </x:c>
      <x:c r="O190" s="16" t="n">
        <x:f>K190*M190</x:f>
        <x:v>320</x:v>
      </x:c>
      <x:c r="P190" s="16" t="n">
        <x:f>K190*N190</x:f>
        <x:v>131.2</x:v>
      </x:c>
      <x:c r="Q190" s="16" t="n">
        <x:f>O190-P190</x:f>
        <x:v>188.8</x:v>
      </x:c>
      <x:c r="R190" s="2" t="n">
        <x:v>91</x:v>
      </x:c>
      <x:c r="S190" s="2" t="n">
        <x:v>71</x:v>
      </x:c>
      <x:c r="T190" s="2" t="n">
        <x:f>R190+S190+J190-I190</x:f>
        <x:v>142</x:v>
      </x:c>
      <x:c r="U190" s="2" t="n">
        <x:v>0</x:v>
      </x:c>
      <x:c r="V190" s="2" t="n">
        <x:v>4</x:v>
      </x:c>
      <x:c r="W190" s="2" t="n">
        <x:v>17</x:v>
      </x:c>
      <x:c r="X190" s="14" t="b">
        <x:v>0</x:v>
      </x:c>
      <x:c r="Y190" s="14" t="b">
        <x:v>0</x:v>
      </x:c>
      <x:c r="Z190" s="2" t="n">
        <x:f>ABS(T190-AA190)</x:f>
        <x:v>0</x:v>
      </x:c>
      <x:c r="AA190" s="2" t="n">
        <x:v>142</x:v>
      </x:c>
      <x:c r="AB190" s="2" t="n">
        <x:f>ABS(K190-W190)</x:f>
        <x:v>3</x:v>
      </x:c>
      <x:c r="AC190" s="2" t="n">
        <x:f>COUNTIF($A$2:$A$1921,A190)-1</x:f>
        <x:v>0</x:v>
      </x:c>
      <x:c r="AD190" s="2" t="n">
        <x:f>IF(AND(D190=D189,H190=H189,C190=C189+1),ABS(R190-T189),0)</x:f>
        <x:v>0</x:v>
      </x:c>
    </x:row>
    <x:row r="191" ht="23" customHeight="1">
      <x:c r="A191" s="2" t="str">
        <x:v>DEMO-103-1-10</x:v>
      </x:c>
      <x:c r="B191" s="15" t="d">
        <x:v>2026-07-06T00:00:00.000Z</x:v>
      </x:c>
      <x:c r="C191" s="2" t="n">
        <x:v>10</x:v>
      </x:c>
      <x:c r="D191" s="2" t="str">
        <x:v>DEMO-103</x:v>
      </x:c>
      <x:c r="E191" s="2" t="str">
        <x:v>Cloud Pen Set</x:v>
      </x:c>
      <x:c r="F191" s="2" t="str">
        <x:v>Stationery</x:v>
      </x:c>
      <x:c r="G191" s="2" t="str">
        <x:v>Stores</x:v>
      </x:c>
      <x:c r="H191" s="2" t="str">
        <x:v>Riverside</x:v>
      </x:c>
      <x:c r="I191" s="2" t="n">
        <x:v>17</x:v>
      </x:c>
      <x:c r="J191" s="2" t="n">
        <x:v>0</x:v>
      </x:c>
      <x:c r="K191" s="2" t="n">
        <x:f>I191-J191</x:f>
        <x:v>17</x:v>
      </x:c>
      <x:c r="L191" s="16" t="n">
        <x:v>16</x:v>
      </x:c>
      <x:c r="M191" s="16" t="n">
        <x:v>16</x:v>
      </x:c>
      <x:c r="N191" s="16" t="n">
        <x:v>6.56</x:v>
      </x:c>
      <x:c r="O191" s="16" t="n">
        <x:f>K191*M191</x:f>
        <x:v>272</x:v>
      </x:c>
      <x:c r="P191" s="16" t="n">
        <x:f>K191*N191</x:f>
        <x:v>111.52</x:v>
      </x:c>
      <x:c r="Q191" s="16" t="n">
        <x:f>O191-P191</x:f>
        <x:v>160.48000000000002</x:v>
      </x:c>
      <x:c r="R191" s="2" t="n">
        <x:v>142</x:v>
      </x:c>
      <x:c r="S191" s="2" t="n">
        <x:v>0</x:v>
      </x:c>
      <x:c r="T191" s="2" t="n">
        <x:f>R191+S191+J191-I191</x:f>
        <x:v>125</x:v>
      </x:c>
      <x:c r="U191" s="2" t="n">
        <x:v>0</x:v>
      </x:c>
      <x:c r="V191" s="2" t="n">
        <x:v>4</x:v>
      </x:c>
      <x:c r="W191" s="2" t="n">
        <x:v>18</x:v>
      </x:c>
      <x:c r="X191" s="14" t="b">
        <x:v>0</x:v>
      </x:c>
      <x:c r="Y191" s="14" t="b">
        <x:v>0</x:v>
      </x:c>
      <x:c r="Z191" s="2" t="n">
        <x:f>ABS(T191-AA191)</x:f>
        <x:v>0</x:v>
      </x:c>
      <x:c r="AA191" s="2" t="n">
        <x:v>125</x:v>
      </x:c>
      <x:c r="AB191" s="2" t="n">
        <x:f>ABS(K191-W191)</x:f>
        <x:v>1</x:v>
      </x:c>
      <x:c r="AC191" s="2" t="n">
        <x:f>COUNTIF($A$2:$A$1921,A191)-1</x:f>
        <x:v>0</x:v>
      </x:c>
      <x:c r="AD191" s="2" t="n">
        <x:f>IF(AND(D191=D190,H191=H190,C191=C190+1),ABS(R191-T190),0)</x:f>
        <x:v>0</x:v>
      </x:c>
    </x:row>
    <x:row r="192" ht="23" customHeight="1">
      <x:c r="A192" s="2" t="str">
        <x:v>DEMO-103-1-11</x:v>
      </x:c>
      <x:c r="B192" s="15" t="d">
        <x:v>2026-07-13T00:00:00.000Z</x:v>
      </x:c>
      <x:c r="C192" s="2" t="n">
        <x:v>11</x:v>
      </x:c>
      <x:c r="D192" s="2" t="str">
        <x:v>DEMO-103</x:v>
      </x:c>
      <x:c r="E192" s="2" t="str">
        <x:v>Cloud Pen Set</x:v>
      </x:c>
      <x:c r="F192" s="2" t="str">
        <x:v>Stationery</x:v>
      </x:c>
      <x:c r="G192" s="2" t="str">
        <x:v>Stores</x:v>
      </x:c>
      <x:c r="H192" s="2" t="str">
        <x:v>Riverside</x:v>
      </x:c>
      <x:c r="I192" s="2" t="n">
        <x:v>18</x:v>
      </x:c>
      <x:c r="J192" s="2" t="n">
        <x:v>1</x:v>
      </x:c>
      <x:c r="K192" s="2" t="n">
        <x:f>I192-J192</x:f>
        <x:v>17</x:v>
      </x:c>
      <x:c r="L192" s="16" t="n">
        <x:v>16</x:v>
      </x:c>
      <x:c r="M192" s="16" t="n">
        <x:v>16</x:v>
      </x:c>
      <x:c r="N192" s="16" t="n">
        <x:v>6.56</x:v>
      </x:c>
      <x:c r="O192" s="16" t="n">
        <x:f>K192*M192</x:f>
        <x:v>272</x:v>
      </x:c>
      <x:c r="P192" s="16" t="n">
        <x:f>K192*N192</x:f>
        <x:v>111.52</x:v>
      </x:c>
      <x:c r="Q192" s="16" t="n">
        <x:f>O192-P192</x:f>
        <x:v>160.48000000000002</x:v>
      </x:c>
      <x:c r="R192" s="2" t="n">
        <x:v>125</x:v>
      </x:c>
      <x:c r="S192" s="2" t="n">
        <x:v>0</x:v>
      </x:c>
      <x:c r="T192" s="2" t="n">
        <x:f>R192+S192+J192-I192</x:f>
        <x:v>108</x:v>
      </x:c>
      <x:c r="U192" s="2" t="n">
        <x:v>0</x:v>
      </x:c>
      <x:c r="V192" s="2" t="n">
        <x:v>4</x:v>
      </x:c>
      <x:c r="W192" s="2" t="n">
        <x:v>18</x:v>
      </x:c>
      <x:c r="X192" s="14" t="b">
        <x:v>0</x:v>
      </x:c>
      <x:c r="Y192" s="14" t="b">
        <x:v>0</x:v>
      </x:c>
      <x:c r="Z192" s="2" t="n">
        <x:f>ABS(T192-AA192)</x:f>
        <x:v>0</x:v>
      </x:c>
      <x:c r="AA192" s="2" t="n">
        <x:v>108</x:v>
      </x:c>
      <x:c r="AB192" s="2" t="n">
        <x:f>ABS(K192-W192)</x:f>
        <x:v>1</x:v>
      </x:c>
      <x:c r="AC192" s="2" t="n">
        <x:f>COUNTIF($A$2:$A$1921,A192)-1</x:f>
        <x:v>0</x:v>
      </x:c>
      <x:c r="AD192" s="2" t="n">
        <x:f>IF(AND(D192=D191,H192=H191,C192=C191+1),ABS(R192-T191),0)</x:f>
        <x:v>0</x:v>
      </x:c>
    </x:row>
    <x:row r="193" ht="23" customHeight="1">
      <x:c r="A193" s="2" t="str">
        <x:v>DEMO-103-1-12</x:v>
      </x:c>
      <x:c r="B193" s="15" t="d">
        <x:v>2026-07-20T00:00:00.000Z</x:v>
      </x:c>
      <x:c r="C193" s="2" t="n">
        <x:v>12</x:v>
      </x:c>
      <x:c r="D193" s="2" t="str">
        <x:v>DEMO-103</x:v>
      </x:c>
      <x:c r="E193" s="2" t="str">
        <x:v>Cloud Pen Set</x:v>
      </x:c>
      <x:c r="F193" s="2" t="str">
        <x:v>Stationery</x:v>
      </x:c>
      <x:c r="G193" s="2" t="str">
        <x:v>Stores</x:v>
      </x:c>
      <x:c r="H193" s="2" t="str">
        <x:v>Riverside</x:v>
      </x:c>
      <x:c r="I193" s="2" t="n">
        <x:v>14</x:v>
      </x:c>
      <x:c r="J193" s="2" t="n">
        <x:v>0</x:v>
      </x:c>
      <x:c r="K193" s="2" t="n">
        <x:f>I193-J193</x:f>
        <x:v>14</x:v>
      </x:c>
      <x:c r="L193" s="16" t="n">
        <x:v>16</x:v>
      </x:c>
      <x:c r="M193" s="16" t="n">
        <x:v>16</x:v>
      </x:c>
      <x:c r="N193" s="16" t="n">
        <x:v>6.56</x:v>
      </x:c>
      <x:c r="O193" s="16" t="n">
        <x:f>K193*M193</x:f>
        <x:v>224</x:v>
      </x:c>
      <x:c r="P193" s="16" t="n">
        <x:f>K193*N193</x:f>
        <x:v>91.83999999999999</x:v>
      </x:c>
      <x:c r="Q193" s="16" t="n">
        <x:f>O193-P193</x:f>
        <x:v>132.16000000000003</x:v>
      </x:c>
      <x:c r="R193" s="2" t="n">
        <x:v>108</x:v>
      </x:c>
      <x:c r="S193" s="2" t="n">
        <x:v>0</x:v>
      </x:c>
      <x:c r="T193" s="2" t="n">
        <x:f>R193+S193+J193-I193</x:f>
        <x:v>94</x:v>
      </x:c>
      <x:c r="U193" s="2" t="n">
        <x:v>0</x:v>
      </x:c>
      <x:c r="V193" s="2" t="n">
        <x:v>4</x:v>
      </x:c>
      <x:c r="W193" s="2" t="n">
        <x:v>17</x:v>
      </x:c>
      <x:c r="X193" s="14" t="b">
        <x:v>0</x:v>
      </x:c>
      <x:c r="Y193" s="14" t="b">
        <x:v>0</x:v>
      </x:c>
      <x:c r="Z193" s="2" t="n">
        <x:f>ABS(T193-AA193)</x:f>
        <x:v>0</x:v>
      </x:c>
      <x:c r="AA193" s="2" t="n">
        <x:v>94</x:v>
      </x:c>
      <x:c r="AB193" s="2" t="n">
        <x:f>ABS(K193-W193)</x:f>
        <x:v>3</x:v>
      </x:c>
      <x:c r="AC193" s="2" t="n">
        <x:f>COUNTIF($A$2:$A$1921,A193)-1</x:f>
        <x:v>0</x:v>
      </x:c>
      <x:c r="AD193" s="2" t="n">
        <x:f>IF(AND(D193=D192,H193=H192,C193=C192+1),ABS(R193-T192),0)</x:f>
        <x:v>0</x:v>
      </x:c>
    </x:row>
    <x:row r="194" ht="23" customHeight="1">
      <x:c r="A194" s="2" t="str">
        <x:v>DEMO-103-1-13</x:v>
      </x:c>
      <x:c r="B194" s="15" t="d">
        <x:v>2026-07-27T00:00:00.000Z</x:v>
      </x:c>
      <x:c r="C194" s="2" t="n">
        <x:v>13</x:v>
      </x:c>
      <x:c r="D194" s="2" t="str">
        <x:v>DEMO-103</x:v>
      </x:c>
      <x:c r="E194" s="2" t="str">
        <x:v>Cloud Pen Set</x:v>
      </x:c>
      <x:c r="F194" s="2" t="str">
        <x:v>Stationery</x:v>
      </x:c>
      <x:c r="G194" s="2" t="str">
        <x:v>Stores</x:v>
      </x:c>
      <x:c r="H194" s="2" t="str">
        <x:v>Riverside</x:v>
      </x:c>
      <x:c r="I194" s="2" t="n">
        <x:v>14</x:v>
      </x:c>
      <x:c r="J194" s="2" t="n">
        <x:v>0</x:v>
      </x:c>
      <x:c r="K194" s="2" t="n">
        <x:f>I194-J194</x:f>
        <x:v>14</x:v>
      </x:c>
      <x:c r="L194" s="16" t="n">
        <x:v>16</x:v>
      </x:c>
      <x:c r="M194" s="16" t="n">
        <x:v>16</x:v>
      </x:c>
      <x:c r="N194" s="16" t="n">
        <x:v>6.56</x:v>
      </x:c>
      <x:c r="O194" s="16" t="n">
        <x:f>K194*M194</x:f>
        <x:v>224</x:v>
      </x:c>
      <x:c r="P194" s="16" t="n">
        <x:f>K194*N194</x:f>
        <x:v>91.83999999999999</x:v>
      </x:c>
      <x:c r="Q194" s="16" t="n">
        <x:f>O194-P194</x:f>
        <x:v>132.16000000000003</x:v>
      </x:c>
      <x:c r="R194" s="2" t="n">
        <x:v>94</x:v>
      </x:c>
      <x:c r="S194" s="2" t="n">
        <x:v>71</x:v>
      </x:c>
      <x:c r="T194" s="2" t="n">
        <x:f>R194+S194+J194-I194</x:f>
        <x:v>151</x:v>
      </x:c>
      <x:c r="U194" s="2" t="n">
        <x:v>0</x:v>
      </x:c>
      <x:c r="V194" s="2" t="n">
        <x:v>4</x:v>
      </x:c>
      <x:c r="W194" s="2" t="n">
        <x:v>17</x:v>
      </x:c>
      <x:c r="X194" s="14" t="b">
        <x:v>0</x:v>
      </x:c>
      <x:c r="Y194" s="14" t="b">
        <x:v>0</x:v>
      </x:c>
      <x:c r="Z194" s="2" t="n">
        <x:f>ABS(T194-AA194)</x:f>
        <x:v>0</x:v>
      </x:c>
      <x:c r="AA194" s="2" t="n">
        <x:v>151</x:v>
      </x:c>
      <x:c r="AB194" s="2" t="n">
        <x:f>ABS(K194-W194)</x:f>
        <x:v>3</x:v>
      </x:c>
      <x:c r="AC194" s="2" t="n">
        <x:f>COUNTIF($A$2:$A$1921,A194)-1</x:f>
        <x:v>0</x:v>
      </x:c>
      <x:c r="AD194" s="2" t="n">
        <x:f>IF(AND(D194=D193,H194=H193,C194=C193+1),ABS(R194-T193),0)</x:f>
        <x:v>0</x:v>
      </x:c>
    </x:row>
    <x:row r="195" ht="23" customHeight="1">
      <x:c r="A195" s="2" t="str">
        <x:v>DEMO-103-1-14</x:v>
      </x:c>
      <x:c r="B195" s="15" t="d">
        <x:v>2026-08-03T00:00:00.000Z</x:v>
      </x:c>
      <x:c r="C195" s="2" t="n">
        <x:v>14</x:v>
      </x:c>
      <x:c r="D195" s="2" t="str">
        <x:v>DEMO-103</x:v>
      </x:c>
      <x:c r="E195" s="2" t="str">
        <x:v>Cloud Pen Set</x:v>
      </x:c>
      <x:c r="F195" s="2" t="str">
        <x:v>Stationery</x:v>
      </x:c>
      <x:c r="G195" s="2" t="str">
        <x:v>Stores</x:v>
      </x:c>
      <x:c r="H195" s="2" t="str">
        <x:v>Riverside</x:v>
      </x:c>
      <x:c r="I195" s="2" t="n">
        <x:v>19</x:v>
      </x:c>
      <x:c r="J195" s="2" t="n">
        <x:v>1</x:v>
      </x:c>
      <x:c r="K195" s="2" t="n">
        <x:f>I195-J195</x:f>
        <x:v>18</x:v>
      </x:c>
      <x:c r="L195" s="16" t="n">
        <x:v>16</x:v>
      </x:c>
      <x:c r="M195" s="16" t="n">
        <x:v>16</x:v>
      </x:c>
      <x:c r="N195" s="16" t="n">
        <x:v>6.56</x:v>
      </x:c>
      <x:c r="O195" s="16" t="n">
        <x:f>K195*M195</x:f>
        <x:v>288</x:v>
      </x:c>
      <x:c r="P195" s="16" t="n">
        <x:f>K195*N195</x:f>
        <x:v>118.08</x:v>
      </x:c>
      <x:c r="Q195" s="16" t="n">
        <x:f>O195-P195</x:f>
        <x:v>169.92000000000002</x:v>
      </x:c>
      <x:c r="R195" s="2" t="n">
        <x:v>151</x:v>
      </x:c>
      <x:c r="S195" s="2" t="n">
        <x:v>0</x:v>
      </x:c>
      <x:c r="T195" s="2" t="n">
        <x:f>R195+S195+J195-I195</x:f>
        <x:v>133</x:v>
      </x:c>
      <x:c r="U195" s="2" t="n">
        <x:v>0</x:v>
      </x:c>
      <x:c r="V195" s="2" t="n">
        <x:v>4</x:v>
      </x:c>
      <x:c r="W195" s="2" t="n">
        <x:v>16</x:v>
      </x:c>
      <x:c r="X195" s="14" t="b">
        <x:v>0</x:v>
      </x:c>
      <x:c r="Y195" s="14" t="b">
        <x:v>0</x:v>
      </x:c>
      <x:c r="Z195" s="2" t="n">
        <x:f>ABS(T195-AA195)</x:f>
        <x:v>0</x:v>
      </x:c>
      <x:c r="AA195" s="2" t="n">
        <x:v>133</x:v>
      </x:c>
      <x:c r="AB195" s="2" t="n">
        <x:f>ABS(K195-W195)</x:f>
        <x:v>2</x:v>
      </x:c>
      <x:c r="AC195" s="2" t="n">
        <x:f>COUNTIF($A$2:$A$1921,A195)-1</x:f>
        <x:v>0</x:v>
      </x:c>
      <x:c r="AD195" s="2" t="n">
        <x:f>IF(AND(D195=D194,H195=H194,C195=C194+1),ABS(R195-T194),0)</x:f>
        <x:v>0</x:v>
      </x:c>
    </x:row>
    <x:row r="196" ht="23" customHeight="1">
      <x:c r="A196" s="2" t="str">
        <x:v>DEMO-103-1-15</x:v>
      </x:c>
      <x:c r="B196" s="15" t="d">
        <x:v>2026-08-10T00:00:00.000Z</x:v>
      </x:c>
      <x:c r="C196" s="2" t="n">
        <x:v>15</x:v>
      </x:c>
      <x:c r="D196" s="2" t="str">
        <x:v>DEMO-103</x:v>
      </x:c>
      <x:c r="E196" s="2" t="str">
        <x:v>Cloud Pen Set</x:v>
      </x:c>
      <x:c r="F196" s="2" t="str">
        <x:v>Stationery</x:v>
      </x:c>
      <x:c r="G196" s="2" t="str">
        <x:v>Stores</x:v>
      </x:c>
      <x:c r="H196" s="2" t="str">
        <x:v>Riverside</x:v>
      </x:c>
      <x:c r="I196" s="2" t="n">
        <x:v>14</x:v>
      </x:c>
      <x:c r="J196" s="2" t="n">
        <x:v>1</x:v>
      </x:c>
      <x:c r="K196" s="2" t="n">
        <x:f>I196-J196</x:f>
        <x:v>13</x:v>
      </x:c>
      <x:c r="L196" s="16" t="n">
        <x:v>16</x:v>
      </x:c>
      <x:c r="M196" s="16" t="n">
        <x:v>16</x:v>
      </x:c>
      <x:c r="N196" s="16" t="n">
        <x:v>6.56</x:v>
      </x:c>
      <x:c r="O196" s="16" t="n">
        <x:f>K196*M196</x:f>
        <x:v>208</x:v>
      </x:c>
      <x:c r="P196" s="16" t="n">
        <x:f>K196*N196</x:f>
        <x:v>85.28</x:v>
      </x:c>
      <x:c r="Q196" s="16" t="n">
        <x:f>O196-P196</x:f>
        <x:v>122.72</x:v>
      </x:c>
      <x:c r="R196" s="2" t="n">
        <x:v>133</x:v>
      </x:c>
      <x:c r="S196" s="2" t="n">
        <x:v>0</x:v>
      </x:c>
      <x:c r="T196" s="2" t="n">
        <x:f>R196+S196+J196-I196</x:f>
        <x:v>120</x:v>
      </x:c>
      <x:c r="U196" s="2" t="n">
        <x:v>0</x:v>
      </x:c>
      <x:c r="V196" s="2" t="n">
        <x:v>4</x:v>
      </x:c>
      <x:c r="W196" s="2" t="n">
        <x:v>16</x:v>
      </x:c>
      <x:c r="X196" s="14" t="b">
        <x:v>0</x:v>
      </x:c>
      <x:c r="Y196" s="14" t="b">
        <x:v>0</x:v>
      </x:c>
      <x:c r="Z196" s="2" t="n">
        <x:f>ABS(T196-AA196)</x:f>
        <x:v>0</x:v>
      </x:c>
      <x:c r="AA196" s="2" t="n">
        <x:v>120</x:v>
      </x:c>
      <x:c r="AB196" s="2" t="n">
        <x:f>ABS(K196-W196)</x:f>
        <x:v>3</x:v>
      </x:c>
      <x:c r="AC196" s="2" t="n">
        <x:f>COUNTIF($A$2:$A$1921,A196)-1</x:f>
        <x:v>0</x:v>
      </x:c>
      <x:c r="AD196" s="2" t="n">
        <x:f>IF(AND(D196=D195,H196=H195,C196=C195+1),ABS(R196-T195),0)</x:f>
        <x:v>0</x:v>
      </x:c>
    </x:row>
    <x:row r="197" ht="23" customHeight="1">
      <x:c r="A197" s="2" t="str">
        <x:v>DEMO-103-1-16</x:v>
      </x:c>
      <x:c r="B197" s="15" t="d">
        <x:v>2026-08-17T00:00:00.000Z</x:v>
      </x:c>
      <x:c r="C197" s="2" t="n">
        <x:v>16</x:v>
      </x:c>
      <x:c r="D197" s="2" t="str">
        <x:v>DEMO-103</x:v>
      </x:c>
      <x:c r="E197" s="2" t="str">
        <x:v>Cloud Pen Set</x:v>
      </x:c>
      <x:c r="F197" s="2" t="str">
        <x:v>Stationery</x:v>
      </x:c>
      <x:c r="G197" s="2" t="str">
        <x:v>Stores</x:v>
      </x:c>
      <x:c r="H197" s="2" t="str">
        <x:v>Riverside</x:v>
      </x:c>
      <x:c r="I197" s="2" t="n">
        <x:v>19</x:v>
      </x:c>
      <x:c r="J197" s="2" t="n">
        <x:v>1</x:v>
      </x:c>
      <x:c r="K197" s="2" t="n">
        <x:f>I197-J197</x:f>
        <x:v>18</x:v>
      </x:c>
      <x:c r="L197" s="16" t="n">
        <x:v>16</x:v>
      </x:c>
      <x:c r="M197" s="16" t="n">
        <x:v>16</x:v>
      </x:c>
      <x:c r="N197" s="16" t="n">
        <x:v>6.56</x:v>
      </x:c>
      <x:c r="O197" s="16" t="n">
        <x:f>K197*M197</x:f>
        <x:v>288</x:v>
      </x:c>
      <x:c r="P197" s="16" t="n">
        <x:f>K197*N197</x:f>
        <x:v>118.08</x:v>
      </x:c>
      <x:c r="Q197" s="16" t="n">
        <x:f>O197-P197</x:f>
        <x:v>169.92000000000002</x:v>
      </x:c>
      <x:c r="R197" s="2" t="n">
        <x:v>120</x:v>
      </x:c>
      <x:c r="S197" s="2" t="n">
        <x:v>0</x:v>
      </x:c>
      <x:c r="T197" s="2" t="n">
        <x:f>R197+S197+J197-I197</x:f>
        <x:v>102</x:v>
      </x:c>
      <x:c r="U197" s="2" t="n">
        <x:v>0</x:v>
      </x:c>
      <x:c r="V197" s="2" t="n">
        <x:v>4</x:v>
      </x:c>
      <x:c r="W197" s="2" t="n">
        <x:v>15</x:v>
      </x:c>
      <x:c r="X197" s="14" t="b">
        <x:v>0</x:v>
      </x:c>
      <x:c r="Y197" s="14" t="b">
        <x:v>0</x:v>
      </x:c>
      <x:c r="Z197" s="2" t="n">
        <x:f>ABS(T197-AA197)</x:f>
        <x:v>0</x:v>
      </x:c>
      <x:c r="AA197" s="2" t="n">
        <x:v>102</x:v>
      </x:c>
      <x:c r="AB197" s="2" t="n">
        <x:f>ABS(K197-W197)</x:f>
        <x:v>3</x:v>
      </x:c>
      <x:c r="AC197" s="2" t="n">
        <x:f>COUNTIF($A$2:$A$1921,A197)-1</x:f>
        <x:v>0</x:v>
      </x:c>
      <x:c r="AD197" s="2" t="n">
        <x:f>IF(AND(D197=D196,H197=H196,C197=C196+1),ABS(R197-T196),0)</x:f>
        <x:v>0</x:v>
      </x:c>
    </x:row>
    <x:row r="198" ht="23" customHeight="1">
      <x:c r="A198" s="2" t="str">
        <x:v>DEMO-103-1-17</x:v>
      </x:c>
      <x:c r="B198" s="15" t="d">
        <x:v>2026-08-24T00:00:00.000Z</x:v>
      </x:c>
      <x:c r="C198" s="2" t="n">
        <x:v>17</x:v>
      </x:c>
      <x:c r="D198" s="2" t="str">
        <x:v>DEMO-103</x:v>
      </x:c>
      <x:c r="E198" s="2" t="str">
        <x:v>Cloud Pen Set</x:v>
      </x:c>
      <x:c r="F198" s="2" t="str">
        <x:v>Stationery</x:v>
      </x:c>
      <x:c r="G198" s="2" t="str">
        <x:v>Stores</x:v>
      </x:c>
      <x:c r="H198" s="2" t="str">
        <x:v>Riverside</x:v>
      </x:c>
      <x:c r="I198" s="2" t="n">
        <x:v>17</x:v>
      </x:c>
      <x:c r="J198" s="2" t="n">
        <x:v>0</x:v>
      </x:c>
      <x:c r="K198" s="2" t="n">
        <x:f>I198-J198</x:f>
        <x:v>17</x:v>
      </x:c>
      <x:c r="L198" s="16" t="n">
        <x:v>16</x:v>
      </x:c>
      <x:c r="M198" s="16" t="n">
        <x:v>16</x:v>
      </x:c>
      <x:c r="N198" s="16" t="n">
        <x:v>6.56</x:v>
      </x:c>
      <x:c r="O198" s="16" t="n">
        <x:f>K198*M198</x:f>
        <x:v>272</x:v>
      </x:c>
      <x:c r="P198" s="16" t="n">
        <x:f>K198*N198</x:f>
        <x:v>111.52</x:v>
      </x:c>
      <x:c r="Q198" s="16" t="n">
        <x:f>O198-P198</x:f>
        <x:v>160.48000000000002</x:v>
      </x:c>
      <x:c r="R198" s="2" t="n">
        <x:v>102</x:v>
      </x:c>
      <x:c r="S198" s="2" t="n">
        <x:v>71</x:v>
      </x:c>
      <x:c r="T198" s="2" t="n">
        <x:f>R198+S198+J198-I198</x:f>
        <x:v>156</x:v>
      </x:c>
      <x:c r="U198" s="2" t="n">
        <x:v>0</x:v>
      </x:c>
      <x:c r="V198" s="2" t="n">
        <x:v>4</x:v>
      </x:c>
      <x:c r="W198" s="2" t="n">
        <x:v>16</x:v>
      </x:c>
      <x:c r="X198" s="14" t="b">
        <x:v>0</x:v>
      </x:c>
      <x:c r="Y198" s="14" t="b">
        <x:v>0</x:v>
      </x:c>
      <x:c r="Z198" s="2" t="n">
        <x:f>ABS(T198-AA198)</x:f>
        <x:v>0</x:v>
      </x:c>
      <x:c r="AA198" s="2" t="n">
        <x:v>156</x:v>
      </x:c>
      <x:c r="AB198" s="2" t="n">
        <x:f>ABS(K198-W198)</x:f>
        <x:v>1</x:v>
      </x:c>
      <x:c r="AC198" s="2" t="n">
        <x:f>COUNTIF($A$2:$A$1921,A198)-1</x:f>
        <x:v>0</x:v>
      </x:c>
      <x:c r="AD198" s="2" t="n">
        <x:f>IF(AND(D198=D197,H198=H197,C198=C197+1),ABS(R198-T197),0)</x:f>
        <x:v>0</x:v>
      </x:c>
    </x:row>
    <x:row r="199" ht="23" customHeight="1">
      <x:c r="A199" s="2" t="str">
        <x:v>DEMO-103-1-18</x:v>
      </x:c>
      <x:c r="B199" s="15" t="d">
        <x:v>2026-08-31T00:00:00.000Z</x:v>
      </x:c>
      <x:c r="C199" s="2" t="n">
        <x:v>18</x:v>
      </x:c>
      <x:c r="D199" s="2" t="str">
        <x:v>DEMO-103</x:v>
      </x:c>
      <x:c r="E199" s="2" t="str">
        <x:v>Cloud Pen Set</x:v>
      </x:c>
      <x:c r="F199" s="2" t="str">
        <x:v>Stationery</x:v>
      </x:c>
      <x:c r="G199" s="2" t="str">
        <x:v>Stores</x:v>
      </x:c>
      <x:c r="H199" s="2" t="str">
        <x:v>Riverside</x:v>
      </x:c>
      <x:c r="I199" s="2" t="n">
        <x:v>14</x:v>
      </x:c>
      <x:c r="J199" s="2" t="n">
        <x:v>0</x:v>
      </x:c>
      <x:c r="K199" s="2" t="n">
        <x:f>I199-J199</x:f>
        <x:v>14</x:v>
      </x:c>
      <x:c r="L199" s="16" t="n">
        <x:v>16</x:v>
      </x:c>
      <x:c r="M199" s="16" t="n">
        <x:v>16</x:v>
      </x:c>
      <x:c r="N199" s="16" t="n">
        <x:v>6.56</x:v>
      </x:c>
      <x:c r="O199" s="16" t="n">
        <x:f>K199*M199</x:f>
        <x:v>224</x:v>
      </x:c>
      <x:c r="P199" s="16" t="n">
        <x:f>K199*N199</x:f>
        <x:v>91.83999999999999</x:v>
      </x:c>
      <x:c r="Q199" s="16" t="n">
        <x:f>O199-P199</x:f>
        <x:v>132.16000000000003</x:v>
      </x:c>
      <x:c r="R199" s="2" t="n">
        <x:v>156</x:v>
      </x:c>
      <x:c r="S199" s="2" t="n">
        <x:v>0</x:v>
      </x:c>
      <x:c r="T199" s="2" t="n">
        <x:f>R199+S199+J199-I199</x:f>
        <x:v>142</x:v>
      </x:c>
      <x:c r="U199" s="2" t="n">
        <x:v>0</x:v>
      </x:c>
      <x:c r="V199" s="2" t="n">
        <x:v>4</x:v>
      </x:c>
      <x:c r="W199" s="2" t="n">
        <x:v>17</x:v>
      </x:c>
      <x:c r="X199" s="14" t="b">
        <x:v>0</x:v>
      </x:c>
      <x:c r="Y199" s="14" t="b">
        <x:v>0</x:v>
      </x:c>
      <x:c r="Z199" s="2" t="n">
        <x:f>ABS(T199-AA199)</x:f>
        <x:v>0</x:v>
      </x:c>
      <x:c r="AA199" s="2" t="n">
        <x:v>142</x:v>
      </x:c>
      <x:c r="AB199" s="2" t="n">
        <x:f>ABS(K199-W199)</x:f>
        <x:v>3</x:v>
      </x:c>
      <x:c r="AC199" s="2" t="n">
        <x:f>COUNTIF($A$2:$A$1921,A199)-1</x:f>
        <x:v>0</x:v>
      </x:c>
      <x:c r="AD199" s="2" t="n">
        <x:f>IF(AND(D199=D198,H199=H198,C199=C198+1),ABS(R199-T198),0)</x:f>
        <x:v>0</x:v>
      </x:c>
    </x:row>
    <x:row r="200" ht="23" customHeight="1">
      <x:c r="A200" s="2" t="str">
        <x:v>DEMO-103-1-19</x:v>
      </x:c>
      <x:c r="B200" s="15" t="d">
        <x:v>2026-09-07T00:00:00.000Z</x:v>
      </x:c>
      <x:c r="C200" s="2" t="n">
        <x:v>19</x:v>
      </x:c>
      <x:c r="D200" s="2" t="str">
        <x:v>DEMO-103</x:v>
      </x:c>
      <x:c r="E200" s="2" t="str">
        <x:v>Cloud Pen Set</x:v>
      </x:c>
      <x:c r="F200" s="2" t="str">
        <x:v>Stationery</x:v>
      </x:c>
      <x:c r="G200" s="2" t="str">
        <x:v>Stores</x:v>
      </x:c>
      <x:c r="H200" s="2" t="str">
        <x:v>Riverside</x:v>
      </x:c>
      <x:c r="I200" s="2" t="n">
        <x:v>17</x:v>
      </x:c>
      <x:c r="J200" s="2" t="n">
        <x:v>0</x:v>
      </x:c>
      <x:c r="K200" s="2" t="n">
        <x:f>I200-J200</x:f>
        <x:v>17</x:v>
      </x:c>
      <x:c r="L200" s="16" t="n">
        <x:v>16</x:v>
      </x:c>
      <x:c r="M200" s="16" t="n">
        <x:v>16</x:v>
      </x:c>
      <x:c r="N200" s="16" t="n">
        <x:v>6.56</x:v>
      </x:c>
      <x:c r="O200" s="16" t="n">
        <x:f>K200*M200</x:f>
        <x:v>272</x:v>
      </x:c>
      <x:c r="P200" s="16" t="n">
        <x:f>K200*N200</x:f>
        <x:v>111.52</x:v>
      </x:c>
      <x:c r="Q200" s="16" t="n">
        <x:f>O200-P200</x:f>
        <x:v>160.48000000000002</x:v>
      </x:c>
      <x:c r="R200" s="2" t="n">
        <x:v>142</x:v>
      </x:c>
      <x:c r="S200" s="2" t="n">
        <x:v>0</x:v>
      </x:c>
      <x:c r="T200" s="2" t="n">
        <x:f>R200+S200+J200-I200</x:f>
        <x:v>125</x:v>
      </x:c>
      <x:c r="U200" s="2" t="n">
        <x:v>0</x:v>
      </x:c>
      <x:c r="V200" s="2" t="n">
        <x:v>4</x:v>
      </x:c>
      <x:c r="W200" s="2" t="n">
        <x:v>16</x:v>
      </x:c>
      <x:c r="X200" s="14" t="b">
        <x:v>0</x:v>
      </x:c>
      <x:c r="Y200" s="14" t="b">
        <x:v>0</x:v>
      </x:c>
      <x:c r="Z200" s="2" t="n">
        <x:f>ABS(T200-AA200)</x:f>
        <x:v>0</x:v>
      </x:c>
      <x:c r="AA200" s="2" t="n">
        <x:v>125</x:v>
      </x:c>
      <x:c r="AB200" s="2" t="n">
        <x:f>ABS(K200-W200)</x:f>
        <x:v>1</x:v>
      </x:c>
      <x:c r="AC200" s="2" t="n">
        <x:f>COUNTIF($A$2:$A$1921,A200)-1</x:f>
        <x:v>0</x:v>
      </x:c>
      <x:c r="AD200" s="2" t="n">
        <x:f>IF(AND(D200=D199,H200=H199,C200=C199+1),ABS(R200-T199),0)</x:f>
        <x:v>0</x:v>
      </x:c>
    </x:row>
    <x:row r="201" ht="23" customHeight="1">
      <x:c r="A201" s="2" t="str">
        <x:v>DEMO-103-1-20</x:v>
      </x:c>
      <x:c r="B201" s="15" t="d">
        <x:v>2026-09-14T00:00:00.000Z</x:v>
      </x:c>
      <x:c r="C201" s="2" t="n">
        <x:v>20</x:v>
      </x:c>
      <x:c r="D201" s="2" t="str">
        <x:v>DEMO-103</x:v>
      </x:c>
      <x:c r="E201" s="2" t="str">
        <x:v>Cloud Pen Set</x:v>
      </x:c>
      <x:c r="F201" s="2" t="str">
        <x:v>Stationery</x:v>
      </x:c>
      <x:c r="G201" s="2" t="str">
        <x:v>Stores</x:v>
      </x:c>
      <x:c r="H201" s="2" t="str">
        <x:v>Riverside</x:v>
      </x:c>
      <x:c r="I201" s="2" t="n">
        <x:v>17</x:v>
      </x:c>
      <x:c r="J201" s="2" t="n">
        <x:v>0</x:v>
      </x:c>
      <x:c r="K201" s="2" t="n">
        <x:f>I201-J201</x:f>
        <x:v>17</x:v>
      </x:c>
      <x:c r="L201" s="16" t="n">
        <x:v>16</x:v>
      </x:c>
      <x:c r="M201" s="16" t="n">
        <x:v>16</x:v>
      </x:c>
      <x:c r="N201" s="16" t="n">
        <x:v>6.56</x:v>
      </x:c>
      <x:c r="O201" s="16" t="n">
        <x:f>K201*M201</x:f>
        <x:v>272</x:v>
      </x:c>
      <x:c r="P201" s="16" t="n">
        <x:f>K201*N201</x:f>
        <x:v>111.52</x:v>
      </x:c>
      <x:c r="Q201" s="16" t="n">
        <x:f>O201-P201</x:f>
        <x:v>160.48000000000002</x:v>
      </x:c>
      <x:c r="R201" s="2" t="n">
        <x:v>125</x:v>
      </x:c>
      <x:c r="S201" s="2" t="n">
        <x:v>0</x:v>
      </x:c>
      <x:c r="T201" s="2" t="n">
        <x:f>R201+S201+J201-I201</x:f>
        <x:v>108</x:v>
      </x:c>
      <x:c r="U201" s="2" t="n">
        <x:v>18</x:v>
      </x:c>
      <x:c r="V201" s="2" t="n">
        <x:v>4</x:v>
      </x:c>
      <x:c r="W201" s="2" t="n">
        <x:v>17</x:v>
      </x:c>
      <x:c r="X201" s="14" t="b">
        <x:v>0</x:v>
      </x:c>
      <x:c r="Y201" s="14" t="b">
        <x:v>0</x:v>
      </x:c>
      <x:c r="Z201" s="2" t="n">
        <x:f>ABS(T201-AA201)</x:f>
        <x:v>0</x:v>
      </x:c>
      <x:c r="AA201" s="2" t="n">
        <x:v>108</x:v>
      </x:c>
      <x:c r="AB201" s="2" t="n">
        <x:f>ABS(K201-W201)</x:f>
        <x:v>0</x:v>
      </x:c>
      <x:c r="AC201" s="2" t="n">
        <x:f>COUNTIF($A$2:$A$1921,A201)-1</x:f>
        <x:v>0</x:v>
      </x:c>
      <x:c r="AD201" s="2" t="n">
        <x:f>IF(AND(D201=D200,H201=H200,C201=C200+1),ABS(R201-T200),0)</x:f>
        <x:v>0</x:v>
      </x:c>
    </x:row>
    <x:row r="202" ht="23" customHeight="1">
      <x:c r="A202" s="2" t="str">
        <x:v>DEMO-103-2-1</x:v>
      </x:c>
      <x:c r="B202" s="15" t="d">
        <x:v>2026-05-04T00:00:00.000Z</x:v>
      </x:c>
      <x:c r="C202" s="2" t="n">
        <x:v>1</x:v>
      </x:c>
      <x:c r="D202" s="2" t="str">
        <x:v>DEMO-103</x:v>
      </x:c>
      <x:c r="E202" s="2" t="str">
        <x:v>Cloud Pen Set</x:v>
      </x:c>
      <x:c r="F202" s="2" t="str">
        <x:v>Stationery</x:v>
      </x:c>
      <x:c r="G202" s="2" t="str">
        <x:v>Stores</x:v>
      </x:c>
      <x:c r="H202" s="2" t="str">
        <x:v>Central Market</x:v>
      </x:c>
      <x:c r="I202" s="2" t="n">
        <x:v>14</x:v>
      </x:c>
      <x:c r="J202" s="2" t="n">
        <x:v>0</x:v>
      </x:c>
      <x:c r="K202" s="2" t="n">
        <x:f>I202-J202</x:f>
        <x:v>14</x:v>
      </x:c>
      <x:c r="L202" s="16" t="n">
        <x:v>16</x:v>
      </x:c>
      <x:c r="M202" s="16" t="n">
        <x:v>16</x:v>
      </x:c>
      <x:c r="N202" s="16" t="n">
        <x:v>6.56</x:v>
      </x:c>
      <x:c r="O202" s="16" t="n">
        <x:f>K202*M202</x:f>
        <x:v>224</x:v>
      </x:c>
      <x:c r="P202" s="16" t="n">
        <x:f>K202*N202</x:f>
        <x:v>91.83999999999999</x:v>
      </x:c>
      <x:c r="Q202" s="16" t="n">
        <x:f>O202-P202</x:f>
        <x:v>132.16000000000003</x:v>
      </x:c>
      <x:c r="R202" s="2" t="n">
        <x:v>90</x:v>
      </x:c>
      <x:c r="S202" s="2" t="n">
        <x:v>71</x:v>
      </x:c>
      <x:c r="T202" s="2" t="n">
        <x:f>R202+S202+J202-I202</x:f>
        <x:v>147</x:v>
      </x:c>
      <x:c r="U202" s="2" t="n">
        <x:v>0</x:v>
      </x:c>
      <x:c r="V202" s="2" t="n">
        <x:v>4</x:v>
      </x:c>
      <x:c r="W202" s="2" t="n">
        <x:v>17</x:v>
      </x:c>
      <x:c r="X202" s="14" t="b">
        <x:v>0</x:v>
      </x:c>
      <x:c r="Y202" s="14" t="b">
        <x:v>0</x:v>
      </x:c>
      <x:c r="Z202" s="2" t="n">
        <x:f>ABS(T202-AA202)</x:f>
        <x:v>0</x:v>
      </x:c>
      <x:c r="AA202" s="2" t="n">
        <x:v>147</x:v>
      </x:c>
      <x:c r="AB202" s="2" t="n">
        <x:f>ABS(K202-W202)</x:f>
        <x:v>3</x:v>
      </x:c>
      <x:c r="AC202" s="2" t="n">
        <x:f>COUNTIF($A$2:$A$1921,A202)-1</x:f>
        <x:v>0</x:v>
      </x:c>
      <x:c r="AD202" s="2" t="n">
        <x:f>IF(AND(D202=D201,H202=H201,C202=C201+1),ABS(R202-T201),0)</x:f>
        <x:v>0</x:v>
      </x:c>
    </x:row>
    <x:row r="203" ht="23" customHeight="1">
      <x:c r="A203" s="2" t="str">
        <x:v>DEMO-103-2-2</x:v>
      </x:c>
      <x:c r="B203" s="15" t="d">
        <x:v>2026-05-11T00:00:00.000Z</x:v>
      </x:c>
      <x:c r="C203" s="2" t="n">
        <x:v>2</x:v>
      </x:c>
      <x:c r="D203" s="2" t="str">
        <x:v>DEMO-103</x:v>
      </x:c>
      <x:c r="E203" s="2" t="str">
        <x:v>Cloud Pen Set</x:v>
      </x:c>
      <x:c r="F203" s="2" t="str">
        <x:v>Stationery</x:v>
      </x:c>
      <x:c r="G203" s="2" t="str">
        <x:v>Stores</x:v>
      </x:c>
      <x:c r="H203" s="2" t="str">
        <x:v>Central Market</x:v>
      </x:c>
      <x:c r="I203" s="2" t="n">
        <x:v>16</x:v>
      </x:c>
      <x:c r="J203" s="2" t="n">
        <x:v>0</x:v>
      </x:c>
      <x:c r="K203" s="2" t="n">
        <x:f>I203-J203</x:f>
        <x:v>16</x:v>
      </x:c>
      <x:c r="L203" s="16" t="n">
        <x:v>16</x:v>
      </x:c>
      <x:c r="M203" s="16" t="n">
        <x:v>16</x:v>
      </x:c>
      <x:c r="N203" s="16" t="n">
        <x:v>6.56</x:v>
      </x:c>
      <x:c r="O203" s="16" t="n">
        <x:f>K203*M203</x:f>
        <x:v>256</x:v>
      </x:c>
      <x:c r="P203" s="16" t="n">
        <x:f>K203*N203</x:f>
        <x:v>104.96</x:v>
      </x:c>
      <x:c r="Q203" s="16" t="n">
        <x:f>O203-P203</x:f>
        <x:v>151.04000000000002</x:v>
      </x:c>
      <x:c r="R203" s="2" t="n">
        <x:v>147</x:v>
      </x:c>
      <x:c r="S203" s="2" t="n">
        <x:v>0</x:v>
      </x:c>
      <x:c r="T203" s="2" t="n">
        <x:f>R203+S203+J203-I203</x:f>
        <x:v>131</x:v>
      </x:c>
      <x:c r="U203" s="2" t="n">
        <x:v>0</x:v>
      </x:c>
      <x:c r="V203" s="2" t="n">
        <x:v>4</x:v>
      </x:c>
      <x:c r="W203" s="2" t="n">
        <x:v>14</x:v>
      </x:c>
      <x:c r="X203" s="14" t="b">
        <x:v>0</x:v>
      </x:c>
      <x:c r="Y203" s="14" t="b">
        <x:v>0</x:v>
      </x:c>
      <x:c r="Z203" s="2" t="n">
        <x:f>ABS(T203-AA203)</x:f>
        <x:v>0</x:v>
      </x:c>
      <x:c r="AA203" s="2" t="n">
        <x:v>131</x:v>
      </x:c>
      <x:c r="AB203" s="2" t="n">
        <x:f>ABS(K203-W203)</x:f>
        <x:v>2</x:v>
      </x:c>
      <x:c r="AC203" s="2" t="n">
        <x:f>COUNTIF($A$2:$A$1921,A203)-1</x:f>
        <x:v>0</x:v>
      </x:c>
      <x:c r="AD203" s="2" t="n">
        <x:f>IF(AND(D203=D202,H203=H202,C203=C202+1),ABS(R203-T202),0)</x:f>
        <x:v>0</x:v>
      </x:c>
    </x:row>
    <x:row r="204" ht="23" customHeight="1">
      <x:c r="A204" s="2" t="str">
        <x:v>DEMO-103-2-3</x:v>
      </x:c>
      <x:c r="B204" s="15" t="d">
        <x:v>2026-05-18T00:00:00.000Z</x:v>
      </x:c>
      <x:c r="C204" s="2" t="n">
        <x:v>3</x:v>
      </x:c>
      <x:c r="D204" s="2" t="str">
        <x:v>DEMO-103</x:v>
      </x:c>
      <x:c r="E204" s="2" t="str">
        <x:v>Cloud Pen Set</x:v>
      </x:c>
      <x:c r="F204" s="2" t="str">
        <x:v>Stationery</x:v>
      </x:c>
      <x:c r="G204" s="2" t="str">
        <x:v>Stores</x:v>
      </x:c>
      <x:c r="H204" s="2" t="str">
        <x:v>Central Market</x:v>
      </x:c>
      <x:c r="I204" s="2" t="n">
        <x:v>17</x:v>
      </x:c>
      <x:c r="J204" s="2" t="n">
        <x:v>0</x:v>
      </x:c>
      <x:c r="K204" s="2" t="n">
        <x:f>I204-J204</x:f>
        <x:v>17</x:v>
      </x:c>
      <x:c r="L204" s="16" t="n">
        <x:v>16</x:v>
      </x:c>
      <x:c r="M204" s="16" t="n">
        <x:v>16</x:v>
      </x:c>
      <x:c r="N204" s="16" t="n">
        <x:v>6.56</x:v>
      </x:c>
      <x:c r="O204" s="16" t="n">
        <x:f>K204*M204</x:f>
        <x:v>272</x:v>
      </x:c>
      <x:c r="P204" s="16" t="n">
        <x:f>K204*N204</x:f>
        <x:v>111.52</x:v>
      </x:c>
      <x:c r="Q204" s="16" t="n">
        <x:f>O204-P204</x:f>
        <x:v>160.48000000000002</x:v>
      </x:c>
      <x:c r="R204" s="2" t="n">
        <x:v>131</x:v>
      </x:c>
      <x:c r="S204" s="2" t="n">
        <x:v>0</x:v>
      </x:c>
      <x:c r="T204" s="2" t="n">
        <x:f>R204+S204+J204-I204</x:f>
        <x:v>114</x:v>
      </x:c>
      <x:c r="U204" s="2" t="n">
        <x:v>0</x:v>
      </x:c>
      <x:c r="V204" s="2" t="n">
        <x:v>4</x:v>
      </x:c>
      <x:c r="W204" s="2" t="n">
        <x:v>15</x:v>
      </x:c>
      <x:c r="X204" s="14" t="b">
        <x:v>0</x:v>
      </x:c>
      <x:c r="Y204" s="14" t="b">
        <x:v>0</x:v>
      </x:c>
      <x:c r="Z204" s="2" t="n">
        <x:f>ABS(T204-AA204)</x:f>
        <x:v>0</x:v>
      </x:c>
      <x:c r="AA204" s="2" t="n">
        <x:v>114</x:v>
      </x:c>
      <x:c r="AB204" s="2" t="n">
        <x:f>ABS(K204-W204)</x:f>
        <x:v>2</x:v>
      </x:c>
      <x:c r="AC204" s="2" t="n">
        <x:f>COUNTIF($A$2:$A$1921,A204)-1</x:f>
        <x:v>0</x:v>
      </x:c>
      <x:c r="AD204" s="2" t="n">
        <x:f>IF(AND(D204=D203,H204=H203,C204=C203+1),ABS(R204-T203),0)</x:f>
        <x:v>0</x:v>
      </x:c>
    </x:row>
    <x:row r="205" ht="23" customHeight="1">
      <x:c r="A205" s="2" t="str">
        <x:v>DEMO-103-2-4</x:v>
      </x:c>
      <x:c r="B205" s="15" t="d">
        <x:v>2026-05-25T00:00:00.000Z</x:v>
      </x:c>
      <x:c r="C205" s="2" t="n">
        <x:v>4</x:v>
      </x:c>
      <x:c r="D205" s="2" t="str">
        <x:v>DEMO-103</x:v>
      </x:c>
      <x:c r="E205" s="2" t="str">
        <x:v>Cloud Pen Set</x:v>
      </x:c>
      <x:c r="F205" s="2" t="str">
        <x:v>Stationery</x:v>
      </x:c>
      <x:c r="G205" s="2" t="str">
        <x:v>Stores</x:v>
      </x:c>
      <x:c r="H205" s="2" t="str">
        <x:v>Central Market</x:v>
      </x:c>
      <x:c r="I205" s="2" t="n">
        <x:v>14</x:v>
      </x:c>
      <x:c r="J205" s="2" t="n">
        <x:v>0</x:v>
      </x:c>
      <x:c r="K205" s="2" t="n">
        <x:f>I205-J205</x:f>
        <x:v>14</x:v>
      </x:c>
      <x:c r="L205" s="16" t="n">
        <x:v>16</x:v>
      </x:c>
      <x:c r="M205" s="16" t="n">
        <x:v>16</x:v>
      </x:c>
      <x:c r="N205" s="16" t="n">
        <x:v>6.56</x:v>
      </x:c>
      <x:c r="O205" s="16" t="n">
        <x:f>K205*M205</x:f>
        <x:v>224</x:v>
      </x:c>
      <x:c r="P205" s="16" t="n">
        <x:f>K205*N205</x:f>
        <x:v>91.83999999999999</x:v>
      </x:c>
      <x:c r="Q205" s="16" t="n">
        <x:f>O205-P205</x:f>
        <x:v>132.16000000000003</x:v>
      </x:c>
      <x:c r="R205" s="2" t="n">
        <x:v>114</x:v>
      </x:c>
      <x:c r="S205" s="2" t="n">
        <x:v>0</x:v>
      </x:c>
      <x:c r="T205" s="2" t="n">
        <x:f>R205+S205+J205-I205</x:f>
        <x:v>100</x:v>
      </x:c>
      <x:c r="U205" s="2" t="n">
        <x:v>0</x:v>
      </x:c>
      <x:c r="V205" s="2" t="n">
        <x:v>4</x:v>
      </x:c>
      <x:c r="W205" s="2" t="n">
        <x:v>16</x:v>
      </x:c>
      <x:c r="X205" s="14" t="b">
        <x:v>0</x:v>
      </x:c>
      <x:c r="Y205" s="14" t="b">
        <x:v>0</x:v>
      </x:c>
      <x:c r="Z205" s="2" t="n">
        <x:f>ABS(T205-AA205)</x:f>
        <x:v>0</x:v>
      </x:c>
      <x:c r="AA205" s="2" t="n">
        <x:v>100</x:v>
      </x:c>
      <x:c r="AB205" s="2" t="n">
        <x:f>ABS(K205-W205)</x:f>
        <x:v>2</x:v>
      </x:c>
      <x:c r="AC205" s="2" t="n">
        <x:f>COUNTIF($A$2:$A$1921,A205)-1</x:f>
        <x:v>0</x:v>
      </x:c>
      <x:c r="AD205" s="2" t="n">
        <x:f>IF(AND(D205=D204,H205=H204,C205=C204+1),ABS(R205-T204),0)</x:f>
        <x:v>0</x:v>
      </x:c>
    </x:row>
    <x:row r="206" ht="23" customHeight="1">
      <x:c r="A206" s="2" t="str">
        <x:v>DEMO-103-2-5</x:v>
      </x:c>
      <x:c r="B206" s="15" t="d">
        <x:v>2026-06-01T00:00:00.000Z</x:v>
      </x:c>
      <x:c r="C206" s="2" t="n">
        <x:v>5</x:v>
      </x:c>
      <x:c r="D206" s="2" t="str">
        <x:v>DEMO-103</x:v>
      </x:c>
      <x:c r="E206" s="2" t="str">
        <x:v>Cloud Pen Set</x:v>
      </x:c>
      <x:c r="F206" s="2" t="str">
        <x:v>Stationery</x:v>
      </x:c>
      <x:c r="G206" s="2" t="str">
        <x:v>Stores</x:v>
      </x:c>
      <x:c r="H206" s="2" t="str">
        <x:v>Central Market</x:v>
      </x:c>
      <x:c r="I206" s="2" t="n">
        <x:v>17</x:v>
      </x:c>
      <x:c r="J206" s="2" t="n">
        <x:v>0</x:v>
      </x:c>
      <x:c r="K206" s="2" t="n">
        <x:f>I206-J206</x:f>
        <x:v>17</x:v>
      </x:c>
      <x:c r="L206" s="16" t="n">
        <x:v>16</x:v>
      </x:c>
      <x:c r="M206" s="16" t="n">
        <x:v>16</x:v>
      </x:c>
      <x:c r="N206" s="16" t="n">
        <x:v>6.56</x:v>
      </x:c>
      <x:c r="O206" s="16" t="n">
        <x:f>K206*M206</x:f>
        <x:v>272</x:v>
      </x:c>
      <x:c r="P206" s="16" t="n">
        <x:f>K206*N206</x:f>
        <x:v>111.52</x:v>
      </x:c>
      <x:c r="Q206" s="16" t="n">
        <x:f>O206-P206</x:f>
        <x:v>160.48000000000002</x:v>
      </x:c>
      <x:c r="R206" s="2" t="n">
        <x:v>100</x:v>
      </x:c>
      <x:c r="S206" s="2" t="n">
        <x:v>71</x:v>
      </x:c>
      <x:c r="T206" s="2" t="n">
        <x:f>R206+S206+J206-I206</x:f>
        <x:v>154</x:v>
      </x:c>
      <x:c r="U206" s="2" t="n">
        <x:v>0</x:v>
      </x:c>
      <x:c r="V206" s="2" t="n">
        <x:v>4</x:v>
      </x:c>
      <x:c r="W206" s="2" t="n">
        <x:v>15</x:v>
      </x:c>
      <x:c r="X206" s="14" t="b">
        <x:v>0</x:v>
      </x:c>
      <x:c r="Y206" s="14" t="b">
        <x:v>0</x:v>
      </x:c>
      <x:c r="Z206" s="2" t="n">
        <x:f>ABS(T206-AA206)</x:f>
        <x:v>0</x:v>
      </x:c>
      <x:c r="AA206" s="2" t="n">
        <x:v>154</x:v>
      </x:c>
      <x:c r="AB206" s="2" t="n">
        <x:f>ABS(K206-W206)</x:f>
        <x:v>2</x:v>
      </x:c>
      <x:c r="AC206" s="2" t="n">
        <x:f>COUNTIF($A$2:$A$1921,A206)-1</x:f>
        <x:v>0</x:v>
      </x:c>
      <x:c r="AD206" s="2" t="n">
        <x:f>IF(AND(D206=D205,H206=H205,C206=C205+1),ABS(R206-T205),0)</x:f>
        <x:v>0</x:v>
      </x:c>
    </x:row>
    <x:row r="207" ht="23" customHeight="1">
      <x:c r="A207" s="2" t="str">
        <x:v>DEMO-103-2-6</x:v>
      </x:c>
      <x:c r="B207" s="15" t="d">
        <x:v>2026-06-08T00:00:00.000Z</x:v>
      </x:c>
      <x:c r="C207" s="2" t="n">
        <x:v>6</x:v>
      </x:c>
      <x:c r="D207" s="2" t="str">
        <x:v>DEMO-103</x:v>
      </x:c>
      <x:c r="E207" s="2" t="str">
        <x:v>Cloud Pen Set</x:v>
      </x:c>
      <x:c r="F207" s="2" t="str">
        <x:v>Stationery</x:v>
      </x:c>
      <x:c r="G207" s="2" t="str">
        <x:v>Stores</x:v>
      </x:c>
      <x:c r="H207" s="2" t="str">
        <x:v>Central Market</x:v>
      </x:c>
      <x:c r="I207" s="2" t="n">
        <x:v>16</x:v>
      </x:c>
      <x:c r="J207" s="2" t="n">
        <x:v>0</x:v>
      </x:c>
      <x:c r="K207" s="2" t="n">
        <x:f>I207-J207</x:f>
        <x:v>16</x:v>
      </x:c>
      <x:c r="L207" s="16" t="n">
        <x:v>16</x:v>
      </x:c>
      <x:c r="M207" s="16" t="n">
        <x:v>16</x:v>
      </x:c>
      <x:c r="N207" s="16" t="n">
        <x:v>6.56</x:v>
      </x:c>
      <x:c r="O207" s="16" t="n">
        <x:f>K207*M207</x:f>
        <x:v>256</x:v>
      </x:c>
      <x:c r="P207" s="16" t="n">
        <x:f>K207*N207</x:f>
        <x:v>104.96</x:v>
      </x:c>
      <x:c r="Q207" s="16" t="n">
        <x:f>O207-P207</x:f>
        <x:v>151.04000000000002</x:v>
      </x:c>
      <x:c r="R207" s="2" t="n">
        <x:v>154</x:v>
      </x:c>
      <x:c r="S207" s="2" t="n">
        <x:v>0</x:v>
      </x:c>
      <x:c r="T207" s="2" t="n">
        <x:f>R207+S207+J207-I207</x:f>
        <x:v>138</x:v>
      </x:c>
      <x:c r="U207" s="2" t="n">
        <x:v>0</x:v>
      </x:c>
      <x:c r="V207" s="2" t="n">
        <x:v>4</x:v>
      </x:c>
      <x:c r="W207" s="2" t="n">
        <x:v>16</x:v>
      </x:c>
      <x:c r="X207" s="14" t="b">
        <x:v>0</x:v>
      </x:c>
      <x:c r="Y207" s="14" t="b">
        <x:v>0</x:v>
      </x:c>
      <x:c r="Z207" s="2" t="n">
        <x:f>ABS(T207-AA207)</x:f>
        <x:v>0</x:v>
      </x:c>
      <x:c r="AA207" s="2" t="n">
        <x:v>138</x:v>
      </x:c>
      <x:c r="AB207" s="2" t="n">
        <x:f>ABS(K207-W207)</x:f>
        <x:v>0</x:v>
      </x:c>
      <x:c r="AC207" s="2" t="n">
        <x:f>COUNTIF($A$2:$A$1921,A207)-1</x:f>
        <x:v>0</x:v>
      </x:c>
      <x:c r="AD207" s="2" t="n">
        <x:f>IF(AND(D207=D206,H207=H206,C207=C206+1),ABS(R207-T206),0)</x:f>
        <x:v>0</x:v>
      </x:c>
    </x:row>
    <x:row r="208" ht="23" customHeight="1">
      <x:c r="A208" s="2" t="str">
        <x:v>DEMO-103-2-7</x:v>
      </x:c>
      <x:c r="B208" s="15" t="d">
        <x:v>2026-06-15T00:00:00.000Z</x:v>
      </x:c>
      <x:c r="C208" s="2" t="n">
        <x:v>7</x:v>
      </x:c>
      <x:c r="D208" s="2" t="str">
        <x:v>DEMO-103</x:v>
      </x:c>
      <x:c r="E208" s="2" t="str">
        <x:v>Cloud Pen Set</x:v>
      </x:c>
      <x:c r="F208" s="2" t="str">
        <x:v>Stationery</x:v>
      </x:c>
      <x:c r="G208" s="2" t="str">
        <x:v>Stores</x:v>
      </x:c>
      <x:c r="H208" s="2" t="str">
        <x:v>Central Market</x:v>
      </x:c>
      <x:c r="I208" s="2" t="n">
        <x:v>15</x:v>
      </x:c>
      <x:c r="J208" s="2" t="n">
        <x:v>0</x:v>
      </x:c>
      <x:c r="K208" s="2" t="n">
        <x:f>I208-J208</x:f>
        <x:v>15</x:v>
      </x:c>
      <x:c r="L208" s="16" t="n">
        <x:v>16</x:v>
      </x:c>
      <x:c r="M208" s="16" t="n">
        <x:v>16</x:v>
      </x:c>
      <x:c r="N208" s="16" t="n">
        <x:v>6.56</x:v>
      </x:c>
      <x:c r="O208" s="16" t="n">
        <x:f>K208*M208</x:f>
        <x:v>240</x:v>
      </x:c>
      <x:c r="P208" s="16" t="n">
        <x:f>K208*N208</x:f>
        <x:v>98.39999999999999</x:v>
      </x:c>
      <x:c r="Q208" s="16" t="n">
        <x:f>O208-P208</x:f>
        <x:v>141.60000000000002</x:v>
      </x:c>
      <x:c r="R208" s="2" t="n">
        <x:v>138</x:v>
      </x:c>
      <x:c r="S208" s="2" t="n">
        <x:v>0</x:v>
      </x:c>
      <x:c r="T208" s="2" t="n">
        <x:f>R208+S208+J208-I208</x:f>
        <x:v>123</x:v>
      </x:c>
      <x:c r="U208" s="2" t="n">
        <x:v>0</x:v>
      </x:c>
      <x:c r="V208" s="2" t="n">
        <x:v>4</x:v>
      </x:c>
      <x:c r="W208" s="2" t="n">
        <x:v>16</x:v>
      </x:c>
      <x:c r="X208" s="14" t="b">
        <x:v>0</x:v>
      </x:c>
      <x:c r="Y208" s="14" t="b">
        <x:v>0</x:v>
      </x:c>
      <x:c r="Z208" s="2" t="n">
        <x:f>ABS(T208-AA208)</x:f>
        <x:v>0</x:v>
      </x:c>
      <x:c r="AA208" s="2" t="n">
        <x:v>123</x:v>
      </x:c>
      <x:c r="AB208" s="2" t="n">
        <x:f>ABS(K208-W208)</x:f>
        <x:v>1</x:v>
      </x:c>
      <x:c r="AC208" s="2" t="n">
        <x:f>COUNTIF($A$2:$A$1921,A208)-1</x:f>
        <x:v>0</x:v>
      </x:c>
      <x:c r="AD208" s="2" t="n">
        <x:f>IF(AND(D208=D207,H208=H207,C208=C207+1),ABS(R208-T207),0)</x:f>
        <x:v>0</x:v>
      </x:c>
    </x:row>
    <x:row r="209" ht="23" customHeight="1">
      <x:c r="A209" s="2" t="str">
        <x:v>DEMO-103-2-8</x:v>
      </x:c>
      <x:c r="B209" s="15" t="d">
        <x:v>2026-06-22T00:00:00.000Z</x:v>
      </x:c>
      <x:c r="C209" s="2" t="n">
        <x:v>8</x:v>
      </x:c>
      <x:c r="D209" s="2" t="str">
        <x:v>DEMO-103</x:v>
      </x:c>
      <x:c r="E209" s="2" t="str">
        <x:v>Cloud Pen Set</x:v>
      </x:c>
      <x:c r="F209" s="2" t="str">
        <x:v>Stationery</x:v>
      </x:c>
      <x:c r="G209" s="2" t="str">
        <x:v>Stores</x:v>
      </x:c>
      <x:c r="H209" s="2" t="str">
        <x:v>Central Market</x:v>
      </x:c>
      <x:c r="I209" s="2" t="n">
        <x:v>14</x:v>
      </x:c>
      <x:c r="J209" s="2" t="n">
        <x:v>0</x:v>
      </x:c>
      <x:c r="K209" s="2" t="n">
        <x:f>I209-J209</x:f>
        <x:v>14</x:v>
      </x:c>
      <x:c r="L209" s="16" t="n">
        <x:v>16</x:v>
      </x:c>
      <x:c r="M209" s="16" t="n">
        <x:v>16</x:v>
      </x:c>
      <x:c r="N209" s="16" t="n">
        <x:v>6.56</x:v>
      </x:c>
      <x:c r="O209" s="16" t="n">
        <x:f>K209*M209</x:f>
        <x:v>224</x:v>
      </x:c>
      <x:c r="P209" s="16" t="n">
        <x:f>K209*N209</x:f>
        <x:v>91.83999999999999</x:v>
      </x:c>
      <x:c r="Q209" s="16" t="n">
        <x:f>O209-P209</x:f>
        <x:v>132.16000000000003</x:v>
      </x:c>
      <x:c r="R209" s="2" t="n">
        <x:v>123</x:v>
      </x:c>
      <x:c r="S209" s="2" t="n">
        <x:v>0</x:v>
      </x:c>
      <x:c r="T209" s="2" t="n">
        <x:f>R209+S209+J209-I209</x:f>
        <x:v>109</x:v>
      </x:c>
      <x:c r="U209" s="2" t="n">
        <x:v>0</x:v>
      </x:c>
      <x:c r="V209" s="2" t="n">
        <x:v>4</x:v>
      </x:c>
      <x:c r="W209" s="2" t="n">
        <x:v>16</x:v>
      </x:c>
      <x:c r="X209" s="14" t="b">
        <x:v>0</x:v>
      </x:c>
      <x:c r="Y209" s="14" t="b">
        <x:v>0</x:v>
      </x:c>
      <x:c r="Z209" s="2" t="n">
        <x:f>ABS(T209-AA209)</x:f>
        <x:v>0</x:v>
      </x:c>
      <x:c r="AA209" s="2" t="n">
        <x:v>109</x:v>
      </x:c>
      <x:c r="AB209" s="2" t="n">
        <x:f>ABS(K209-W209)</x:f>
        <x:v>2</x:v>
      </x:c>
      <x:c r="AC209" s="2" t="n">
        <x:f>COUNTIF($A$2:$A$1921,A209)-1</x:f>
        <x:v>0</x:v>
      </x:c>
      <x:c r="AD209" s="2" t="n">
        <x:f>IF(AND(D209=D208,H209=H208,C209=C208+1),ABS(R209-T208),0)</x:f>
        <x:v>0</x:v>
      </x:c>
    </x:row>
    <x:row r="210" ht="23" customHeight="1">
      <x:c r="A210" s="2" t="str">
        <x:v>DEMO-103-2-9</x:v>
      </x:c>
      <x:c r="B210" s="15" t="d">
        <x:v>2026-06-29T00:00:00.000Z</x:v>
      </x:c>
      <x:c r="C210" s="2" t="n">
        <x:v>9</x:v>
      </x:c>
      <x:c r="D210" s="2" t="str">
        <x:v>DEMO-103</x:v>
      </x:c>
      <x:c r="E210" s="2" t="str">
        <x:v>Cloud Pen Set</x:v>
      </x:c>
      <x:c r="F210" s="2" t="str">
        <x:v>Stationery</x:v>
      </x:c>
      <x:c r="G210" s="2" t="str">
        <x:v>Stores</x:v>
      </x:c>
      <x:c r="H210" s="2" t="str">
        <x:v>Central Market</x:v>
      </x:c>
      <x:c r="I210" s="2" t="n">
        <x:v>17</x:v>
      </x:c>
      <x:c r="J210" s="2" t="n">
        <x:v>0</x:v>
      </x:c>
      <x:c r="K210" s="2" t="n">
        <x:f>I210-J210</x:f>
        <x:v>17</x:v>
      </x:c>
      <x:c r="L210" s="16" t="n">
        <x:v>16</x:v>
      </x:c>
      <x:c r="M210" s="16" t="n">
        <x:v>16</x:v>
      </x:c>
      <x:c r="N210" s="16" t="n">
        <x:v>6.56</x:v>
      </x:c>
      <x:c r="O210" s="16" t="n">
        <x:f>K210*M210</x:f>
        <x:v>272</x:v>
      </x:c>
      <x:c r="P210" s="16" t="n">
        <x:f>K210*N210</x:f>
        <x:v>111.52</x:v>
      </x:c>
      <x:c r="Q210" s="16" t="n">
        <x:f>O210-P210</x:f>
        <x:v>160.48000000000002</x:v>
      </x:c>
      <x:c r="R210" s="2" t="n">
        <x:v>109</x:v>
      </x:c>
      <x:c r="S210" s="2" t="n">
        <x:v>71</x:v>
      </x:c>
      <x:c r="T210" s="2" t="n">
        <x:f>R210+S210+J210-I210</x:f>
        <x:v>163</x:v>
      </x:c>
      <x:c r="U210" s="2" t="n">
        <x:v>0</x:v>
      </x:c>
      <x:c r="V210" s="2" t="n">
        <x:v>4</x:v>
      </x:c>
      <x:c r="W210" s="2" t="n">
        <x:v>16</x:v>
      </x:c>
      <x:c r="X210" s="14" t="b">
        <x:v>0</x:v>
      </x:c>
      <x:c r="Y210" s="14" t="b">
        <x:v>0</x:v>
      </x:c>
      <x:c r="Z210" s="2" t="n">
        <x:f>ABS(T210-AA210)</x:f>
        <x:v>0</x:v>
      </x:c>
      <x:c r="AA210" s="2" t="n">
        <x:v>163</x:v>
      </x:c>
      <x:c r="AB210" s="2" t="n">
        <x:f>ABS(K210-W210)</x:f>
        <x:v>1</x:v>
      </x:c>
      <x:c r="AC210" s="2" t="n">
        <x:f>COUNTIF($A$2:$A$1921,A210)-1</x:f>
        <x:v>0</x:v>
      </x:c>
      <x:c r="AD210" s="2" t="n">
        <x:f>IF(AND(D210=D209,H210=H209,C210=C209+1),ABS(R210-T209),0)</x:f>
        <x:v>0</x:v>
      </x:c>
    </x:row>
    <x:row r="211" ht="23" customHeight="1">
      <x:c r="A211" s="2" t="str">
        <x:v>DEMO-103-2-10</x:v>
      </x:c>
      <x:c r="B211" s="15" t="d">
        <x:v>2026-07-06T00:00:00.000Z</x:v>
      </x:c>
      <x:c r="C211" s="2" t="n">
        <x:v>10</x:v>
      </x:c>
      <x:c r="D211" s="2" t="str">
        <x:v>DEMO-103</x:v>
      </x:c>
      <x:c r="E211" s="2" t="str">
        <x:v>Cloud Pen Set</x:v>
      </x:c>
      <x:c r="F211" s="2" t="str">
        <x:v>Stationery</x:v>
      </x:c>
      <x:c r="G211" s="2" t="str">
        <x:v>Stores</x:v>
      </x:c>
      <x:c r="H211" s="2" t="str">
        <x:v>Central Market</x:v>
      </x:c>
      <x:c r="I211" s="2" t="n">
        <x:v>20</x:v>
      </x:c>
      <x:c r="J211" s="2" t="n">
        <x:v>0</x:v>
      </x:c>
      <x:c r="K211" s="2" t="n">
        <x:f>I211-J211</x:f>
        <x:v>20</x:v>
      </x:c>
      <x:c r="L211" s="16" t="n">
        <x:v>16</x:v>
      </x:c>
      <x:c r="M211" s="16" t="n">
        <x:v>16</x:v>
      </x:c>
      <x:c r="N211" s="16" t="n">
        <x:v>6.56</x:v>
      </x:c>
      <x:c r="O211" s="16" t="n">
        <x:f>K211*M211</x:f>
        <x:v>320</x:v>
      </x:c>
      <x:c r="P211" s="16" t="n">
        <x:f>K211*N211</x:f>
        <x:v>131.2</x:v>
      </x:c>
      <x:c r="Q211" s="16" t="n">
        <x:f>O211-P211</x:f>
        <x:v>188.8</x:v>
      </x:c>
      <x:c r="R211" s="2" t="n">
        <x:v>163</x:v>
      </x:c>
      <x:c r="S211" s="2" t="n">
        <x:v>0</x:v>
      </x:c>
      <x:c r="T211" s="2" t="n">
        <x:f>R211+S211+J211-I211</x:f>
        <x:v>143</x:v>
      </x:c>
      <x:c r="U211" s="2" t="n">
        <x:v>0</x:v>
      </x:c>
      <x:c r="V211" s="2" t="n">
        <x:v>4</x:v>
      </x:c>
      <x:c r="W211" s="2" t="n">
        <x:v>16</x:v>
      </x:c>
      <x:c r="X211" s="14" t="b">
        <x:v>0</x:v>
      </x:c>
      <x:c r="Y211" s="14" t="b">
        <x:v>0</x:v>
      </x:c>
      <x:c r="Z211" s="2" t="n">
        <x:f>ABS(T211-AA211)</x:f>
        <x:v>0</x:v>
      </x:c>
      <x:c r="AA211" s="2" t="n">
        <x:v>143</x:v>
      </x:c>
      <x:c r="AB211" s="2" t="n">
        <x:f>ABS(K211-W211)</x:f>
        <x:v>4</x:v>
      </x:c>
      <x:c r="AC211" s="2" t="n">
        <x:f>COUNTIF($A$2:$A$1921,A211)-1</x:f>
        <x:v>0</x:v>
      </x:c>
      <x:c r="AD211" s="2" t="n">
        <x:f>IF(AND(D211=D210,H211=H210,C211=C210+1),ABS(R211-T210),0)</x:f>
        <x:v>0</x:v>
      </x:c>
    </x:row>
    <x:row r="212" ht="23" customHeight="1">
      <x:c r="A212" s="2" t="str">
        <x:v>DEMO-103-2-11</x:v>
      </x:c>
      <x:c r="B212" s="15" t="d">
        <x:v>2026-07-13T00:00:00.000Z</x:v>
      </x:c>
      <x:c r="C212" s="2" t="n">
        <x:v>11</x:v>
      </x:c>
      <x:c r="D212" s="2" t="str">
        <x:v>DEMO-103</x:v>
      </x:c>
      <x:c r="E212" s="2" t="str">
        <x:v>Cloud Pen Set</x:v>
      </x:c>
      <x:c r="F212" s="2" t="str">
        <x:v>Stationery</x:v>
      </x:c>
      <x:c r="G212" s="2" t="str">
        <x:v>Stores</x:v>
      </x:c>
      <x:c r="H212" s="2" t="str">
        <x:v>Central Market</x:v>
      </x:c>
      <x:c r="I212" s="2" t="n">
        <x:v>18</x:v>
      </x:c>
      <x:c r="J212" s="2" t="n">
        <x:v>1</x:v>
      </x:c>
      <x:c r="K212" s="2" t="n">
        <x:f>I212-J212</x:f>
        <x:v>17</x:v>
      </x:c>
      <x:c r="L212" s="16" t="n">
        <x:v>16</x:v>
      </x:c>
      <x:c r="M212" s="16" t="n">
        <x:v>16</x:v>
      </x:c>
      <x:c r="N212" s="16" t="n">
        <x:v>6.56</x:v>
      </x:c>
      <x:c r="O212" s="16" t="n">
        <x:f>K212*M212</x:f>
        <x:v>272</x:v>
      </x:c>
      <x:c r="P212" s="16" t="n">
        <x:f>K212*N212</x:f>
        <x:v>111.52</x:v>
      </x:c>
      <x:c r="Q212" s="16" t="n">
        <x:f>O212-P212</x:f>
        <x:v>160.48000000000002</x:v>
      </x:c>
      <x:c r="R212" s="2" t="n">
        <x:v>143</x:v>
      </x:c>
      <x:c r="S212" s="2" t="n">
        <x:v>0</x:v>
      </x:c>
      <x:c r="T212" s="2" t="n">
        <x:f>R212+S212+J212-I212</x:f>
        <x:v>126</x:v>
      </x:c>
      <x:c r="U212" s="2" t="n">
        <x:v>0</x:v>
      </x:c>
      <x:c r="V212" s="2" t="n">
        <x:v>4</x:v>
      </x:c>
      <x:c r="W212" s="2" t="n">
        <x:v>17</x:v>
      </x:c>
      <x:c r="X212" s="14" t="b">
        <x:v>0</x:v>
      </x:c>
      <x:c r="Y212" s="14" t="b">
        <x:v>0</x:v>
      </x:c>
      <x:c r="Z212" s="2" t="n">
        <x:f>ABS(T212-AA212)</x:f>
        <x:v>0</x:v>
      </x:c>
      <x:c r="AA212" s="2" t="n">
        <x:v>126</x:v>
      </x:c>
      <x:c r="AB212" s="2" t="n">
        <x:f>ABS(K212-W212)</x:f>
        <x:v>0</x:v>
      </x:c>
      <x:c r="AC212" s="2" t="n">
        <x:f>COUNTIF($A$2:$A$1921,A212)-1</x:f>
        <x:v>0</x:v>
      </x:c>
      <x:c r="AD212" s="2" t="n">
        <x:f>IF(AND(D212=D211,H212=H211,C212=C211+1),ABS(R212-T211),0)</x:f>
        <x:v>0</x:v>
      </x:c>
    </x:row>
    <x:row r="213" ht="23" customHeight="1">
      <x:c r="A213" s="2" t="str">
        <x:v>DEMO-103-2-12</x:v>
      </x:c>
      <x:c r="B213" s="15" t="d">
        <x:v>2026-07-20T00:00:00.000Z</x:v>
      </x:c>
      <x:c r="C213" s="2" t="n">
        <x:v>12</x:v>
      </x:c>
      <x:c r="D213" s="2" t="str">
        <x:v>DEMO-103</x:v>
      </x:c>
      <x:c r="E213" s="2" t="str">
        <x:v>Cloud Pen Set</x:v>
      </x:c>
      <x:c r="F213" s="2" t="str">
        <x:v>Stationery</x:v>
      </x:c>
      <x:c r="G213" s="2" t="str">
        <x:v>Stores</x:v>
      </x:c>
      <x:c r="H213" s="2" t="str">
        <x:v>Central Market</x:v>
      </x:c>
      <x:c r="I213" s="2" t="n">
        <x:v>16</x:v>
      </x:c>
      <x:c r="J213" s="2" t="n">
        <x:v>0</x:v>
      </x:c>
      <x:c r="K213" s="2" t="n">
        <x:f>I213-J213</x:f>
        <x:v>16</x:v>
      </x:c>
      <x:c r="L213" s="16" t="n">
        <x:v>16</x:v>
      </x:c>
      <x:c r="M213" s="16" t="n">
        <x:v>16</x:v>
      </x:c>
      <x:c r="N213" s="16" t="n">
        <x:v>6.56</x:v>
      </x:c>
      <x:c r="O213" s="16" t="n">
        <x:f>K213*M213</x:f>
        <x:v>256</x:v>
      </x:c>
      <x:c r="P213" s="16" t="n">
        <x:f>K213*N213</x:f>
        <x:v>104.96</x:v>
      </x:c>
      <x:c r="Q213" s="16" t="n">
        <x:f>O213-P213</x:f>
        <x:v>151.04000000000002</x:v>
      </x:c>
      <x:c r="R213" s="2" t="n">
        <x:v>126</x:v>
      </x:c>
      <x:c r="S213" s="2" t="n">
        <x:v>0</x:v>
      </x:c>
      <x:c r="T213" s="2" t="n">
        <x:f>R213+S213+J213-I213</x:f>
        <x:v>110</x:v>
      </x:c>
      <x:c r="U213" s="2" t="n">
        <x:v>0</x:v>
      </x:c>
      <x:c r="V213" s="2" t="n">
        <x:v>4</x:v>
      </x:c>
      <x:c r="W213" s="2" t="n">
        <x:v>17</x:v>
      </x:c>
      <x:c r="X213" s="14" t="b">
        <x:v>0</x:v>
      </x:c>
      <x:c r="Y213" s="14" t="b">
        <x:v>0</x:v>
      </x:c>
      <x:c r="Z213" s="2" t="n">
        <x:f>ABS(T213-AA213)</x:f>
        <x:v>0</x:v>
      </x:c>
      <x:c r="AA213" s="2" t="n">
        <x:v>110</x:v>
      </x:c>
      <x:c r="AB213" s="2" t="n">
        <x:f>ABS(K213-W213)</x:f>
        <x:v>1</x:v>
      </x:c>
      <x:c r="AC213" s="2" t="n">
        <x:f>COUNTIF($A$2:$A$1921,A213)-1</x:f>
        <x:v>0</x:v>
      </x:c>
      <x:c r="AD213" s="2" t="n">
        <x:f>IF(AND(D213=D212,H213=H212,C213=C212+1),ABS(R213-T212),0)</x:f>
        <x:v>0</x:v>
      </x:c>
    </x:row>
    <x:row r="214" ht="23" customHeight="1">
      <x:c r="A214" s="2" t="str">
        <x:v>DEMO-103-2-13</x:v>
      </x:c>
      <x:c r="B214" s="15" t="d">
        <x:v>2026-07-27T00:00:00.000Z</x:v>
      </x:c>
      <x:c r="C214" s="2" t="n">
        <x:v>13</x:v>
      </x:c>
      <x:c r="D214" s="2" t="str">
        <x:v>DEMO-103</x:v>
      </x:c>
      <x:c r="E214" s="2" t="str">
        <x:v>Cloud Pen Set</x:v>
      </x:c>
      <x:c r="F214" s="2" t="str">
        <x:v>Stationery</x:v>
      </x:c>
      <x:c r="G214" s="2" t="str">
        <x:v>Stores</x:v>
      </x:c>
      <x:c r="H214" s="2" t="str">
        <x:v>Central Market</x:v>
      </x:c>
      <x:c r="I214" s="2" t="n">
        <x:v>18</x:v>
      </x:c>
      <x:c r="J214" s="2" t="n">
        <x:v>1</x:v>
      </x:c>
      <x:c r="K214" s="2" t="n">
        <x:f>I214-J214</x:f>
        <x:v>17</x:v>
      </x:c>
      <x:c r="L214" s="16" t="n">
        <x:v>16</x:v>
      </x:c>
      <x:c r="M214" s="16" t="n">
        <x:v>16</x:v>
      </x:c>
      <x:c r="N214" s="16" t="n">
        <x:v>6.56</x:v>
      </x:c>
      <x:c r="O214" s="16" t="n">
        <x:f>K214*M214</x:f>
        <x:v>272</x:v>
      </x:c>
      <x:c r="P214" s="16" t="n">
        <x:f>K214*N214</x:f>
        <x:v>111.52</x:v>
      </x:c>
      <x:c r="Q214" s="16" t="n">
        <x:f>O214-P214</x:f>
        <x:v>160.48000000000002</x:v>
      </x:c>
      <x:c r="R214" s="2" t="n">
        <x:v>110</x:v>
      </x:c>
      <x:c r="S214" s="2" t="n">
        <x:v>71</x:v>
      </x:c>
      <x:c r="T214" s="2" t="n">
        <x:f>R214+S214+J214-I214</x:f>
        <x:v>164</x:v>
      </x:c>
      <x:c r="U214" s="2" t="n">
        <x:v>0</x:v>
      </x:c>
      <x:c r="V214" s="2" t="n">
        <x:v>4</x:v>
      </x:c>
      <x:c r="W214" s="2" t="n">
        <x:v>18</x:v>
      </x:c>
      <x:c r="X214" s="14" t="b">
        <x:v>0</x:v>
      </x:c>
      <x:c r="Y214" s="14" t="b">
        <x:v>0</x:v>
      </x:c>
      <x:c r="Z214" s="2" t="n">
        <x:f>ABS(T214-AA214)</x:f>
        <x:v>0</x:v>
      </x:c>
      <x:c r="AA214" s="2" t="n">
        <x:v>164</x:v>
      </x:c>
      <x:c r="AB214" s="2" t="n">
        <x:f>ABS(K214-W214)</x:f>
        <x:v>1</x:v>
      </x:c>
      <x:c r="AC214" s="2" t="n">
        <x:f>COUNTIF($A$2:$A$1921,A214)-1</x:f>
        <x:v>0</x:v>
      </x:c>
      <x:c r="AD214" s="2" t="n">
        <x:f>IF(AND(D214=D213,H214=H213,C214=C213+1),ABS(R214-T213),0)</x:f>
        <x:v>0</x:v>
      </x:c>
    </x:row>
    <x:row r="215" ht="23" customHeight="1">
      <x:c r="A215" s="2" t="str">
        <x:v>DEMO-103-2-14</x:v>
      </x:c>
      <x:c r="B215" s="15" t="d">
        <x:v>2026-08-03T00:00:00.000Z</x:v>
      </x:c>
      <x:c r="C215" s="2" t="n">
        <x:v>14</x:v>
      </x:c>
      <x:c r="D215" s="2" t="str">
        <x:v>DEMO-103</x:v>
      </x:c>
      <x:c r="E215" s="2" t="str">
        <x:v>Cloud Pen Set</x:v>
      </x:c>
      <x:c r="F215" s="2" t="str">
        <x:v>Stationery</x:v>
      </x:c>
      <x:c r="G215" s="2" t="str">
        <x:v>Stores</x:v>
      </x:c>
      <x:c r="H215" s="2" t="str">
        <x:v>Central Market</x:v>
      </x:c>
      <x:c r="I215" s="2" t="n">
        <x:v>18</x:v>
      </x:c>
      <x:c r="J215" s="2" t="n">
        <x:v>0</x:v>
      </x:c>
      <x:c r="K215" s="2" t="n">
        <x:f>I215-J215</x:f>
        <x:v>18</x:v>
      </x:c>
      <x:c r="L215" s="16" t="n">
        <x:v>16</x:v>
      </x:c>
      <x:c r="M215" s="16" t="n">
        <x:v>16</x:v>
      </x:c>
      <x:c r="N215" s="16" t="n">
        <x:v>6.56</x:v>
      </x:c>
      <x:c r="O215" s="16" t="n">
        <x:f>K215*M215</x:f>
        <x:v>288</x:v>
      </x:c>
      <x:c r="P215" s="16" t="n">
        <x:f>K215*N215</x:f>
        <x:v>118.08</x:v>
      </x:c>
      <x:c r="Q215" s="16" t="n">
        <x:f>O215-P215</x:f>
        <x:v>169.92000000000002</x:v>
      </x:c>
      <x:c r="R215" s="2" t="n">
        <x:v>164</x:v>
      </x:c>
      <x:c r="S215" s="2" t="n">
        <x:v>0</x:v>
      </x:c>
      <x:c r="T215" s="2" t="n">
        <x:f>R215+S215+J215-I215</x:f>
        <x:v>146</x:v>
      </x:c>
      <x:c r="U215" s="2" t="n">
        <x:v>0</x:v>
      </x:c>
      <x:c r="V215" s="2" t="n">
        <x:v>4</x:v>
      </x:c>
      <x:c r="W215" s="2" t="n">
        <x:v>18</x:v>
      </x:c>
      <x:c r="X215" s="14" t="b">
        <x:v>0</x:v>
      </x:c>
      <x:c r="Y215" s="14" t="b">
        <x:v>0</x:v>
      </x:c>
      <x:c r="Z215" s="2" t="n">
        <x:f>ABS(T215-AA215)</x:f>
        <x:v>0</x:v>
      </x:c>
      <x:c r="AA215" s="2" t="n">
        <x:v>146</x:v>
      </x:c>
      <x:c r="AB215" s="2" t="n">
        <x:f>ABS(K215-W215)</x:f>
        <x:v>0</x:v>
      </x:c>
      <x:c r="AC215" s="2" t="n">
        <x:f>COUNTIF($A$2:$A$1921,A215)-1</x:f>
        <x:v>0</x:v>
      </x:c>
      <x:c r="AD215" s="2" t="n">
        <x:f>IF(AND(D215=D214,H215=H214,C215=C214+1),ABS(R215-T214),0)</x:f>
        <x:v>0</x:v>
      </x:c>
    </x:row>
    <x:row r="216" ht="23" customHeight="1">
      <x:c r="A216" s="2" t="str">
        <x:v>DEMO-103-2-15</x:v>
      </x:c>
      <x:c r="B216" s="15" t="d">
        <x:v>2026-08-10T00:00:00.000Z</x:v>
      </x:c>
      <x:c r="C216" s="2" t="n">
        <x:v>15</x:v>
      </x:c>
      <x:c r="D216" s="2" t="str">
        <x:v>DEMO-103</x:v>
      </x:c>
      <x:c r="E216" s="2" t="str">
        <x:v>Cloud Pen Set</x:v>
      </x:c>
      <x:c r="F216" s="2" t="str">
        <x:v>Stationery</x:v>
      </x:c>
      <x:c r="G216" s="2" t="str">
        <x:v>Stores</x:v>
      </x:c>
      <x:c r="H216" s="2" t="str">
        <x:v>Central Market</x:v>
      </x:c>
      <x:c r="I216" s="2" t="n">
        <x:v>15</x:v>
      </x:c>
      <x:c r="J216" s="2" t="n">
        <x:v>0</x:v>
      </x:c>
      <x:c r="K216" s="2" t="n">
        <x:f>I216-J216</x:f>
        <x:v>15</x:v>
      </x:c>
      <x:c r="L216" s="16" t="n">
        <x:v>16</x:v>
      </x:c>
      <x:c r="M216" s="16" t="n">
        <x:v>16</x:v>
      </x:c>
      <x:c r="N216" s="16" t="n">
        <x:v>6.56</x:v>
      </x:c>
      <x:c r="O216" s="16" t="n">
        <x:f>K216*M216</x:f>
        <x:v>240</x:v>
      </x:c>
      <x:c r="P216" s="16" t="n">
        <x:f>K216*N216</x:f>
        <x:v>98.39999999999999</x:v>
      </x:c>
      <x:c r="Q216" s="16" t="n">
        <x:f>O216-P216</x:f>
        <x:v>141.60000000000002</x:v>
      </x:c>
      <x:c r="R216" s="2" t="n">
        <x:v>146</x:v>
      </x:c>
      <x:c r="S216" s="2" t="n">
        <x:v>0</x:v>
      </x:c>
      <x:c r="T216" s="2" t="n">
        <x:f>R216+S216+J216-I216</x:f>
        <x:v>131</x:v>
      </x:c>
      <x:c r="U216" s="2" t="n">
        <x:v>0</x:v>
      </x:c>
      <x:c r="V216" s="2" t="n">
        <x:v>4</x:v>
      </x:c>
      <x:c r="W216" s="2" t="n">
        <x:v>17</x:v>
      </x:c>
      <x:c r="X216" s="14" t="b">
        <x:v>0</x:v>
      </x:c>
      <x:c r="Y216" s="14" t="b">
        <x:v>0</x:v>
      </x:c>
      <x:c r="Z216" s="2" t="n">
        <x:f>ABS(T216-AA216)</x:f>
        <x:v>0</x:v>
      </x:c>
      <x:c r="AA216" s="2" t="n">
        <x:v>131</x:v>
      </x:c>
      <x:c r="AB216" s="2" t="n">
        <x:f>ABS(K216-W216)</x:f>
        <x:v>2</x:v>
      </x:c>
      <x:c r="AC216" s="2" t="n">
        <x:f>COUNTIF($A$2:$A$1921,A216)-1</x:f>
        <x:v>0</x:v>
      </x:c>
      <x:c r="AD216" s="2" t="n">
        <x:f>IF(AND(D216=D215,H216=H215,C216=C215+1),ABS(R216-T215),0)</x:f>
        <x:v>0</x:v>
      </x:c>
    </x:row>
    <x:row r="217" ht="23" customHeight="1">
      <x:c r="A217" s="2" t="str">
        <x:v>DEMO-103-2-16</x:v>
      </x:c>
      <x:c r="B217" s="15" t="d">
        <x:v>2026-08-17T00:00:00.000Z</x:v>
      </x:c>
      <x:c r="C217" s="2" t="n">
        <x:v>16</x:v>
      </x:c>
      <x:c r="D217" s="2" t="str">
        <x:v>DEMO-103</x:v>
      </x:c>
      <x:c r="E217" s="2" t="str">
        <x:v>Cloud Pen Set</x:v>
      </x:c>
      <x:c r="F217" s="2" t="str">
        <x:v>Stationery</x:v>
      </x:c>
      <x:c r="G217" s="2" t="str">
        <x:v>Stores</x:v>
      </x:c>
      <x:c r="H217" s="2" t="str">
        <x:v>Central Market</x:v>
      </x:c>
      <x:c r="I217" s="2" t="n">
        <x:v>15</x:v>
      </x:c>
      <x:c r="J217" s="2" t="n">
        <x:v>0</x:v>
      </x:c>
      <x:c r="K217" s="2" t="n">
        <x:f>I217-J217</x:f>
        <x:v>15</x:v>
      </x:c>
      <x:c r="L217" s="16" t="n">
        <x:v>16</x:v>
      </x:c>
      <x:c r="M217" s="16" t="n">
        <x:v>16</x:v>
      </x:c>
      <x:c r="N217" s="16" t="n">
        <x:v>6.56</x:v>
      </x:c>
      <x:c r="O217" s="16" t="n">
        <x:f>K217*M217</x:f>
        <x:v>240</x:v>
      </x:c>
      <x:c r="P217" s="16" t="n">
        <x:f>K217*N217</x:f>
        <x:v>98.39999999999999</x:v>
      </x:c>
      <x:c r="Q217" s="16" t="n">
        <x:f>O217-P217</x:f>
        <x:v>141.60000000000002</x:v>
      </x:c>
      <x:c r="R217" s="2" t="n">
        <x:v>131</x:v>
      </x:c>
      <x:c r="S217" s="2" t="n">
        <x:v>0</x:v>
      </x:c>
      <x:c r="T217" s="2" t="n">
        <x:f>R217+S217+J217-I217</x:f>
        <x:v>116</x:v>
      </x:c>
      <x:c r="U217" s="2" t="n">
        <x:v>0</x:v>
      </x:c>
      <x:c r="V217" s="2" t="n">
        <x:v>4</x:v>
      </x:c>
      <x:c r="W217" s="2" t="n">
        <x:v>17</x:v>
      </x:c>
      <x:c r="X217" s="14" t="b">
        <x:v>0</x:v>
      </x:c>
      <x:c r="Y217" s="14" t="b">
        <x:v>0</x:v>
      </x:c>
      <x:c r="Z217" s="2" t="n">
        <x:f>ABS(T217-AA217)</x:f>
        <x:v>0</x:v>
      </x:c>
      <x:c r="AA217" s="2" t="n">
        <x:v>116</x:v>
      </x:c>
      <x:c r="AB217" s="2" t="n">
        <x:f>ABS(K217-W217)</x:f>
        <x:v>2</x:v>
      </x:c>
      <x:c r="AC217" s="2" t="n">
        <x:f>COUNTIF($A$2:$A$1921,A217)-1</x:f>
        <x:v>0</x:v>
      </x:c>
      <x:c r="AD217" s="2" t="n">
        <x:f>IF(AND(D217=D216,H217=H216,C217=C216+1),ABS(R217-T216),0)</x:f>
        <x:v>0</x:v>
      </x:c>
    </x:row>
    <x:row r="218" ht="23" customHeight="1">
      <x:c r="A218" s="2" t="str">
        <x:v>DEMO-103-2-17</x:v>
      </x:c>
      <x:c r="B218" s="15" t="d">
        <x:v>2026-08-24T00:00:00.000Z</x:v>
      </x:c>
      <x:c r="C218" s="2" t="n">
        <x:v>17</x:v>
      </x:c>
      <x:c r="D218" s="2" t="str">
        <x:v>DEMO-103</x:v>
      </x:c>
      <x:c r="E218" s="2" t="str">
        <x:v>Cloud Pen Set</x:v>
      </x:c>
      <x:c r="F218" s="2" t="str">
        <x:v>Stationery</x:v>
      </x:c>
      <x:c r="G218" s="2" t="str">
        <x:v>Stores</x:v>
      </x:c>
      <x:c r="H218" s="2" t="str">
        <x:v>Central Market</x:v>
      </x:c>
      <x:c r="I218" s="2" t="n">
        <x:v>17</x:v>
      </x:c>
      <x:c r="J218" s="2" t="n">
        <x:v>0</x:v>
      </x:c>
      <x:c r="K218" s="2" t="n">
        <x:f>I218-J218</x:f>
        <x:v>17</x:v>
      </x:c>
      <x:c r="L218" s="16" t="n">
        <x:v>16</x:v>
      </x:c>
      <x:c r="M218" s="16" t="n">
        <x:v>16</x:v>
      </x:c>
      <x:c r="N218" s="16" t="n">
        <x:v>6.56</x:v>
      </x:c>
      <x:c r="O218" s="16" t="n">
        <x:f>K218*M218</x:f>
        <x:v>272</x:v>
      </x:c>
      <x:c r="P218" s="16" t="n">
        <x:f>K218*N218</x:f>
        <x:v>111.52</x:v>
      </x:c>
      <x:c r="Q218" s="16" t="n">
        <x:f>O218-P218</x:f>
        <x:v>160.48000000000002</x:v>
      </x:c>
      <x:c r="R218" s="2" t="n">
        <x:v>116</x:v>
      </x:c>
      <x:c r="S218" s="2" t="n">
        <x:v>71</x:v>
      </x:c>
      <x:c r="T218" s="2" t="n">
        <x:f>R218+S218+J218-I218</x:f>
        <x:v>170</x:v>
      </x:c>
      <x:c r="U218" s="2" t="n">
        <x:v>0</x:v>
      </x:c>
      <x:c r="V218" s="2" t="n">
        <x:v>4</x:v>
      </x:c>
      <x:c r="W218" s="2" t="n">
        <x:v>16</x:v>
      </x:c>
      <x:c r="X218" s="14" t="b">
        <x:v>0</x:v>
      </x:c>
      <x:c r="Y218" s="14" t="b">
        <x:v>0</x:v>
      </x:c>
      <x:c r="Z218" s="2" t="n">
        <x:f>ABS(T218-AA218)</x:f>
        <x:v>0</x:v>
      </x:c>
      <x:c r="AA218" s="2" t="n">
        <x:v>170</x:v>
      </x:c>
      <x:c r="AB218" s="2" t="n">
        <x:f>ABS(K218-W218)</x:f>
        <x:v>1</x:v>
      </x:c>
      <x:c r="AC218" s="2" t="n">
        <x:f>COUNTIF($A$2:$A$1921,A218)-1</x:f>
        <x:v>0</x:v>
      </x:c>
      <x:c r="AD218" s="2" t="n">
        <x:f>IF(AND(D218=D217,H218=H217,C218=C217+1),ABS(R218-T217),0)</x:f>
        <x:v>0</x:v>
      </x:c>
    </x:row>
    <x:row r="219" ht="23" customHeight="1">
      <x:c r="A219" s="2" t="str">
        <x:v>DEMO-103-2-18</x:v>
      </x:c>
      <x:c r="B219" s="15" t="d">
        <x:v>2026-08-31T00:00:00.000Z</x:v>
      </x:c>
      <x:c r="C219" s="2" t="n">
        <x:v>18</x:v>
      </x:c>
      <x:c r="D219" s="2" t="str">
        <x:v>DEMO-103</x:v>
      </x:c>
      <x:c r="E219" s="2" t="str">
        <x:v>Cloud Pen Set</x:v>
      </x:c>
      <x:c r="F219" s="2" t="str">
        <x:v>Stationery</x:v>
      </x:c>
      <x:c r="G219" s="2" t="str">
        <x:v>Stores</x:v>
      </x:c>
      <x:c r="H219" s="2" t="str">
        <x:v>Central Market</x:v>
      </x:c>
      <x:c r="I219" s="2" t="n">
        <x:v>19</x:v>
      </x:c>
      <x:c r="J219" s="2" t="n">
        <x:v>0</x:v>
      </x:c>
      <x:c r="K219" s="2" t="n">
        <x:f>I219-J219</x:f>
        <x:v>19</x:v>
      </x:c>
      <x:c r="L219" s="16" t="n">
        <x:v>16</x:v>
      </x:c>
      <x:c r="M219" s="16" t="n">
        <x:v>16</x:v>
      </x:c>
      <x:c r="N219" s="16" t="n">
        <x:v>6.56</x:v>
      </x:c>
      <x:c r="O219" s="16" t="n">
        <x:f>K219*M219</x:f>
        <x:v>304</x:v>
      </x:c>
      <x:c r="P219" s="16" t="n">
        <x:f>K219*N219</x:f>
        <x:v>124.63999999999999</x:v>
      </x:c>
      <x:c r="Q219" s="16" t="n">
        <x:f>O219-P219</x:f>
        <x:v>179.36</x:v>
      </x:c>
      <x:c r="R219" s="2" t="n">
        <x:v>170</x:v>
      </x:c>
      <x:c r="S219" s="2" t="n">
        <x:v>0</x:v>
      </x:c>
      <x:c r="T219" s="2" t="n">
        <x:f>R219+S219+J219-I219</x:f>
        <x:v>151</x:v>
      </x:c>
      <x:c r="U219" s="2" t="n">
        <x:v>0</x:v>
      </x:c>
      <x:c r="V219" s="2" t="n">
        <x:v>4</x:v>
      </x:c>
      <x:c r="W219" s="2" t="n">
        <x:v>16</x:v>
      </x:c>
      <x:c r="X219" s="14" t="b">
        <x:v>0</x:v>
      </x:c>
      <x:c r="Y219" s="14" t="b">
        <x:v>0</x:v>
      </x:c>
      <x:c r="Z219" s="2" t="n">
        <x:f>ABS(T219-AA219)</x:f>
        <x:v>0</x:v>
      </x:c>
      <x:c r="AA219" s="2" t="n">
        <x:v>151</x:v>
      </x:c>
      <x:c r="AB219" s="2" t="n">
        <x:f>ABS(K219-W219)</x:f>
        <x:v>3</x:v>
      </x:c>
      <x:c r="AC219" s="2" t="n">
        <x:f>COUNTIF($A$2:$A$1921,A219)-1</x:f>
        <x:v>0</x:v>
      </x:c>
      <x:c r="AD219" s="2" t="n">
        <x:f>IF(AND(D219=D218,H219=H218,C219=C218+1),ABS(R219-T218),0)</x:f>
        <x:v>0</x:v>
      </x:c>
    </x:row>
    <x:row r="220" ht="23" customHeight="1">
      <x:c r="A220" s="2" t="str">
        <x:v>DEMO-103-2-19</x:v>
      </x:c>
      <x:c r="B220" s="15" t="d">
        <x:v>2026-09-07T00:00:00.000Z</x:v>
      </x:c>
      <x:c r="C220" s="2" t="n">
        <x:v>19</x:v>
      </x:c>
      <x:c r="D220" s="2" t="str">
        <x:v>DEMO-103</x:v>
      </x:c>
      <x:c r="E220" s="2" t="str">
        <x:v>Cloud Pen Set</x:v>
      </x:c>
      <x:c r="F220" s="2" t="str">
        <x:v>Stationery</x:v>
      </x:c>
      <x:c r="G220" s="2" t="str">
        <x:v>Stores</x:v>
      </x:c>
      <x:c r="H220" s="2" t="str">
        <x:v>Central Market</x:v>
      </x:c>
      <x:c r="I220" s="2" t="n">
        <x:v>19</x:v>
      </x:c>
      <x:c r="J220" s="2" t="n">
        <x:v>0</x:v>
      </x:c>
      <x:c r="K220" s="2" t="n">
        <x:f>I220-J220</x:f>
        <x:v>19</x:v>
      </x:c>
      <x:c r="L220" s="16" t="n">
        <x:v>16</x:v>
      </x:c>
      <x:c r="M220" s="16" t="n">
        <x:v>16</x:v>
      </x:c>
      <x:c r="N220" s="16" t="n">
        <x:v>6.56</x:v>
      </x:c>
      <x:c r="O220" s="16" t="n">
        <x:f>K220*M220</x:f>
        <x:v>304</x:v>
      </x:c>
      <x:c r="P220" s="16" t="n">
        <x:f>K220*N220</x:f>
        <x:v>124.63999999999999</x:v>
      </x:c>
      <x:c r="Q220" s="16" t="n">
        <x:f>O220-P220</x:f>
        <x:v>179.36</x:v>
      </x:c>
      <x:c r="R220" s="2" t="n">
        <x:v>151</x:v>
      </x:c>
      <x:c r="S220" s="2" t="n">
        <x:v>0</x:v>
      </x:c>
      <x:c r="T220" s="2" t="n">
        <x:f>R220+S220+J220-I220</x:f>
        <x:v>132</x:v>
      </x:c>
      <x:c r="U220" s="2" t="n">
        <x:v>0</x:v>
      </x:c>
      <x:c r="V220" s="2" t="n">
        <x:v>4</x:v>
      </x:c>
      <x:c r="W220" s="2" t="n">
        <x:v>17</x:v>
      </x:c>
      <x:c r="X220" s="14" t="b">
        <x:v>0</x:v>
      </x:c>
      <x:c r="Y220" s="14" t="b">
        <x:v>0</x:v>
      </x:c>
      <x:c r="Z220" s="2" t="n">
        <x:f>ABS(T220-AA220)</x:f>
        <x:v>0</x:v>
      </x:c>
      <x:c r="AA220" s="2" t="n">
        <x:v>132</x:v>
      </x:c>
      <x:c r="AB220" s="2" t="n">
        <x:f>ABS(K220-W220)</x:f>
        <x:v>2</x:v>
      </x:c>
      <x:c r="AC220" s="2" t="n">
        <x:f>COUNTIF($A$2:$A$1921,A220)-1</x:f>
        <x:v>0</x:v>
      </x:c>
      <x:c r="AD220" s="2" t="n">
        <x:f>IF(AND(D220=D219,H220=H219,C220=C219+1),ABS(R220-T219),0)</x:f>
        <x:v>0</x:v>
      </x:c>
    </x:row>
    <x:row r="221" ht="23" customHeight="1">
      <x:c r="A221" s="2" t="str">
        <x:v>DEMO-103-2-20</x:v>
      </x:c>
      <x:c r="B221" s="15" t="d">
        <x:v>2026-09-14T00:00:00.000Z</x:v>
      </x:c>
      <x:c r="C221" s="2" t="n">
        <x:v>20</x:v>
      </x:c>
      <x:c r="D221" s="2" t="str">
        <x:v>DEMO-103</x:v>
      </x:c>
      <x:c r="E221" s="2" t="str">
        <x:v>Cloud Pen Set</x:v>
      </x:c>
      <x:c r="F221" s="2" t="str">
        <x:v>Stationery</x:v>
      </x:c>
      <x:c r="G221" s="2" t="str">
        <x:v>Stores</x:v>
      </x:c>
      <x:c r="H221" s="2" t="str">
        <x:v>Central Market</x:v>
      </x:c>
      <x:c r="I221" s="2" t="n">
        <x:v>19</x:v>
      </x:c>
      <x:c r="J221" s="2" t="n">
        <x:v>1</x:v>
      </x:c>
      <x:c r="K221" s="2" t="n">
        <x:f>I221-J221</x:f>
        <x:v>18</x:v>
      </x:c>
      <x:c r="L221" s="16" t="n">
        <x:v>16</x:v>
      </x:c>
      <x:c r="M221" s="16" t="n">
        <x:v>16</x:v>
      </x:c>
      <x:c r="N221" s="16" t="n">
        <x:v>6.56</x:v>
      </x:c>
      <x:c r="O221" s="16" t="n">
        <x:f>K221*M221</x:f>
        <x:v>288</x:v>
      </x:c>
      <x:c r="P221" s="16" t="n">
        <x:f>K221*N221</x:f>
        <x:v>118.08</x:v>
      </x:c>
      <x:c r="Q221" s="16" t="n">
        <x:f>O221-P221</x:f>
        <x:v>169.92000000000002</x:v>
      </x:c>
      <x:c r="R221" s="2" t="n">
        <x:v>132</x:v>
      </x:c>
      <x:c r="S221" s="2" t="n">
        <x:v>0</x:v>
      </x:c>
      <x:c r="T221" s="2" t="n">
        <x:f>R221+S221+J221-I221</x:f>
        <x:v>114</x:v>
      </x:c>
      <x:c r="U221" s="2" t="n">
        <x:v>18</x:v>
      </x:c>
      <x:c r="V221" s="2" t="n">
        <x:v>4</x:v>
      </x:c>
      <x:c r="W221" s="2" t="n">
        <x:v>18</x:v>
      </x:c>
      <x:c r="X221" s="14" t="b">
        <x:v>0</x:v>
      </x:c>
      <x:c r="Y221" s="14" t="b">
        <x:v>0</x:v>
      </x:c>
      <x:c r="Z221" s="2" t="n">
        <x:f>ABS(T221-AA221)</x:f>
        <x:v>0</x:v>
      </x:c>
      <x:c r="AA221" s="2" t="n">
        <x:v>114</x:v>
      </x:c>
      <x:c r="AB221" s="2" t="n">
        <x:f>ABS(K221-W221)</x:f>
        <x:v>0</x:v>
      </x:c>
      <x:c r="AC221" s="2" t="n">
        <x:f>COUNTIF($A$2:$A$1921,A221)-1</x:f>
        <x:v>0</x:v>
      </x:c>
      <x:c r="AD221" s="2" t="n">
        <x:f>IF(AND(D221=D220,H221=H220,C221=C220+1),ABS(R221-T220),0)</x:f>
        <x:v>0</x:v>
      </x:c>
    </x:row>
    <x:row r="222" ht="23" customHeight="1">
      <x:c r="A222" s="2" t="str">
        <x:v>DEMO-103-3-1</x:v>
      </x:c>
      <x:c r="B222" s="15" t="d">
        <x:v>2026-05-04T00:00:00.000Z</x:v>
      </x:c>
      <x:c r="C222" s="2" t="n">
        <x:v>1</x:v>
      </x:c>
      <x:c r="D222" s="2" t="str">
        <x:v>DEMO-103</x:v>
      </x:c>
      <x:c r="E222" s="2" t="str">
        <x:v>Cloud Pen Set</x:v>
      </x:c>
      <x:c r="F222" s="2" t="str">
        <x:v>Stationery</x:v>
      </x:c>
      <x:c r="G222" s="2" t="str">
        <x:v>Online</x:v>
      </x:c>
      <x:c r="H222" s="2" t="str">
        <x:v>Online</x:v>
      </x:c>
      <x:c r="I222" s="2" t="n">
        <x:v>31</x:v>
      </x:c>
      <x:c r="J222" s="2" t="n">
        <x:v>0</x:v>
      </x:c>
      <x:c r="K222" s="2" t="n">
        <x:f>I222-J222</x:f>
        <x:v>31</x:v>
      </x:c>
      <x:c r="L222" s="16" t="n">
        <x:v>16</x:v>
      </x:c>
      <x:c r="M222" s="16" t="n">
        <x:v>16</x:v>
      </x:c>
      <x:c r="N222" s="16" t="n">
        <x:v>6.56</x:v>
      </x:c>
      <x:c r="O222" s="16" t="n">
        <x:f>K222*M222</x:f>
        <x:v>496</x:v>
      </x:c>
      <x:c r="P222" s="16" t="n">
        <x:f>K222*N222</x:f>
        <x:v>203.35999999999999</x:v>
      </x:c>
      <x:c r="Q222" s="16" t="n">
        <x:f>O222-P222</x:f>
        <x:v>292.64</x:v>
      </x:c>
      <x:c r="R222" s="2" t="n">
        <x:v>90</x:v>
      </x:c>
      <x:c r="S222" s="2" t="n">
        <x:v>121</x:v>
      </x:c>
      <x:c r="T222" s="2" t="n">
        <x:f>R222+S222+J222-I222</x:f>
        <x:v>180</x:v>
      </x:c>
      <x:c r="U222" s="2" t="n">
        <x:v>0</x:v>
      </x:c>
      <x:c r="V222" s="2" t="n">
        <x:v>4</x:v>
      </x:c>
      <x:c r="W222" s="2" t="n">
        <x:v>29</x:v>
      </x:c>
      <x:c r="X222" s="14" t="b">
        <x:v>0</x:v>
      </x:c>
      <x:c r="Y222" s="14" t="b">
        <x:v>0</x:v>
      </x:c>
      <x:c r="Z222" s="2" t="n">
        <x:f>ABS(T222-AA222)</x:f>
        <x:v>0</x:v>
      </x:c>
      <x:c r="AA222" s="2" t="n">
        <x:v>180</x:v>
      </x:c>
      <x:c r="AB222" s="2" t="n">
        <x:f>ABS(K222-W222)</x:f>
        <x:v>2</x:v>
      </x:c>
      <x:c r="AC222" s="2" t="n">
        <x:f>COUNTIF($A$2:$A$1921,A222)-1</x:f>
        <x:v>0</x:v>
      </x:c>
      <x:c r="AD222" s="2" t="n">
        <x:f>IF(AND(D222=D221,H222=H221,C222=C221+1),ABS(R222-T221),0)</x:f>
        <x:v>0</x:v>
      </x:c>
    </x:row>
    <x:row r="223" ht="23" customHeight="1">
      <x:c r="A223" s="2" t="str">
        <x:v>DEMO-103-3-2</x:v>
      </x:c>
      <x:c r="B223" s="15" t="d">
        <x:v>2026-05-11T00:00:00.000Z</x:v>
      </x:c>
      <x:c r="C223" s="2" t="n">
        <x:v>2</x:v>
      </x:c>
      <x:c r="D223" s="2" t="str">
        <x:v>DEMO-103</x:v>
      </x:c>
      <x:c r="E223" s="2" t="str">
        <x:v>Cloud Pen Set</x:v>
      </x:c>
      <x:c r="F223" s="2" t="str">
        <x:v>Stationery</x:v>
      </x:c>
      <x:c r="G223" s="2" t="str">
        <x:v>Online</x:v>
      </x:c>
      <x:c r="H223" s="2" t="str">
        <x:v>Online</x:v>
      </x:c>
      <x:c r="I223" s="2" t="n">
        <x:v>28</x:v>
      </x:c>
      <x:c r="J223" s="2" t="n">
        <x:v>0</x:v>
      </x:c>
      <x:c r="K223" s="2" t="n">
        <x:f>I223-J223</x:f>
        <x:v>28</x:v>
      </x:c>
      <x:c r="L223" s="16" t="n">
        <x:v>16</x:v>
      </x:c>
      <x:c r="M223" s="16" t="n">
        <x:v>16</x:v>
      </x:c>
      <x:c r="N223" s="16" t="n">
        <x:v>6.56</x:v>
      </x:c>
      <x:c r="O223" s="16" t="n">
        <x:f>K223*M223</x:f>
        <x:v>448</x:v>
      </x:c>
      <x:c r="P223" s="16" t="n">
        <x:f>K223*N223</x:f>
        <x:v>183.67999999999998</x:v>
      </x:c>
      <x:c r="Q223" s="16" t="n">
        <x:f>O223-P223</x:f>
        <x:v>264.32000000000005</x:v>
      </x:c>
      <x:c r="R223" s="2" t="n">
        <x:v>180</x:v>
      </x:c>
      <x:c r="S223" s="2" t="n">
        <x:v>0</x:v>
      </x:c>
      <x:c r="T223" s="2" t="n">
        <x:f>R223+S223+J223-I223</x:f>
        <x:v>152</x:v>
      </x:c>
      <x:c r="U223" s="2" t="n">
        <x:v>0</x:v>
      </x:c>
      <x:c r="V223" s="2" t="n">
        <x:v>4</x:v>
      </x:c>
      <x:c r="W223" s="2" t="n">
        <x:v>31</x:v>
      </x:c>
      <x:c r="X223" s="14" t="b">
        <x:v>0</x:v>
      </x:c>
      <x:c r="Y223" s="14" t="b">
        <x:v>0</x:v>
      </x:c>
      <x:c r="Z223" s="2" t="n">
        <x:f>ABS(T223-AA223)</x:f>
        <x:v>0</x:v>
      </x:c>
      <x:c r="AA223" s="2" t="n">
        <x:v>152</x:v>
      </x:c>
      <x:c r="AB223" s="2" t="n">
        <x:f>ABS(K223-W223)</x:f>
        <x:v>3</x:v>
      </x:c>
      <x:c r="AC223" s="2" t="n">
        <x:f>COUNTIF($A$2:$A$1921,A223)-1</x:f>
        <x:v>0</x:v>
      </x:c>
      <x:c r="AD223" s="2" t="n">
        <x:f>IF(AND(D223=D222,H223=H222,C223=C222+1),ABS(R223-T222),0)</x:f>
        <x:v>0</x:v>
      </x:c>
    </x:row>
    <x:row r="224" ht="23" customHeight="1">
      <x:c r="A224" s="2" t="str">
        <x:v>DEMO-103-3-3</x:v>
      </x:c>
      <x:c r="B224" s="15" t="d">
        <x:v>2026-05-18T00:00:00.000Z</x:v>
      </x:c>
      <x:c r="C224" s="2" t="n">
        <x:v>3</x:v>
      </x:c>
      <x:c r="D224" s="2" t="str">
        <x:v>DEMO-103</x:v>
      </x:c>
      <x:c r="E224" s="2" t="str">
        <x:v>Cloud Pen Set</x:v>
      </x:c>
      <x:c r="F224" s="2" t="str">
        <x:v>Stationery</x:v>
      </x:c>
      <x:c r="G224" s="2" t="str">
        <x:v>Online</x:v>
      </x:c>
      <x:c r="H224" s="2" t="str">
        <x:v>Online</x:v>
      </x:c>
      <x:c r="I224" s="2" t="n">
        <x:v>28</x:v>
      </x:c>
      <x:c r="J224" s="2" t="n">
        <x:v>0</x:v>
      </x:c>
      <x:c r="K224" s="2" t="n">
        <x:f>I224-J224</x:f>
        <x:v>28</x:v>
      </x:c>
      <x:c r="L224" s="16" t="n">
        <x:v>16</x:v>
      </x:c>
      <x:c r="M224" s="16" t="n">
        <x:v>16</x:v>
      </x:c>
      <x:c r="N224" s="16" t="n">
        <x:v>6.56</x:v>
      </x:c>
      <x:c r="O224" s="16" t="n">
        <x:f>K224*M224</x:f>
        <x:v>448</x:v>
      </x:c>
      <x:c r="P224" s="16" t="n">
        <x:f>K224*N224</x:f>
        <x:v>183.67999999999998</x:v>
      </x:c>
      <x:c r="Q224" s="16" t="n">
        <x:f>O224-P224</x:f>
        <x:v>264.32000000000005</x:v>
      </x:c>
      <x:c r="R224" s="2" t="n">
        <x:v>152</x:v>
      </x:c>
      <x:c r="S224" s="2" t="n">
        <x:v>0</x:v>
      </x:c>
      <x:c r="T224" s="2" t="n">
        <x:f>R224+S224+J224-I224</x:f>
        <x:v>124</x:v>
      </x:c>
      <x:c r="U224" s="2" t="n">
        <x:v>0</x:v>
      </x:c>
      <x:c r="V224" s="2" t="n">
        <x:v>4</x:v>
      </x:c>
      <x:c r="W224" s="2" t="n">
        <x:v>30</x:v>
      </x:c>
      <x:c r="X224" s="14" t="b">
        <x:v>0</x:v>
      </x:c>
      <x:c r="Y224" s="14" t="b">
        <x:v>0</x:v>
      </x:c>
      <x:c r="Z224" s="2" t="n">
        <x:f>ABS(T224-AA224)</x:f>
        <x:v>0</x:v>
      </x:c>
      <x:c r="AA224" s="2" t="n">
        <x:v>124</x:v>
      </x:c>
      <x:c r="AB224" s="2" t="n">
        <x:f>ABS(K224-W224)</x:f>
        <x:v>2</x:v>
      </x:c>
      <x:c r="AC224" s="2" t="n">
        <x:f>COUNTIF($A$2:$A$1921,A224)-1</x:f>
        <x:v>0</x:v>
      </x:c>
      <x:c r="AD224" s="2" t="n">
        <x:f>IF(AND(D224=D223,H224=H223,C224=C223+1),ABS(R224-T223),0)</x:f>
        <x:v>0</x:v>
      </x:c>
    </x:row>
    <x:row r="225" ht="23" customHeight="1">
      <x:c r="A225" s="2" t="str">
        <x:v>DEMO-103-3-4</x:v>
      </x:c>
      <x:c r="B225" s="15" t="d">
        <x:v>2026-05-25T00:00:00.000Z</x:v>
      </x:c>
      <x:c r="C225" s="2" t="n">
        <x:v>4</x:v>
      </x:c>
      <x:c r="D225" s="2" t="str">
        <x:v>DEMO-103</x:v>
      </x:c>
      <x:c r="E225" s="2" t="str">
        <x:v>Cloud Pen Set</x:v>
      </x:c>
      <x:c r="F225" s="2" t="str">
        <x:v>Stationery</x:v>
      </x:c>
      <x:c r="G225" s="2" t="str">
        <x:v>Online</x:v>
      </x:c>
      <x:c r="H225" s="2" t="str">
        <x:v>Online</x:v>
      </x:c>
      <x:c r="I225" s="2" t="n">
        <x:v>33</x:v>
      </x:c>
      <x:c r="J225" s="2" t="n">
        <x:v>0</x:v>
      </x:c>
      <x:c r="K225" s="2" t="n">
        <x:f>I225-J225</x:f>
        <x:v>33</x:v>
      </x:c>
      <x:c r="L225" s="16" t="n">
        <x:v>16</x:v>
      </x:c>
      <x:c r="M225" s="16" t="n">
        <x:v>16</x:v>
      </x:c>
      <x:c r="N225" s="16" t="n">
        <x:v>6.56</x:v>
      </x:c>
      <x:c r="O225" s="16" t="n">
        <x:f>K225*M225</x:f>
        <x:v>528</x:v>
      </x:c>
      <x:c r="P225" s="16" t="n">
        <x:f>K225*N225</x:f>
        <x:v>216.48</x:v>
      </x:c>
      <x:c r="Q225" s="16" t="n">
        <x:f>O225-P225</x:f>
        <x:v>311.52</x:v>
      </x:c>
      <x:c r="R225" s="2" t="n">
        <x:v>124</x:v>
      </x:c>
      <x:c r="S225" s="2" t="n">
        <x:v>0</x:v>
      </x:c>
      <x:c r="T225" s="2" t="n">
        <x:f>R225+S225+J225-I225</x:f>
        <x:v>91</x:v>
      </x:c>
      <x:c r="U225" s="2" t="n">
        <x:v>0</x:v>
      </x:c>
      <x:c r="V225" s="2" t="n">
        <x:v>4</x:v>
      </x:c>
      <x:c r="W225" s="2" t="n">
        <x:v>29</x:v>
      </x:c>
      <x:c r="X225" s="14" t="b">
        <x:v>0</x:v>
      </x:c>
      <x:c r="Y225" s="14" t="b">
        <x:v>0</x:v>
      </x:c>
      <x:c r="Z225" s="2" t="n">
        <x:f>ABS(T225-AA225)</x:f>
        <x:v>0</x:v>
      </x:c>
      <x:c r="AA225" s="2" t="n">
        <x:v>91</x:v>
      </x:c>
      <x:c r="AB225" s="2" t="n">
        <x:f>ABS(K225-W225)</x:f>
        <x:v>4</x:v>
      </x:c>
      <x:c r="AC225" s="2" t="n">
        <x:f>COUNTIF($A$2:$A$1921,A225)-1</x:f>
        <x:v>0</x:v>
      </x:c>
      <x:c r="AD225" s="2" t="n">
        <x:f>IF(AND(D225=D224,H225=H224,C225=C224+1),ABS(R225-T224),0)</x:f>
        <x:v>0</x:v>
      </x:c>
    </x:row>
    <x:row r="226" ht="23" customHeight="1">
      <x:c r="A226" s="2" t="str">
        <x:v>DEMO-103-3-5</x:v>
      </x:c>
      <x:c r="B226" s="15" t="d">
        <x:v>2026-06-01T00:00:00.000Z</x:v>
      </x:c>
      <x:c r="C226" s="2" t="n">
        <x:v>5</x:v>
      </x:c>
      <x:c r="D226" s="2" t="str">
        <x:v>DEMO-103</x:v>
      </x:c>
      <x:c r="E226" s="2" t="str">
        <x:v>Cloud Pen Set</x:v>
      </x:c>
      <x:c r="F226" s="2" t="str">
        <x:v>Stationery</x:v>
      </x:c>
      <x:c r="G226" s="2" t="str">
        <x:v>Online</x:v>
      </x:c>
      <x:c r="H226" s="2" t="str">
        <x:v>Online</x:v>
      </x:c>
      <x:c r="I226" s="2" t="n">
        <x:v>24</x:v>
      </x:c>
      <x:c r="J226" s="2" t="n">
        <x:v>0</x:v>
      </x:c>
      <x:c r="K226" s="2" t="n">
        <x:f>I226-J226</x:f>
        <x:v>24</x:v>
      </x:c>
      <x:c r="L226" s="16" t="n">
        <x:v>16</x:v>
      </x:c>
      <x:c r="M226" s="16" t="n">
        <x:v>16</x:v>
      </x:c>
      <x:c r="N226" s="16" t="n">
        <x:v>6.56</x:v>
      </x:c>
      <x:c r="O226" s="16" t="n">
        <x:f>K226*M226</x:f>
        <x:v>384</x:v>
      </x:c>
      <x:c r="P226" s="16" t="n">
        <x:f>K226*N226</x:f>
        <x:v>157.44</x:v>
      </x:c>
      <x:c r="Q226" s="16" t="n">
        <x:f>O226-P226</x:f>
        <x:v>226.56</x:v>
      </x:c>
      <x:c r="R226" s="2" t="n">
        <x:v>91</x:v>
      </x:c>
      <x:c r="S226" s="2" t="n">
        <x:v>121</x:v>
      </x:c>
      <x:c r="T226" s="2" t="n">
        <x:f>R226+S226+J226-I226</x:f>
        <x:v>188</x:v>
      </x:c>
      <x:c r="U226" s="2" t="n">
        <x:v>0</x:v>
      </x:c>
      <x:c r="V226" s="2" t="n">
        <x:v>4</x:v>
      </x:c>
      <x:c r="W226" s="2" t="n">
        <x:v>30</x:v>
      </x:c>
      <x:c r="X226" s="14" t="b">
        <x:v>0</x:v>
      </x:c>
      <x:c r="Y226" s="14" t="b">
        <x:v>0</x:v>
      </x:c>
      <x:c r="Z226" s="2" t="n">
        <x:f>ABS(T226-AA226)</x:f>
        <x:v>0</x:v>
      </x:c>
      <x:c r="AA226" s="2" t="n">
        <x:v>188</x:v>
      </x:c>
      <x:c r="AB226" s="2" t="n">
        <x:f>ABS(K226-W226)</x:f>
        <x:v>6</x:v>
      </x:c>
      <x:c r="AC226" s="2" t="n">
        <x:f>COUNTIF($A$2:$A$1921,A226)-1</x:f>
        <x:v>0</x:v>
      </x:c>
      <x:c r="AD226" s="2" t="n">
        <x:f>IF(AND(D226=D225,H226=H225,C226=C225+1),ABS(R226-T225),0)</x:f>
        <x:v>0</x:v>
      </x:c>
    </x:row>
    <x:row r="227" ht="23" customHeight="1">
      <x:c r="A227" s="2" t="str">
        <x:v>DEMO-103-3-6</x:v>
      </x:c>
      <x:c r="B227" s="15" t="d">
        <x:v>2026-06-08T00:00:00.000Z</x:v>
      </x:c>
      <x:c r="C227" s="2" t="n">
        <x:v>6</x:v>
      </x:c>
      <x:c r="D227" s="2" t="str">
        <x:v>DEMO-103</x:v>
      </x:c>
      <x:c r="E227" s="2" t="str">
        <x:v>Cloud Pen Set</x:v>
      </x:c>
      <x:c r="F227" s="2" t="str">
        <x:v>Stationery</x:v>
      </x:c>
      <x:c r="G227" s="2" t="str">
        <x:v>Online</x:v>
      </x:c>
      <x:c r="H227" s="2" t="str">
        <x:v>Online</x:v>
      </x:c>
      <x:c r="I227" s="2" t="n">
        <x:v>34</x:v>
      </x:c>
      <x:c r="J227" s="2" t="n">
        <x:v>0</x:v>
      </x:c>
      <x:c r="K227" s="2" t="n">
        <x:f>I227-J227</x:f>
        <x:v>34</x:v>
      </x:c>
      <x:c r="L227" s="16" t="n">
        <x:v>16</x:v>
      </x:c>
      <x:c r="M227" s="16" t="n">
        <x:v>16</x:v>
      </x:c>
      <x:c r="N227" s="16" t="n">
        <x:v>6.56</x:v>
      </x:c>
      <x:c r="O227" s="16" t="n">
        <x:f>K227*M227</x:f>
        <x:v>544</x:v>
      </x:c>
      <x:c r="P227" s="16" t="n">
        <x:f>K227*N227</x:f>
        <x:v>223.04</x:v>
      </x:c>
      <x:c r="Q227" s="16" t="n">
        <x:f>O227-P227</x:f>
        <x:v>320.96000000000004</x:v>
      </x:c>
      <x:c r="R227" s="2" t="n">
        <x:v>188</x:v>
      </x:c>
      <x:c r="S227" s="2" t="n">
        <x:v>0</x:v>
      </x:c>
      <x:c r="T227" s="2" t="n">
        <x:f>R227+S227+J227-I227</x:f>
        <x:v>154</x:v>
      </x:c>
      <x:c r="U227" s="2" t="n">
        <x:v>0</x:v>
      </x:c>
      <x:c r="V227" s="2" t="n">
        <x:v>4</x:v>
      </x:c>
      <x:c r="W227" s="2" t="n">
        <x:v>28</x:v>
      </x:c>
      <x:c r="X227" s="14" t="b">
        <x:v>0</x:v>
      </x:c>
      <x:c r="Y227" s="14" t="b">
        <x:v>0</x:v>
      </x:c>
      <x:c r="Z227" s="2" t="n">
        <x:f>ABS(T227-AA227)</x:f>
        <x:v>0</x:v>
      </x:c>
      <x:c r="AA227" s="2" t="n">
        <x:v>154</x:v>
      </x:c>
      <x:c r="AB227" s="2" t="n">
        <x:f>ABS(K227-W227)</x:f>
        <x:v>6</x:v>
      </x:c>
      <x:c r="AC227" s="2" t="n">
        <x:f>COUNTIF($A$2:$A$1921,A227)-1</x:f>
        <x:v>0</x:v>
      </x:c>
      <x:c r="AD227" s="2" t="n">
        <x:f>IF(AND(D227=D226,H227=H226,C227=C226+1),ABS(R227-T226),0)</x:f>
        <x:v>0</x:v>
      </x:c>
    </x:row>
    <x:row r="228" ht="23" customHeight="1">
      <x:c r="A228" s="2" t="str">
        <x:v>DEMO-103-3-7</x:v>
      </x:c>
      <x:c r="B228" s="15" t="d">
        <x:v>2026-06-15T00:00:00.000Z</x:v>
      </x:c>
      <x:c r="C228" s="2" t="n">
        <x:v>7</x:v>
      </x:c>
      <x:c r="D228" s="2" t="str">
        <x:v>DEMO-103</x:v>
      </x:c>
      <x:c r="E228" s="2" t="str">
        <x:v>Cloud Pen Set</x:v>
      </x:c>
      <x:c r="F228" s="2" t="str">
        <x:v>Stationery</x:v>
      </x:c>
      <x:c r="G228" s="2" t="str">
        <x:v>Online</x:v>
      </x:c>
      <x:c r="H228" s="2" t="str">
        <x:v>Online</x:v>
      </x:c>
      <x:c r="I228" s="2" t="n">
        <x:v>26</x:v>
      </x:c>
      <x:c r="J228" s="2" t="n">
        <x:v>1</x:v>
      </x:c>
      <x:c r="K228" s="2" t="n">
        <x:f>I228-J228</x:f>
        <x:v>25</x:v>
      </x:c>
      <x:c r="L228" s="16" t="n">
        <x:v>16</x:v>
      </x:c>
      <x:c r="M228" s="16" t="n">
        <x:v>16</x:v>
      </x:c>
      <x:c r="N228" s="16" t="n">
        <x:v>6.56</x:v>
      </x:c>
      <x:c r="O228" s="16" t="n">
        <x:f>K228*M228</x:f>
        <x:v>400</x:v>
      </x:c>
      <x:c r="P228" s="16" t="n">
        <x:f>K228*N228</x:f>
        <x:v>164</x:v>
      </x:c>
      <x:c r="Q228" s="16" t="n">
        <x:f>O228-P228</x:f>
        <x:v>236</x:v>
      </x:c>
      <x:c r="R228" s="2" t="n">
        <x:v>154</x:v>
      </x:c>
      <x:c r="S228" s="2" t="n">
        <x:v>0</x:v>
      </x:c>
      <x:c r="T228" s="2" t="n">
        <x:f>R228+S228+J228-I228</x:f>
        <x:v>129</x:v>
      </x:c>
      <x:c r="U228" s="2" t="n">
        <x:v>0</x:v>
      </x:c>
      <x:c r="V228" s="2" t="n">
        <x:v>4</x:v>
      </x:c>
      <x:c r="W228" s="2" t="n">
        <x:v>30</x:v>
      </x:c>
      <x:c r="X228" s="14" t="b">
        <x:v>0</x:v>
      </x:c>
      <x:c r="Y228" s="14" t="b">
        <x:v>0</x:v>
      </x:c>
      <x:c r="Z228" s="2" t="n">
        <x:f>ABS(T228-AA228)</x:f>
        <x:v>0</x:v>
      </x:c>
      <x:c r="AA228" s="2" t="n">
        <x:v>129</x:v>
      </x:c>
      <x:c r="AB228" s="2" t="n">
        <x:f>ABS(K228-W228)</x:f>
        <x:v>5</x:v>
      </x:c>
      <x:c r="AC228" s="2" t="n">
        <x:f>COUNTIF($A$2:$A$1921,A228)-1</x:f>
        <x:v>0</x:v>
      </x:c>
      <x:c r="AD228" s="2" t="n">
        <x:f>IF(AND(D228=D227,H228=H227,C228=C227+1),ABS(R228-T227),0)</x:f>
        <x:v>0</x:v>
      </x:c>
    </x:row>
    <x:row r="229" ht="23" customHeight="1">
      <x:c r="A229" s="2" t="str">
        <x:v>DEMO-103-3-8</x:v>
      </x:c>
      <x:c r="B229" s="15" t="d">
        <x:v>2026-06-22T00:00:00.000Z</x:v>
      </x:c>
      <x:c r="C229" s="2" t="n">
        <x:v>8</x:v>
      </x:c>
      <x:c r="D229" s="2" t="str">
        <x:v>DEMO-103</x:v>
      </x:c>
      <x:c r="E229" s="2" t="str">
        <x:v>Cloud Pen Set</x:v>
      </x:c>
      <x:c r="F229" s="2" t="str">
        <x:v>Stationery</x:v>
      </x:c>
      <x:c r="G229" s="2" t="str">
        <x:v>Online</x:v>
      </x:c>
      <x:c r="H229" s="2" t="str">
        <x:v>Online</x:v>
      </x:c>
      <x:c r="I229" s="2" t="n">
        <x:v>24</x:v>
      </x:c>
      <x:c r="J229" s="2" t="n">
        <x:v>0</x:v>
      </x:c>
      <x:c r="K229" s="2" t="n">
        <x:f>I229-J229</x:f>
        <x:v>24</x:v>
      </x:c>
      <x:c r="L229" s="16" t="n">
        <x:v>16</x:v>
      </x:c>
      <x:c r="M229" s="16" t="n">
        <x:v>16</x:v>
      </x:c>
      <x:c r="N229" s="16" t="n">
        <x:v>6.56</x:v>
      </x:c>
      <x:c r="O229" s="16" t="n">
        <x:f>K229*M229</x:f>
        <x:v>384</x:v>
      </x:c>
      <x:c r="P229" s="16" t="n">
        <x:f>K229*N229</x:f>
        <x:v>157.44</x:v>
      </x:c>
      <x:c r="Q229" s="16" t="n">
        <x:f>O229-P229</x:f>
        <x:v>226.56</x:v>
      </x:c>
      <x:c r="R229" s="2" t="n">
        <x:v>129</x:v>
      </x:c>
      <x:c r="S229" s="2" t="n">
        <x:v>0</x:v>
      </x:c>
      <x:c r="T229" s="2" t="n">
        <x:f>R229+S229+J229-I229</x:f>
        <x:v>105</x:v>
      </x:c>
      <x:c r="U229" s="2" t="n">
        <x:v>0</x:v>
      </x:c>
      <x:c r="V229" s="2" t="n">
        <x:v>4</x:v>
      </x:c>
      <x:c r="W229" s="2" t="n">
        <x:v>29</x:v>
      </x:c>
      <x:c r="X229" s="14" t="b">
        <x:v>0</x:v>
      </x:c>
      <x:c r="Y229" s="14" t="b">
        <x:v>0</x:v>
      </x:c>
      <x:c r="Z229" s="2" t="n">
        <x:f>ABS(T229-AA229)</x:f>
        <x:v>0</x:v>
      </x:c>
      <x:c r="AA229" s="2" t="n">
        <x:v>105</x:v>
      </x:c>
      <x:c r="AB229" s="2" t="n">
        <x:f>ABS(K229-W229)</x:f>
        <x:v>5</x:v>
      </x:c>
      <x:c r="AC229" s="2" t="n">
        <x:f>COUNTIF($A$2:$A$1921,A229)-1</x:f>
        <x:v>0</x:v>
      </x:c>
      <x:c r="AD229" s="2" t="n">
        <x:f>IF(AND(D229=D228,H229=H228,C229=C228+1),ABS(R229-T228),0)</x:f>
        <x:v>0</x:v>
      </x:c>
    </x:row>
    <x:row r="230" ht="23" customHeight="1">
      <x:c r="A230" s="2" t="str">
        <x:v>DEMO-103-3-9</x:v>
      </x:c>
      <x:c r="B230" s="15" t="d">
        <x:v>2026-06-29T00:00:00.000Z</x:v>
      </x:c>
      <x:c r="C230" s="2" t="n">
        <x:v>9</x:v>
      </x:c>
      <x:c r="D230" s="2" t="str">
        <x:v>DEMO-103</x:v>
      </x:c>
      <x:c r="E230" s="2" t="str">
        <x:v>Cloud Pen Set</x:v>
      </x:c>
      <x:c r="F230" s="2" t="str">
        <x:v>Stationery</x:v>
      </x:c>
      <x:c r="G230" s="2" t="str">
        <x:v>Online</x:v>
      </x:c>
      <x:c r="H230" s="2" t="str">
        <x:v>Online</x:v>
      </x:c>
      <x:c r="I230" s="2" t="n">
        <x:v>35</x:v>
      </x:c>
      <x:c r="J230" s="2" t="n">
        <x:v>0</x:v>
      </x:c>
      <x:c r="K230" s="2" t="n">
        <x:f>I230-J230</x:f>
        <x:v>35</x:v>
      </x:c>
      <x:c r="L230" s="16" t="n">
        <x:v>16</x:v>
      </x:c>
      <x:c r="M230" s="16" t="n">
        <x:v>16</x:v>
      </x:c>
      <x:c r="N230" s="16" t="n">
        <x:v>6.56</x:v>
      </x:c>
      <x:c r="O230" s="16" t="n">
        <x:f>K230*M230</x:f>
        <x:v>560</x:v>
      </x:c>
      <x:c r="P230" s="16" t="n">
        <x:f>K230*N230</x:f>
        <x:v>229.6</x:v>
      </x:c>
      <x:c r="Q230" s="16" t="n">
        <x:f>O230-P230</x:f>
        <x:v>330.4</x:v>
      </x:c>
      <x:c r="R230" s="2" t="n">
        <x:v>105</x:v>
      </x:c>
      <x:c r="S230" s="2" t="n">
        <x:v>121</x:v>
      </x:c>
      <x:c r="T230" s="2" t="n">
        <x:f>R230+S230+J230-I230</x:f>
        <x:v>191</x:v>
      </x:c>
      <x:c r="U230" s="2" t="n">
        <x:v>0</x:v>
      </x:c>
      <x:c r="V230" s="2" t="n">
        <x:v>4</x:v>
      </x:c>
      <x:c r="W230" s="2" t="n">
        <x:v>27</x:v>
      </x:c>
      <x:c r="X230" s="14" t="b">
        <x:v>0</x:v>
      </x:c>
      <x:c r="Y230" s="14" t="b">
        <x:v>0</x:v>
      </x:c>
      <x:c r="Z230" s="2" t="n">
        <x:f>ABS(T230-AA230)</x:f>
        <x:v>0</x:v>
      </x:c>
      <x:c r="AA230" s="2" t="n">
        <x:v>191</x:v>
      </x:c>
      <x:c r="AB230" s="2" t="n">
        <x:f>ABS(K230-W230)</x:f>
        <x:v>8</x:v>
      </x:c>
      <x:c r="AC230" s="2" t="n">
        <x:f>COUNTIF($A$2:$A$1921,A230)-1</x:f>
        <x:v>0</x:v>
      </x:c>
      <x:c r="AD230" s="2" t="n">
        <x:f>IF(AND(D230=D229,H230=H229,C230=C229+1),ABS(R230-T229),0)</x:f>
        <x:v>0</x:v>
      </x:c>
    </x:row>
    <x:row r="231" ht="23" customHeight="1">
      <x:c r="A231" s="2" t="str">
        <x:v>DEMO-103-3-10</x:v>
      </x:c>
      <x:c r="B231" s="15" t="d">
        <x:v>2026-07-06T00:00:00.000Z</x:v>
      </x:c>
      <x:c r="C231" s="2" t="n">
        <x:v>10</x:v>
      </x:c>
      <x:c r="D231" s="2" t="str">
        <x:v>DEMO-103</x:v>
      </x:c>
      <x:c r="E231" s="2" t="str">
        <x:v>Cloud Pen Set</x:v>
      </x:c>
      <x:c r="F231" s="2" t="str">
        <x:v>Stationery</x:v>
      </x:c>
      <x:c r="G231" s="2" t="str">
        <x:v>Online</x:v>
      </x:c>
      <x:c r="H231" s="2" t="str">
        <x:v>Online</x:v>
      </x:c>
      <x:c r="I231" s="2" t="n">
        <x:v>30</x:v>
      </x:c>
      <x:c r="J231" s="2" t="n">
        <x:v>1</x:v>
      </x:c>
      <x:c r="K231" s="2" t="n">
        <x:f>I231-J231</x:f>
        <x:v>29</x:v>
      </x:c>
      <x:c r="L231" s="16" t="n">
        <x:v>16</x:v>
      </x:c>
      <x:c r="M231" s="16" t="n">
        <x:v>16</x:v>
      </x:c>
      <x:c r="N231" s="16" t="n">
        <x:v>6.56</x:v>
      </x:c>
      <x:c r="O231" s="16" t="n">
        <x:f>K231*M231</x:f>
        <x:v>464</x:v>
      </x:c>
      <x:c r="P231" s="16" t="n">
        <x:f>K231*N231</x:f>
        <x:v>190.23999999999998</x:v>
      </x:c>
      <x:c r="Q231" s="16" t="n">
        <x:f>O231-P231</x:f>
        <x:v>273.76</x:v>
      </x:c>
      <x:c r="R231" s="2" t="n">
        <x:v>191</x:v>
      </x:c>
      <x:c r="S231" s="2" t="n">
        <x:v>0</x:v>
      </x:c>
      <x:c r="T231" s="2" t="n">
        <x:f>R231+S231+J231-I231</x:f>
        <x:v>162</x:v>
      </x:c>
      <x:c r="U231" s="2" t="n">
        <x:v>0</x:v>
      </x:c>
      <x:c r="V231" s="2" t="n">
        <x:v>4</x:v>
      </x:c>
      <x:c r="W231" s="2" t="n">
        <x:v>30</x:v>
      </x:c>
      <x:c r="X231" s="14" t="b">
        <x:v>0</x:v>
      </x:c>
      <x:c r="Y231" s="14" t="b">
        <x:v>0</x:v>
      </x:c>
      <x:c r="Z231" s="2" t="n">
        <x:f>ABS(T231-AA231)</x:f>
        <x:v>0</x:v>
      </x:c>
      <x:c r="AA231" s="2" t="n">
        <x:v>162</x:v>
      </x:c>
      <x:c r="AB231" s="2" t="n">
        <x:f>ABS(K231-W231)</x:f>
        <x:v>1</x:v>
      </x:c>
      <x:c r="AC231" s="2" t="n">
        <x:f>COUNTIF($A$2:$A$1921,A231)-1</x:f>
        <x:v>0</x:v>
      </x:c>
      <x:c r="AD231" s="2" t="n">
        <x:f>IF(AND(D231=D230,H231=H230,C231=C230+1),ABS(R231-T230),0)</x:f>
        <x:v>0</x:v>
      </x:c>
    </x:row>
    <x:row r="232" ht="23" customHeight="1">
      <x:c r="A232" s="2" t="str">
        <x:v>DEMO-103-3-11</x:v>
      </x:c>
      <x:c r="B232" s="15" t="d">
        <x:v>2026-07-13T00:00:00.000Z</x:v>
      </x:c>
      <x:c r="C232" s="2" t="n">
        <x:v>11</x:v>
      </x:c>
      <x:c r="D232" s="2" t="str">
        <x:v>DEMO-103</x:v>
      </x:c>
      <x:c r="E232" s="2" t="str">
        <x:v>Cloud Pen Set</x:v>
      </x:c>
      <x:c r="F232" s="2" t="str">
        <x:v>Stationery</x:v>
      </x:c>
      <x:c r="G232" s="2" t="str">
        <x:v>Online</x:v>
      </x:c>
      <x:c r="H232" s="2" t="str">
        <x:v>Online</x:v>
      </x:c>
      <x:c r="I232" s="2" t="n">
        <x:v>33</x:v>
      </x:c>
      <x:c r="J232" s="2" t="n">
        <x:v>0</x:v>
      </x:c>
      <x:c r="K232" s="2" t="n">
        <x:f>I232-J232</x:f>
        <x:v>33</x:v>
      </x:c>
      <x:c r="L232" s="16" t="n">
        <x:v>16</x:v>
      </x:c>
      <x:c r="M232" s="16" t="n">
        <x:v>16</x:v>
      </x:c>
      <x:c r="N232" s="16" t="n">
        <x:v>6.56</x:v>
      </x:c>
      <x:c r="O232" s="16" t="n">
        <x:f>K232*M232</x:f>
        <x:v>528</x:v>
      </x:c>
      <x:c r="P232" s="16" t="n">
        <x:f>K232*N232</x:f>
        <x:v>216.48</x:v>
      </x:c>
      <x:c r="Q232" s="16" t="n">
        <x:f>O232-P232</x:f>
        <x:v>311.52</x:v>
      </x:c>
      <x:c r="R232" s="2" t="n">
        <x:v>162</x:v>
      </x:c>
      <x:c r="S232" s="2" t="n">
        <x:v>0</x:v>
      </x:c>
      <x:c r="T232" s="2" t="n">
        <x:f>R232+S232+J232-I232</x:f>
        <x:v>129</x:v>
      </x:c>
      <x:c r="U232" s="2" t="n">
        <x:v>0</x:v>
      </x:c>
      <x:c r="V232" s="2" t="n">
        <x:v>4</x:v>
      </x:c>
      <x:c r="W232" s="2" t="n">
        <x:v>28</x:v>
      </x:c>
      <x:c r="X232" s="14" t="b">
        <x:v>0</x:v>
      </x:c>
      <x:c r="Y232" s="14" t="b">
        <x:v>0</x:v>
      </x:c>
      <x:c r="Z232" s="2" t="n">
        <x:f>ABS(T232-AA232)</x:f>
        <x:v>0</x:v>
      </x:c>
      <x:c r="AA232" s="2" t="n">
        <x:v>129</x:v>
      </x:c>
      <x:c r="AB232" s="2" t="n">
        <x:f>ABS(K232-W232)</x:f>
        <x:v>5</x:v>
      </x:c>
      <x:c r="AC232" s="2" t="n">
        <x:f>COUNTIF($A$2:$A$1921,A232)-1</x:f>
        <x:v>0</x:v>
      </x:c>
      <x:c r="AD232" s="2" t="n">
        <x:f>IF(AND(D232=D231,H232=H231,C232=C231+1),ABS(R232-T231),0)</x:f>
        <x:v>0</x:v>
      </x:c>
    </x:row>
    <x:row r="233" ht="23" customHeight="1">
      <x:c r="A233" s="2" t="str">
        <x:v>DEMO-103-3-12</x:v>
      </x:c>
      <x:c r="B233" s="15" t="d">
        <x:v>2026-07-20T00:00:00.000Z</x:v>
      </x:c>
      <x:c r="C233" s="2" t="n">
        <x:v>12</x:v>
      </x:c>
      <x:c r="D233" s="2" t="str">
        <x:v>DEMO-103</x:v>
      </x:c>
      <x:c r="E233" s="2" t="str">
        <x:v>Cloud Pen Set</x:v>
      </x:c>
      <x:c r="F233" s="2" t="str">
        <x:v>Stationery</x:v>
      </x:c>
      <x:c r="G233" s="2" t="str">
        <x:v>Online</x:v>
      </x:c>
      <x:c r="H233" s="2" t="str">
        <x:v>Online</x:v>
      </x:c>
      <x:c r="I233" s="2" t="n">
        <x:v>32</x:v>
      </x:c>
      <x:c r="J233" s="2" t="n">
        <x:v>0</x:v>
      </x:c>
      <x:c r="K233" s="2" t="n">
        <x:f>I233-J233</x:f>
        <x:v>32</x:v>
      </x:c>
      <x:c r="L233" s="16" t="n">
        <x:v>16</x:v>
      </x:c>
      <x:c r="M233" s="16" t="n">
        <x:v>16</x:v>
      </x:c>
      <x:c r="N233" s="16" t="n">
        <x:v>6.56</x:v>
      </x:c>
      <x:c r="O233" s="16" t="n">
        <x:f>K233*M233</x:f>
        <x:v>512</x:v>
      </x:c>
      <x:c r="P233" s="16" t="n">
        <x:f>K233*N233</x:f>
        <x:v>209.92</x:v>
      </x:c>
      <x:c r="Q233" s="16" t="n">
        <x:f>O233-P233</x:f>
        <x:v>302.08000000000004</x:v>
      </x:c>
      <x:c r="R233" s="2" t="n">
        <x:v>129</x:v>
      </x:c>
      <x:c r="S233" s="2" t="n">
        <x:v>0</x:v>
      </x:c>
      <x:c r="T233" s="2" t="n">
        <x:f>R233+S233+J233-I233</x:f>
        <x:v>97</x:v>
      </x:c>
      <x:c r="U233" s="2" t="n">
        <x:v>0</x:v>
      </x:c>
      <x:c r="V233" s="2" t="n">
        <x:v>4</x:v>
      </x:c>
      <x:c r="W233" s="2" t="n">
        <x:v>30</x:v>
      </x:c>
      <x:c r="X233" s="14" t="b">
        <x:v>0</x:v>
      </x:c>
      <x:c r="Y233" s="14" t="b">
        <x:v>0</x:v>
      </x:c>
      <x:c r="Z233" s="2" t="n">
        <x:f>ABS(T233-AA233)</x:f>
        <x:v>0</x:v>
      </x:c>
      <x:c r="AA233" s="2" t="n">
        <x:v>97</x:v>
      </x:c>
      <x:c r="AB233" s="2" t="n">
        <x:f>ABS(K233-W233)</x:f>
        <x:v>2</x:v>
      </x:c>
      <x:c r="AC233" s="2" t="n">
        <x:f>COUNTIF($A$2:$A$1921,A233)-1</x:f>
        <x:v>0</x:v>
      </x:c>
      <x:c r="AD233" s="2" t="n">
        <x:f>IF(AND(D233=D232,H233=H232,C233=C232+1),ABS(R233-T232),0)</x:f>
        <x:v>0</x:v>
      </x:c>
    </x:row>
    <x:row r="234" ht="23" customHeight="1">
      <x:c r="A234" s="2" t="str">
        <x:v>DEMO-103-3-13</x:v>
      </x:c>
      <x:c r="B234" s="15" t="d">
        <x:v>2026-07-27T00:00:00.000Z</x:v>
      </x:c>
      <x:c r="C234" s="2" t="n">
        <x:v>13</x:v>
      </x:c>
      <x:c r="D234" s="2" t="str">
        <x:v>DEMO-103</x:v>
      </x:c>
      <x:c r="E234" s="2" t="str">
        <x:v>Cloud Pen Set</x:v>
      </x:c>
      <x:c r="F234" s="2" t="str">
        <x:v>Stationery</x:v>
      </x:c>
      <x:c r="G234" s="2" t="str">
        <x:v>Online</x:v>
      </x:c>
      <x:c r="H234" s="2" t="str">
        <x:v>Online</x:v>
      </x:c>
      <x:c r="I234" s="2" t="n">
        <x:v>31</x:v>
      </x:c>
      <x:c r="J234" s="2" t="n">
        <x:v>0</x:v>
      </x:c>
      <x:c r="K234" s="2" t="n">
        <x:f>I234-J234</x:f>
        <x:v>31</x:v>
      </x:c>
      <x:c r="L234" s="16" t="n">
        <x:v>16</x:v>
      </x:c>
      <x:c r="M234" s="16" t="n">
        <x:v>16</x:v>
      </x:c>
      <x:c r="N234" s="16" t="n">
        <x:v>6.56</x:v>
      </x:c>
      <x:c r="O234" s="16" t="n">
        <x:f>K234*M234</x:f>
        <x:v>496</x:v>
      </x:c>
      <x:c r="P234" s="16" t="n">
        <x:f>K234*N234</x:f>
        <x:v>203.35999999999999</x:v>
      </x:c>
      <x:c r="Q234" s="16" t="n">
        <x:f>O234-P234</x:f>
        <x:v>292.64</x:v>
      </x:c>
      <x:c r="R234" s="2" t="n">
        <x:v>97</x:v>
      </x:c>
      <x:c r="S234" s="2" t="n">
        <x:v>121</x:v>
      </x:c>
      <x:c r="T234" s="2" t="n">
        <x:f>R234+S234+J234-I234</x:f>
        <x:v>187</x:v>
      </x:c>
      <x:c r="U234" s="2" t="n">
        <x:v>0</x:v>
      </x:c>
      <x:c r="V234" s="2" t="n">
        <x:v>4</x:v>
      </x:c>
      <x:c r="W234" s="2" t="n">
        <x:v>32</x:v>
      </x:c>
      <x:c r="X234" s="14" t="b">
        <x:v>0</x:v>
      </x:c>
      <x:c r="Y234" s="14" t="b">
        <x:v>0</x:v>
      </x:c>
      <x:c r="Z234" s="2" t="n">
        <x:f>ABS(T234-AA234)</x:f>
        <x:v>0</x:v>
      </x:c>
      <x:c r="AA234" s="2" t="n">
        <x:v>187</x:v>
      </x:c>
      <x:c r="AB234" s="2" t="n">
        <x:f>ABS(K234-W234)</x:f>
        <x:v>1</x:v>
      </x:c>
      <x:c r="AC234" s="2" t="n">
        <x:f>COUNTIF($A$2:$A$1921,A234)-1</x:f>
        <x:v>0</x:v>
      </x:c>
      <x:c r="AD234" s="2" t="n">
        <x:f>IF(AND(D234=D233,H234=H233,C234=C233+1),ABS(R234-T233),0)</x:f>
        <x:v>0</x:v>
      </x:c>
    </x:row>
    <x:row r="235" ht="23" customHeight="1">
      <x:c r="A235" s="2" t="str">
        <x:v>DEMO-103-3-14</x:v>
      </x:c>
      <x:c r="B235" s="15" t="d">
        <x:v>2026-08-03T00:00:00.000Z</x:v>
      </x:c>
      <x:c r="C235" s="2" t="n">
        <x:v>14</x:v>
      </x:c>
      <x:c r="D235" s="2" t="str">
        <x:v>DEMO-103</x:v>
      </x:c>
      <x:c r="E235" s="2" t="str">
        <x:v>Cloud Pen Set</x:v>
      </x:c>
      <x:c r="F235" s="2" t="str">
        <x:v>Stationery</x:v>
      </x:c>
      <x:c r="G235" s="2" t="str">
        <x:v>Online</x:v>
      </x:c>
      <x:c r="H235" s="2" t="str">
        <x:v>Online</x:v>
      </x:c>
      <x:c r="I235" s="2" t="n">
        <x:v>25</x:v>
      </x:c>
      <x:c r="J235" s="2" t="n">
        <x:v>1</x:v>
      </x:c>
      <x:c r="K235" s="2" t="n">
        <x:f>I235-J235</x:f>
        <x:v>24</x:v>
      </x:c>
      <x:c r="L235" s="16" t="n">
        <x:v>16</x:v>
      </x:c>
      <x:c r="M235" s="16" t="n">
        <x:v>16</x:v>
      </x:c>
      <x:c r="N235" s="16" t="n">
        <x:v>6.56</x:v>
      </x:c>
      <x:c r="O235" s="16" t="n">
        <x:f>K235*M235</x:f>
        <x:v>384</x:v>
      </x:c>
      <x:c r="P235" s="16" t="n">
        <x:f>K235*N235</x:f>
        <x:v>157.44</x:v>
      </x:c>
      <x:c r="Q235" s="16" t="n">
        <x:f>O235-P235</x:f>
        <x:v>226.56</x:v>
      </x:c>
      <x:c r="R235" s="2" t="n">
        <x:v>187</x:v>
      </x:c>
      <x:c r="S235" s="2" t="n">
        <x:v>0</x:v>
      </x:c>
      <x:c r="T235" s="2" t="n">
        <x:f>R235+S235+J235-I235</x:f>
        <x:v>163</x:v>
      </x:c>
      <x:c r="U235" s="2" t="n">
        <x:v>0</x:v>
      </x:c>
      <x:c r="V235" s="2" t="n">
        <x:v>4</x:v>
      </x:c>
      <x:c r="W235" s="2" t="n">
        <x:v>31</x:v>
      </x:c>
      <x:c r="X235" s="14" t="b">
        <x:v>0</x:v>
      </x:c>
      <x:c r="Y235" s="14" t="b">
        <x:v>0</x:v>
      </x:c>
      <x:c r="Z235" s="2" t="n">
        <x:f>ABS(T235-AA235)</x:f>
        <x:v>0</x:v>
      </x:c>
      <x:c r="AA235" s="2" t="n">
        <x:v>163</x:v>
      </x:c>
      <x:c r="AB235" s="2" t="n">
        <x:f>ABS(K235-W235)</x:f>
        <x:v>7</x:v>
      </x:c>
      <x:c r="AC235" s="2" t="n">
        <x:f>COUNTIF($A$2:$A$1921,A235)-1</x:f>
        <x:v>0</x:v>
      </x:c>
      <x:c r="AD235" s="2" t="n">
        <x:f>IF(AND(D235=D234,H235=H234,C235=C234+1),ABS(R235-T234),0)</x:f>
        <x:v>0</x:v>
      </x:c>
    </x:row>
    <x:row r="236" ht="23" customHeight="1">
      <x:c r="A236" s="2" t="str">
        <x:v>DEMO-103-3-15</x:v>
      </x:c>
      <x:c r="B236" s="15" t="d">
        <x:v>2026-08-10T00:00:00.000Z</x:v>
      </x:c>
      <x:c r="C236" s="2" t="n">
        <x:v>15</x:v>
      </x:c>
      <x:c r="D236" s="2" t="str">
        <x:v>DEMO-103</x:v>
      </x:c>
      <x:c r="E236" s="2" t="str">
        <x:v>Cloud Pen Set</x:v>
      </x:c>
      <x:c r="F236" s="2" t="str">
        <x:v>Stationery</x:v>
      </x:c>
      <x:c r="G236" s="2" t="str">
        <x:v>Online</x:v>
      </x:c>
      <x:c r="H236" s="2" t="str">
        <x:v>Online</x:v>
      </x:c>
      <x:c r="I236" s="2" t="n">
        <x:v>29</x:v>
      </x:c>
      <x:c r="J236" s="2" t="n">
        <x:v>0</x:v>
      </x:c>
      <x:c r="K236" s="2" t="n">
        <x:f>I236-J236</x:f>
        <x:v>29</x:v>
      </x:c>
      <x:c r="L236" s="16" t="n">
        <x:v>16</x:v>
      </x:c>
      <x:c r="M236" s="16" t="n">
        <x:v>16</x:v>
      </x:c>
      <x:c r="N236" s="16" t="n">
        <x:v>6.56</x:v>
      </x:c>
      <x:c r="O236" s="16" t="n">
        <x:f>K236*M236</x:f>
        <x:v>464</x:v>
      </x:c>
      <x:c r="P236" s="16" t="n">
        <x:f>K236*N236</x:f>
        <x:v>190.23999999999998</x:v>
      </x:c>
      <x:c r="Q236" s="16" t="n">
        <x:f>O236-P236</x:f>
        <x:v>273.76</x:v>
      </x:c>
      <x:c r="R236" s="2" t="n">
        <x:v>163</x:v>
      </x:c>
      <x:c r="S236" s="2" t="n">
        <x:v>0</x:v>
      </x:c>
      <x:c r="T236" s="2" t="n">
        <x:f>R236+S236+J236-I236</x:f>
        <x:v>134</x:v>
      </x:c>
      <x:c r="U236" s="2" t="n">
        <x:v>0</x:v>
      </x:c>
      <x:c r="V236" s="2" t="n">
        <x:v>4</x:v>
      </x:c>
      <x:c r="W236" s="2" t="n">
        <x:v>30</x:v>
      </x:c>
      <x:c r="X236" s="14" t="b">
        <x:v>0</x:v>
      </x:c>
      <x:c r="Y236" s="14" t="b">
        <x:v>0</x:v>
      </x:c>
      <x:c r="Z236" s="2" t="n">
        <x:f>ABS(T236-AA236)</x:f>
        <x:v>0</x:v>
      </x:c>
      <x:c r="AA236" s="2" t="n">
        <x:v>134</x:v>
      </x:c>
      <x:c r="AB236" s="2" t="n">
        <x:f>ABS(K236-W236)</x:f>
        <x:v>1</x:v>
      </x:c>
      <x:c r="AC236" s="2" t="n">
        <x:f>COUNTIF($A$2:$A$1921,A236)-1</x:f>
        <x:v>0</x:v>
      </x:c>
      <x:c r="AD236" s="2" t="n">
        <x:f>IF(AND(D236=D235,H236=H235,C236=C235+1),ABS(R236-T235),0)</x:f>
        <x:v>0</x:v>
      </x:c>
    </x:row>
    <x:row r="237" ht="23" customHeight="1">
      <x:c r="A237" s="2" t="str">
        <x:v>DEMO-103-3-16</x:v>
      </x:c>
      <x:c r="B237" s="15" t="d">
        <x:v>2026-08-17T00:00:00.000Z</x:v>
      </x:c>
      <x:c r="C237" s="2" t="n">
        <x:v>16</x:v>
      </x:c>
      <x:c r="D237" s="2" t="str">
        <x:v>DEMO-103</x:v>
      </x:c>
      <x:c r="E237" s="2" t="str">
        <x:v>Cloud Pen Set</x:v>
      </x:c>
      <x:c r="F237" s="2" t="str">
        <x:v>Stationery</x:v>
      </x:c>
      <x:c r="G237" s="2" t="str">
        <x:v>Online</x:v>
      </x:c>
      <x:c r="H237" s="2" t="str">
        <x:v>Online</x:v>
      </x:c>
      <x:c r="I237" s="2" t="n">
        <x:v>33</x:v>
      </x:c>
      <x:c r="J237" s="2" t="n">
        <x:v>0</x:v>
      </x:c>
      <x:c r="K237" s="2" t="n">
        <x:f>I237-J237</x:f>
        <x:v>33</x:v>
      </x:c>
      <x:c r="L237" s="16" t="n">
        <x:v>16</x:v>
      </x:c>
      <x:c r="M237" s="16" t="n">
        <x:v>16</x:v>
      </x:c>
      <x:c r="N237" s="16" t="n">
        <x:v>6.56</x:v>
      </x:c>
      <x:c r="O237" s="16" t="n">
        <x:f>K237*M237</x:f>
        <x:v>528</x:v>
      </x:c>
      <x:c r="P237" s="16" t="n">
        <x:f>K237*N237</x:f>
        <x:v>216.48</x:v>
      </x:c>
      <x:c r="Q237" s="16" t="n">
        <x:f>O237-P237</x:f>
        <x:v>311.52</x:v>
      </x:c>
      <x:c r="R237" s="2" t="n">
        <x:v>134</x:v>
      </x:c>
      <x:c r="S237" s="2" t="n">
        <x:v>0</x:v>
      </x:c>
      <x:c r="T237" s="2" t="n">
        <x:f>R237+S237+J237-I237</x:f>
        <x:v>101</x:v>
      </x:c>
      <x:c r="U237" s="2" t="n">
        <x:v>0</x:v>
      </x:c>
      <x:c r="V237" s="2" t="n">
        <x:v>4</x:v>
      </x:c>
      <x:c r="W237" s="2" t="n">
        <x:v>29</x:v>
      </x:c>
      <x:c r="X237" s="14" t="b">
        <x:v>0</x:v>
      </x:c>
      <x:c r="Y237" s="14" t="b">
        <x:v>0</x:v>
      </x:c>
      <x:c r="Z237" s="2" t="n">
        <x:f>ABS(T237-AA237)</x:f>
        <x:v>0</x:v>
      </x:c>
      <x:c r="AA237" s="2" t="n">
        <x:v>101</x:v>
      </x:c>
      <x:c r="AB237" s="2" t="n">
        <x:f>ABS(K237-W237)</x:f>
        <x:v>4</x:v>
      </x:c>
      <x:c r="AC237" s="2" t="n">
        <x:f>COUNTIF($A$2:$A$1921,A237)-1</x:f>
        <x:v>0</x:v>
      </x:c>
      <x:c r="AD237" s="2" t="n">
        <x:f>IF(AND(D237=D236,H237=H236,C237=C236+1),ABS(R237-T236),0)</x:f>
        <x:v>0</x:v>
      </x:c>
    </x:row>
    <x:row r="238" ht="23" customHeight="1">
      <x:c r="A238" s="2" t="str">
        <x:v>DEMO-103-3-17</x:v>
      </x:c>
      <x:c r="B238" s="15" t="d">
        <x:v>2026-08-24T00:00:00.000Z</x:v>
      </x:c>
      <x:c r="C238" s="2" t="n">
        <x:v>17</x:v>
      </x:c>
      <x:c r="D238" s="2" t="str">
        <x:v>DEMO-103</x:v>
      </x:c>
      <x:c r="E238" s="2" t="str">
        <x:v>Cloud Pen Set</x:v>
      </x:c>
      <x:c r="F238" s="2" t="str">
        <x:v>Stationery</x:v>
      </x:c>
      <x:c r="G238" s="2" t="str">
        <x:v>Online</x:v>
      </x:c>
      <x:c r="H238" s="2" t="str">
        <x:v>Online</x:v>
      </x:c>
      <x:c r="I238" s="2" t="n">
        <x:v>28</x:v>
      </x:c>
      <x:c r="J238" s="2" t="n">
        <x:v>0</x:v>
      </x:c>
      <x:c r="K238" s="2" t="n">
        <x:f>I238-J238</x:f>
        <x:v>28</x:v>
      </x:c>
      <x:c r="L238" s="16" t="n">
        <x:v>16</x:v>
      </x:c>
      <x:c r="M238" s="16" t="n">
        <x:v>16</x:v>
      </x:c>
      <x:c r="N238" s="16" t="n">
        <x:v>6.56</x:v>
      </x:c>
      <x:c r="O238" s="16" t="n">
        <x:f>K238*M238</x:f>
        <x:v>448</x:v>
      </x:c>
      <x:c r="P238" s="16" t="n">
        <x:f>K238*N238</x:f>
        <x:v>183.67999999999998</x:v>
      </x:c>
      <x:c r="Q238" s="16" t="n">
        <x:f>O238-P238</x:f>
        <x:v>264.32000000000005</x:v>
      </x:c>
      <x:c r="R238" s="2" t="n">
        <x:v>101</x:v>
      </x:c>
      <x:c r="S238" s="2" t="n">
        <x:v>121</x:v>
      </x:c>
      <x:c r="T238" s="2" t="n">
        <x:f>R238+S238+J238-I238</x:f>
        <x:v>194</x:v>
      </x:c>
      <x:c r="U238" s="2" t="n">
        <x:v>0</x:v>
      </x:c>
      <x:c r="V238" s="2" t="n">
        <x:v>4</x:v>
      </x:c>
      <x:c r="W238" s="2" t="n">
        <x:v>29</x:v>
      </x:c>
      <x:c r="X238" s="14" t="b">
        <x:v>0</x:v>
      </x:c>
      <x:c r="Y238" s="14" t="b">
        <x:v>0</x:v>
      </x:c>
      <x:c r="Z238" s="2" t="n">
        <x:f>ABS(T238-AA238)</x:f>
        <x:v>0</x:v>
      </x:c>
      <x:c r="AA238" s="2" t="n">
        <x:v>194</x:v>
      </x:c>
      <x:c r="AB238" s="2" t="n">
        <x:f>ABS(K238-W238)</x:f>
        <x:v>1</x:v>
      </x:c>
      <x:c r="AC238" s="2" t="n">
        <x:f>COUNTIF($A$2:$A$1921,A238)-1</x:f>
        <x:v>0</x:v>
      </x:c>
      <x:c r="AD238" s="2" t="n">
        <x:f>IF(AND(D238=D237,H238=H237,C238=C237+1),ABS(R238-T237),0)</x:f>
        <x:v>0</x:v>
      </x:c>
    </x:row>
    <x:row r="239" ht="23" customHeight="1">
      <x:c r="A239" s="2" t="str">
        <x:v>DEMO-103-3-18</x:v>
      </x:c>
      <x:c r="B239" s="15" t="d">
        <x:v>2026-08-31T00:00:00.000Z</x:v>
      </x:c>
      <x:c r="C239" s="2" t="n">
        <x:v>18</x:v>
      </x:c>
      <x:c r="D239" s="2" t="str">
        <x:v>DEMO-103</x:v>
      </x:c>
      <x:c r="E239" s="2" t="str">
        <x:v>Cloud Pen Set</x:v>
      </x:c>
      <x:c r="F239" s="2" t="str">
        <x:v>Stationery</x:v>
      </x:c>
      <x:c r="G239" s="2" t="str">
        <x:v>Online</x:v>
      </x:c>
      <x:c r="H239" s="2" t="str">
        <x:v>Online</x:v>
      </x:c>
      <x:c r="I239" s="2" t="n">
        <x:v>25</x:v>
      </x:c>
      <x:c r="J239" s="2" t="n">
        <x:v>1</x:v>
      </x:c>
      <x:c r="K239" s="2" t="n">
        <x:f>I239-J239</x:f>
        <x:v>24</x:v>
      </x:c>
      <x:c r="L239" s="16" t="n">
        <x:v>16</x:v>
      </x:c>
      <x:c r="M239" s="16" t="n">
        <x:v>16</x:v>
      </x:c>
      <x:c r="N239" s="16" t="n">
        <x:v>6.56</x:v>
      </x:c>
      <x:c r="O239" s="16" t="n">
        <x:f>K239*M239</x:f>
        <x:v>384</x:v>
      </x:c>
      <x:c r="P239" s="16" t="n">
        <x:f>K239*N239</x:f>
        <x:v>157.44</x:v>
      </x:c>
      <x:c r="Q239" s="16" t="n">
        <x:f>O239-P239</x:f>
        <x:v>226.56</x:v>
      </x:c>
      <x:c r="R239" s="2" t="n">
        <x:v>194</x:v>
      </x:c>
      <x:c r="S239" s="2" t="n">
        <x:v>0</x:v>
      </x:c>
      <x:c r="T239" s="2" t="n">
        <x:f>R239+S239+J239-I239</x:f>
        <x:v>170</x:v>
      </x:c>
      <x:c r="U239" s="2" t="n">
        <x:v>0</x:v>
      </x:c>
      <x:c r="V239" s="2" t="n">
        <x:v>4</x:v>
      </x:c>
      <x:c r="W239" s="2" t="n">
        <x:v>29</x:v>
      </x:c>
      <x:c r="X239" s="14" t="b">
        <x:v>0</x:v>
      </x:c>
      <x:c r="Y239" s="14" t="b">
        <x:v>0</x:v>
      </x:c>
      <x:c r="Z239" s="2" t="n">
        <x:f>ABS(T239-AA239)</x:f>
        <x:v>0</x:v>
      </x:c>
      <x:c r="AA239" s="2" t="n">
        <x:v>170</x:v>
      </x:c>
      <x:c r="AB239" s="2" t="n">
        <x:f>ABS(K239-W239)</x:f>
        <x:v>5</x:v>
      </x:c>
      <x:c r="AC239" s="2" t="n">
        <x:f>COUNTIF($A$2:$A$1921,A239)-1</x:f>
        <x:v>0</x:v>
      </x:c>
      <x:c r="AD239" s="2" t="n">
        <x:f>IF(AND(D239=D238,H239=H238,C239=C238+1),ABS(R239-T238),0)</x:f>
        <x:v>0</x:v>
      </x:c>
    </x:row>
    <x:row r="240" ht="23" customHeight="1">
      <x:c r="A240" s="2" t="str">
        <x:v>DEMO-103-3-19</x:v>
      </x:c>
      <x:c r="B240" s="15" t="d">
        <x:v>2026-09-07T00:00:00.000Z</x:v>
      </x:c>
      <x:c r="C240" s="2" t="n">
        <x:v>19</x:v>
      </x:c>
      <x:c r="D240" s="2" t="str">
        <x:v>DEMO-103</x:v>
      </x:c>
      <x:c r="E240" s="2" t="str">
        <x:v>Cloud Pen Set</x:v>
      </x:c>
      <x:c r="F240" s="2" t="str">
        <x:v>Stationery</x:v>
      </x:c>
      <x:c r="G240" s="2" t="str">
        <x:v>Online</x:v>
      </x:c>
      <x:c r="H240" s="2" t="str">
        <x:v>Online</x:v>
      </x:c>
      <x:c r="I240" s="2" t="n">
        <x:v>33</x:v>
      </x:c>
      <x:c r="J240" s="2" t="n">
        <x:v>0</x:v>
      </x:c>
      <x:c r="K240" s="2" t="n">
        <x:f>I240-J240</x:f>
        <x:v>33</x:v>
      </x:c>
      <x:c r="L240" s="16" t="n">
        <x:v>16</x:v>
      </x:c>
      <x:c r="M240" s="16" t="n">
        <x:v>16</x:v>
      </x:c>
      <x:c r="N240" s="16" t="n">
        <x:v>6.56</x:v>
      </x:c>
      <x:c r="O240" s="16" t="n">
        <x:f>K240*M240</x:f>
        <x:v>528</x:v>
      </x:c>
      <x:c r="P240" s="16" t="n">
        <x:f>K240*N240</x:f>
        <x:v>216.48</x:v>
      </x:c>
      <x:c r="Q240" s="16" t="n">
        <x:f>O240-P240</x:f>
        <x:v>311.52</x:v>
      </x:c>
      <x:c r="R240" s="2" t="n">
        <x:v>170</x:v>
      </x:c>
      <x:c r="S240" s="2" t="n">
        <x:v>0</x:v>
      </x:c>
      <x:c r="T240" s="2" t="n">
        <x:f>R240+S240+J240-I240</x:f>
        <x:v>137</x:v>
      </x:c>
      <x:c r="U240" s="2" t="n">
        <x:v>0</x:v>
      </x:c>
      <x:c r="V240" s="2" t="n">
        <x:v>4</x:v>
      </x:c>
      <x:c r="W240" s="2" t="n">
        <x:v>29</x:v>
      </x:c>
      <x:c r="X240" s="14" t="b">
        <x:v>0</x:v>
      </x:c>
      <x:c r="Y240" s="14" t="b">
        <x:v>0</x:v>
      </x:c>
      <x:c r="Z240" s="2" t="n">
        <x:f>ABS(T240-AA240)</x:f>
        <x:v>0</x:v>
      </x:c>
      <x:c r="AA240" s="2" t="n">
        <x:v>137</x:v>
      </x:c>
      <x:c r="AB240" s="2" t="n">
        <x:f>ABS(K240-W240)</x:f>
        <x:v>4</x:v>
      </x:c>
      <x:c r="AC240" s="2" t="n">
        <x:f>COUNTIF($A$2:$A$1921,A240)-1</x:f>
        <x:v>0</x:v>
      </x:c>
      <x:c r="AD240" s="2" t="n">
        <x:f>IF(AND(D240=D239,H240=H239,C240=C239+1),ABS(R240-T239),0)</x:f>
        <x:v>0</x:v>
      </x:c>
    </x:row>
    <x:row r="241" ht="23" customHeight="1">
      <x:c r="A241" s="2" t="str">
        <x:v>DEMO-103-3-20</x:v>
      </x:c>
      <x:c r="B241" s="15" t="d">
        <x:v>2026-09-14T00:00:00.000Z</x:v>
      </x:c>
      <x:c r="C241" s="2" t="n">
        <x:v>20</x:v>
      </x:c>
      <x:c r="D241" s="2" t="str">
        <x:v>DEMO-103</x:v>
      </x:c>
      <x:c r="E241" s="2" t="str">
        <x:v>Cloud Pen Set</x:v>
      </x:c>
      <x:c r="F241" s="2" t="str">
        <x:v>Stationery</x:v>
      </x:c>
      <x:c r="G241" s="2" t="str">
        <x:v>Online</x:v>
      </x:c>
      <x:c r="H241" s="2" t="str">
        <x:v>Online</x:v>
      </x:c>
      <x:c r="I241" s="2" t="n">
        <x:v>24</x:v>
      </x:c>
      <x:c r="J241" s="2" t="n">
        <x:v>0</x:v>
      </x:c>
      <x:c r="K241" s="2" t="n">
        <x:f>I241-J241</x:f>
        <x:v>24</x:v>
      </x:c>
      <x:c r="L241" s="16" t="n">
        <x:v>16</x:v>
      </x:c>
      <x:c r="M241" s="16" t="n">
        <x:v>16</x:v>
      </x:c>
      <x:c r="N241" s="16" t="n">
        <x:v>6.56</x:v>
      </x:c>
      <x:c r="O241" s="16" t="n">
        <x:f>K241*M241</x:f>
        <x:v>384</x:v>
      </x:c>
      <x:c r="P241" s="16" t="n">
        <x:f>K241*N241</x:f>
        <x:v>157.44</x:v>
      </x:c>
      <x:c r="Q241" s="16" t="n">
        <x:f>O241-P241</x:f>
        <x:v>226.56</x:v>
      </x:c>
      <x:c r="R241" s="2" t="n">
        <x:v>137</x:v>
      </x:c>
      <x:c r="S241" s="2" t="n">
        <x:v>0</x:v>
      </x:c>
      <x:c r="T241" s="2" t="n">
        <x:f>R241+S241+J241-I241</x:f>
        <x:v>113</x:v>
      </x:c>
      <x:c r="U241" s="2" t="n">
        <x:v>18</x:v>
      </x:c>
      <x:c r="V241" s="2" t="n">
        <x:v>4</x:v>
      </x:c>
      <x:c r="W241" s="2" t="n">
        <x:v>30</x:v>
      </x:c>
      <x:c r="X241" s="14" t="b">
        <x:v>0</x:v>
      </x:c>
      <x:c r="Y241" s="14" t="b">
        <x:v>0</x:v>
      </x:c>
      <x:c r="Z241" s="2" t="n">
        <x:f>ABS(T241-AA241)</x:f>
        <x:v>0</x:v>
      </x:c>
      <x:c r="AA241" s="2" t="n">
        <x:v>113</x:v>
      </x:c>
      <x:c r="AB241" s="2" t="n">
        <x:f>ABS(K241-W241)</x:f>
        <x:v>6</x:v>
      </x:c>
      <x:c r="AC241" s="2" t="n">
        <x:f>COUNTIF($A$2:$A$1921,A241)-1</x:f>
        <x:v>0</x:v>
      </x:c>
      <x:c r="AD241" s="2" t="n">
        <x:f>IF(AND(D241=D240,H241=H240,C241=C240+1),ABS(R241-T240),0)</x:f>
        <x:v>0</x:v>
      </x:c>
    </x:row>
    <x:row r="242" ht="23" customHeight="1">
      <x:c r="A242" s="2" t="str">
        <x:v>DEMO-104-0-1</x:v>
      </x:c>
      <x:c r="B242" s="15" t="d">
        <x:v>2026-05-04T00:00:00.000Z</x:v>
      </x:c>
      <x:c r="C242" s="2" t="n">
        <x:v>1</x:v>
      </x:c>
      <x:c r="D242" s="2" t="str">
        <x:v>DEMO-104</x:v>
      </x:c>
      <x:c r="E242" s="2" t="str">
        <x:v>Studio Planner</x:v>
      </x:c>
      <x:c r="F242" s="2" t="str">
        <x:v>Stationery</x:v>
      </x:c>
      <x:c r="G242" s="2" t="str">
        <x:v>Stores</x:v>
      </x:c>
      <x:c r="H242" s="2" t="str">
        <x:v>North Arcade</x:v>
      </x:c>
      <x:c r="I242" s="2" t="n">
        <x:v>7</x:v>
      </x:c>
      <x:c r="J242" s="2" t="n">
        <x:v>0</x:v>
      </x:c>
      <x:c r="K242" s="2" t="n">
        <x:f>I242-J242</x:f>
        <x:v>7</x:v>
      </x:c>
      <x:c r="L242" s="16" t="n">
        <x:v>18</x:v>
      </x:c>
      <x:c r="M242" s="16" t="n">
        <x:v>18</x:v>
      </x:c>
      <x:c r="N242" s="16" t="n">
        <x:v>7.83</x:v>
      </x:c>
      <x:c r="O242" s="16" t="n">
        <x:f>K242*M242</x:f>
        <x:v>126</x:v>
      </x:c>
      <x:c r="P242" s="16" t="n">
        <x:f>K242*N242</x:f>
        <x:v>54.81</x:v>
      </x:c>
      <x:c r="Q242" s="16" t="n">
        <x:f>O242-P242</x:f>
        <x:v>71.19</x:v>
      </x:c>
      <x:c r="R242" s="2" t="n">
        <x:v>90</x:v>
      </x:c>
      <x:c r="S242" s="2" t="n">
        <x:v>34</x:v>
      </x:c>
      <x:c r="T242" s="2" t="n">
        <x:f>R242+S242+J242-I242</x:f>
        <x:v>117</x:v>
      </x:c>
      <x:c r="U242" s="2" t="n">
        <x:v>0</x:v>
      </x:c>
      <x:c r="V242" s="2" t="n">
        <x:v>2</x:v>
      </x:c>
      <x:c r="W242" s="2" t="n">
        <x:v>8</x:v>
      </x:c>
      <x:c r="X242" s="14" t="b">
        <x:v>0</x:v>
      </x:c>
      <x:c r="Y242" s="14" t="b">
        <x:v>0</x:v>
      </x:c>
      <x:c r="Z242" s="2" t="n">
        <x:f>ABS(T242-AA242)</x:f>
        <x:v>0</x:v>
      </x:c>
      <x:c r="AA242" s="2" t="n">
        <x:v>117</x:v>
      </x:c>
      <x:c r="AB242" s="2" t="n">
        <x:f>ABS(K242-W242)</x:f>
        <x:v>1</x:v>
      </x:c>
      <x:c r="AC242" s="2" t="n">
        <x:f>COUNTIF($A$2:$A$1921,A242)-1</x:f>
        <x:v>0</x:v>
      </x:c>
      <x:c r="AD242" s="2" t="n">
        <x:f>IF(AND(D242=D241,H242=H241,C242=C241+1),ABS(R242-T241),0)</x:f>
        <x:v>0</x:v>
      </x:c>
    </x:row>
    <x:row r="243" ht="23" customHeight="1">
      <x:c r="A243" s="2" t="str">
        <x:v>DEMO-104-0-2</x:v>
      </x:c>
      <x:c r="B243" s="15" t="d">
        <x:v>2026-05-11T00:00:00.000Z</x:v>
      </x:c>
      <x:c r="C243" s="2" t="n">
        <x:v>2</x:v>
      </x:c>
      <x:c r="D243" s="2" t="str">
        <x:v>DEMO-104</x:v>
      </x:c>
      <x:c r="E243" s="2" t="str">
        <x:v>Studio Planner</x:v>
      </x:c>
      <x:c r="F243" s="2" t="str">
        <x:v>Stationery</x:v>
      </x:c>
      <x:c r="G243" s="2" t="str">
        <x:v>Stores</x:v>
      </x:c>
      <x:c r="H243" s="2" t="str">
        <x:v>North Arcade</x:v>
      </x:c>
      <x:c r="I243" s="2" t="n">
        <x:v>8</x:v>
      </x:c>
      <x:c r="J243" s="2" t="n">
        <x:v>0</x:v>
      </x:c>
      <x:c r="K243" s="2" t="n">
        <x:f>I243-J243</x:f>
        <x:v>8</x:v>
      </x:c>
      <x:c r="L243" s="16" t="n">
        <x:v>18</x:v>
      </x:c>
      <x:c r="M243" s="16" t="n">
        <x:v>18</x:v>
      </x:c>
      <x:c r="N243" s="16" t="n">
        <x:v>7.83</x:v>
      </x:c>
      <x:c r="O243" s="16" t="n">
        <x:f>K243*M243</x:f>
        <x:v>144</x:v>
      </x:c>
      <x:c r="P243" s="16" t="n">
        <x:f>K243*N243</x:f>
        <x:v>62.64</x:v>
      </x:c>
      <x:c r="Q243" s="16" t="n">
        <x:f>O243-P243</x:f>
        <x:v>81.36</x:v>
      </x:c>
      <x:c r="R243" s="2" t="n">
        <x:v>117</x:v>
      </x:c>
      <x:c r="S243" s="2" t="n">
        <x:v>0</x:v>
      </x:c>
      <x:c r="T243" s="2" t="n">
        <x:f>R243+S243+J243-I243</x:f>
        <x:v>109</x:v>
      </x:c>
      <x:c r="U243" s="2" t="n">
        <x:v>0</x:v>
      </x:c>
      <x:c r="V243" s="2" t="n">
        <x:v>2</x:v>
      </x:c>
      <x:c r="W243" s="2" t="n">
        <x:v>7</x:v>
      </x:c>
      <x:c r="X243" s="14" t="b">
        <x:v>0</x:v>
      </x:c>
      <x:c r="Y243" s="14" t="b">
        <x:v>0</x:v>
      </x:c>
      <x:c r="Z243" s="2" t="n">
        <x:f>ABS(T243-AA243)</x:f>
        <x:v>0</x:v>
      </x:c>
      <x:c r="AA243" s="2" t="n">
        <x:v>109</x:v>
      </x:c>
      <x:c r="AB243" s="2" t="n">
        <x:f>ABS(K243-W243)</x:f>
        <x:v>1</x:v>
      </x:c>
      <x:c r="AC243" s="2" t="n">
        <x:f>COUNTIF($A$2:$A$1921,A243)-1</x:f>
        <x:v>0</x:v>
      </x:c>
      <x:c r="AD243" s="2" t="n">
        <x:f>IF(AND(D243=D242,H243=H242,C243=C242+1),ABS(R243-T242),0)</x:f>
        <x:v>0</x:v>
      </x:c>
    </x:row>
    <x:row r="244" ht="23" customHeight="1">
      <x:c r="A244" s="2" t="str">
        <x:v>DEMO-104-0-3</x:v>
      </x:c>
      <x:c r="B244" s="15" t="d">
        <x:v>2026-05-18T00:00:00.000Z</x:v>
      </x:c>
      <x:c r="C244" s="2" t="n">
        <x:v>3</x:v>
      </x:c>
      <x:c r="D244" s="2" t="str">
        <x:v>DEMO-104</x:v>
      </x:c>
      <x:c r="E244" s="2" t="str">
        <x:v>Studio Planner</x:v>
      </x:c>
      <x:c r="F244" s="2" t="str">
        <x:v>Stationery</x:v>
      </x:c>
      <x:c r="G244" s="2" t="str">
        <x:v>Stores</x:v>
      </x:c>
      <x:c r="H244" s="2" t="str">
        <x:v>North Arcade</x:v>
      </x:c>
      <x:c r="I244" s="2" t="n">
        <x:v>9</x:v>
      </x:c>
      <x:c r="J244" s="2" t="n">
        <x:v>0</x:v>
      </x:c>
      <x:c r="K244" s="2" t="n">
        <x:f>I244-J244</x:f>
        <x:v>9</x:v>
      </x:c>
      <x:c r="L244" s="16" t="n">
        <x:v>18</x:v>
      </x:c>
      <x:c r="M244" s="16" t="n">
        <x:v>18</x:v>
      </x:c>
      <x:c r="N244" s="16" t="n">
        <x:v>7.83</x:v>
      </x:c>
      <x:c r="O244" s="16" t="n">
        <x:f>K244*M244</x:f>
        <x:v>162</x:v>
      </x:c>
      <x:c r="P244" s="16" t="n">
        <x:f>K244*N244</x:f>
        <x:v>70.47</x:v>
      </x:c>
      <x:c r="Q244" s="16" t="n">
        <x:f>O244-P244</x:f>
        <x:v>91.53</x:v>
      </x:c>
      <x:c r="R244" s="2" t="n">
        <x:v>109</x:v>
      </x:c>
      <x:c r="S244" s="2" t="n">
        <x:v>0</x:v>
      </x:c>
      <x:c r="T244" s="2" t="n">
        <x:f>R244+S244+J244-I244</x:f>
        <x:v>100</x:v>
      </x:c>
      <x:c r="U244" s="2" t="n">
        <x:v>0</x:v>
      </x:c>
      <x:c r="V244" s="2" t="n">
        <x:v>2</x:v>
      </x:c>
      <x:c r="W244" s="2" t="n">
        <x:v>8</x:v>
      </x:c>
      <x:c r="X244" s="14" t="b">
        <x:v>0</x:v>
      </x:c>
      <x:c r="Y244" s="14" t="b">
        <x:v>0</x:v>
      </x:c>
      <x:c r="Z244" s="2" t="n">
        <x:f>ABS(T244-AA244)</x:f>
        <x:v>0</x:v>
      </x:c>
      <x:c r="AA244" s="2" t="n">
        <x:v>100</x:v>
      </x:c>
      <x:c r="AB244" s="2" t="n">
        <x:f>ABS(K244-W244)</x:f>
        <x:v>1</x:v>
      </x:c>
      <x:c r="AC244" s="2" t="n">
        <x:f>COUNTIF($A$2:$A$1921,A244)-1</x:f>
        <x:v>0</x:v>
      </x:c>
      <x:c r="AD244" s="2" t="n">
        <x:f>IF(AND(D244=D243,H244=H243,C244=C243+1),ABS(R244-T243),0)</x:f>
        <x:v>0</x:v>
      </x:c>
    </x:row>
    <x:row r="245" ht="23" customHeight="1">
      <x:c r="A245" s="2" t="str">
        <x:v>DEMO-104-0-4</x:v>
      </x:c>
      <x:c r="B245" s="15" t="d">
        <x:v>2026-05-25T00:00:00.000Z</x:v>
      </x:c>
      <x:c r="C245" s="2" t="n">
        <x:v>4</x:v>
      </x:c>
      <x:c r="D245" s="2" t="str">
        <x:v>DEMO-104</x:v>
      </x:c>
      <x:c r="E245" s="2" t="str">
        <x:v>Studio Planner</x:v>
      </x:c>
      <x:c r="F245" s="2" t="str">
        <x:v>Stationery</x:v>
      </x:c>
      <x:c r="G245" s="2" t="str">
        <x:v>Stores</x:v>
      </x:c>
      <x:c r="H245" s="2" t="str">
        <x:v>North Arcade</x:v>
      </x:c>
      <x:c r="I245" s="2" t="n">
        <x:v>8</x:v>
      </x:c>
      <x:c r="J245" s="2" t="n">
        <x:v>0</x:v>
      </x:c>
      <x:c r="K245" s="2" t="n">
        <x:f>I245-J245</x:f>
        <x:v>8</x:v>
      </x:c>
      <x:c r="L245" s="16" t="n">
        <x:v>18</x:v>
      </x:c>
      <x:c r="M245" s="16" t="n">
        <x:v>18</x:v>
      </x:c>
      <x:c r="N245" s="16" t="n">
        <x:v>7.83</x:v>
      </x:c>
      <x:c r="O245" s="16" t="n">
        <x:f>K245*M245</x:f>
        <x:v>144</x:v>
      </x:c>
      <x:c r="P245" s="16" t="n">
        <x:f>K245*N245</x:f>
        <x:v>62.64</x:v>
      </x:c>
      <x:c r="Q245" s="16" t="n">
        <x:f>O245-P245</x:f>
        <x:v>81.36</x:v>
      </x:c>
      <x:c r="R245" s="2" t="n">
        <x:v>100</x:v>
      </x:c>
      <x:c r="S245" s="2" t="n">
        <x:v>0</x:v>
      </x:c>
      <x:c r="T245" s="2" t="n">
        <x:f>R245+S245+J245-I245</x:f>
        <x:v>92</x:v>
      </x:c>
      <x:c r="U245" s="2" t="n">
        <x:v>0</x:v>
      </x:c>
      <x:c r="V245" s="2" t="n">
        <x:v>2</x:v>
      </x:c>
      <x:c r="W245" s="2" t="n">
        <x:v>8</x:v>
      </x:c>
      <x:c r="X245" s="14" t="b">
        <x:v>0</x:v>
      </x:c>
      <x:c r="Y245" s="14" t="b">
        <x:v>0</x:v>
      </x:c>
      <x:c r="Z245" s="2" t="n">
        <x:f>ABS(T245-AA245)</x:f>
        <x:v>0</x:v>
      </x:c>
      <x:c r="AA245" s="2" t="n">
        <x:v>92</x:v>
      </x:c>
      <x:c r="AB245" s="2" t="n">
        <x:f>ABS(K245-W245)</x:f>
        <x:v>0</x:v>
      </x:c>
      <x:c r="AC245" s="2" t="n">
        <x:f>COUNTIF($A$2:$A$1921,A245)-1</x:f>
        <x:v>0</x:v>
      </x:c>
      <x:c r="AD245" s="2" t="n">
        <x:f>IF(AND(D245=D244,H245=H244,C245=C244+1),ABS(R245-T244),0)</x:f>
        <x:v>0</x:v>
      </x:c>
    </x:row>
    <x:row r="246" ht="23" customHeight="1">
      <x:c r="A246" s="2" t="str">
        <x:v>DEMO-104-0-5</x:v>
      </x:c>
      <x:c r="B246" s="15" t="d">
        <x:v>2026-06-01T00:00:00.000Z</x:v>
      </x:c>
      <x:c r="C246" s="2" t="n">
        <x:v>5</x:v>
      </x:c>
      <x:c r="D246" s="2" t="str">
        <x:v>DEMO-104</x:v>
      </x:c>
      <x:c r="E246" s="2" t="str">
        <x:v>Studio Planner</x:v>
      </x:c>
      <x:c r="F246" s="2" t="str">
        <x:v>Stationery</x:v>
      </x:c>
      <x:c r="G246" s="2" t="str">
        <x:v>Stores</x:v>
      </x:c>
      <x:c r="H246" s="2" t="str">
        <x:v>North Arcade</x:v>
      </x:c>
      <x:c r="I246" s="2" t="n">
        <x:v>8</x:v>
      </x:c>
      <x:c r="J246" s="2" t="n">
        <x:v>1</x:v>
      </x:c>
      <x:c r="K246" s="2" t="n">
        <x:f>I246-J246</x:f>
        <x:v>7</x:v>
      </x:c>
      <x:c r="L246" s="16" t="n">
        <x:v>18</x:v>
      </x:c>
      <x:c r="M246" s="16" t="n">
        <x:v>18</x:v>
      </x:c>
      <x:c r="N246" s="16" t="n">
        <x:v>7.83</x:v>
      </x:c>
      <x:c r="O246" s="16" t="n">
        <x:f>K246*M246</x:f>
        <x:v>126</x:v>
      </x:c>
      <x:c r="P246" s="16" t="n">
        <x:f>K246*N246</x:f>
        <x:v>54.81</x:v>
      </x:c>
      <x:c r="Q246" s="16" t="n">
        <x:f>O246-P246</x:f>
        <x:v>71.19</x:v>
      </x:c>
      <x:c r="R246" s="2" t="n">
        <x:v>92</x:v>
      </x:c>
      <x:c r="S246" s="2" t="n">
        <x:v>34</x:v>
      </x:c>
      <x:c r="T246" s="2" t="n">
        <x:f>R246+S246+J246-I246</x:f>
        <x:v>119</x:v>
      </x:c>
      <x:c r="U246" s="2" t="n">
        <x:v>0</x:v>
      </x:c>
      <x:c r="V246" s="2" t="n">
        <x:v>2</x:v>
      </x:c>
      <x:c r="W246" s="2" t="n">
        <x:v>8</x:v>
      </x:c>
      <x:c r="X246" s="14" t="b">
        <x:v>0</x:v>
      </x:c>
      <x:c r="Y246" s="14" t="b">
        <x:v>0</x:v>
      </x:c>
      <x:c r="Z246" s="2" t="n">
        <x:f>ABS(T246-AA246)</x:f>
        <x:v>0</x:v>
      </x:c>
      <x:c r="AA246" s="2" t="n">
        <x:v>119</x:v>
      </x:c>
      <x:c r="AB246" s="2" t="n">
        <x:f>ABS(K246-W246)</x:f>
        <x:v>1</x:v>
      </x:c>
      <x:c r="AC246" s="2" t="n">
        <x:f>COUNTIF($A$2:$A$1921,A246)-1</x:f>
        <x:v>0</x:v>
      </x:c>
      <x:c r="AD246" s="2" t="n">
        <x:f>IF(AND(D246=D245,H246=H245,C246=C245+1),ABS(R246-T245),0)</x:f>
        <x:v>0</x:v>
      </x:c>
    </x:row>
    <x:row r="247" ht="23" customHeight="1">
      <x:c r="A247" s="2" t="str">
        <x:v>DEMO-104-0-6</x:v>
      </x:c>
      <x:c r="B247" s="15" t="d">
        <x:v>2026-06-08T00:00:00.000Z</x:v>
      </x:c>
      <x:c r="C247" s="2" t="n">
        <x:v>6</x:v>
      </x:c>
      <x:c r="D247" s="2" t="str">
        <x:v>DEMO-104</x:v>
      </x:c>
      <x:c r="E247" s="2" t="str">
        <x:v>Studio Planner</x:v>
      </x:c>
      <x:c r="F247" s="2" t="str">
        <x:v>Stationery</x:v>
      </x:c>
      <x:c r="G247" s="2" t="str">
        <x:v>Stores</x:v>
      </x:c>
      <x:c r="H247" s="2" t="str">
        <x:v>North Arcade</x:v>
      </x:c>
      <x:c r="I247" s="2" t="n">
        <x:v>9</x:v>
      </x:c>
      <x:c r="J247" s="2" t="n">
        <x:v>0</x:v>
      </x:c>
      <x:c r="K247" s="2" t="n">
        <x:f>I247-J247</x:f>
        <x:v>9</x:v>
      </x:c>
      <x:c r="L247" s="16" t="n">
        <x:v>18</x:v>
      </x:c>
      <x:c r="M247" s="16" t="n">
        <x:v>18</x:v>
      </x:c>
      <x:c r="N247" s="16" t="n">
        <x:v>7.83</x:v>
      </x:c>
      <x:c r="O247" s="16" t="n">
        <x:f>K247*M247</x:f>
        <x:v>162</x:v>
      </x:c>
      <x:c r="P247" s="16" t="n">
        <x:f>K247*N247</x:f>
        <x:v>70.47</x:v>
      </x:c>
      <x:c r="Q247" s="16" t="n">
        <x:f>O247-P247</x:f>
        <x:v>91.53</x:v>
      </x:c>
      <x:c r="R247" s="2" t="n">
        <x:v>119</x:v>
      </x:c>
      <x:c r="S247" s="2" t="n">
        <x:v>0</x:v>
      </x:c>
      <x:c r="T247" s="2" t="n">
        <x:f>R247+S247+J247-I247</x:f>
        <x:v>110</x:v>
      </x:c>
      <x:c r="U247" s="2" t="n">
        <x:v>0</x:v>
      </x:c>
      <x:c r="V247" s="2" t="n">
        <x:v>2</x:v>
      </x:c>
      <x:c r="W247" s="2" t="n">
        <x:v>8</x:v>
      </x:c>
      <x:c r="X247" s="14" t="b">
        <x:v>0</x:v>
      </x:c>
      <x:c r="Y247" s="14" t="b">
        <x:v>0</x:v>
      </x:c>
      <x:c r="Z247" s="2" t="n">
        <x:f>ABS(T247-AA247)</x:f>
        <x:v>0</x:v>
      </x:c>
      <x:c r="AA247" s="2" t="n">
        <x:v>110</x:v>
      </x:c>
      <x:c r="AB247" s="2" t="n">
        <x:f>ABS(K247-W247)</x:f>
        <x:v>1</x:v>
      </x:c>
      <x:c r="AC247" s="2" t="n">
        <x:f>COUNTIF($A$2:$A$1921,A247)-1</x:f>
        <x:v>0</x:v>
      </x:c>
      <x:c r="AD247" s="2" t="n">
        <x:f>IF(AND(D247=D246,H247=H246,C247=C246+1),ABS(R247-T246),0)</x:f>
        <x:v>0</x:v>
      </x:c>
    </x:row>
    <x:row r="248" ht="23" customHeight="1">
      <x:c r="A248" s="2" t="str">
        <x:v>DEMO-104-0-7</x:v>
      </x:c>
      <x:c r="B248" s="15" t="d">
        <x:v>2026-06-15T00:00:00.000Z</x:v>
      </x:c>
      <x:c r="C248" s="2" t="n">
        <x:v>7</x:v>
      </x:c>
      <x:c r="D248" s="2" t="str">
        <x:v>DEMO-104</x:v>
      </x:c>
      <x:c r="E248" s="2" t="str">
        <x:v>Studio Planner</x:v>
      </x:c>
      <x:c r="F248" s="2" t="str">
        <x:v>Stationery</x:v>
      </x:c>
      <x:c r="G248" s="2" t="str">
        <x:v>Stores</x:v>
      </x:c>
      <x:c r="H248" s="2" t="str">
        <x:v>North Arcade</x:v>
      </x:c>
      <x:c r="I248" s="2" t="n">
        <x:v>9</x:v>
      </x:c>
      <x:c r="J248" s="2" t="n">
        <x:v>0</x:v>
      </x:c>
      <x:c r="K248" s="2" t="n">
        <x:f>I248-J248</x:f>
        <x:v>9</x:v>
      </x:c>
      <x:c r="L248" s="16" t="n">
        <x:v>18</x:v>
      </x:c>
      <x:c r="M248" s="16" t="n">
        <x:v>18</x:v>
      </x:c>
      <x:c r="N248" s="16" t="n">
        <x:v>7.83</x:v>
      </x:c>
      <x:c r="O248" s="16" t="n">
        <x:f>K248*M248</x:f>
        <x:v>162</x:v>
      </x:c>
      <x:c r="P248" s="16" t="n">
        <x:f>K248*N248</x:f>
        <x:v>70.47</x:v>
      </x:c>
      <x:c r="Q248" s="16" t="n">
        <x:f>O248-P248</x:f>
        <x:v>91.53</x:v>
      </x:c>
      <x:c r="R248" s="2" t="n">
        <x:v>110</x:v>
      </x:c>
      <x:c r="S248" s="2" t="n">
        <x:v>0</x:v>
      </x:c>
      <x:c r="T248" s="2" t="n">
        <x:f>R248+S248+J248-I248</x:f>
        <x:v>101</x:v>
      </x:c>
      <x:c r="U248" s="2" t="n">
        <x:v>0</x:v>
      </x:c>
      <x:c r="V248" s="2" t="n">
        <x:v>2</x:v>
      </x:c>
      <x:c r="W248" s="2" t="n">
        <x:v>8</x:v>
      </x:c>
      <x:c r="X248" s="14" t="b">
        <x:v>0</x:v>
      </x:c>
      <x:c r="Y248" s="14" t="b">
        <x:v>0</x:v>
      </x:c>
      <x:c r="Z248" s="2" t="n">
        <x:f>ABS(T248-AA248)</x:f>
        <x:v>0</x:v>
      </x:c>
      <x:c r="AA248" s="2" t="n">
        <x:v>101</x:v>
      </x:c>
      <x:c r="AB248" s="2" t="n">
        <x:f>ABS(K248-W248)</x:f>
        <x:v>1</x:v>
      </x:c>
      <x:c r="AC248" s="2" t="n">
        <x:f>COUNTIF($A$2:$A$1921,A248)-1</x:f>
        <x:v>0</x:v>
      </x:c>
      <x:c r="AD248" s="2" t="n">
        <x:f>IF(AND(D248=D247,H248=H247,C248=C247+1),ABS(R248-T247),0)</x:f>
        <x:v>0</x:v>
      </x:c>
    </x:row>
    <x:row r="249" ht="23" customHeight="1">
      <x:c r="A249" s="2" t="str">
        <x:v>DEMO-104-0-8</x:v>
      </x:c>
      <x:c r="B249" s="15" t="d">
        <x:v>2026-06-22T00:00:00.000Z</x:v>
      </x:c>
      <x:c r="C249" s="2" t="n">
        <x:v>8</x:v>
      </x:c>
      <x:c r="D249" s="2" t="str">
        <x:v>DEMO-104</x:v>
      </x:c>
      <x:c r="E249" s="2" t="str">
        <x:v>Studio Planner</x:v>
      </x:c>
      <x:c r="F249" s="2" t="str">
        <x:v>Stationery</x:v>
      </x:c>
      <x:c r="G249" s="2" t="str">
        <x:v>Stores</x:v>
      </x:c>
      <x:c r="H249" s="2" t="str">
        <x:v>North Arcade</x:v>
      </x:c>
      <x:c r="I249" s="2" t="n">
        <x:v>8</x:v>
      </x:c>
      <x:c r="J249" s="2" t="n">
        <x:v>0</x:v>
      </x:c>
      <x:c r="K249" s="2" t="n">
        <x:f>I249-J249</x:f>
        <x:v>8</x:v>
      </x:c>
      <x:c r="L249" s="16" t="n">
        <x:v>18</x:v>
      </x:c>
      <x:c r="M249" s="16" t="n">
        <x:v>18</x:v>
      </x:c>
      <x:c r="N249" s="16" t="n">
        <x:v>7.83</x:v>
      </x:c>
      <x:c r="O249" s="16" t="n">
        <x:f>K249*M249</x:f>
        <x:v>144</x:v>
      </x:c>
      <x:c r="P249" s="16" t="n">
        <x:f>K249*N249</x:f>
        <x:v>62.64</x:v>
      </x:c>
      <x:c r="Q249" s="16" t="n">
        <x:f>O249-P249</x:f>
        <x:v>81.36</x:v>
      </x:c>
      <x:c r="R249" s="2" t="n">
        <x:v>101</x:v>
      </x:c>
      <x:c r="S249" s="2" t="n">
        <x:v>0</x:v>
      </x:c>
      <x:c r="T249" s="2" t="n">
        <x:f>R249+S249+J249-I249</x:f>
        <x:v>93</x:v>
      </x:c>
      <x:c r="U249" s="2" t="n">
        <x:v>0</x:v>
      </x:c>
      <x:c r="V249" s="2" t="n">
        <x:v>2</x:v>
      </x:c>
      <x:c r="W249" s="2" t="n">
        <x:v>8</x:v>
      </x:c>
      <x:c r="X249" s="14" t="b">
        <x:v>0</x:v>
      </x:c>
      <x:c r="Y249" s="14" t="b">
        <x:v>0</x:v>
      </x:c>
      <x:c r="Z249" s="2" t="n">
        <x:f>ABS(T249-AA249)</x:f>
        <x:v>0</x:v>
      </x:c>
      <x:c r="AA249" s="2" t="n">
        <x:v>93</x:v>
      </x:c>
      <x:c r="AB249" s="2" t="n">
        <x:f>ABS(K249-W249)</x:f>
        <x:v>0</x:v>
      </x:c>
      <x:c r="AC249" s="2" t="n">
        <x:f>COUNTIF($A$2:$A$1921,A249)-1</x:f>
        <x:v>0</x:v>
      </x:c>
      <x:c r="AD249" s="2" t="n">
        <x:f>IF(AND(D249=D248,H249=H248,C249=C248+1),ABS(R249-T248),0)</x:f>
        <x:v>0</x:v>
      </x:c>
    </x:row>
    <x:row r="250" ht="23" customHeight="1">
      <x:c r="A250" s="2" t="str">
        <x:v>DEMO-104-0-9</x:v>
      </x:c>
      <x:c r="B250" s="15" t="d">
        <x:v>2026-06-29T00:00:00.000Z</x:v>
      </x:c>
      <x:c r="C250" s="2" t="n">
        <x:v>9</x:v>
      </x:c>
      <x:c r="D250" s="2" t="str">
        <x:v>DEMO-104</x:v>
      </x:c>
      <x:c r="E250" s="2" t="str">
        <x:v>Studio Planner</x:v>
      </x:c>
      <x:c r="F250" s="2" t="str">
        <x:v>Stationery</x:v>
      </x:c>
      <x:c r="G250" s="2" t="str">
        <x:v>Stores</x:v>
      </x:c>
      <x:c r="H250" s="2" t="str">
        <x:v>North Arcade</x:v>
      </x:c>
      <x:c r="I250" s="2" t="n">
        <x:v>8</x:v>
      </x:c>
      <x:c r="J250" s="2" t="n">
        <x:v>0</x:v>
      </x:c>
      <x:c r="K250" s="2" t="n">
        <x:f>I250-J250</x:f>
        <x:v>8</x:v>
      </x:c>
      <x:c r="L250" s="16" t="n">
        <x:v>18</x:v>
      </x:c>
      <x:c r="M250" s="16" t="n">
        <x:v>18</x:v>
      </x:c>
      <x:c r="N250" s="16" t="n">
        <x:v>7.83</x:v>
      </x:c>
      <x:c r="O250" s="16" t="n">
        <x:f>K250*M250</x:f>
        <x:v>144</x:v>
      </x:c>
      <x:c r="P250" s="16" t="n">
        <x:f>K250*N250</x:f>
        <x:v>62.64</x:v>
      </x:c>
      <x:c r="Q250" s="16" t="n">
        <x:f>O250-P250</x:f>
        <x:v>81.36</x:v>
      </x:c>
      <x:c r="R250" s="2" t="n">
        <x:v>93</x:v>
      </x:c>
      <x:c r="S250" s="2" t="n">
        <x:v>34</x:v>
      </x:c>
      <x:c r="T250" s="2" t="n">
        <x:f>R250+S250+J250-I250</x:f>
        <x:v>119</x:v>
      </x:c>
      <x:c r="U250" s="2" t="n">
        <x:v>0</x:v>
      </x:c>
      <x:c r="V250" s="2" t="n">
        <x:v>2</x:v>
      </x:c>
      <x:c r="W250" s="2" t="n">
        <x:v>8</x:v>
      </x:c>
      <x:c r="X250" s="14" t="b">
        <x:v>0</x:v>
      </x:c>
      <x:c r="Y250" s="14" t="b">
        <x:v>0</x:v>
      </x:c>
      <x:c r="Z250" s="2" t="n">
        <x:f>ABS(T250-AA250)</x:f>
        <x:v>0</x:v>
      </x:c>
      <x:c r="AA250" s="2" t="n">
        <x:v>119</x:v>
      </x:c>
      <x:c r="AB250" s="2" t="n">
        <x:f>ABS(K250-W250)</x:f>
        <x:v>0</x:v>
      </x:c>
      <x:c r="AC250" s="2" t="n">
        <x:f>COUNTIF($A$2:$A$1921,A250)-1</x:f>
        <x:v>0</x:v>
      </x:c>
      <x:c r="AD250" s="2" t="n">
        <x:f>IF(AND(D250=D249,H250=H249,C250=C249+1),ABS(R250-T249),0)</x:f>
        <x:v>0</x:v>
      </x:c>
    </x:row>
    <x:row r="251" ht="23" customHeight="1">
      <x:c r="A251" s="2" t="str">
        <x:v>DEMO-104-0-10</x:v>
      </x:c>
      <x:c r="B251" s="15" t="d">
        <x:v>2026-07-06T00:00:00.000Z</x:v>
      </x:c>
      <x:c r="C251" s="2" t="n">
        <x:v>10</x:v>
      </x:c>
      <x:c r="D251" s="2" t="str">
        <x:v>DEMO-104</x:v>
      </x:c>
      <x:c r="E251" s="2" t="str">
        <x:v>Studio Planner</x:v>
      </x:c>
      <x:c r="F251" s="2" t="str">
        <x:v>Stationery</x:v>
      </x:c>
      <x:c r="G251" s="2" t="str">
        <x:v>Stores</x:v>
      </x:c>
      <x:c r="H251" s="2" t="str">
        <x:v>North Arcade</x:v>
      </x:c>
      <x:c r="I251" s="2" t="n">
        <x:v>7</x:v>
      </x:c>
      <x:c r="J251" s="2" t="n">
        <x:v>1</x:v>
      </x:c>
      <x:c r="K251" s="2" t="n">
        <x:f>I251-J251</x:f>
        <x:v>6</x:v>
      </x:c>
      <x:c r="L251" s="16" t="n">
        <x:v>18</x:v>
      </x:c>
      <x:c r="M251" s="16" t="n">
        <x:v>18</x:v>
      </x:c>
      <x:c r="N251" s="16" t="n">
        <x:v>7.83</x:v>
      </x:c>
      <x:c r="O251" s="16" t="n">
        <x:f>K251*M251</x:f>
        <x:v>108</x:v>
      </x:c>
      <x:c r="P251" s="16" t="n">
        <x:f>K251*N251</x:f>
        <x:v>46.980000000000004</x:v>
      </x:c>
      <x:c r="Q251" s="16" t="n">
        <x:f>O251-P251</x:f>
        <x:v>61.019999999999996</x:v>
      </x:c>
      <x:c r="R251" s="2" t="n">
        <x:v>119</x:v>
      </x:c>
      <x:c r="S251" s="2" t="n">
        <x:v>0</x:v>
      </x:c>
      <x:c r="T251" s="2" t="n">
        <x:f>R251+S251+J251-I251</x:f>
        <x:v>113</x:v>
      </x:c>
      <x:c r="U251" s="2" t="n">
        <x:v>0</x:v>
      </x:c>
      <x:c r="V251" s="2" t="n">
        <x:v>2</x:v>
      </x:c>
      <x:c r="W251" s="2" t="n">
        <x:v>9</x:v>
      </x:c>
      <x:c r="X251" s="14" t="b">
        <x:v>0</x:v>
      </x:c>
      <x:c r="Y251" s="14" t="b">
        <x:v>0</x:v>
      </x:c>
      <x:c r="Z251" s="2" t="n">
        <x:f>ABS(T251-AA251)</x:f>
        <x:v>0</x:v>
      </x:c>
      <x:c r="AA251" s="2" t="n">
        <x:v>113</x:v>
      </x:c>
      <x:c r="AB251" s="2" t="n">
        <x:f>ABS(K251-W251)</x:f>
        <x:v>3</x:v>
      </x:c>
      <x:c r="AC251" s="2" t="n">
        <x:f>COUNTIF($A$2:$A$1921,A251)-1</x:f>
        <x:v>0</x:v>
      </x:c>
      <x:c r="AD251" s="2" t="n">
        <x:f>IF(AND(D251=D250,H251=H250,C251=C250+1),ABS(R251-T250),0)</x:f>
        <x:v>0</x:v>
      </x:c>
    </x:row>
    <x:row r="252" ht="23" customHeight="1">
      <x:c r="A252" s="2" t="str">
        <x:v>DEMO-104-0-11</x:v>
      </x:c>
      <x:c r="B252" s="15" t="d">
        <x:v>2026-07-13T00:00:00.000Z</x:v>
      </x:c>
      <x:c r="C252" s="2" t="n">
        <x:v>11</x:v>
      </x:c>
      <x:c r="D252" s="2" t="str">
        <x:v>DEMO-104</x:v>
      </x:c>
      <x:c r="E252" s="2" t="str">
        <x:v>Studio Planner</x:v>
      </x:c>
      <x:c r="F252" s="2" t="str">
        <x:v>Stationery</x:v>
      </x:c>
      <x:c r="G252" s="2" t="str">
        <x:v>Stores</x:v>
      </x:c>
      <x:c r="H252" s="2" t="str">
        <x:v>North Arcade</x:v>
      </x:c>
      <x:c r="I252" s="2" t="n">
        <x:v>9</x:v>
      </x:c>
      <x:c r="J252" s="2" t="n">
        <x:v>0</x:v>
      </x:c>
      <x:c r="K252" s="2" t="n">
        <x:f>I252-J252</x:f>
        <x:v>9</x:v>
      </x:c>
      <x:c r="L252" s="16" t="n">
        <x:v>18</x:v>
      </x:c>
      <x:c r="M252" s="16" t="n">
        <x:v>18</x:v>
      </x:c>
      <x:c r="N252" s="16" t="n">
        <x:v>7.83</x:v>
      </x:c>
      <x:c r="O252" s="16" t="n">
        <x:f>K252*M252</x:f>
        <x:v>162</x:v>
      </x:c>
      <x:c r="P252" s="16" t="n">
        <x:f>K252*N252</x:f>
        <x:v>70.47</x:v>
      </x:c>
      <x:c r="Q252" s="16" t="n">
        <x:f>O252-P252</x:f>
        <x:v>91.53</x:v>
      </x:c>
      <x:c r="R252" s="2" t="n">
        <x:v>113</x:v>
      </x:c>
      <x:c r="S252" s="2" t="n">
        <x:v>0</x:v>
      </x:c>
      <x:c r="T252" s="2" t="n">
        <x:f>R252+S252+J252-I252</x:f>
        <x:v>104</x:v>
      </x:c>
      <x:c r="U252" s="2" t="n">
        <x:v>0</x:v>
      </x:c>
      <x:c r="V252" s="2" t="n">
        <x:v>2</x:v>
      </x:c>
      <x:c r="W252" s="2" t="n">
        <x:v>8</x:v>
      </x:c>
      <x:c r="X252" s="14" t="b">
        <x:v>0</x:v>
      </x:c>
      <x:c r="Y252" s="14" t="b">
        <x:v>0</x:v>
      </x:c>
      <x:c r="Z252" s="2" t="n">
        <x:f>ABS(T252-AA252)</x:f>
        <x:v>0</x:v>
      </x:c>
      <x:c r="AA252" s="2" t="n">
        <x:v>104</x:v>
      </x:c>
      <x:c r="AB252" s="2" t="n">
        <x:f>ABS(K252-W252)</x:f>
        <x:v>1</x:v>
      </x:c>
      <x:c r="AC252" s="2" t="n">
        <x:f>COUNTIF($A$2:$A$1921,A252)-1</x:f>
        <x:v>0</x:v>
      </x:c>
      <x:c r="AD252" s="2" t="n">
        <x:f>IF(AND(D252=D251,H252=H251,C252=C251+1),ABS(R252-T251),0)</x:f>
        <x:v>0</x:v>
      </x:c>
    </x:row>
    <x:row r="253" ht="23" customHeight="1">
      <x:c r="A253" s="2" t="str">
        <x:v>DEMO-104-0-12</x:v>
      </x:c>
      <x:c r="B253" s="15" t="d">
        <x:v>2026-07-20T00:00:00.000Z</x:v>
      </x:c>
      <x:c r="C253" s="2" t="n">
        <x:v>12</x:v>
      </x:c>
      <x:c r="D253" s="2" t="str">
        <x:v>DEMO-104</x:v>
      </x:c>
      <x:c r="E253" s="2" t="str">
        <x:v>Studio Planner</x:v>
      </x:c>
      <x:c r="F253" s="2" t="str">
        <x:v>Stationery</x:v>
      </x:c>
      <x:c r="G253" s="2" t="str">
        <x:v>Stores</x:v>
      </x:c>
      <x:c r="H253" s="2" t="str">
        <x:v>North Arcade</x:v>
      </x:c>
      <x:c r="I253" s="2" t="n">
        <x:v>9</x:v>
      </x:c>
      <x:c r="J253" s="2" t="n">
        <x:v>0</x:v>
      </x:c>
      <x:c r="K253" s="2" t="n">
        <x:f>I253-J253</x:f>
        <x:v>9</x:v>
      </x:c>
      <x:c r="L253" s="16" t="n">
        <x:v>18</x:v>
      </x:c>
      <x:c r="M253" s="16" t="n">
        <x:v>18</x:v>
      </x:c>
      <x:c r="N253" s="16" t="n">
        <x:v>7.83</x:v>
      </x:c>
      <x:c r="O253" s="16" t="n">
        <x:f>K253*M253</x:f>
        <x:v>162</x:v>
      </x:c>
      <x:c r="P253" s="16" t="n">
        <x:f>K253*N253</x:f>
        <x:v>70.47</x:v>
      </x:c>
      <x:c r="Q253" s="16" t="n">
        <x:f>O253-P253</x:f>
        <x:v>91.53</x:v>
      </x:c>
      <x:c r="R253" s="2" t="n">
        <x:v>104</x:v>
      </x:c>
      <x:c r="S253" s="2" t="n">
        <x:v>0</x:v>
      </x:c>
      <x:c r="T253" s="2" t="n">
        <x:f>R253+S253+J253-I253</x:f>
        <x:v>95</x:v>
      </x:c>
      <x:c r="U253" s="2" t="n">
        <x:v>0</x:v>
      </x:c>
      <x:c r="V253" s="2" t="n">
        <x:v>2</x:v>
      </x:c>
      <x:c r="W253" s="2" t="n">
        <x:v>8</x:v>
      </x:c>
      <x:c r="X253" s="14" t="b">
        <x:v>0</x:v>
      </x:c>
      <x:c r="Y253" s="14" t="b">
        <x:v>0</x:v>
      </x:c>
      <x:c r="Z253" s="2" t="n">
        <x:f>ABS(T253-AA253)</x:f>
        <x:v>0</x:v>
      </x:c>
      <x:c r="AA253" s="2" t="n">
        <x:v>95</x:v>
      </x:c>
      <x:c r="AB253" s="2" t="n">
        <x:f>ABS(K253-W253)</x:f>
        <x:v>1</x:v>
      </x:c>
      <x:c r="AC253" s="2" t="n">
        <x:f>COUNTIF($A$2:$A$1921,A253)-1</x:f>
        <x:v>0</x:v>
      </x:c>
      <x:c r="AD253" s="2" t="n">
        <x:f>IF(AND(D253=D252,H253=H252,C253=C252+1),ABS(R253-T252),0)</x:f>
        <x:v>0</x:v>
      </x:c>
    </x:row>
    <x:row r="254" ht="23" customHeight="1">
      <x:c r="A254" s="2" t="str">
        <x:v>DEMO-104-0-13</x:v>
      </x:c>
      <x:c r="B254" s="15" t="d">
        <x:v>2026-07-27T00:00:00.000Z</x:v>
      </x:c>
      <x:c r="C254" s="2" t="n">
        <x:v>13</x:v>
      </x:c>
      <x:c r="D254" s="2" t="str">
        <x:v>DEMO-104</x:v>
      </x:c>
      <x:c r="E254" s="2" t="str">
        <x:v>Studio Planner</x:v>
      </x:c>
      <x:c r="F254" s="2" t="str">
        <x:v>Stationery</x:v>
      </x:c>
      <x:c r="G254" s="2" t="str">
        <x:v>Stores</x:v>
      </x:c>
      <x:c r="H254" s="2" t="str">
        <x:v>North Arcade</x:v>
      </x:c>
      <x:c r="I254" s="2" t="n">
        <x:v>7</x:v>
      </x:c>
      <x:c r="J254" s="2" t="n">
        <x:v>0</x:v>
      </x:c>
      <x:c r="K254" s="2" t="n">
        <x:f>I254-J254</x:f>
        <x:v>7</x:v>
      </x:c>
      <x:c r="L254" s="16" t="n">
        <x:v>18</x:v>
      </x:c>
      <x:c r="M254" s="16" t="n">
        <x:v>18</x:v>
      </x:c>
      <x:c r="N254" s="16" t="n">
        <x:v>7.83</x:v>
      </x:c>
      <x:c r="O254" s="16" t="n">
        <x:f>K254*M254</x:f>
        <x:v>126</x:v>
      </x:c>
      <x:c r="P254" s="16" t="n">
        <x:f>K254*N254</x:f>
        <x:v>54.81</x:v>
      </x:c>
      <x:c r="Q254" s="16" t="n">
        <x:f>O254-P254</x:f>
        <x:v>71.19</x:v>
      </x:c>
      <x:c r="R254" s="2" t="n">
        <x:v>95</x:v>
      </x:c>
      <x:c r="S254" s="2" t="n">
        <x:v>34</x:v>
      </x:c>
      <x:c r="T254" s="2" t="n">
        <x:f>R254+S254+J254-I254</x:f>
        <x:v>122</x:v>
      </x:c>
      <x:c r="U254" s="2" t="n">
        <x:v>0</x:v>
      </x:c>
      <x:c r="V254" s="2" t="n">
        <x:v>2</x:v>
      </x:c>
      <x:c r="W254" s="2" t="n">
        <x:v>8</x:v>
      </x:c>
      <x:c r="X254" s="14" t="b">
        <x:v>0</x:v>
      </x:c>
      <x:c r="Y254" s="14" t="b">
        <x:v>0</x:v>
      </x:c>
      <x:c r="Z254" s="2" t="n">
        <x:f>ABS(T254-AA254)</x:f>
        <x:v>0</x:v>
      </x:c>
      <x:c r="AA254" s="2" t="n">
        <x:v>122</x:v>
      </x:c>
      <x:c r="AB254" s="2" t="n">
        <x:f>ABS(K254-W254)</x:f>
        <x:v>1</x:v>
      </x:c>
      <x:c r="AC254" s="2" t="n">
        <x:f>COUNTIF($A$2:$A$1921,A254)-1</x:f>
        <x:v>0</x:v>
      </x:c>
      <x:c r="AD254" s="2" t="n">
        <x:f>IF(AND(D254=D253,H254=H253,C254=C253+1),ABS(R254-T253),0)</x:f>
        <x:v>0</x:v>
      </x:c>
    </x:row>
    <x:row r="255" ht="23" customHeight="1">
      <x:c r="A255" s="2" t="str">
        <x:v>DEMO-104-0-14</x:v>
      </x:c>
      <x:c r="B255" s="15" t="d">
        <x:v>2026-08-03T00:00:00.000Z</x:v>
      </x:c>
      <x:c r="C255" s="2" t="n">
        <x:v>14</x:v>
      </x:c>
      <x:c r="D255" s="2" t="str">
        <x:v>DEMO-104</x:v>
      </x:c>
      <x:c r="E255" s="2" t="str">
        <x:v>Studio Planner</x:v>
      </x:c>
      <x:c r="F255" s="2" t="str">
        <x:v>Stationery</x:v>
      </x:c>
      <x:c r="G255" s="2" t="str">
        <x:v>Stores</x:v>
      </x:c>
      <x:c r="H255" s="2" t="str">
        <x:v>North Arcade</x:v>
      </x:c>
      <x:c r="I255" s="2" t="n">
        <x:v>9</x:v>
      </x:c>
      <x:c r="J255" s="2" t="n">
        <x:v>0</x:v>
      </x:c>
      <x:c r="K255" s="2" t="n">
        <x:f>I255-J255</x:f>
        <x:v>9</x:v>
      </x:c>
      <x:c r="L255" s="16" t="n">
        <x:v>18</x:v>
      </x:c>
      <x:c r="M255" s="16" t="n">
        <x:v>18</x:v>
      </x:c>
      <x:c r="N255" s="16" t="n">
        <x:v>7.83</x:v>
      </x:c>
      <x:c r="O255" s="16" t="n">
        <x:f>K255*M255</x:f>
        <x:v>162</x:v>
      </x:c>
      <x:c r="P255" s="16" t="n">
        <x:f>K255*N255</x:f>
        <x:v>70.47</x:v>
      </x:c>
      <x:c r="Q255" s="16" t="n">
        <x:f>O255-P255</x:f>
        <x:v>91.53</x:v>
      </x:c>
      <x:c r="R255" s="2" t="n">
        <x:v>122</x:v>
      </x:c>
      <x:c r="S255" s="2" t="n">
        <x:v>0</x:v>
      </x:c>
      <x:c r="T255" s="2" t="n">
        <x:f>R255+S255+J255-I255</x:f>
        <x:v>113</x:v>
      </x:c>
      <x:c r="U255" s="2" t="n">
        <x:v>0</x:v>
      </x:c>
      <x:c r="V255" s="2" t="n">
        <x:v>2</x:v>
      </x:c>
      <x:c r="W255" s="2" t="n">
        <x:v>8</x:v>
      </x:c>
      <x:c r="X255" s="14" t="b">
        <x:v>0</x:v>
      </x:c>
      <x:c r="Y255" s="14" t="b">
        <x:v>0</x:v>
      </x:c>
      <x:c r="Z255" s="2" t="n">
        <x:f>ABS(T255-AA255)</x:f>
        <x:v>0</x:v>
      </x:c>
      <x:c r="AA255" s="2" t="n">
        <x:v>113</x:v>
      </x:c>
      <x:c r="AB255" s="2" t="n">
        <x:f>ABS(K255-W255)</x:f>
        <x:v>1</x:v>
      </x:c>
      <x:c r="AC255" s="2" t="n">
        <x:f>COUNTIF($A$2:$A$1921,A255)-1</x:f>
        <x:v>0</x:v>
      </x:c>
      <x:c r="AD255" s="2" t="n">
        <x:f>IF(AND(D255=D254,H255=H254,C255=C254+1),ABS(R255-T254),0)</x:f>
        <x:v>0</x:v>
      </x:c>
    </x:row>
    <x:row r="256" ht="23" customHeight="1">
      <x:c r="A256" s="2" t="str">
        <x:v>DEMO-104-0-15</x:v>
      </x:c>
      <x:c r="B256" s="15" t="d">
        <x:v>2026-08-10T00:00:00.000Z</x:v>
      </x:c>
      <x:c r="C256" s="2" t="n">
        <x:v>15</x:v>
      </x:c>
      <x:c r="D256" s="2" t="str">
        <x:v>DEMO-104</x:v>
      </x:c>
      <x:c r="E256" s="2" t="str">
        <x:v>Studio Planner</x:v>
      </x:c>
      <x:c r="F256" s="2" t="str">
        <x:v>Stationery</x:v>
      </x:c>
      <x:c r="G256" s="2" t="str">
        <x:v>Stores</x:v>
      </x:c>
      <x:c r="H256" s="2" t="str">
        <x:v>North Arcade</x:v>
      </x:c>
      <x:c r="I256" s="2" t="n">
        <x:v>7</x:v>
      </x:c>
      <x:c r="J256" s="2" t="n">
        <x:v>1</x:v>
      </x:c>
      <x:c r="K256" s="2" t="n">
        <x:f>I256-J256</x:f>
        <x:v>6</x:v>
      </x:c>
      <x:c r="L256" s="16" t="n">
        <x:v>18</x:v>
      </x:c>
      <x:c r="M256" s="16" t="n">
        <x:v>18</x:v>
      </x:c>
      <x:c r="N256" s="16" t="n">
        <x:v>7.83</x:v>
      </x:c>
      <x:c r="O256" s="16" t="n">
        <x:f>K256*M256</x:f>
        <x:v>108</x:v>
      </x:c>
      <x:c r="P256" s="16" t="n">
        <x:f>K256*N256</x:f>
        <x:v>46.980000000000004</x:v>
      </x:c>
      <x:c r="Q256" s="16" t="n">
        <x:f>O256-P256</x:f>
        <x:v>61.019999999999996</x:v>
      </x:c>
      <x:c r="R256" s="2" t="n">
        <x:v>113</x:v>
      </x:c>
      <x:c r="S256" s="2" t="n">
        <x:v>0</x:v>
      </x:c>
      <x:c r="T256" s="2" t="n">
        <x:f>R256+S256+J256-I256</x:f>
        <x:v>107</x:v>
      </x:c>
      <x:c r="U256" s="2" t="n">
        <x:v>0</x:v>
      </x:c>
      <x:c r="V256" s="2" t="n">
        <x:v>2</x:v>
      </x:c>
      <x:c r="W256" s="2" t="n">
        <x:v>9</x:v>
      </x:c>
      <x:c r="X256" s="14" t="b">
        <x:v>0</x:v>
      </x:c>
      <x:c r="Y256" s="14" t="b">
        <x:v>0</x:v>
      </x:c>
      <x:c r="Z256" s="2" t="n">
        <x:f>ABS(T256-AA256)</x:f>
        <x:v>0</x:v>
      </x:c>
      <x:c r="AA256" s="2" t="n">
        <x:v>107</x:v>
      </x:c>
      <x:c r="AB256" s="2" t="n">
        <x:f>ABS(K256-W256)</x:f>
        <x:v>3</x:v>
      </x:c>
      <x:c r="AC256" s="2" t="n">
        <x:f>COUNTIF($A$2:$A$1921,A256)-1</x:f>
        <x:v>0</x:v>
      </x:c>
      <x:c r="AD256" s="2" t="n">
        <x:f>IF(AND(D256=D255,H256=H255,C256=C255+1),ABS(R256-T255),0)</x:f>
        <x:v>0</x:v>
      </x:c>
    </x:row>
    <x:row r="257" ht="23" customHeight="1">
      <x:c r="A257" s="2" t="str">
        <x:v>DEMO-104-0-16</x:v>
      </x:c>
      <x:c r="B257" s="15" t="d">
        <x:v>2026-08-17T00:00:00.000Z</x:v>
      </x:c>
      <x:c r="C257" s="2" t="n">
        <x:v>16</x:v>
      </x:c>
      <x:c r="D257" s="2" t="str">
        <x:v>DEMO-104</x:v>
      </x:c>
      <x:c r="E257" s="2" t="str">
        <x:v>Studio Planner</x:v>
      </x:c>
      <x:c r="F257" s="2" t="str">
        <x:v>Stationery</x:v>
      </x:c>
      <x:c r="G257" s="2" t="str">
        <x:v>Stores</x:v>
      </x:c>
      <x:c r="H257" s="2" t="str">
        <x:v>North Arcade</x:v>
      </x:c>
      <x:c r="I257" s="2" t="n">
        <x:v>8</x:v>
      </x:c>
      <x:c r="J257" s="2" t="n">
        <x:v>0</x:v>
      </x:c>
      <x:c r="K257" s="2" t="n">
        <x:f>I257-J257</x:f>
        <x:v>8</x:v>
      </x:c>
      <x:c r="L257" s="16" t="n">
        <x:v>18</x:v>
      </x:c>
      <x:c r="M257" s="16" t="n">
        <x:v>18</x:v>
      </x:c>
      <x:c r="N257" s="16" t="n">
        <x:v>7.83</x:v>
      </x:c>
      <x:c r="O257" s="16" t="n">
        <x:f>K257*M257</x:f>
        <x:v>144</x:v>
      </x:c>
      <x:c r="P257" s="16" t="n">
        <x:f>K257*N257</x:f>
        <x:v>62.64</x:v>
      </x:c>
      <x:c r="Q257" s="16" t="n">
        <x:f>O257-P257</x:f>
        <x:v>81.36</x:v>
      </x:c>
      <x:c r="R257" s="2" t="n">
        <x:v>107</x:v>
      </x:c>
      <x:c r="S257" s="2" t="n">
        <x:v>0</x:v>
      </x:c>
      <x:c r="T257" s="2" t="n">
        <x:f>R257+S257+J257-I257</x:f>
        <x:v>99</x:v>
      </x:c>
      <x:c r="U257" s="2" t="n">
        <x:v>0</x:v>
      </x:c>
      <x:c r="V257" s="2" t="n">
        <x:v>2</x:v>
      </x:c>
      <x:c r="W257" s="2" t="n">
        <x:v>8</x:v>
      </x:c>
      <x:c r="X257" s="14" t="b">
        <x:v>0</x:v>
      </x:c>
      <x:c r="Y257" s="14" t="b">
        <x:v>0</x:v>
      </x:c>
      <x:c r="Z257" s="2" t="n">
        <x:f>ABS(T257-AA257)</x:f>
        <x:v>0</x:v>
      </x:c>
      <x:c r="AA257" s="2" t="n">
        <x:v>99</x:v>
      </x:c>
      <x:c r="AB257" s="2" t="n">
        <x:f>ABS(K257-W257)</x:f>
        <x:v>0</x:v>
      </x:c>
      <x:c r="AC257" s="2" t="n">
        <x:f>COUNTIF($A$2:$A$1921,A257)-1</x:f>
        <x:v>0</x:v>
      </x:c>
      <x:c r="AD257" s="2" t="n">
        <x:f>IF(AND(D257=D256,H257=H256,C257=C256+1),ABS(R257-T256),0)</x:f>
        <x:v>0</x:v>
      </x:c>
    </x:row>
    <x:row r="258" ht="23" customHeight="1">
      <x:c r="A258" s="2" t="str">
        <x:v>DEMO-104-0-17</x:v>
      </x:c>
      <x:c r="B258" s="15" t="d">
        <x:v>2026-08-24T00:00:00.000Z</x:v>
      </x:c>
      <x:c r="C258" s="2" t="n">
        <x:v>17</x:v>
      </x:c>
      <x:c r="D258" s="2" t="str">
        <x:v>DEMO-104</x:v>
      </x:c>
      <x:c r="E258" s="2" t="str">
        <x:v>Studio Planner</x:v>
      </x:c>
      <x:c r="F258" s="2" t="str">
        <x:v>Stationery</x:v>
      </x:c>
      <x:c r="G258" s="2" t="str">
        <x:v>Stores</x:v>
      </x:c>
      <x:c r="H258" s="2" t="str">
        <x:v>North Arcade</x:v>
      </x:c>
      <x:c r="I258" s="2" t="n">
        <x:v>9</x:v>
      </x:c>
      <x:c r="J258" s="2" t="n">
        <x:v>0</x:v>
      </x:c>
      <x:c r="K258" s="2" t="n">
        <x:f>I258-J258</x:f>
        <x:v>9</x:v>
      </x:c>
      <x:c r="L258" s="16" t="n">
        <x:v>18</x:v>
      </x:c>
      <x:c r="M258" s="16" t="n">
        <x:v>18</x:v>
      </x:c>
      <x:c r="N258" s="16" t="n">
        <x:v>7.83</x:v>
      </x:c>
      <x:c r="O258" s="16" t="n">
        <x:f>K258*M258</x:f>
        <x:v>162</x:v>
      </x:c>
      <x:c r="P258" s="16" t="n">
        <x:f>K258*N258</x:f>
        <x:v>70.47</x:v>
      </x:c>
      <x:c r="Q258" s="16" t="n">
        <x:f>O258-P258</x:f>
        <x:v>91.53</x:v>
      </x:c>
      <x:c r="R258" s="2" t="n">
        <x:v>99</x:v>
      </x:c>
      <x:c r="S258" s="2" t="n">
        <x:v>34</x:v>
      </x:c>
      <x:c r="T258" s="2" t="n">
        <x:f>R258+S258+J258-I258</x:f>
        <x:v>124</x:v>
      </x:c>
      <x:c r="U258" s="2" t="n">
        <x:v>0</x:v>
      </x:c>
      <x:c r="V258" s="2" t="n">
        <x:v>2</x:v>
      </x:c>
      <x:c r="W258" s="2" t="n">
        <x:v>8</x:v>
      </x:c>
      <x:c r="X258" s="14" t="b">
        <x:v>0</x:v>
      </x:c>
      <x:c r="Y258" s="14" t="b">
        <x:v>0</x:v>
      </x:c>
      <x:c r="Z258" s="2" t="n">
        <x:f>ABS(T258-AA258)</x:f>
        <x:v>0</x:v>
      </x:c>
      <x:c r="AA258" s="2" t="n">
        <x:v>124</x:v>
      </x:c>
      <x:c r="AB258" s="2" t="n">
        <x:f>ABS(K258-W258)</x:f>
        <x:v>1</x:v>
      </x:c>
      <x:c r="AC258" s="2" t="n">
        <x:f>COUNTIF($A$2:$A$1921,A258)-1</x:f>
        <x:v>0</x:v>
      </x:c>
      <x:c r="AD258" s="2" t="n">
        <x:f>IF(AND(D258=D257,H258=H257,C258=C257+1),ABS(R258-T257),0)</x:f>
        <x:v>0</x:v>
      </x:c>
    </x:row>
    <x:row r="259" ht="23" customHeight="1">
      <x:c r="A259" s="2" t="str">
        <x:v>DEMO-104-0-18</x:v>
      </x:c>
      <x:c r="B259" s="15" t="d">
        <x:v>2026-08-31T00:00:00.000Z</x:v>
      </x:c>
      <x:c r="C259" s="2" t="n">
        <x:v>18</x:v>
      </x:c>
      <x:c r="D259" s="2" t="str">
        <x:v>DEMO-104</x:v>
      </x:c>
      <x:c r="E259" s="2" t="str">
        <x:v>Studio Planner</x:v>
      </x:c>
      <x:c r="F259" s="2" t="str">
        <x:v>Stationery</x:v>
      </x:c>
      <x:c r="G259" s="2" t="str">
        <x:v>Stores</x:v>
      </x:c>
      <x:c r="H259" s="2" t="str">
        <x:v>North Arcade</x:v>
      </x:c>
      <x:c r="I259" s="2" t="n">
        <x:v>8</x:v>
      </x:c>
      <x:c r="J259" s="2" t="n">
        <x:v>0</x:v>
      </x:c>
      <x:c r="K259" s="2" t="n">
        <x:f>I259-J259</x:f>
        <x:v>8</x:v>
      </x:c>
      <x:c r="L259" s="16" t="n">
        <x:v>18</x:v>
      </x:c>
      <x:c r="M259" s="16" t="n">
        <x:v>18</x:v>
      </x:c>
      <x:c r="N259" s="16" t="n">
        <x:v>7.83</x:v>
      </x:c>
      <x:c r="O259" s="16" t="n">
        <x:f>K259*M259</x:f>
        <x:v>144</x:v>
      </x:c>
      <x:c r="P259" s="16" t="n">
        <x:f>K259*N259</x:f>
        <x:v>62.64</x:v>
      </x:c>
      <x:c r="Q259" s="16" t="n">
        <x:f>O259-P259</x:f>
        <x:v>81.36</x:v>
      </x:c>
      <x:c r="R259" s="2" t="n">
        <x:v>124</x:v>
      </x:c>
      <x:c r="S259" s="2" t="n">
        <x:v>0</x:v>
      </x:c>
      <x:c r="T259" s="2" t="n">
        <x:f>R259+S259+J259-I259</x:f>
        <x:v>116</x:v>
      </x:c>
      <x:c r="U259" s="2" t="n">
        <x:v>0</x:v>
      </x:c>
      <x:c r="V259" s="2" t="n">
        <x:v>2</x:v>
      </x:c>
      <x:c r="W259" s="2" t="n">
        <x:v>8</x:v>
      </x:c>
      <x:c r="X259" s="14" t="b">
        <x:v>0</x:v>
      </x:c>
      <x:c r="Y259" s="14" t="b">
        <x:v>0</x:v>
      </x:c>
      <x:c r="Z259" s="2" t="n">
        <x:f>ABS(T259-AA259)</x:f>
        <x:v>0</x:v>
      </x:c>
      <x:c r="AA259" s="2" t="n">
        <x:v>116</x:v>
      </x:c>
      <x:c r="AB259" s="2" t="n">
        <x:f>ABS(K259-W259)</x:f>
        <x:v>0</x:v>
      </x:c>
      <x:c r="AC259" s="2" t="n">
        <x:f>COUNTIF($A$2:$A$1921,A259)-1</x:f>
        <x:v>0</x:v>
      </x:c>
      <x:c r="AD259" s="2" t="n">
        <x:f>IF(AND(D259=D258,H259=H258,C259=C258+1),ABS(R259-T258),0)</x:f>
        <x:v>0</x:v>
      </x:c>
    </x:row>
    <x:row r="260" ht="23" customHeight="1">
      <x:c r="A260" s="2" t="str">
        <x:v>DEMO-104-0-19</x:v>
      </x:c>
      <x:c r="B260" s="15" t="d">
        <x:v>2026-09-07T00:00:00.000Z</x:v>
      </x:c>
      <x:c r="C260" s="2" t="n">
        <x:v>19</x:v>
      </x:c>
      <x:c r="D260" s="2" t="str">
        <x:v>DEMO-104</x:v>
      </x:c>
      <x:c r="E260" s="2" t="str">
        <x:v>Studio Planner</x:v>
      </x:c>
      <x:c r="F260" s="2" t="str">
        <x:v>Stationery</x:v>
      </x:c>
      <x:c r="G260" s="2" t="str">
        <x:v>Stores</x:v>
      </x:c>
      <x:c r="H260" s="2" t="str">
        <x:v>North Arcade</x:v>
      </x:c>
      <x:c r="I260" s="2" t="n">
        <x:v>8</x:v>
      </x:c>
      <x:c r="J260" s="2" t="n">
        <x:v>0</x:v>
      </x:c>
      <x:c r="K260" s="2" t="n">
        <x:f>I260-J260</x:f>
        <x:v>8</x:v>
      </x:c>
      <x:c r="L260" s="16" t="n">
        <x:v>18</x:v>
      </x:c>
      <x:c r="M260" s="16" t="n">
        <x:v>18</x:v>
      </x:c>
      <x:c r="N260" s="16" t="n">
        <x:v>7.83</x:v>
      </x:c>
      <x:c r="O260" s="16" t="n">
        <x:f>K260*M260</x:f>
        <x:v>144</x:v>
      </x:c>
      <x:c r="P260" s="16" t="n">
        <x:f>K260*N260</x:f>
        <x:v>62.64</x:v>
      </x:c>
      <x:c r="Q260" s="16" t="n">
        <x:f>O260-P260</x:f>
        <x:v>81.36</x:v>
      </x:c>
      <x:c r="R260" s="2" t="n">
        <x:v>116</x:v>
      </x:c>
      <x:c r="S260" s="2" t="n">
        <x:v>0</x:v>
      </x:c>
      <x:c r="T260" s="2" t="n">
        <x:f>R260+S260+J260-I260</x:f>
        <x:v>108</x:v>
      </x:c>
      <x:c r="U260" s="2" t="n">
        <x:v>0</x:v>
      </x:c>
      <x:c r="V260" s="2" t="n">
        <x:v>2</x:v>
      </x:c>
      <x:c r="W260" s="2" t="n">
        <x:v>8</x:v>
      </x:c>
      <x:c r="X260" s="14" t="b">
        <x:v>0</x:v>
      </x:c>
      <x:c r="Y260" s="14" t="b">
        <x:v>0</x:v>
      </x:c>
      <x:c r="Z260" s="2" t="n">
        <x:f>ABS(T260-AA260)</x:f>
        <x:v>0</x:v>
      </x:c>
      <x:c r="AA260" s="2" t="n">
        <x:v>108</x:v>
      </x:c>
      <x:c r="AB260" s="2" t="n">
        <x:f>ABS(K260-W260)</x:f>
        <x:v>0</x:v>
      </x:c>
      <x:c r="AC260" s="2" t="n">
        <x:f>COUNTIF($A$2:$A$1921,A260)-1</x:f>
        <x:v>0</x:v>
      </x:c>
      <x:c r="AD260" s="2" t="n">
        <x:f>IF(AND(D260=D259,H260=H259,C260=C259+1),ABS(R260-T259),0)</x:f>
        <x:v>0</x:v>
      </x:c>
    </x:row>
    <x:row r="261" ht="23" customHeight="1">
      <x:c r="A261" s="2" t="str">
        <x:v>DEMO-104-0-20</x:v>
      </x:c>
      <x:c r="B261" s="15" t="d">
        <x:v>2026-09-14T00:00:00.000Z</x:v>
      </x:c>
      <x:c r="C261" s="2" t="n">
        <x:v>20</x:v>
      </x:c>
      <x:c r="D261" s="2" t="str">
        <x:v>DEMO-104</x:v>
      </x:c>
      <x:c r="E261" s="2" t="str">
        <x:v>Studio Planner</x:v>
      </x:c>
      <x:c r="F261" s="2" t="str">
        <x:v>Stationery</x:v>
      </x:c>
      <x:c r="G261" s="2" t="str">
        <x:v>Stores</x:v>
      </x:c>
      <x:c r="H261" s="2" t="str">
        <x:v>North Arcade</x:v>
      </x:c>
      <x:c r="I261" s="2" t="n">
        <x:v>7</x:v>
      </x:c>
      <x:c r="J261" s="2" t="n">
        <x:v>0</x:v>
      </x:c>
      <x:c r="K261" s="2" t="n">
        <x:f>I261-J261</x:f>
        <x:v>7</x:v>
      </x:c>
      <x:c r="L261" s="16" t="n">
        <x:v>18</x:v>
      </x:c>
      <x:c r="M261" s="16" t="n">
        <x:v>18</x:v>
      </x:c>
      <x:c r="N261" s="16" t="n">
        <x:v>7.83</x:v>
      </x:c>
      <x:c r="O261" s="16" t="n">
        <x:f>K261*M261</x:f>
        <x:v>126</x:v>
      </x:c>
      <x:c r="P261" s="16" t="n">
        <x:f>K261*N261</x:f>
        <x:v>54.81</x:v>
      </x:c>
      <x:c r="Q261" s="16" t="n">
        <x:f>O261-P261</x:f>
        <x:v>71.19</x:v>
      </x:c>
      <x:c r="R261" s="2" t="n">
        <x:v>108</x:v>
      </x:c>
      <x:c r="S261" s="2" t="n">
        <x:v>0</x:v>
      </x:c>
      <x:c r="T261" s="2" t="n">
        <x:f>R261+S261+J261-I261</x:f>
        <x:v>101</x:v>
      </x:c>
      <x:c r="U261" s="2" t="n">
        <x:v>18</x:v>
      </x:c>
      <x:c r="V261" s="2" t="n">
        <x:v>2</x:v>
      </x:c>
      <x:c r="W261" s="2" t="n">
        <x:v>8</x:v>
      </x:c>
      <x:c r="X261" s="14" t="b">
        <x:v>0</x:v>
      </x:c>
      <x:c r="Y261" s="14" t="b">
        <x:v>0</x:v>
      </x:c>
      <x:c r="Z261" s="2" t="n">
        <x:f>ABS(T261-AA261)</x:f>
        <x:v>0</x:v>
      </x:c>
      <x:c r="AA261" s="2" t="n">
        <x:v>101</x:v>
      </x:c>
      <x:c r="AB261" s="2" t="n">
        <x:f>ABS(K261-W261)</x:f>
        <x:v>1</x:v>
      </x:c>
      <x:c r="AC261" s="2" t="n">
        <x:f>COUNTIF($A$2:$A$1921,A261)-1</x:f>
        <x:v>0</x:v>
      </x:c>
      <x:c r="AD261" s="2" t="n">
        <x:f>IF(AND(D261=D260,H261=H260,C261=C260+1),ABS(R261-T260),0)</x:f>
        <x:v>0</x:v>
      </x:c>
    </x:row>
    <x:row r="262" ht="23" customHeight="1">
      <x:c r="A262" s="2" t="str">
        <x:v>DEMO-104-1-1</x:v>
      </x:c>
      <x:c r="B262" s="15" t="d">
        <x:v>2026-05-04T00:00:00.000Z</x:v>
      </x:c>
      <x:c r="C262" s="2" t="n">
        <x:v>1</x:v>
      </x:c>
      <x:c r="D262" s="2" t="str">
        <x:v>DEMO-104</x:v>
      </x:c>
      <x:c r="E262" s="2" t="str">
        <x:v>Studio Planner</x:v>
      </x:c>
      <x:c r="F262" s="2" t="str">
        <x:v>Stationery</x:v>
      </x:c>
      <x:c r="G262" s="2" t="str">
        <x:v>Stores</x:v>
      </x:c>
      <x:c r="H262" s="2" t="str">
        <x:v>Riverside</x:v>
      </x:c>
      <x:c r="I262" s="2" t="n">
        <x:v>8</x:v>
      </x:c>
      <x:c r="J262" s="2" t="n">
        <x:v>0</x:v>
      </x:c>
      <x:c r="K262" s="2" t="n">
        <x:f>I262-J262</x:f>
        <x:v>8</x:v>
      </x:c>
      <x:c r="L262" s="16" t="n">
        <x:v>18</x:v>
      </x:c>
      <x:c r="M262" s="16" t="n">
        <x:v>18</x:v>
      </x:c>
      <x:c r="N262" s="16" t="n">
        <x:v>7.83</x:v>
      </x:c>
      <x:c r="O262" s="16" t="n">
        <x:f>K262*M262</x:f>
        <x:v>144</x:v>
      </x:c>
      <x:c r="P262" s="16" t="n">
        <x:f>K262*N262</x:f>
        <x:v>62.64</x:v>
      </x:c>
      <x:c r="Q262" s="16" t="n">
        <x:f>O262-P262</x:f>
        <x:v>81.36</x:v>
      </x:c>
      <x:c r="R262" s="2" t="n">
        <x:v>90</x:v>
      </x:c>
      <x:c r="S262" s="2" t="n">
        <x:v>34</x:v>
      </x:c>
      <x:c r="T262" s="2" t="n">
        <x:f>R262+S262+J262-I262</x:f>
        <x:v>116</x:v>
      </x:c>
      <x:c r="U262" s="2" t="n">
        <x:v>0</x:v>
      </x:c>
      <x:c r="V262" s="2" t="n">
        <x:v>2</x:v>
      </x:c>
      <x:c r="W262" s="2" t="n">
        <x:v>8</x:v>
      </x:c>
      <x:c r="X262" s="14" t="b">
        <x:v>0</x:v>
      </x:c>
      <x:c r="Y262" s="14" t="b">
        <x:v>0</x:v>
      </x:c>
      <x:c r="Z262" s="2" t="n">
        <x:f>ABS(T262-AA262)</x:f>
        <x:v>0</x:v>
      </x:c>
      <x:c r="AA262" s="2" t="n">
        <x:v>116</x:v>
      </x:c>
      <x:c r="AB262" s="2" t="n">
        <x:f>ABS(K262-W262)</x:f>
        <x:v>0</x:v>
      </x:c>
      <x:c r="AC262" s="2" t="n">
        <x:f>COUNTIF($A$2:$A$1921,A262)-1</x:f>
        <x:v>0</x:v>
      </x:c>
      <x:c r="AD262" s="2" t="n">
        <x:f>IF(AND(D262=D261,H262=H261,C262=C261+1),ABS(R262-T261),0)</x:f>
        <x:v>0</x:v>
      </x:c>
    </x:row>
    <x:row r="263" ht="23" customHeight="1">
      <x:c r="A263" s="2" t="str">
        <x:v>DEMO-104-1-2</x:v>
      </x:c>
      <x:c r="B263" s="15" t="d">
        <x:v>2026-05-11T00:00:00.000Z</x:v>
      </x:c>
      <x:c r="C263" s="2" t="n">
        <x:v>2</x:v>
      </x:c>
      <x:c r="D263" s="2" t="str">
        <x:v>DEMO-104</x:v>
      </x:c>
      <x:c r="E263" s="2" t="str">
        <x:v>Studio Planner</x:v>
      </x:c>
      <x:c r="F263" s="2" t="str">
        <x:v>Stationery</x:v>
      </x:c>
      <x:c r="G263" s="2" t="str">
        <x:v>Stores</x:v>
      </x:c>
      <x:c r="H263" s="2" t="str">
        <x:v>Riverside</x:v>
      </x:c>
      <x:c r="I263" s="2" t="n">
        <x:v>9</x:v>
      </x:c>
      <x:c r="J263" s="2" t="n">
        <x:v>0</x:v>
      </x:c>
      <x:c r="K263" s="2" t="n">
        <x:f>I263-J263</x:f>
        <x:v>9</x:v>
      </x:c>
      <x:c r="L263" s="16" t="n">
        <x:v>18</x:v>
      </x:c>
      <x:c r="M263" s="16" t="n">
        <x:v>18</x:v>
      </x:c>
      <x:c r="N263" s="16" t="n">
        <x:v>7.83</x:v>
      </x:c>
      <x:c r="O263" s="16" t="n">
        <x:f>K263*M263</x:f>
        <x:v>162</x:v>
      </x:c>
      <x:c r="P263" s="16" t="n">
        <x:f>K263*N263</x:f>
        <x:v>70.47</x:v>
      </x:c>
      <x:c r="Q263" s="16" t="n">
        <x:f>O263-P263</x:f>
        <x:v>91.53</x:v>
      </x:c>
      <x:c r="R263" s="2" t="n">
        <x:v>116</x:v>
      </x:c>
      <x:c r="S263" s="2" t="n">
        <x:v>0</x:v>
      </x:c>
      <x:c r="T263" s="2" t="n">
        <x:f>R263+S263+J263-I263</x:f>
        <x:v>107</x:v>
      </x:c>
      <x:c r="U263" s="2" t="n">
        <x:v>0</x:v>
      </x:c>
      <x:c r="V263" s="2" t="n">
        <x:v>2</x:v>
      </x:c>
      <x:c r="W263" s="2" t="n">
        <x:v>8</x:v>
      </x:c>
      <x:c r="X263" s="14" t="b">
        <x:v>0</x:v>
      </x:c>
      <x:c r="Y263" s="14" t="b">
        <x:v>0</x:v>
      </x:c>
      <x:c r="Z263" s="2" t="n">
        <x:f>ABS(T263-AA263)</x:f>
        <x:v>0</x:v>
      </x:c>
      <x:c r="AA263" s="2" t="n">
        <x:v>107</x:v>
      </x:c>
      <x:c r="AB263" s="2" t="n">
        <x:f>ABS(K263-W263)</x:f>
        <x:v>1</x:v>
      </x:c>
      <x:c r="AC263" s="2" t="n">
        <x:f>COUNTIF($A$2:$A$1921,A263)-1</x:f>
        <x:v>0</x:v>
      </x:c>
      <x:c r="AD263" s="2" t="n">
        <x:f>IF(AND(D263=D262,H263=H262,C263=C262+1),ABS(R263-T262),0)</x:f>
        <x:v>0</x:v>
      </x:c>
    </x:row>
    <x:row r="264" ht="23" customHeight="1">
      <x:c r="A264" s="2" t="str">
        <x:v>DEMO-104-1-3</x:v>
      </x:c>
      <x:c r="B264" s="15" t="d">
        <x:v>2026-05-18T00:00:00.000Z</x:v>
      </x:c>
      <x:c r="C264" s="2" t="n">
        <x:v>3</x:v>
      </x:c>
      <x:c r="D264" s="2" t="str">
        <x:v>DEMO-104</x:v>
      </x:c>
      <x:c r="E264" s="2" t="str">
        <x:v>Studio Planner</x:v>
      </x:c>
      <x:c r="F264" s="2" t="str">
        <x:v>Stationery</x:v>
      </x:c>
      <x:c r="G264" s="2" t="str">
        <x:v>Stores</x:v>
      </x:c>
      <x:c r="H264" s="2" t="str">
        <x:v>Riverside</x:v>
      </x:c>
      <x:c r="I264" s="2" t="n">
        <x:v>8</x:v>
      </x:c>
      <x:c r="J264" s="2" t="n">
        <x:v>0</x:v>
      </x:c>
      <x:c r="K264" s="2" t="n">
        <x:f>I264-J264</x:f>
        <x:v>8</x:v>
      </x:c>
      <x:c r="L264" s="16" t="n">
        <x:v>18</x:v>
      </x:c>
      <x:c r="M264" s="16" t="n">
        <x:v>18</x:v>
      </x:c>
      <x:c r="N264" s="16" t="n">
        <x:v>7.83</x:v>
      </x:c>
      <x:c r="O264" s="16" t="n">
        <x:f>K264*M264</x:f>
        <x:v>144</x:v>
      </x:c>
      <x:c r="P264" s="16" t="n">
        <x:f>K264*N264</x:f>
        <x:v>62.64</x:v>
      </x:c>
      <x:c r="Q264" s="16" t="n">
        <x:f>O264-P264</x:f>
        <x:v>81.36</x:v>
      </x:c>
      <x:c r="R264" s="2" t="n">
        <x:v>107</x:v>
      </x:c>
      <x:c r="S264" s="2" t="n">
        <x:v>0</x:v>
      </x:c>
      <x:c r="T264" s="2" t="n">
        <x:f>R264+S264+J264-I264</x:f>
        <x:v>99</x:v>
      </x:c>
      <x:c r="U264" s="2" t="n">
        <x:v>0</x:v>
      </x:c>
      <x:c r="V264" s="2" t="n">
        <x:v>2</x:v>
      </x:c>
      <x:c r="W264" s="2" t="n">
        <x:v>9</x:v>
      </x:c>
      <x:c r="X264" s="14" t="b">
        <x:v>0</x:v>
      </x:c>
      <x:c r="Y264" s="14" t="b">
        <x:v>0</x:v>
      </x:c>
      <x:c r="Z264" s="2" t="n">
        <x:f>ABS(T264-AA264)</x:f>
        <x:v>0</x:v>
      </x:c>
      <x:c r="AA264" s="2" t="n">
        <x:v>99</x:v>
      </x:c>
      <x:c r="AB264" s="2" t="n">
        <x:f>ABS(K264-W264)</x:f>
        <x:v>1</x:v>
      </x:c>
      <x:c r="AC264" s="2" t="n">
        <x:f>COUNTIF($A$2:$A$1921,A264)-1</x:f>
        <x:v>0</x:v>
      </x:c>
      <x:c r="AD264" s="2" t="n">
        <x:f>IF(AND(D264=D263,H264=H263,C264=C263+1),ABS(R264-T263),0)</x:f>
        <x:v>0</x:v>
      </x:c>
    </x:row>
    <x:row r="265" ht="23" customHeight="1">
      <x:c r="A265" s="2" t="str">
        <x:v>DEMO-104-1-4</x:v>
      </x:c>
      <x:c r="B265" s="15" t="d">
        <x:v>2026-05-25T00:00:00.000Z</x:v>
      </x:c>
      <x:c r="C265" s="2" t="n">
        <x:v>4</x:v>
      </x:c>
      <x:c r="D265" s="2" t="str">
        <x:v>DEMO-104</x:v>
      </x:c>
      <x:c r="E265" s="2" t="str">
        <x:v>Studio Planner</x:v>
      </x:c>
      <x:c r="F265" s="2" t="str">
        <x:v>Stationery</x:v>
      </x:c>
      <x:c r="G265" s="2" t="str">
        <x:v>Stores</x:v>
      </x:c>
      <x:c r="H265" s="2" t="str">
        <x:v>Riverside</x:v>
      </x:c>
      <x:c r="I265" s="2" t="n">
        <x:v>9</x:v>
      </x:c>
      <x:c r="J265" s="2" t="n">
        <x:v>1</x:v>
      </x:c>
      <x:c r="K265" s="2" t="n">
        <x:f>I265-J265</x:f>
        <x:v>8</x:v>
      </x:c>
      <x:c r="L265" s="16" t="n">
        <x:v>18</x:v>
      </x:c>
      <x:c r="M265" s="16" t="n">
        <x:v>18</x:v>
      </x:c>
      <x:c r="N265" s="16" t="n">
        <x:v>7.83</x:v>
      </x:c>
      <x:c r="O265" s="16" t="n">
        <x:f>K265*M265</x:f>
        <x:v>144</x:v>
      </x:c>
      <x:c r="P265" s="16" t="n">
        <x:f>K265*N265</x:f>
        <x:v>62.64</x:v>
      </x:c>
      <x:c r="Q265" s="16" t="n">
        <x:f>O265-P265</x:f>
        <x:v>81.36</x:v>
      </x:c>
      <x:c r="R265" s="2" t="n">
        <x:v>99</x:v>
      </x:c>
      <x:c r="S265" s="2" t="n">
        <x:v>0</x:v>
      </x:c>
      <x:c r="T265" s="2" t="n">
        <x:f>R265+S265+J265-I265</x:f>
        <x:v>91</x:v>
      </x:c>
      <x:c r="U265" s="2" t="n">
        <x:v>0</x:v>
      </x:c>
      <x:c r="V265" s="2" t="n">
        <x:v>2</x:v>
      </x:c>
      <x:c r="W265" s="2" t="n">
        <x:v>8</x:v>
      </x:c>
      <x:c r="X265" s="14" t="b">
        <x:v>0</x:v>
      </x:c>
      <x:c r="Y265" s="14" t="b">
        <x:v>0</x:v>
      </x:c>
      <x:c r="Z265" s="2" t="n">
        <x:f>ABS(T265-AA265)</x:f>
        <x:v>0</x:v>
      </x:c>
      <x:c r="AA265" s="2" t="n">
        <x:v>91</x:v>
      </x:c>
      <x:c r="AB265" s="2" t="n">
        <x:f>ABS(K265-W265)</x:f>
        <x:v>0</x:v>
      </x:c>
      <x:c r="AC265" s="2" t="n">
        <x:f>COUNTIF($A$2:$A$1921,A265)-1</x:f>
        <x:v>0</x:v>
      </x:c>
      <x:c r="AD265" s="2" t="n">
        <x:f>IF(AND(D265=D264,H265=H264,C265=C264+1),ABS(R265-T264),0)</x:f>
        <x:v>0</x:v>
      </x:c>
    </x:row>
    <x:row r="266" ht="23" customHeight="1">
      <x:c r="A266" s="2" t="str">
        <x:v>DEMO-104-1-5</x:v>
      </x:c>
      <x:c r="B266" s="15" t="d">
        <x:v>2026-06-01T00:00:00.000Z</x:v>
      </x:c>
      <x:c r="C266" s="2" t="n">
        <x:v>5</x:v>
      </x:c>
      <x:c r="D266" s="2" t="str">
        <x:v>DEMO-104</x:v>
      </x:c>
      <x:c r="E266" s="2" t="str">
        <x:v>Studio Planner</x:v>
      </x:c>
      <x:c r="F266" s="2" t="str">
        <x:v>Stationery</x:v>
      </x:c>
      <x:c r="G266" s="2" t="str">
        <x:v>Stores</x:v>
      </x:c>
      <x:c r="H266" s="2" t="str">
        <x:v>Riverside</x:v>
      </x:c>
      <x:c r="I266" s="2" t="n">
        <x:v>9</x:v>
      </x:c>
      <x:c r="J266" s="2" t="n">
        <x:v>0</x:v>
      </x:c>
      <x:c r="K266" s="2" t="n">
        <x:f>I266-J266</x:f>
        <x:v>9</x:v>
      </x:c>
      <x:c r="L266" s="16" t="n">
        <x:v>18</x:v>
      </x:c>
      <x:c r="M266" s="16" t="n">
        <x:v>18</x:v>
      </x:c>
      <x:c r="N266" s="16" t="n">
        <x:v>7.83</x:v>
      </x:c>
      <x:c r="O266" s="16" t="n">
        <x:f>K266*M266</x:f>
        <x:v>162</x:v>
      </x:c>
      <x:c r="P266" s="16" t="n">
        <x:f>K266*N266</x:f>
        <x:v>70.47</x:v>
      </x:c>
      <x:c r="Q266" s="16" t="n">
        <x:f>O266-P266</x:f>
        <x:v>91.53</x:v>
      </x:c>
      <x:c r="R266" s="2" t="n">
        <x:v>91</x:v>
      </x:c>
      <x:c r="S266" s="2" t="n">
        <x:v>34</x:v>
      </x:c>
      <x:c r="T266" s="2" t="n">
        <x:f>R266+S266+J266-I266</x:f>
        <x:v>116</x:v>
      </x:c>
      <x:c r="U266" s="2" t="n">
        <x:v>0</x:v>
      </x:c>
      <x:c r="V266" s="2" t="n">
        <x:v>2</x:v>
      </x:c>
      <x:c r="W266" s="2" t="n">
        <x:v>8</x:v>
      </x:c>
      <x:c r="X266" s="14" t="b">
        <x:v>0</x:v>
      </x:c>
      <x:c r="Y266" s="14" t="b">
        <x:v>0</x:v>
      </x:c>
      <x:c r="Z266" s="2" t="n">
        <x:f>ABS(T266-AA266)</x:f>
        <x:v>0</x:v>
      </x:c>
      <x:c r="AA266" s="2" t="n">
        <x:v>116</x:v>
      </x:c>
      <x:c r="AB266" s="2" t="n">
        <x:f>ABS(K266-W266)</x:f>
        <x:v>1</x:v>
      </x:c>
      <x:c r="AC266" s="2" t="n">
        <x:f>COUNTIF($A$2:$A$1921,A266)-1</x:f>
        <x:v>0</x:v>
      </x:c>
      <x:c r="AD266" s="2" t="n">
        <x:f>IF(AND(D266=D265,H266=H265,C266=C265+1),ABS(R266-T265),0)</x:f>
        <x:v>0</x:v>
      </x:c>
    </x:row>
    <x:row r="267" ht="23" customHeight="1">
      <x:c r="A267" s="2" t="str">
        <x:v>DEMO-104-1-6</x:v>
      </x:c>
      <x:c r="B267" s="15" t="d">
        <x:v>2026-06-08T00:00:00.000Z</x:v>
      </x:c>
      <x:c r="C267" s="2" t="n">
        <x:v>6</x:v>
      </x:c>
      <x:c r="D267" s="2" t="str">
        <x:v>DEMO-104</x:v>
      </x:c>
      <x:c r="E267" s="2" t="str">
        <x:v>Studio Planner</x:v>
      </x:c>
      <x:c r="F267" s="2" t="str">
        <x:v>Stationery</x:v>
      </x:c>
      <x:c r="G267" s="2" t="str">
        <x:v>Stores</x:v>
      </x:c>
      <x:c r="H267" s="2" t="str">
        <x:v>Riverside</x:v>
      </x:c>
      <x:c r="I267" s="2" t="n">
        <x:v>9</x:v>
      </x:c>
      <x:c r="J267" s="2" t="n">
        <x:v>0</x:v>
      </x:c>
      <x:c r="K267" s="2" t="n">
        <x:f>I267-J267</x:f>
        <x:v>9</x:v>
      </x:c>
      <x:c r="L267" s="16" t="n">
        <x:v>18</x:v>
      </x:c>
      <x:c r="M267" s="16" t="n">
        <x:v>18</x:v>
      </x:c>
      <x:c r="N267" s="16" t="n">
        <x:v>7.83</x:v>
      </x:c>
      <x:c r="O267" s="16" t="n">
        <x:f>K267*M267</x:f>
        <x:v>162</x:v>
      </x:c>
      <x:c r="P267" s="16" t="n">
        <x:f>K267*N267</x:f>
        <x:v>70.47</x:v>
      </x:c>
      <x:c r="Q267" s="16" t="n">
        <x:f>O267-P267</x:f>
        <x:v>91.53</x:v>
      </x:c>
      <x:c r="R267" s="2" t="n">
        <x:v>116</x:v>
      </x:c>
      <x:c r="S267" s="2" t="n">
        <x:v>0</x:v>
      </x:c>
      <x:c r="T267" s="2" t="n">
        <x:f>R267+S267+J267-I267</x:f>
        <x:v>107</x:v>
      </x:c>
      <x:c r="U267" s="2" t="n">
        <x:v>0</x:v>
      </x:c>
      <x:c r="V267" s="2" t="n">
        <x:v>2</x:v>
      </x:c>
      <x:c r="W267" s="2" t="n">
        <x:v>9</x:v>
      </x:c>
      <x:c r="X267" s="14" t="b">
        <x:v>0</x:v>
      </x:c>
      <x:c r="Y267" s="14" t="b">
        <x:v>0</x:v>
      </x:c>
      <x:c r="Z267" s="2" t="n">
        <x:f>ABS(T267-AA267)</x:f>
        <x:v>0</x:v>
      </x:c>
      <x:c r="AA267" s="2" t="n">
        <x:v>107</x:v>
      </x:c>
      <x:c r="AB267" s="2" t="n">
        <x:f>ABS(K267-W267)</x:f>
        <x:v>0</x:v>
      </x:c>
      <x:c r="AC267" s="2" t="n">
        <x:f>COUNTIF($A$2:$A$1921,A267)-1</x:f>
        <x:v>0</x:v>
      </x:c>
      <x:c r="AD267" s="2" t="n">
        <x:f>IF(AND(D267=D266,H267=H266,C267=C266+1),ABS(R267-T266),0)</x:f>
        <x:v>0</x:v>
      </x:c>
    </x:row>
    <x:row r="268" ht="23" customHeight="1">
      <x:c r="A268" s="2" t="str">
        <x:v>DEMO-104-1-7</x:v>
      </x:c>
      <x:c r="B268" s="15" t="d">
        <x:v>2026-06-15T00:00:00.000Z</x:v>
      </x:c>
      <x:c r="C268" s="2" t="n">
        <x:v>7</x:v>
      </x:c>
      <x:c r="D268" s="2" t="str">
        <x:v>DEMO-104</x:v>
      </x:c>
      <x:c r="E268" s="2" t="str">
        <x:v>Studio Planner</x:v>
      </x:c>
      <x:c r="F268" s="2" t="str">
        <x:v>Stationery</x:v>
      </x:c>
      <x:c r="G268" s="2" t="str">
        <x:v>Stores</x:v>
      </x:c>
      <x:c r="H268" s="2" t="str">
        <x:v>Riverside</x:v>
      </x:c>
      <x:c r="I268" s="2" t="n">
        <x:v>7</x:v>
      </x:c>
      <x:c r="J268" s="2" t="n">
        <x:v>0</x:v>
      </x:c>
      <x:c r="K268" s="2" t="n">
        <x:f>I268-J268</x:f>
        <x:v>7</x:v>
      </x:c>
      <x:c r="L268" s="16" t="n">
        <x:v>18</x:v>
      </x:c>
      <x:c r="M268" s="16" t="n">
        <x:v>18</x:v>
      </x:c>
      <x:c r="N268" s="16" t="n">
        <x:v>7.83</x:v>
      </x:c>
      <x:c r="O268" s="16" t="n">
        <x:f>K268*M268</x:f>
        <x:v>126</x:v>
      </x:c>
      <x:c r="P268" s="16" t="n">
        <x:f>K268*N268</x:f>
        <x:v>54.81</x:v>
      </x:c>
      <x:c r="Q268" s="16" t="n">
        <x:f>O268-P268</x:f>
        <x:v>71.19</x:v>
      </x:c>
      <x:c r="R268" s="2" t="n">
        <x:v>107</x:v>
      </x:c>
      <x:c r="S268" s="2" t="n">
        <x:v>0</x:v>
      </x:c>
      <x:c r="T268" s="2" t="n">
        <x:f>R268+S268+J268-I268</x:f>
        <x:v>100</x:v>
      </x:c>
      <x:c r="U268" s="2" t="n">
        <x:v>0</x:v>
      </x:c>
      <x:c r="V268" s="2" t="n">
        <x:v>2</x:v>
      </x:c>
      <x:c r="W268" s="2" t="n">
        <x:v>9</x:v>
      </x:c>
      <x:c r="X268" s="14" t="b">
        <x:v>0</x:v>
      </x:c>
      <x:c r="Y268" s="14" t="b">
        <x:v>0</x:v>
      </x:c>
      <x:c r="Z268" s="2" t="n">
        <x:f>ABS(T268-AA268)</x:f>
        <x:v>0</x:v>
      </x:c>
      <x:c r="AA268" s="2" t="n">
        <x:v>100</x:v>
      </x:c>
      <x:c r="AB268" s="2" t="n">
        <x:f>ABS(K268-W268)</x:f>
        <x:v>2</x:v>
      </x:c>
      <x:c r="AC268" s="2" t="n">
        <x:f>COUNTIF($A$2:$A$1921,A268)-1</x:f>
        <x:v>0</x:v>
      </x:c>
      <x:c r="AD268" s="2" t="n">
        <x:f>IF(AND(D268=D267,H268=H267,C268=C267+1),ABS(R268-T267),0)</x:f>
        <x:v>0</x:v>
      </x:c>
    </x:row>
    <x:row r="269" ht="23" customHeight="1">
      <x:c r="A269" s="2" t="str">
        <x:v>DEMO-104-1-8</x:v>
      </x:c>
      <x:c r="B269" s="15" t="d">
        <x:v>2026-06-22T00:00:00.000Z</x:v>
      </x:c>
      <x:c r="C269" s="2" t="n">
        <x:v>8</x:v>
      </x:c>
      <x:c r="D269" s="2" t="str">
        <x:v>DEMO-104</x:v>
      </x:c>
      <x:c r="E269" s="2" t="str">
        <x:v>Studio Planner</x:v>
      </x:c>
      <x:c r="F269" s="2" t="str">
        <x:v>Stationery</x:v>
      </x:c>
      <x:c r="G269" s="2" t="str">
        <x:v>Stores</x:v>
      </x:c>
      <x:c r="H269" s="2" t="str">
        <x:v>Riverside</x:v>
      </x:c>
      <x:c r="I269" s="2" t="n">
        <x:v>9</x:v>
      </x:c>
      <x:c r="J269" s="2" t="n">
        <x:v>1</x:v>
      </x:c>
      <x:c r="K269" s="2" t="n">
        <x:f>I269-J269</x:f>
        <x:v>8</x:v>
      </x:c>
      <x:c r="L269" s="16" t="n">
        <x:v>18</x:v>
      </x:c>
      <x:c r="M269" s="16" t="n">
        <x:v>18</x:v>
      </x:c>
      <x:c r="N269" s="16" t="n">
        <x:v>7.83</x:v>
      </x:c>
      <x:c r="O269" s="16" t="n">
        <x:f>K269*M269</x:f>
        <x:v>144</x:v>
      </x:c>
      <x:c r="P269" s="16" t="n">
        <x:f>K269*N269</x:f>
        <x:v>62.64</x:v>
      </x:c>
      <x:c r="Q269" s="16" t="n">
        <x:f>O269-P269</x:f>
        <x:v>81.36</x:v>
      </x:c>
      <x:c r="R269" s="2" t="n">
        <x:v>100</x:v>
      </x:c>
      <x:c r="S269" s="2" t="n">
        <x:v>0</x:v>
      </x:c>
      <x:c r="T269" s="2" t="n">
        <x:f>R269+S269+J269-I269</x:f>
        <x:v>92</x:v>
      </x:c>
      <x:c r="U269" s="2" t="n">
        <x:v>0</x:v>
      </x:c>
      <x:c r="V269" s="2" t="n">
        <x:v>2</x:v>
      </x:c>
      <x:c r="W269" s="2" t="n">
        <x:v>8</x:v>
      </x:c>
      <x:c r="X269" s="14" t="b">
        <x:v>0</x:v>
      </x:c>
      <x:c r="Y269" s="14" t="b">
        <x:v>0</x:v>
      </x:c>
      <x:c r="Z269" s="2" t="n">
        <x:f>ABS(T269-AA269)</x:f>
        <x:v>0</x:v>
      </x:c>
      <x:c r="AA269" s="2" t="n">
        <x:v>92</x:v>
      </x:c>
      <x:c r="AB269" s="2" t="n">
        <x:f>ABS(K269-W269)</x:f>
        <x:v>0</x:v>
      </x:c>
      <x:c r="AC269" s="2" t="n">
        <x:f>COUNTIF($A$2:$A$1921,A269)-1</x:f>
        <x:v>0</x:v>
      </x:c>
      <x:c r="AD269" s="2" t="n">
        <x:f>IF(AND(D269=D268,H269=H268,C269=C268+1),ABS(R269-T268),0)</x:f>
        <x:v>0</x:v>
      </x:c>
    </x:row>
    <x:row r="270" ht="23" customHeight="1">
      <x:c r="A270" s="2" t="str">
        <x:v>DEMO-104-1-9</x:v>
      </x:c>
      <x:c r="B270" s="15" t="d">
        <x:v>2026-06-29T00:00:00.000Z</x:v>
      </x:c>
      <x:c r="C270" s="2" t="n">
        <x:v>9</x:v>
      </x:c>
      <x:c r="D270" s="2" t="str">
        <x:v>DEMO-104</x:v>
      </x:c>
      <x:c r="E270" s="2" t="str">
        <x:v>Studio Planner</x:v>
      </x:c>
      <x:c r="F270" s="2" t="str">
        <x:v>Stationery</x:v>
      </x:c>
      <x:c r="G270" s="2" t="str">
        <x:v>Stores</x:v>
      </x:c>
      <x:c r="H270" s="2" t="str">
        <x:v>Riverside</x:v>
      </x:c>
      <x:c r="I270" s="2" t="n">
        <x:v>9</x:v>
      </x:c>
      <x:c r="J270" s="2" t="n">
        <x:v>0</x:v>
      </x:c>
      <x:c r="K270" s="2" t="n">
        <x:f>I270-J270</x:f>
        <x:v>9</x:v>
      </x:c>
      <x:c r="L270" s="16" t="n">
        <x:v>18</x:v>
      </x:c>
      <x:c r="M270" s="16" t="n">
        <x:v>18</x:v>
      </x:c>
      <x:c r="N270" s="16" t="n">
        <x:v>7.83</x:v>
      </x:c>
      <x:c r="O270" s="16" t="n">
        <x:f>K270*M270</x:f>
        <x:v>162</x:v>
      </x:c>
      <x:c r="P270" s="16" t="n">
        <x:f>K270*N270</x:f>
        <x:v>70.47</x:v>
      </x:c>
      <x:c r="Q270" s="16" t="n">
        <x:f>O270-P270</x:f>
        <x:v>91.53</x:v>
      </x:c>
      <x:c r="R270" s="2" t="n">
        <x:v>92</x:v>
      </x:c>
      <x:c r="S270" s="2" t="n">
        <x:v>34</x:v>
      </x:c>
      <x:c r="T270" s="2" t="n">
        <x:f>R270+S270+J270-I270</x:f>
        <x:v>117</x:v>
      </x:c>
      <x:c r="U270" s="2" t="n">
        <x:v>0</x:v>
      </x:c>
      <x:c r="V270" s="2" t="n">
        <x:v>2</x:v>
      </x:c>
      <x:c r="W270" s="2" t="n">
        <x:v>8</x:v>
      </x:c>
      <x:c r="X270" s="14" t="b">
        <x:v>0</x:v>
      </x:c>
      <x:c r="Y270" s="14" t="b">
        <x:v>0</x:v>
      </x:c>
      <x:c r="Z270" s="2" t="n">
        <x:f>ABS(T270-AA270)</x:f>
        <x:v>0</x:v>
      </x:c>
      <x:c r="AA270" s="2" t="n">
        <x:v>117</x:v>
      </x:c>
      <x:c r="AB270" s="2" t="n">
        <x:f>ABS(K270-W270)</x:f>
        <x:v>1</x:v>
      </x:c>
      <x:c r="AC270" s="2" t="n">
        <x:f>COUNTIF($A$2:$A$1921,A270)-1</x:f>
        <x:v>0</x:v>
      </x:c>
      <x:c r="AD270" s="2" t="n">
        <x:f>IF(AND(D270=D269,H270=H269,C270=C269+1),ABS(R270-T269),0)</x:f>
        <x:v>0</x:v>
      </x:c>
    </x:row>
    <x:row r="271" ht="23" customHeight="1">
      <x:c r="A271" s="2" t="str">
        <x:v>DEMO-104-1-10</x:v>
      </x:c>
      <x:c r="B271" s="15" t="d">
        <x:v>2026-07-06T00:00:00.000Z</x:v>
      </x:c>
      <x:c r="C271" s="2" t="n">
        <x:v>10</x:v>
      </x:c>
      <x:c r="D271" s="2" t="str">
        <x:v>DEMO-104</x:v>
      </x:c>
      <x:c r="E271" s="2" t="str">
        <x:v>Studio Planner</x:v>
      </x:c>
      <x:c r="F271" s="2" t="str">
        <x:v>Stationery</x:v>
      </x:c>
      <x:c r="G271" s="2" t="str">
        <x:v>Stores</x:v>
      </x:c>
      <x:c r="H271" s="2" t="str">
        <x:v>Riverside</x:v>
      </x:c>
      <x:c r="I271" s="2" t="n">
        <x:v>9</x:v>
      </x:c>
      <x:c r="J271" s="2" t="n">
        <x:v>1</x:v>
      </x:c>
      <x:c r="K271" s="2" t="n">
        <x:f>I271-J271</x:f>
        <x:v>8</x:v>
      </x:c>
      <x:c r="L271" s="16" t="n">
        <x:v>18</x:v>
      </x:c>
      <x:c r="M271" s="16" t="n">
        <x:v>18</x:v>
      </x:c>
      <x:c r="N271" s="16" t="n">
        <x:v>7.83</x:v>
      </x:c>
      <x:c r="O271" s="16" t="n">
        <x:f>K271*M271</x:f>
        <x:v>144</x:v>
      </x:c>
      <x:c r="P271" s="16" t="n">
        <x:f>K271*N271</x:f>
        <x:v>62.64</x:v>
      </x:c>
      <x:c r="Q271" s="16" t="n">
        <x:f>O271-P271</x:f>
        <x:v>81.36</x:v>
      </x:c>
      <x:c r="R271" s="2" t="n">
        <x:v>117</x:v>
      </x:c>
      <x:c r="S271" s="2" t="n">
        <x:v>0</x:v>
      </x:c>
      <x:c r="T271" s="2" t="n">
        <x:f>R271+S271+J271-I271</x:f>
        <x:v>109</x:v>
      </x:c>
      <x:c r="U271" s="2" t="n">
        <x:v>0</x:v>
      </x:c>
      <x:c r="V271" s="2" t="n">
        <x:v>2</x:v>
      </x:c>
      <x:c r="W271" s="2" t="n">
        <x:v>8</x:v>
      </x:c>
      <x:c r="X271" s="14" t="b">
        <x:v>0</x:v>
      </x:c>
      <x:c r="Y271" s="14" t="b">
        <x:v>0</x:v>
      </x:c>
      <x:c r="Z271" s="2" t="n">
        <x:f>ABS(T271-AA271)</x:f>
        <x:v>0</x:v>
      </x:c>
      <x:c r="AA271" s="2" t="n">
        <x:v>109</x:v>
      </x:c>
      <x:c r="AB271" s="2" t="n">
        <x:f>ABS(K271-W271)</x:f>
        <x:v>0</x:v>
      </x:c>
      <x:c r="AC271" s="2" t="n">
        <x:f>COUNTIF($A$2:$A$1921,A271)-1</x:f>
        <x:v>0</x:v>
      </x:c>
      <x:c r="AD271" s="2" t="n">
        <x:f>IF(AND(D271=D270,H271=H270,C271=C270+1),ABS(R271-T270),0)</x:f>
        <x:v>0</x:v>
      </x:c>
    </x:row>
    <x:row r="272" ht="23" customHeight="1">
      <x:c r="A272" s="2" t="str">
        <x:v>DEMO-104-1-11</x:v>
      </x:c>
      <x:c r="B272" s="15" t="d">
        <x:v>2026-07-13T00:00:00.000Z</x:v>
      </x:c>
      <x:c r="C272" s="2" t="n">
        <x:v>11</x:v>
      </x:c>
      <x:c r="D272" s="2" t="str">
        <x:v>DEMO-104</x:v>
      </x:c>
      <x:c r="E272" s="2" t="str">
        <x:v>Studio Planner</x:v>
      </x:c>
      <x:c r="F272" s="2" t="str">
        <x:v>Stationery</x:v>
      </x:c>
      <x:c r="G272" s="2" t="str">
        <x:v>Stores</x:v>
      </x:c>
      <x:c r="H272" s="2" t="str">
        <x:v>Riverside</x:v>
      </x:c>
      <x:c r="I272" s="2" t="n">
        <x:v>8</x:v>
      </x:c>
      <x:c r="J272" s="2" t="n">
        <x:v>0</x:v>
      </x:c>
      <x:c r="K272" s="2" t="n">
        <x:f>I272-J272</x:f>
        <x:v>8</x:v>
      </x:c>
      <x:c r="L272" s="16" t="n">
        <x:v>18</x:v>
      </x:c>
      <x:c r="M272" s="16" t="n">
        <x:v>18</x:v>
      </x:c>
      <x:c r="N272" s="16" t="n">
        <x:v>7.83</x:v>
      </x:c>
      <x:c r="O272" s="16" t="n">
        <x:f>K272*M272</x:f>
        <x:v>144</x:v>
      </x:c>
      <x:c r="P272" s="16" t="n">
        <x:f>K272*N272</x:f>
        <x:v>62.64</x:v>
      </x:c>
      <x:c r="Q272" s="16" t="n">
        <x:f>O272-P272</x:f>
        <x:v>81.36</x:v>
      </x:c>
      <x:c r="R272" s="2" t="n">
        <x:v>109</x:v>
      </x:c>
      <x:c r="S272" s="2" t="n">
        <x:v>0</x:v>
      </x:c>
      <x:c r="T272" s="2" t="n">
        <x:f>R272+S272+J272-I272</x:f>
        <x:v>101</x:v>
      </x:c>
      <x:c r="U272" s="2" t="n">
        <x:v>0</x:v>
      </x:c>
      <x:c r="V272" s="2" t="n">
        <x:v>2</x:v>
      </x:c>
      <x:c r="W272" s="2" t="n">
        <x:v>8</x:v>
      </x:c>
      <x:c r="X272" s="14" t="b">
        <x:v>0</x:v>
      </x:c>
      <x:c r="Y272" s="14" t="b">
        <x:v>0</x:v>
      </x:c>
      <x:c r="Z272" s="2" t="n">
        <x:f>ABS(T272-AA272)</x:f>
        <x:v>0</x:v>
      </x:c>
      <x:c r="AA272" s="2" t="n">
        <x:v>101</x:v>
      </x:c>
      <x:c r="AB272" s="2" t="n">
        <x:f>ABS(K272-W272)</x:f>
        <x:v>0</x:v>
      </x:c>
      <x:c r="AC272" s="2" t="n">
        <x:f>COUNTIF($A$2:$A$1921,A272)-1</x:f>
        <x:v>0</x:v>
      </x:c>
      <x:c r="AD272" s="2" t="n">
        <x:f>IF(AND(D272=D271,H272=H271,C272=C271+1),ABS(R272-T271),0)</x:f>
        <x:v>0</x:v>
      </x:c>
    </x:row>
    <x:row r="273" ht="23" customHeight="1">
      <x:c r="A273" s="2" t="str">
        <x:v>DEMO-104-1-12</x:v>
      </x:c>
      <x:c r="B273" s="15" t="d">
        <x:v>2026-07-20T00:00:00.000Z</x:v>
      </x:c>
      <x:c r="C273" s="2" t="n">
        <x:v>12</x:v>
      </x:c>
      <x:c r="D273" s="2" t="str">
        <x:v>DEMO-104</x:v>
      </x:c>
      <x:c r="E273" s="2" t="str">
        <x:v>Studio Planner</x:v>
      </x:c>
      <x:c r="F273" s="2" t="str">
        <x:v>Stationery</x:v>
      </x:c>
      <x:c r="G273" s="2" t="str">
        <x:v>Stores</x:v>
      </x:c>
      <x:c r="H273" s="2" t="str">
        <x:v>Riverside</x:v>
      </x:c>
      <x:c r="I273" s="2" t="n">
        <x:v>7</x:v>
      </x:c>
      <x:c r="J273" s="2" t="n">
        <x:v>0</x:v>
      </x:c>
      <x:c r="K273" s="2" t="n">
        <x:f>I273-J273</x:f>
        <x:v>7</x:v>
      </x:c>
      <x:c r="L273" s="16" t="n">
        <x:v>18</x:v>
      </x:c>
      <x:c r="M273" s="16" t="n">
        <x:v>18</x:v>
      </x:c>
      <x:c r="N273" s="16" t="n">
        <x:v>7.83</x:v>
      </x:c>
      <x:c r="O273" s="16" t="n">
        <x:f>K273*M273</x:f>
        <x:v>126</x:v>
      </x:c>
      <x:c r="P273" s="16" t="n">
        <x:f>K273*N273</x:f>
        <x:v>54.81</x:v>
      </x:c>
      <x:c r="Q273" s="16" t="n">
        <x:f>O273-P273</x:f>
        <x:v>71.19</x:v>
      </x:c>
      <x:c r="R273" s="2" t="n">
        <x:v>101</x:v>
      </x:c>
      <x:c r="S273" s="2" t="n">
        <x:v>0</x:v>
      </x:c>
      <x:c r="T273" s="2" t="n">
        <x:f>R273+S273+J273-I273</x:f>
        <x:v>94</x:v>
      </x:c>
      <x:c r="U273" s="2" t="n">
        <x:v>0</x:v>
      </x:c>
      <x:c r="V273" s="2" t="n">
        <x:v>2</x:v>
      </x:c>
      <x:c r="W273" s="2" t="n">
        <x:v>8</x:v>
      </x:c>
      <x:c r="X273" s="14" t="b">
        <x:v>0</x:v>
      </x:c>
      <x:c r="Y273" s="14" t="b">
        <x:v>0</x:v>
      </x:c>
      <x:c r="Z273" s="2" t="n">
        <x:f>ABS(T273-AA273)</x:f>
        <x:v>0</x:v>
      </x:c>
      <x:c r="AA273" s="2" t="n">
        <x:v>94</x:v>
      </x:c>
      <x:c r="AB273" s="2" t="n">
        <x:f>ABS(K273-W273)</x:f>
        <x:v>1</x:v>
      </x:c>
      <x:c r="AC273" s="2" t="n">
        <x:f>COUNTIF($A$2:$A$1921,A273)-1</x:f>
        <x:v>0</x:v>
      </x:c>
      <x:c r="AD273" s="2" t="n">
        <x:f>IF(AND(D273=D272,H273=H272,C273=C272+1),ABS(R273-T272),0)</x:f>
        <x:v>0</x:v>
      </x:c>
    </x:row>
    <x:row r="274" ht="23" customHeight="1">
      <x:c r="A274" s="2" t="str">
        <x:v>DEMO-104-1-13</x:v>
      </x:c>
      <x:c r="B274" s="15" t="d">
        <x:v>2026-07-27T00:00:00.000Z</x:v>
      </x:c>
      <x:c r="C274" s="2" t="n">
        <x:v>13</x:v>
      </x:c>
      <x:c r="D274" s="2" t="str">
        <x:v>DEMO-104</x:v>
      </x:c>
      <x:c r="E274" s="2" t="str">
        <x:v>Studio Planner</x:v>
      </x:c>
      <x:c r="F274" s="2" t="str">
        <x:v>Stationery</x:v>
      </x:c>
      <x:c r="G274" s="2" t="str">
        <x:v>Stores</x:v>
      </x:c>
      <x:c r="H274" s="2" t="str">
        <x:v>Riverside</x:v>
      </x:c>
      <x:c r="I274" s="2" t="n">
        <x:v>9</x:v>
      </x:c>
      <x:c r="J274" s="2" t="n">
        <x:v>0</x:v>
      </x:c>
      <x:c r="K274" s="2" t="n">
        <x:f>I274-J274</x:f>
        <x:v>9</x:v>
      </x:c>
      <x:c r="L274" s="16" t="n">
        <x:v>18</x:v>
      </x:c>
      <x:c r="M274" s="16" t="n">
        <x:v>18</x:v>
      </x:c>
      <x:c r="N274" s="16" t="n">
        <x:v>7.83</x:v>
      </x:c>
      <x:c r="O274" s="16" t="n">
        <x:f>K274*M274</x:f>
        <x:v>162</x:v>
      </x:c>
      <x:c r="P274" s="16" t="n">
        <x:f>K274*N274</x:f>
        <x:v>70.47</x:v>
      </x:c>
      <x:c r="Q274" s="16" t="n">
        <x:f>O274-P274</x:f>
        <x:v>91.53</x:v>
      </x:c>
      <x:c r="R274" s="2" t="n">
        <x:v>94</x:v>
      </x:c>
      <x:c r="S274" s="2" t="n">
        <x:v>34</x:v>
      </x:c>
      <x:c r="T274" s="2" t="n">
        <x:f>R274+S274+J274-I274</x:f>
        <x:v>119</x:v>
      </x:c>
      <x:c r="U274" s="2" t="n">
        <x:v>0</x:v>
      </x:c>
      <x:c r="V274" s="2" t="n">
        <x:v>2</x:v>
      </x:c>
      <x:c r="W274" s="2" t="n">
        <x:v>8</x:v>
      </x:c>
      <x:c r="X274" s="14" t="b">
        <x:v>0</x:v>
      </x:c>
      <x:c r="Y274" s="14" t="b">
        <x:v>0</x:v>
      </x:c>
      <x:c r="Z274" s="2" t="n">
        <x:f>ABS(T274-AA274)</x:f>
        <x:v>0</x:v>
      </x:c>
      <x:c r="AA274" s="2" t="n">
        <x:v>119</x:v>
      </x:c>
      <x:c r="AB274" s="2" t="n">
        <x:f>ABS(K274-W274)</x:f>
        <x:v>1</x:v>
      </x:c>
      <x:c r="AC274" s="2" t="n">
        <x:f>COUNTIF($A$2:$A$1921,A274)-1</x:f>
        <x:v>0</x:v>
      </x:c>
      <x:c r="AD274" s="2" t="n">
        <x:f>IF(AND(D274=D273,H274=H273,C274=C273+1),ABS(R274-T273),0)</x:f>
        <x:v>0</x:v>
      </x:c>
    </x:row>
    <x:row r="275" ht="23" customHeight="1">
      <x:c r="A275" s="2" t="str">
        <x:v>DEMO-104-1-14</x:v>
      </x:c>
      <x:c r="B275" s="15" t="d">
        <x:v>2026-08-03T00:00:00.000Z</x:v>
      </x:c>
      <x:c r="C275" s="2" t="n">
        <x:v>14</x:v>
      </x:c>
      <x:c r="D275" s="2" t="str">
        <x:v>DEMO-104</x:v>
      </x:c>
      <x:c r="E275" s="2" t="str">
        <x:v>Studio Planner</x:v>
      </x:c>
      <x:c r="F275" s="2" t="str">
        <x:v>Stationery</x:v>
      </x:c>
      <x:c r="G275" s="2" t="str">
        <x:v>Stores</x:v>
      </x:c>
      <x:c r="H275" s="2" t="str">
        <x:v>Riverside</x:v>
      </x:c>
      <x:c r="I275" s="2" t="n">
        <x:v>9</x:v>
      </x:c>
      <x:c r="J275" s="2" t="n">
        <x:v>0</x:v>
      </x:c>
      <x:c r="K275" s="2" t="n">
        <x:f>I275-J275</x:f>
        <x:v>9</x:v>
      </x:c>
      <x:c r="L275" s="16" t="n">
        <x:v>18</x:v>
      </x:c>
      <x:c r="M275" s="16" t="n">
        <x:v>18</x:v>
      </x:c>
      <x:c r="N275" s="16" t="n">
        <x:v>7.83</x:v>
      </x:c>
      <x:c r="O275" s="16" t="n">
        <x:f>K275*M275</x:f>
        <x:v>162</x:v>
      </x:c>
      <x:c r="P275" s="16" t="n">
        <x:f>K275*N275</x:f>
        <x:v>70.47</x:v>
      </x:c>
      <x:c r="Q275" s="16" t="n">
        <x:f>O275-P275</x:f>
        <x:v>91.53</x:v>
      </x:c>
      <x:c r="R275" s="2" t="n">
        <x:v>119</x:v>
      </x:c>
      <x:c r="S275" s="2" t="n">
        <x:v>0</x:v>
      </x:c>
      <x:c r="T275" s="2" t="n">
        <x:f>R275+S275+J275-I275</x:f>
        <x:v>110</x:v>
      </x:c>
      <x:c r="U275" s="2" t="n">
        <x:v>0</x:v>
      </x:c>
      <x:c r="V275" s="2" t="n">
        <x:v>2</x:v>
      </x:c>
      <x:c r="W275" s="2" t="n">
        <x:v>8</x:v>
      </x:c>
      <x:c r="X275" s="14" t="b">
        <x:v>0</x:v>
      </x:c>
      <x:c r="Y275" s="14" t="b">
        <x:v>0</x:v>
      </x:c>
      <x:c r="Z275" s="2" t="n">
        <x:f>ABS(T275-AA275)</x:f>
        <x:v>0</x:v>
      </x:c>
      <x:c r="AA275" s="2" t="n">
        <x:v>110</x:v>
      </x:c>
      <x:c r="AB275" s="2" t="n">
        <x:f>ABS(K275-W275)</x:f>
        <x:v>1</x:v>
      </x:c>
      <x:c r="AC275" s="2" t="n">
        <x:f>COUNTIF($A$2:$A$1921,A275)-1</x:f>
        <x:v>0</x:v>
      </x:c>
      <x:c r="AD275" s="2" t="n">
        <x:f>IF(AND(D275=D274,H275=H274,C275=C274+1),ABS(R275-T274),0)</x:f>
        <x:v>0</x:v>
      </x:c>
    </x:row>
    <x:row r="276" ht="23" customHeight="1">
      <x:c r="A276" s="2" t="str">
        <x:v>DEMO-104-1-15</x:v>
      </x:c>
      <x:c r="B276" s="15" t="d">
        <x:v>2026-08-10T00:00:00.000Z</x:v>
      </x:c>
      <x:c r="C276" s="2" t="n">
        <x:v>15</x:v>
      </x:c>
      <x:c r="D276" s="2" t="str">
        <x:v>DEMO-104</x:v>
      </x:c>
      <x:c r="E276" s="2" t="str">
        <x:v>Studio Planner</x:v>
      </x:c>
      <x:c r="F276" s="2" t="str">
        <x:v>Stationery</x:v>
      </x:c>
      <x:c r="G276" s="2" t="str">
        <x:v>Stores</x:v>
      </x:c>
      <x:c r="H276" s="2" t="str">
        <x:v>Riverside</x:v>
      </x:c>
      <x:c r="I276" s="2" t="n">
        <x:v>9</x:v>
      </x:c>
      <x:c r="J276" s="2" t="n">
        <x:v>0</x:v>
      </x:c>
      <x:c r="K276" s="2" t="n">
        <x:f>I276-J276</x:f>
        <x:v>9</x:v>
      </x:c>
      <x:c r="L276" s="16" t="n">
        <x:v>18</x:v>
      </x:c>
      <x:c r="M276" s="16" t="n">
        <x:v>18</x:v>
      </x:c>
      <x:c r="N276" s="16" t="n">
        <x:v>7.83</x:v>
      </x:c>
      <x:c r="O276" s="16" t="n">
        <x:f>K276*M276</x:f>
        <x:v>162</x:v>
      </x:c>
      <x:c r="P276" s="16" t="n">
        <x:f>K276*N276</x:f>
        <x:v>70.47</x:v>
      </x:c>
      <x:c r="Q276" s="16" t="n">
        <x:f>O276-P276</x:f>
        <x:v>91.53</x:v>
      </x:c>
      <x:c r="R276" s="2" t="n">
        <x:v>110</x:v>
      </x:c>
      <x:c r="S276" s="2" t="n">
        <x:v>0</x:v>
      </x:c>
      <x:c r="T276" s="2" t="n">
        <x:f>R276+S276+J276-I276</x:f>
        <x:v>101</x:v>
      </x:c>
      <x:c r="U276" s="2" t="n">
        <x:v>0</x:v>
      </x:c>
      <x:c r="V276" s="2" t="n">
        <x:v>2</x:v>
      </x:c>
      <x:c r="W276" s="2" t="n">
        <x:v>8</x:v>
      </x:c>
      <x:c r="X276" s="14" t="b">
        <x:v>0</x:v>
      </x:c>
      <x:c r="Y276" s="14" t="b">
        <x:v>0</x:v>
      </x:c>
      <x:c r="Z276" s="2" t="n">
        <x:f>ABS(T276-AA276)</x:f>
        <x:v>0</x:v>
      </x:c>
      <x:c r="AA276" s="2" t="n">
        <x:v>101</x:v>
      </x:c>
      <x:c r="AB276" s="2" t="n">
        <x:f>ABS(K276-W276)</x:f>
        <x:v>1</x:v>
      </x:c>
      <x:c r="AC276" s="2" t="n">
        <x:f>COUNTIF($A$2:$A$1921,A276)-1</x:f>
        <x:v>0</x:v>
      </x:c>
      <x:c r="AD276" s="2" t="n">
        <x:f>IF(AND(D276=D275,H276=H275,C276=C275+1),ABS(R276-T275),0)</x:f>
        <x:v>0</x:v>
      </x:c>
    </x:row>
    <x:row r="277" ht="23" customHeight="1">
      <x:c r="A277" s="2" t="str">
        <x:v>DEMO-104-1-16</x:v>
      </x:c>
      <x:c r="B277" s="15" t="d">
        <x:v>2026-08-17T00:00:00.000Z</x:v>
      </x:c>
      <x:c r="C277" s="2" t="n">
        <x:v>16</x:v>
      </x:c>
      <x:c r="D277" s="2" t="str">
        <x:v>DEMO-104</x:v>
      </x:c>
      <x:c r="E277" s="2" t="str">
        <x:v>Studio Planner</x:v>
      </x:c>
      <x:c r="F277" s="2" t="str">
        <x:v>Stationery</x:v>
      </x:c>
      <x:c r="G277" s="2" t="str">
        <x:v>Stores</x:v>
      </x:c>
      <x:c r="H277" s="2" t="str">
        <x:v>Riverside</x:v>
      </x:c>
      <x:c r="I277" s="2" t="n">
        <x:v>8</x:v>
      </x:c>
      <x:c r="J277" s="2" t="n">
        <x:v>0</x:v>
      </x:c>
      <x:c r="K277" s="2" t="n">
        <x:f>I277-J277</x:f>
        <x:v>8</x:v>
      </x:c>
      <x:c r="L277" s="16" t="n">
        <x:v>18</x:v>
      </x:c>
      <x:c r="M277" s="16" t="n">
        <x:v>18</x:v>
      </x:c>
      <x:c r="N277" s="16" t="n">
        <x:v>7.83</x:v>
      </x:c>
      <x:c r="O277" s="16" t="n">
        <x:f>K277*M277</x:f>
        <x:v>144</x:v>
      </x:c>
      <x:c r="P277" s="16" t="n">
        <x:f>K277*N277</x:f>
        <x:v>62.64</x:v>
      </x:c>
      <x:c r="Q277" s="16" t="n">
        <x:f>O277-P277</x:f>
        <x:v>81.36</x:v>
      </x:c>
      <x:c r="R277" s="2" t="n">
        <x:v>101</x:v>
      </x:c>
      <x:c r="S277" s="2" t="n">
        <x:v>0</x:v>
      </x:c>
      <x:c r="T277" s="2" t="n">
        <x:f>R277+S277+J277-I277</x:f>
        <x:v>93</x:v>
      </x:c>
      <x:c r="U277" s="2" t="n">
        <x:v>0</x:v>
      </x:c>
      <x:c r="V277" s="2" t="n">
        <x:v>2</x:v>
      </x:c>
      <x:c r="W277" s="2" t="n">
        <x:v>9</x:v>
      </x:c>
      <x:c r="X277" s="14" t="b">
        <x:v>0</x:v>
      </x:c>
      <x:c r="Y277" s="14" t="b">
        <x:v>0</x:v>
      </x:c>
      <x:c r="Z277" s="2" t="n">
        <x:f>ABS(T277-AA277)</x:f>
        <x:v>0</x:v>
      </x:c>
      <x:c r="AA277" s="2" t="n">
        <x:v>93</x:v>
      </x:c>
      <x:c r="AB277" s="2" t="n">
        <x:f>ABS(K277-W277)</x:f>
        <x:v>1</x:v>
      </x:c>
      <x:c r="AC277" s="2" t="n">
        <x:f>COUNTIF($A$2:$A$1921,A277)-1</x:f>
        <x:v>0</x:v>
      </x:c>
      <x:c r="AD277" s="2" t="n">
        <x:f>IF(AND(D277=D276,H277=H276,C277=C276+1),ABS(R277-T276),0)</x:f>
        <x:v>0</x:v>
      </x:c>
    </x:row>
    <x:row r="278" ht="23" customHeight="1">
      <x:c r="A278" s="2" t="str">
        <x:v>DEMO-104-1-17</x:v>
      </x:c>
      <x:c r="B278" s="15" t="d">
        <x:v>2026-08-24T00:00:00.000Z</x:v>
      </x:c>
      <x:c r="C278" s="2" t="n">
        <x:v>17</x:v>
      </x:c>
      <x:c r="D278" s="2" t="str">
        <x:v>DEMO-104</x:v>
      </x:c>
      <x:c r="E278" s="2" t="str">
        <x:v>Studio Planner</x:v>
      </x:c>
      <x:c r="F278" s="2" t="str">
        <x:v>Stationery</x:v>
      </x:c>
      <x:c r="G278" s="2" t="str">
        <x:v>Stores</x:v>
      </x:c>
      <x:c r="H278" s="2" t="str">
        <x:v>Riverside</x:v>
      </x:c>
      <x:c r="I278" s="2" t="n">
        <x:v>9</x:v>
      </x:c>
      <x:c r="J278" s="2" t="n">
        <x:v>1</x:v>
      </x:c>
      <x:c r="K278" s="2" t="n">
        <x:f>I278-J278</x:f>
        <x:v>8</x:v>
      </x:c>
      <x:c r="L278" s="16" t="n">
        <x:v>18</x:v>
      </x:c>
      <x:c r="M278" s="16" t="n">
        <x:v>18</x:v>
      </x:c>
      <x:c r="N278" s="16" t="n">
        <x:v>7.83</x:v>
      </x:c>
      <x:c r="O278" s="16" t="n">
        <x:f>K278*M278</x:f>
        <x:v>144</x:v>
      </x:c>
      <x:c r="P278" s="16" t="n">
        <x:f>K278*N278</x:f>
        <x:v>62.64</x:v>
      </x:c>
      <x:c r="Q278" s="16" t="n">
        <x:f>O278-P278</x:f>
        <x:v>81.36</x:v>
      </x:c>
      <x:c r="R278" s="2" t="n">
        <x:v>93</x:v>
      </x:c>
      <x:c r="S278" s="2" t="n">
        <x:v>34</x:v>
      </x:c>
      <x:c r="T278" s="2" t="n">
        <x:f>R278+S278+J278-I278</x:f>
        <x:v>119</x:v>
      </x:c>
      <x:c r="U278" s="2" t="n">
        <x:v>0</x:v>
      </x:c>
      <x:c r="V278" s="2" t="n">
        <x:v>2</x:v>
      </x:c>
      <x:c r="W278" s="2" t="n">
        <x:v>9</x:v>
      </x:c>
      <x:c r="X278" s="14" t="b">
        <x:v>0</x:v>
      </x:c>
      <x:c r="Y278" s="14" t="b">
        <x:v>0</x:v>
      </x:c>
      <x:c r="Z278" s="2" t="n">
        <x:f>ABS(T278-AA278)</x:f>
        <x:v>0</x:v>
      </x:c>
      <x:c r="AA278" s="2" t="n">
        <x:v>119</x:v>
      </x:c>
      <x:c r="AB278" s="2" t="n">
        <x:f>ABS(K278-W278)</x:f>
        <x:v>1</x:v>
      </x:c>
      <x:c r="AC278" s="2" t="n">
        <x:f>COUNTIF($A$2:$A$1921,A278)-1</x:f>
        <x:v>0</x:v>
      </x:c>
      <x:c r="AD278" s="2" t="n">
        <x:f>IF(AND(D278=D277,H278=H277,C278=C277+1),ABS(R278-T277),0)</x:f>
        <x:v>0</x:v>
      </x:c>
    </x:row>
    <x:row r="279" ht="23" customHeight="1">
      <x:c r="A279" s="2" t="str">
        <x:v>DEMO-104-1-18</x:v>
      </x:c>
      <x:c r="B279" s="15" t="d">
        <x:v>2026-08-31T00:00:00.000Z</x:v>
      </x:c>
      <x:c r="C279" s="2" t="n">
        <x:v>18</x:v>
      </x:c>
      <x:c r="D279" s="2" t="str">
        <x:v>DEMO-104</x:v>
      </x:c>
      <x:c r="E279" s="2" t="str">
        <x:v>Studio Planner</x:v>
      </x:c>
      <x:c r="F279" s="2" t="str">
        <x:v>Stationery</x:v>
      </x:c>
      <x:c r="G279" s="2" t="str">
        <x:v>Stores</x:v>
      </x:c>
      <x:c r="H279" s="2" t="str">
        <x:v>Riverside</x:v>
      </x:c>
      <x:c r="I279" s="2" t="n">
        <x:v>7</x:v>
      </x:c>
      <x:c r="J279" s="2" t="n">
        <x:v>0</x:v>
      </x:c>
      <x:c r="K279" s="2" t="n">
        <x:f>I279-J279</x:f>
        <x:v>7</x:v>
      </x:c>
      <x:c r="L279" s="16" t="n">
        <x:v>18</x:v>
      </x:c>
      <x:c r="M279" s="16" t="n">
        <x:v>18</x:v>
      </x:c>
      <x:c r="N279" s="16" t="n">
        <x:v>7.83</x:v>
      </x:c>
      <x:c r="O279" s="16" t="n">
        <x:f>K279*M279</x:f>
        <x:v>126</x:v>
      </x:c>
      <x:c r="P279" s="16" t="n">
        <x:f>K279*N279</x:f>
        <x:v>54.81</x:v>
      </x:c>
      <x:c r="Q279" s="16" t="n">
        <x:f>O279-P279</x:f>
        <x:v>71.19</x:v>
      </x:c>
      <x:c r="R279" s="2" t="n">
        <x:v>119</x:v>
      </x:c>
      <x:c r="S279" s="2" t="n">
        <x:v>0</x:v>
      </x:c>
      <x:c r="T279" s="2" t="n">
        <x:f>R279+S279+J279-I279</x:f>
        <x:v>112</x:v>
      </x:c>
      <x:c r="U279" s="2" t="n">
        <x:v>0</x:v>
      </x:c>
      <x:c r="V279" s="2" t="n">
        <x:v>2</x:v>
      </x:c>
      <x:c r="W279" s="2" t="n">
        <x:v>9</x:v>
      </x:c>
      <x:c r="X279" s="14" t="b">
        <x:v>0</x:v>
      </x:c>
      <x:c r="Y279" s="14" t="b">
        <x:v>0</x:v>
      </x:c>
      <x:c r="Z279" s="2" t="n">
        <x:f>ABS(T279-AA279)</x:f>
        <x:v>0</x:v>
      </x:c>
      <x:c r="AA279" s="2" t="n">
        <x:v>112</x:v>
      </x:c>
      <x:c r="AB279" s="2" t="n">
        <x:f>ABS(K279-W279)</x:f>
        <x:v>2</x:v>
      </x:c>
      <x:c r="AC279" s="2" t="n">
        <x:f>COUNTIF($A$2:$A$1921,A279)-1</x:f>
        <x:v>0</x:v>
      </x:c>
      <x:c r="AD279" s="2" t="n">
        <x:f>IF(AND(D279=D278,H279=H278,C279=C278+1),ABS(R279-T278),0)</x:f>
        <x:v>0</x:v>
      </x:c>
    </x:row>
    <x:row r="280" ht="23" customHeight="1">
      <x:c r="A280" s="2" t="str">
        <x:v>DEMO-104-1-19</x:v>
      </x:c>
      <x:c r="B280" s="15" t="d">
        <x:v>2026-09-07T00:00:00.000Z</x:v>
      </x:c>
      <x:c r="C280" s="2" t="n">
        <x:v>19</x:v>
      </x:c>
      <x:c r="D280" s="2" t="str">
        <x:v>DEMO-104</x:v>
      </x:c>
      <x:c r="E280" s="2" t="str">
        <x:v>Studio Planner</x:v>
      </x:c>
      <x:c r="F280" s="2" t="str">
        <x:v>Stationery</x:v>
      </x:c>
      <x:c r="G280" s="2" t="str">
        <x:v>Stores</x:v>
      </x:c>
      <x:c r="H280" s="2" t="str">
        <x:v>Riverside</x:v>
      </x:c>
      <x:c r="I280" s="2" t="n">
        <x:v>7</x:v>
      </x:c>
      <x:c r="J280" s="2" t="n">
        <x:v>0</x:v>
      </x:c>
      <x:c r="K280" s="2" t="n">
        <x:f>I280-J280</x:f>
        <x:v>7</x:v>
      </x:c>
      <x:c r="L280" s="16" t="n">
        <x:v>18</x:v>
      </x:c>
      <x:c r="M280" s="16" t="n">
        <x:v>18</x:v>
      </x:c>
      <x:c r="N280" s="16" t="n">
        <x:v>7.83</x:v>
      </x:c>
      <x:c r="O280" s="16" t="n">
        <x:f>K280*M280</x:f>
        <x:v>126</x:v>
      </x:c>
      <x:c r="P280" s="16" t="n">
        <x:f>K280*N280</x:f>
        <x:v>54.81</x:v>
      </x:c>
      <x:c r="Q280" s="16" t="n">
        <x:f>O280-P280</x:f>
        <x:v>71.19</x:v>
      </x:c>
      <x:c r="R280" s="2" t="n">
        <x:v>112</x:v>
      </x:c>
      <x:c r="S280" s="2" t="n">
        <x:v>0</x:v>
      </x:c>
      <x:c r="T280" s="2" t="n">
        <x:f>R280+S280+J280-I280</x:f>
        <x:v>105</x:v>
      </x:c>
      <x:c r="U280" s="2" t="n">
        <x:v>0</x:v>
      </x:c>
      <x:c r="V280" s="2" t="n">
        <x:v>2</x:v>
      </x:c>
      <x:c r="W280" s="2" t="n">
        <x:v>8</x:v>
      </x:c>
      <x:c r="X280" s="14" t="b">
        <x:v>0</x:v>
      </x:c>
      <x:c r="Y280" s="14" t="b">
        <x:v>0</x:v>
      </x:c>
      <x:c r="Z280" s="2" t="n">
        <x:f>ABS(T280-AA280)</x:f>
        <x:v>0</x:v>
      </x:c>
      <x:c r="AA280" s="2" t="n">
        <x:v>105</x:v>
      </x:c>
      <x:c r="AB280" s="2" t="n">
        <x:f>ABS(K280-W280)</x:f>
        <x:v>1</x:v>
      </x:c>
      <x:c r="AC280" s="2" t="n">
        <x:f>COUNTIF($A$2:$A$1921,A280)-1</x:f>
        <x:v>0</x:v>
      </x:c>
      <x:c r="AD280" s="2" t="n">
        <x:f>IF(AND(D280=D279,H280=H279,C280=C279+1),ABS(R280-T279),0)</x:f>
        <x:v>0</x:v>
      </x:c>
    </x:row>
    <x:row r="281" ht="23" customHeight="1">
      <x:c r="A281" s="2" t="str">
        <x:v>DEMO-104-1-20</x:v>
      </x:c>
      <x:c r="B281" s="15" t="d">
        <x:v>2026-09-14T00:00:00.000Z</x:v>
      </x:c>
      <x:c r="C281" s="2" t="n">
        <x:v>20</x:v>
      </x:c>
      <x:c r="D281" s="2" t="str">
        <x:v>DEMO-104</x:v>
      </x:c>
      <x:c r="E281" s="2" t="str">
        <x:v>Studio Planner</x:v>
      </x:c>
      <x:c r="F281" s="2" t="str">
        <x:v>Stationery</x:v>
      </x:c>
      <x:c r="G281" s="2" t="str">
        <x:v>Stores</x:v>
      </x:c>
      <x:c r="H281" s="2" t="str">
        <x:v>Riverside</x:v>
      </x:c>
      <x:c r="I281" s="2" t="n">
        <x:v>9</x:v>
      </x:c>
      <x:c r="J281" s="2" t="n">
        <x:v>0</x:v>
      </x:c>
      <x:c r="K281" s="2" t="n">
        <x:f>I281-J281</x:f>
        <x:v>9</x:v>
      </x:c>
      <x:c r="L281" s="16" t="n">
        <x:v>18</x:v>
      </x:c>
      <x:c r="M281" s="16" t="n">
        <x:v>18</x:v>
      </x:c>
      <x:c r="N281" s="16" t="n">
        <x:v>7.83</x:v>
      </x:c>
      <x:c r="O281" s="16" t="n">
        <x:f>K281*M281</x:f>
        <x:v>162</x:v>
      </x:c>
      <x:c r="P281" s="16" t="n">
        <x:f>K281*N281</x:f>
        <x:v>70.47</x:v>
      </x:c>
      <x:c r="Q281" s="16" t="n">
        <x:f>O281-P281</x:f>
        <x:v>91.53</x:v>
      </x:c>
      <x:c r="R281" s="2" t="n">
        <x:v>105</x:v>
      </x:c>
      <x:c r="S281" s="2" t="n">
        <x:v>0</x:v>
      </x:c>
      <x:c r="T281" s="2" t="n">
        <x:f>R281+S281+J281-I281</x:f>
        <x:v>96</x:v>
      </x:c>
      <x:c r="U281" s="2" t="n">
        <x:v>18</x:v>
      </x:c>
      <x:c r="V281" s="2" t="n">
        <x:v>2</x:v>
      </x:c>
      <x:c r="W281" s="2" t="n">
        <x:v>8</x:v>
      </x:c>
      <x:c r="X281" s="14" t="b">
        <x:v>0</x:v>
      </x:c>
      <x:c r="Y281" s="14" t="b">
        <x:v>0</x:v>
      </x:c>
      <x:c r="Z281" s="2" t="n">
        <x:f>ABS(T281-AA281)</x:f>
        <x:v>0</x:v>
      </x:c>
      <x:c r="AA281" s="2" t="n">
        <x:v>96</x:v>
      </x:c>
      <x:c r="AB281" s="2" t="n">
        <x:f>ABS(K281-W281)</x:f>
        <x:v>1</x:v>
      </x:c>
      <x:c r="AC281" s="2" t="n">
        <x:f>COUNTIF($A$2:$A$1921,A281)-1</x:f>
        <x:v>0</x:v>
      </x:c>
      <x:c r="AD281" s="2" t="n">
        <x:f>IF(AND(D281=D280,H281=H280,C281=C280+1),ABS(R281-T280),0)</x:f>
        <x:v>0</x:v>
      </x:c>
    </x:row>
    <x:row r="282" ht="23" customHeight="1">
      <x:c r="A282" s="2" t="str">
        <x:v>DEMO-104-2-1</x:v>
      </x:c>
      <x:c r="B282" s="15" t="d">
        <x:v>2026-05-04T00:00:00.000Z</x:v>
      </x:c>
      <x:c r="C282" s="2" t="n">
        <x:v>1</x:v>
      </x:c>
      <x:c r="D282" s="2" t="str">
        <x:v>DEMO-104</x:v>
      </x:c>
      <x:c r="E282" s="2" t="str">
        <x:v>Studio Planner</x:v>
      </x:c>
      <x:c r="F282" s="2" t="str">
        <x:v>Stationery</x:v>
      </x:c>
      <x:c r="G282" s="2" t="str">
        <x:v>Stores</x:v>
      </x:c>
      <x:c r="H282" s="2" t="str">
        <x:v>Central Market</x:v>
      </x:c>
      <x:c r="I282" s="2" t="n">
        <x:v>9</x:v>
      </x:c>
      <x:c r="J282" s="2" t="n">
        <x:v>0</x:v>
      </x:c>
      <x:c r="K282" s="2" t="n">
        <x:f>I282-J282</x:f>
        <x:v>9</x:v>
      </x:c>
      <x:c r="L282" s="16" t="n">
        <x:v>18</x:v>
      </x:c>
      <x:c r="M282" s="16" t="n">
        <x:v>18</x:v>
      </x:c>
      <x:c r="N282" s="16" t="n">
        <x:v>7.83</x:v>
      </x:c>
      <x:c r="O282" s="16" t="n">
        <x:f>K282*M282</x:f>
        <x:v>162</x:v>
      </x:c>
      <x:c r="P282" s="16" t="n">
        <x:f>K282*N282</x:f>
        <x:v>70.47</x:v>
      </x:c>
      <x:c r="Q282" s="16" t="n">
        <x:f>O282-P282</x:f>
        <x:v>91.53</x:v>
      </x:c>
      <x:c r="R282" s="2" t="n">
        <x:v>90</x:v>
      </x:c>
      <x:c r="S282" s="2" t="n">
        <x:v>34</x:v>
      </x:c>
      <x:c r="T282" s="2" t="n">
        <x:f>R282+S282+J282-I282</x:f>
        <x:v>115</x:v>
      </x:c>
      <x:c r="U282" s="2" t="n">
        <x:v>0</x:v>
      </x:c>
      <x:c r="V282" s="2" t="n">
        <x:v>2</x:v>
      </x:c>
      <x:c r="W282" s="2" t="n">
        <x:v>8</x:v>
      </x:c>
      <x:c r="X282" s="14" t="b">
        <x:v>0</x:v>
      </x:c>
      <x:c r="Y282" s="14" t="b">
        <x:v>0</x:v>
      </x:c>
      <x:c r="Z282" s="2" t="n">
        <x:f>ABS(T282-AA282)</x:f>
        <x:v>0</x:v>
      </x:c>
      <x:c r="AA282" s="2" t="n">
        <x:v>115</x:v>
      </x:c>
      <x:c r="AB282" s="2" t="n">
        <x:f>ABS(K282-W282)</x:f>
        <x:v>1</x:v>
      </x:c>
      <x:c r="AC282" s="2" t="n">
        <x:f>COUNTIF($A$2:$A$1921,A282)-1</x:f>
        <x:v>0</x:v>
      </x:c>
      <x:c r="AD282" s="2" t="n">
        <x:f>IF(AND(D282=D281,H282=H281,C282=C281+1),ABS(R282-T281),0)</x:f>
        <x:v>0</x:v>
      </x:c>
    </x:row>
    <x:row r="283" ht="23" customHeight="1">
      <x:c r="A283" s="2" t="str">
        <x:v>DEMO-104-2-2</x:v>
      </x:c>
      <x:c r="B283" s="15" t="d">
        <x:v>2026-05-11T00:00:00.000Z</x:v>
      </x:c>
      <x:c r="C283" s="2" t="n">
        <x:v>2</x:v>
      </x:c>
      <x:c r="D283" s="2" t="str">
        <x:v>DEMO-104</x:v>
      </x:c>
      <x:c r="E283" s="2" t="str">
        <x:v>Studio Planner</x:v>
      </x:c>
      <x:c r="F283" s="2" t="str">
        <x:v>Stationery</x:v>
      </x:c>
      <x:c r="G283" s="2" t="str">
        <x:v>Stores</x:v>
      </x:c>
      <x:c r="H283" s="2" t="str">
        <x:v>Central Market</x:v>
      </x:c>
      <x:c r="I283" s="2" t="n">
        <x:v>6</x:v>
      </x:c>
      <x:c r="J283" s="2" t="n">
        <x:v>0</x:v>
      </x:c>
      <x:c r="K283" s="2" t="n">
        <x:f>I283-J283</x:f>
        <x:v>6</x:v>
      </x:c>
      <x:c r="L283" s="16" t="n">
        <x:v>18</x:v>
      </x:c>
      <x:c r="M283" s="16" t="n">
        <x:v>18</x:v>
      </x:c>
      <x:c r="N283" s="16" t="n">
        <x:v>7.83</x:v>
      </x:c>
      <x:c r="O283" s="16" t="n">
        <x:f>K283*M283</x:f>
        <x:v>108</x:v>
      </x:c>
      <x:c r="P283" s="16" t="n">
        <x:f>K283*N283</x:f>
        <x:v>46.980000000000004</x:v>
      </x:c>
      <x:c r="Q283" s="16" t="n">
        <x:f>O283-P283</x:f>
        <x:v>61.019999999999996</x:v>
      </x:c>
      <x:c r="R283" s="2" t="n">
        <x:v>115</x:v>
      </x:c>
      <x:c r="S283" s="2" t="n">
        <x:v>0</x:v>
      </x:c>
      <x:c r="T283" s="2" t="n">
        <x:f>R283+S283+J283-I283</x:f>
        <x:v>109</x:v>
      </x:c>
      <x:c r="U283" s="2" t="n">
        <x:v>0</x:v>
      </x:c>
      <x:c r="V283" s="2" t="n">
        <x:v>2</x:v>
      </x:c>
      <x:c r="W283" s="2" t="n">
        <x:v>9</x:v>
      </x:c>
      <x:c r="X283" s="14" t="b">
        <x:v>0</x:v>
      </x:c>
      <x:c r="Y283" s="14" t="b">
        <x:v>0</x:v>
      </x:c>
      <x:c r="Z283" s="2" t="n">
        <x:f>ABS(T283-AA283)</x:f>
        <x:v>0</x:v>
      </x:c>
      <x:c r="AA283" s="2" t="n">
        <x:v>109</x:v>
      </x:c>
      <x:c r="AB283" s="2" t="n">
        <x:f>ABS(K283-W283)</x:f>
        <x:v>3</x:v>
      </x:c>
      <x:c r="AC283" s="2" t="n">
        <x:f>COUNTIF($A$2:$A$1921,A283)-1</x:f>
        <x:v>0</x:v>
      </x:c>
      <x:c r="AD283" s="2" t="n">
        <x:f>IF(AND(D283=D282,H283=H282,C283=C282+1),ABS(R283-T282),0)</x:f>
        <x:v>0</x:v>
      </x:c>
    </x:row>
    <x:row r="284" ht="23" customHeight="1">
      <x:c r="A284" s="2" t="str">
        <x:v>DEMO-104-2-3</x:v>
      </x:c>
      <x:c r="B284" s="15" t="d">
        <x:v>2026-05-18T00:00:00.000Z</x:v>
      </x:c>
      <x:c r="C284" s="2" t="n">
        <x:v>3</x:v>
      </x:c>
      <x:c r="D284" s="2" t="str">
        <x:v>DEMO-104</x:v>
      </x:c>
      <x:c r="E284" s="2" t="str">
        <x:v>Studio Planner</x:v>
      </x:c>
      <x:c r="F284" s="2" t="str">
        <x:v>Stationery</x:v>
      </x:c>
      <x:c r="G284" s="2" t="str">
        <x:v>Stores</x:v>
      </x:c>
      <x:c r="H284" s="2" t="str">
        <x:v>Central Market</x:v>
      </x:c>
      <x:c r="I284" s="2" t="n">
        <x:v>6</x:v>
      </x:c>
      <x:c r="J284" s="2" t="n">
        <x:v>0</x:v>
      </x:c>
      <x:c r="K284" s="2" t="n">
        <x:f>I284-J284</x:f>
        <x:v>6</x:v>
      </x:c>
      <x:c r="L284" s="16" t="n">
        <x:v>18</x:v>
      </x:c>
      <x:c r="M284" s="16" t="n">
        <x:v>18</x:v>
      </x:c>
      <x:c r="N284" s="16" t="n">
        <x:v>7.83</x:v>
      </x:c>
      <x:c r="O284" s="16" t="n">
        <x:f>K284*M284</x:f>
        <x:v>108</x:v>
      </x:c>
      <x:c r="P284" s="16" t="n">
        <x:f>K284*N284</x:f>
        <x:v>46.980000000000004</x:v>
      </x:c>
      <x:c r="Q284" s="16" t="n">
        <x:f>O284-P284</x:f>
        <x:v>61.019999999999996</x:v>
      </x:c>
      <x:c r="R284" s="2" t="n">
        <x:v>109</x:v>
      </x:c>
      <x:c r="S284" s="2" t="n">
        <x:v>0</x:v>
      </x:c>
      <x:c r="T284" s="2" t="n">
        <x:f>R284+S284+J284-I284</x:f>
        <x:v>103</x:v>
      </x:c>
      <x:c r="U284" s="2" t="n">
        <x:v>0</x:v>
      </x:c>
      <x:c r="V284" s="2" t="n">
        <x:v>2</x:v>
      </x:c>
      <x:c r="W284" s="2" t="n">
        <x:v>8</x:v>
      </x:c>
      <x:c r="X284" s="14" t="b">
        <x:v>0</x:v>
      </x:c>
      <x:c r="Y284" s="14" t="b">
        <x:v>0</x:v>
      </x:c>
      <x:c r="Z284" s="2" t="n">
        <x:f>ABS(T284-AA284)</x:f>
        <x:v>0</x:v>
      </x:c>
      <x:c r="AA284" s="2" t="n">
        <x:v>103</x:v>
      </x:c>
      <x:c r="AB284" s="2" t="n">
        <x:f>ABS(K284-W284)</x:f>
        <x:v>2</x:v>
      </x:c>
      <x:c r="AC284" s="2" t="n">
        <x:f>COUNTIF($A$2:$A$1921,A284)-1</x:f>
        <x:v>0</x:v>
      </x:c>
      <x:c r="AD284" s="2" t="n">
        <x:f>IF(AND(D284=D283,H284=H283,C284=C283+1),ABS(R284-T283),0)</x:f>
        <x:v>0</x:v>
      </x:c>
    </x:row>
    <x:row r="285" ht="23" customHeight="1">
      <x:c r="A285" s="2" t="str">
        <x:v>DEMO-104-2-4</x:v>
      </x:c>
      <x:c r="B285" s="15" t="d">
        <x:v>2026-05-25T00:00:00.000Z</x:v>
      </x:c>
      <x:c r="C285" s="2" t="n">
        <x:v>4</x:v>
      </x:c>
      <x:c r="D285" s="2" t="str">
        <x:v>DEMO-104</x:v>
      </x:c>
      <x:c r="E285" s="2" t="str">
        <x:v>Studio Planner</x:v>
      </x:c>
      <x:c r="F285" s="2" t="str">
        <x:v>Stationery</x:v>
      </x:c>
      <x:c r="G285" s="2" t="str">
        <x:v>Stores</x:v>
      </x:c>
      <x:c r="H285" s="2" t="str">
        <x:v>Central Market</x:v>
      </x:c>
      <x:c r="I285" s="2" t="n">
        <x:v>9</x:v>
      </x:c>
      <x:c r="J285" s="2" t="n">
        <x:v>0</x:v>
      </x:c>
      <x:c r="K285" s="2" t="n">
        <x:f>I285-J285</x:f>
        <x:v>9</x:v>
      </x:c>
      <x:c r="L285" s="16" t="n">
        <x:v>18</x:v>
      </x:c>
      <x:c r="M285" s="16" t="n">
        <x:v>18</x:v>
      </x:c>
      <x:c r="N285" s="16" t="n">
        <x:v>7.83</x:v>
      </x:c>
      <x:c r="O285" s="16" t="n">
        <x:f>K285*M285</x:f>
        <x:v>162</x:v>
      </x:c>
      <x:c r="P285" s="16" t="n">
        <x:f>K285*N285</x:f>
        <x:v>70.47</x:v>
      </x:c>
      <x:c r="Q285" s="16" t="n">
        <x:f>O285-P285</x:f>
        <x:v>91.53</x:v>
      </x:c>
      <x:c r="R285" s="2" t="n">
        <x:v>103</x:v>
      </x:c>
      <x:c r="S285" s="2" t="n">
        <x:v>0</x:v>
      </x:c>
      <x:c r="T285" s="2" t="n">
        <x:f>R285+S285+J285-I285</x:f>
        <x:v>94</x:v>
      </x:c>
      <x:c r="U285" s="2" t="n">
        <x:v>0</x:v>
      </x:c>
      <x:c r="V285" s="2" t="n">
        <x:v>2</x:v>
      </x:c>
      <x:c r="W285" s="2" t="n">
        <x:v>7</x:v>
      </x:c>
      <x:c r="X285" s="14" t="b">
        <x:v>0</x:v>
      </x:c>
      <x:c r="Y285" s="14" t="b">
        <x:v>0</x:v>
      </x:c>
      <x:c r="Z285" s="2" t="n">
        <x:f>ABS(T285-AA285)</x:f>
        <x:v>0</x:v>
      </x:c>
      <x:c r="AA285" s="2" t="n">
        <x:v>94</x:v>
      </x:c>
      <x:c r="AB285" s="2" t="n">
        <x:f>ABS(K285-W285)</x:f>
        <x:v>2</x:v>
      </x:c>
      <x:c r="AC285" s="2" t="n">
        <x:f>COUNTIF($A$2:$A$1921,A285)-1</x:f>
        <x:v>0</x:v>
      </x:c>
      <x:c r="AD285" s="2" t="n">
        <x:f>IF(AND(D285=D284,H285=H284,C285=C284+1),ABS(R285-T284),0)</x:f>
        <x:v>0</x:v>
      </x:c>
    </x:row>
    <x:row r="286" ht="23" customHeight="1">
      <x:c r="A286" s="2" t="str">
        <x:v>DEMO-104-2-5</x:v>
      </x:c>
      <x:c r="B286" s="15" t="d">
        <x:v>2026-06-01T00:00:00.000Z</x:v>
      </x:c>
      <x:c r="C286" s="2" t="n">
        <x:v>5</x:v>
      </x:c>
      <x:c r="D286" s="2" t="str">
        <x:v>DEMO-104</x:v>
      </x:c>
      <x:c r="E286" s="2" t="str">
        <x:v>Studio Planner</x:v>
      </x:c>
      <x:c r="F286" s="2" t="str">
        <x:v>Stationery</x:v>
      </x:c>
      <x:c r="G286" s="2" t="str">
        <x:v>Stores</x:v>
      </x:c>
      <x:c r="H286" s="2" t="str">
        <x:v>Central Market</x:v>
      </x:c>
      <x:c r="I286" s="2" t="n">
        <x:v>9</x:v>
      </x:c>
      <x:c r="J286" s="2" t="n">
        <x:v>0</x:v>
      </x:c>
      <x:c r="K286" s="2" t="n">
        <x:f>I286-J286</x:f>
        <x:v>9</x:v>
      </x:c>
      <x:c r="L286" s="16" t="n">
        <x:v>18</x:v>
      </x:c>
      <x:c r="M286" s="16" t="n">
        <x:v>18</x:v>
      </x:c>
      <x:c r="N286" s="16" t="n">
        <x:v>7.83</x:v>
      </x:c>
      <x:c r="O286" s="16" t="n">
        <x:f>K286*M286</x:f>
        <x:v>162</x:v>
      </x:c>
      <x:c r="P286" s="16" t="n">
        <x:f>K286*N286</x:f>
        <x:v>70.47</x:v>
      </x:c>
      <x:c r="Q286" s="16" t="n">
        <x:f>O286-P286</x:f>
        <x:v>91.53</x:v>
      </x:c>
      <x:c r="R286" s="2" t="n">
        <x:v>94</x:v>
      </x:c>
      <x:c r="S286" s="2" t="n">
        <x:v>34</x:v>
      </x:c>
      <x:c r="T286" s="2" t="n">
        <x:f>R286+S286+J286-I286</x:f>
        <x:v>119</x:v>
      </x:c>
      <x:c r="U286" s="2" t="n">
        <x:v>0</x:v>
      </x:c>
      <x:c r="V286" s="2" t="n">
        <x:v>2</x:v>
      </x:c>
      <x:c r="W286" s="2" t="n">
        <x:v>8</x:v>
      </x:c>
      <x:c r="X286" s="14" t="b">
        <x:v>0</x:v>
      </x:c>
      <x:c r="Y286" s="14" t="b">
        <x:v>0</x:v>
      </x:c>
      <x:c r="Z286" s="2" t="n">
        <x:f>ABS(T286-AA286)</x:f>
        <x:v>0</x:v>
      </x:c>
      <x:c r="AA286" s="2" t="n">
        <x:v>119</x:v>
      </x:c>
      <x:c r="AB286" s="2" t="n">
        <x:f>ABS(K286-W286)</x:f>
        <x:v>1</x:v>
      </x:c>
      <x:c r="AC286" s="2" t="n">
        <x:f>COUNTIF($A$2:$A$1921,A286)-1</x:f>
        <x:v>0</x:v>
      </x:c>
      <x:c r="AD286" s="2" t="n">
        <x:f>IF(AND(D286=D285,H286=H285,C286=C285+1),ABS(R286-T285),0)</x:f>
        <x:v>0</x:v>
      </x:c>
    </x:row>
    <x:row r="287" ht="23" customHeight="1">
      <x:c r="A287" s="2" t="str">
        <x:v>DEMO-104-2-6</x:v>
      </x:c>
      <x:c r="B287" s="15" t="d">
        <x:v>2026-06-08T00:00:00.000Z</x:v>
      </x:c>
      <x:c r="C287" s="2" t="n">
        <x:v>6</x:v>
      </x:c>
      <x:c r="D287" s="2" t="str">
        <x:v>DEMO-104</x:v>
      </x:c>
      <x:c r="E287" s="2" t="str">
        <x:v>Studio Planner</x:v>
      </x:c>
      <x:c r="F287" s="2" t="str">
        <x:v>Stationery</x:v>
      </x:c>
      <x:c r="G287" s="2" t="str">
        <x:v>Stores</x:v>
      </x:c>
      <x:c r="H287" s="2" t="str">
        <x:v>Central Market</x:v>
      </x:c>
      <x:c r="I287" s="2" t="n">
        <x:v>8</x:v>
      </x:c>
      <x:c r="J287" s="2" t="n">
        <x:v>0</x:v>
      </x:c>
      <x:c r="K287" s="2" t="n">
        <x:f>I287-J287</x:f>
        <x:v>8</x:v>
      </x:c>
      <x:c r="L287" s="16" t="n">
        <x:v>18</x:v>
      </x:c>
      <x:c r="M287" s="16" t="n">
        <x:v>18</x:v>
      </x:c>
      <x:c r="N287" s="16" t="n">
        <x:v>7.83</x:v>
      </x:c>
      <x:c r="O287" s="16" t="n">
        <x:f>K287*M287</x:f>
        <x:v>144</x:v>
      </x:c>
      <x:c r="P287" s="16" t="n">
        <x:f>K287*N287</x:f>
        <x:v>62.64</x:v>
      </x:c>
      <x:c r="Q287" s="16" t="n">
        <x:f>O287-P287</x:f>
        <x:v>81.36</x:v>
      </x:c>
      <x:c r="R287" s="2" t="n">
        <x:v>119</x:v>
      </x:c>
      <x:c r="S287" s="2" t="n">
        <x:v>0</x:v>
      </x:c>
      <x:c r="T287" s="2" t="n">
        <x:f>R287+S287+J287-I287</x:f>
        <x:v>111</x:v>
      </x:c>
      <x:c r="U287" s="2" t="n">
        <x:v>0</x:v>
      </x:c>
      <x:c r="V287" s="2" t="n">
        <x:v>2</x:v>
      </x:c>
      <x:c r="W287" s="2" t="n">
        <x:v>8</x:v>
      </x:c>
      <x:c r="X287" s="14" t="b">
        <x:v>0</x:v>
      </x:c>
      <x:c r="Y287" s="14" t="b">
        <x:v>0</x:v>
      </x:c>
      <x:c r="Z287" s="2" t="n">
        <x:f>ABS(T287-AA287)</x:f>
        <x:v>0</x:v>
      </x:c>
      <x:c r="AA287" s="2" t="n">
        <x:v>111</x:v>
      </x:c>
      <x:c r="AB287" s="2" t="n">
        <x:f>ABS(K287-W287)</x:f>
        <x:v>0</x:v>
      </x:c>
      <x:c r="AC287" s="2" t="n">
        <x:f>COUNTIF($A$2:$A$1921,A287)-1</x:f>
        <x:v>0</x:v>
      </x:c>
      <x:c r="AD287" s="2" t="n">
        <x:f>IF(AND(D287=D286,H287=H286,C287=C286+1),ABS(R287-T286),0)</x:f>
        <x:v>0</x:v>
      </x:c>
    </x:row>
    <x:row r="288" ht="23" customHeight="1">
      <x:c r="A288" s="2" t="str">
        <x:v>DEMO-104-2-7</x:v>
      </x:c>
      <x:c r="B288" s="15" t="d">
        <x:v>2026-06-15T00:00:00.000Z</x:v>
      </x:c>
      <x:c r="C288" s="2" t="n">
        <x:v>7</x:v>
      </x:c>
      <x:c r="D288" s="2" t="str">
        <x:v>DEMO-104</x:v>
      </x:c>
      <x:c r="E288" s="2" t="str">
        <x:v>Studio Planner</x:v>
      </x:c>
      <x:c r="F288" s="2" t="str">
        <x:v>Stationery</x:v>
      </x:c>
      <x:c r="G288" s="2" t="str">
        <x:v>Stores</x:v>
      </x:c>
      <x:c r="H288" s="2" t="str">
        <x:v>Central Market</x:v>
      </x:c>
      <x:c r="I288" s="2" t="n">
        <x:v>9</x:v>
      </x:c>
      <x:c r="J288" s="2" t="n">
        <x:v>0</x:v>
      </x:c>
      <x:c r="K288" s="2" t="n">
        <x:f>I288-J288</x:f>
        <x:v>9</x:v>
      </x:c>
      <x:c r="L288" s="16" t="n">
        <x:v>18</x:v>
      </x:c>
      <x:c r="M288" s="16" t="n">
        <x:v>18</x:v>
      </x:c>
      <x:c r="N288" s="16" t="n">
        <x:v>7.83</x:v>
      </x:c>
      <x:c r="O288" s="16" t="n">
        <x:f>K288*M288</x:f>
        <x:v>162</x:v>
      </x:c>
      <x:c r="P288" s="16" t="n">
        <x:f>K288*N288</x:f>
        <x:v>70.47</x:v>
      </x:c>
      <x:c r="Q288" s="16" t="n">
        <x:f>O288-P288</x:f>
        <x:v>91.53</x:v>
      </x:c>
      <x:c r="R288" s="2" t="n">
        <x:v>111</x:v>
      </x:c>
      <x:c r="S288" s="2" t="n">
        <x:v>0</x:v>
      </x:c>
      <x:c r="T288" s="2" t="n">
        <x:f>R288+S288+J288-I288</x:f>
        <x:v>102</x:v>
      </x:c>
      <x:c r="U288" s="2" t="n">
        <x:v>0</x:v>
      </x:c>
      <x:c r="V288" s="2" t="n">
        <x:v>2</x:v>
      </x:c>
      <x:c r="W288" s="2" t="n">
        <x:v>8</x:v>
      </x:c>
      <x:c r="X288" s="14" t="b">
        <x:v>0</x:v>
      </x:c>
      <x:c r="Y288" s="14" t="b">
        <x:v>0</x:v>
      </x:c>
      <x:c r="Z288" s="2" t="n">
        <x:f>ABS(T288-AA288)</x:f>
        <x:v>0</x:v>
      </x:c>
      <x:c r="AA288" s="2" t="n">
        <x:v>102</x:v>
      </x:c>
      <x:c r="AB288" s="2" t="n">
        <x:f>ABS(K288-W288)</x:f>
        <x:v>1</x:v>
      </x:c>
      <x:c r="AC288" s="2" t="n">
        <x:f>COUNTIF($A$2:$A$1921,A288)-1</x:f>
        <x:v>0</x:v>
      </x:c>
      <x:c r="AD288" s="2" t="n">
        <x:f>IF(AND(D288=D287,H288=H287,C288=C287+1),ABS(R288-T287),0)</x:f>
        <x:v>0</x:v>
      </x:c>
    </x:row>
    <x:row r="289" ht="23" customHeight="1">
      <x:c r="A289" s="2" t="str">
        <x:v>DEMO-104-2-8</x:v>
      </x:c>
      <x:c r="B289" s="15" t="d">
        <x:v>2026-06-22T00:00:00.000Z</x:v>
      </x:c>
      <x:c r="C289" s="2" t="n">
        <x:v>8</x:v>
      </x:c>
      <x:c r="D289" s="2" t="str">
        <x:v>DEMO-104</x:v>
      </x:c>
      <x:c r="E289" s="2" t="str">
        <x:v>Studio Planner</x:v>
      </x:c>
      <x:c r="F289" s="2" t="str">
        <x:v>Stationery</x:v>
      </x:c>
      <x:c r="G289" s="2" t="str">
        <x:v>Stores</x:v>
      </x:c>
      <x:c r="H289" s="2" t="str">
        <x:v>Central Market</x:v>
      </x:c>
      <x:c r="I289" s="2" t="n">
        <x:v>7</x:v>
      </x:c>
      <x:c r="J289" s="2" t="n">
        <x:v>1</x:v>
      </x:c>
      <x:c r="K289" s="2" t="n">
        <x:f>I289-J289</x:f>
        <x:v>6</x:v>
      </x:c>
      <x:c r="L289" s="16" t="n">
        <x:v>18</x:v>
      </x:c>
      <x:c r="M289" s="16" t="n">
        <x:v>18</x:v>
      </x:c>
      <x:c r="N289" s="16" t="n">
        <x:v>7.83</x:v>
      </x:c>
      <x:c r="O289" s="16" t="n">
        <x:f>K289*M289</x:f>
        <x:v>108</x:v>
      </x:c>
      <x:c r="P289" s="16" t="n">
        <x:f>K289*N289</x:f>
        <x:v>46.980000000000004</x:v>
      </x:c>
      <x:c r="Q289" s="16" t="n">
        <x:f>O289-P289</x:f>
        <x:v>61.019999999999996</x:v>
      </x:c>
      <x:c r="R289" s="2" t="n">
        <x:v>102</x:v>
      </x:c>
      <x:c r="S289" s="2" t="n">
        <x:v>0</x:v>
      </x:c>
      <x:c r="T289" s="2" t="n">
        <x:f>R289+S289+J289-I289</x:f>
        <x:v>96</x:v>
      </x:c>
      <x:c r="U289" s="2" t="n">
        <x:v>0</x:v>
      </x:c>
      <x:c r="V289" s="2" t="n">
        <x:v>2</x:v>
      </x:c>
      <x:c r="W289" s="2" t="n">
        <x:v>9</x:v>
      </x:c>
      <x:c r="X289" s="14" t="b">
        <x:v>0</x:v>
      </x:c>
      <x:c r="Y289" s="14" t="b">
        <x:v>0</x:v>
      </x:c>
      <x:c r="Z289" s="2" t="n">
        <x:f>ABS(T289-AA289)</x:f>
        <x:v>0</x:v>
      </x:c>
      <x:c r="AA289" s="2" t="n">
        <x:v>96</x:v>
      </x:c>
      <x:c r="AB289" s="2" t="n">
        <x:f>ABS(K289-W289)</x:f>
        <x:v>3</x:v>
      </x:c>
      <x:c r="AC289" s="2" t="n">
        <x:f>COUNTIF($A$2:$A$1921,A289)-1</x:f>
        <x:v>0</x:v>
      </x:c>
      <x:c r="AD289" s="2" t="n">
        <x:f>IF(AND(D289=D288,H289=H288,C289=C288+1),ABS(R289-T288),0)</x:f>
        <x:v>0</x:v>
      </x:c>
    </x:row>
    <x:row r="290" ht="23" customHeight="1">
      <x:c r="A290" s="2" t="str">
        <x:v>DEMO-104-2-9</x:v>
      </x:c>
      <x:c r="B290" s="15" t="d">
        <x:v>2026-06-29T00:00:00.000Z</x:v>
      </x:c>
      <x:c r="C290" s="2" t="n">
        <x:v>9</x:v>
      </x:c>
      <x:c r="D290" s="2" t="str">
        <x:v>DEMO-104</x:v>
      </x:c>
      <x:c r="E290" s="2" t="str">
        <x:v>Studio Planner</x:v>
      </x:c>
      <x:c r="F290" s="2" t="str">
        <x:v>Stationery</x:v>
      </x:c>
      <x:c r="G290" s="2" t="str">
        <x:v>Stores</x:v>
      </x:c>
      <x:c r="H290" s="2" t="str">
        <x:v>Central Market</x:v>
      </x:c>
      <x:c r="I290" s="2" t="n">
        <x:v>9</x:v>
      </x:c>
      <x:c r="J290" s="2" t="n">
        <x:v>1</x:v>
      </x:c>
      <x:c r="K290" s="2" t="n">
        <x:f>I290-J290</x:f>
        <x:v>8</x:v>
      </x:c>
      <x:c r="L290" s="16" t="n">
        <x:v>18</x:v>
      </x:c>
      <x:c r="M290" s="16" t="n">
        <x:v>18</x:v>
      </x:c>
      <x:c r="N290" s="16" t="n">
        <x:v>7.83</x:v>
      </x:c>
      <x:c r="O290" s="16" t="n">
        <x:f>K290*M290</x:f>
        <x:v>144</x:v>
      </x:c>
      <x:c r="P290" s="16" t="n">
        <x:f>K290*N290</x:f>
        <x:v>62.64</x:v>
      </x:c>
      <x:c r="Q290" s="16" t="n">
        <x:f>O290-P290</x:f>
        <x:v>81.36</x:v>
      </x:c>
      <x:c r="R290" s="2" t="n">
        <x:v>96</x:v>
      </x:c>
      <x:c r="S290" s="2" t="n">
        <x:v>34</x:v>
      </x:c>
      <x:c r="T290" s="2" t="n">
        <x:f>R290+S290+J290-I290</x:f>
        <x:v>122</x:v>
      </x:c>
      <x:c r="U290" s="2" t="n">
        <x:v>0</x:v>
      </x:c>
      <x:c r="V290" s="2" t="n">
        <x:v>2</x:v>
      </x:c>
      <x:c r="W290" s="2" t="n">
        <x:v>8</x:v>
      </x:c>
      <x:c r="X290" s="14" t="b">
        <x:v>0</x:v>
      </x:c>
      <x:c r="Y290" s="14" t="b">
        <x:v>0</x:v>
      </x:c>
      <x:c r="Z290" s="2" t="n">
        <x:f>ABS(T290-AA290)</x:f>
        <x:v>0</x:v>
      </x:c>
      <x:c r="AA290" s="2" t="n">
        <x:v>122</x:v>
      </x:c>
      <x:c r="AB290" s="2" t="n">
        <x:f>ABS(K290-W290)</x:f>
        <x:v>0</x:v>
      </x:c>
      <x:c r="AC290" s="2" t="n">
        <x:f>COUNTIF($A$2:$A$1921,A290)-1</x:f>
        <x:v>0</x:v>
      </x:c>
      <x:c r="AD290" s="2" t="n">
        <x:f>IF(AND(D290=D289,H290=H289,C290=C289+1),ABS(R290-T289),0)</x:f>
        <x:v>0</x:v>
      </x:c>
    </x:row>
    <x:row r="291" ht="23" customHeight="1">
      <x:c r="A291" s="2" t="str">
        <x:v>DEMO-104-2-10</x:v>
      </x:c>
      <x:c r="B291" s="15" t="d">
        <x:v>2026-07-06T00:00:00.000Z</x:v>
      </x:c>
      <x:c r="C291" s="2" t="n">
        <x:v>10</x:v>
      </x:c>
      <x:c r="D291" s="2" t="str">
        <x:v>DEMO-104</x:v>
      </x:c>
      <x:c r="E291" s="2" t="str">
        <x:v>Studio Planner</x:v>
      </x:c>
      <x:c r="F291" s="2" t="str">
        <x:v>Stationery</x:v>
      </x:c>
      <x:c r="G291" s="2" t="str">
        <x:v>Stores</x:v>
      </x:c>
      <x:c r="H291" s="2" t="str">
        <x:v>Central Market</x:v>
      </x:c>
      <x:c r="I291" s="2" t="n">
        <x:v>8</x:v>
      </x:c>
      <x:c r="J291" s="2" t="n">
        <x:v>0</x:v>
      </x:c>
      <x:c r="K291" s="2" t="n">
        <x:f>I291-J291</x:f>
        <x:v>8</x:v>
      </x:c>
      <x:c r="L291" s="16" t="n">
        <x:v>18</x:v>
      </x:c>
      <x:c r="M291" s="16" t="n">
        <x:v>18</x:v>
      </x:c>
      <x:c r="N291" s="16" t="n">
        <x:v>7.83</x:v>
      </x:c>
      <x:c r="O291" s="16" t="n">
        <x:f>K291*M291</x:f>
        <x:v>144</x:v>
      </x:c>
      <x:c r="P291" s="16" t="n">
        <x:f>K291*N291</x:f>
        <x:v>62.64</x:v>
      </x:c>
      <x:c r="Q291" s="16" t="n">
        <x:f>O291-P291</x:f>
        <x:v>81.36</x:v>
      </x:c>
      <x:c r="R291" s="2" t="n">
        <x:v>122</x:v>
      </x:c>
      <x:c r="S291" s="2" t="n">
        <x:v>0</x:v>
      </x:c>
      <x:c r="T291" s="2" t="n">
        <x:f>R291+S291+J291-I291</x:f>
        <x:v>114</x:v>
      </x:c>
      <x:c r="U291" s="2" t="n">
        <x:v>0</x:v>
      </x:c>
      <x:c r="V291" s="2" t="n">
        <x:v>2</x:v>
      </x:c>
      <x:c r="W291" s="2" t="n">
        <x:v>8</x:v>
      </x:c>
      <x:c r="X291" s="14" t="b">
        <x:v>0</x:v>
      </x:c>
      <x:c r="Y291" s="14" t="b">
        <x:v>0</x:v>
      </x:c>
      <x:c r="Z291" s="2" t="n">
        <x:f>ABS(T291-AA291)</x:f>
        <x:v>0</x:v>
      </x:c>
      <x:c r="AA291" s="2" t="n">
        <x:v>114</x:v>
      </x:c>
      <x:c r="AB291" s="2" t="n">
        <x:f>ABS(K291-W291)</x:f>
        <x:v>0</x:v>
      </x:c>
      <x:c r="AC291" s="2" t="n">
        <x:f>COUNTIF($A$2:$A$1921,A291)-1</x:f>
        <x:v>0</x:v>
      </x:c>
      <x:c r="AD291" s="2" t="n">
        <x:f>IF(AND(D291=D290,H291=H290,C291=C290+1),ABS(R291-T290),0)</x:f>
        <x:v>0</x:v>
      </x:c>
    </x:row>
    <x:row r="292" ht="23" customHeight="1">
      <x:c r="A292" s="2" t="str">
        <x:v>DEMO-104-2-11</x:v>
      </x:c>
      <x:c r="B292" s="15" t="d">
        <x:v>2026-07-13T00:00:00.000Z</x:v>
      </x:c>
      <x:c r="C292" s="2" t="n">
        <x:v>11</x:v>
      </x:c>
      <x:c r="D292" s="2" t="str">
        <x:v>DEMO-104</x:v>
      </x:c>
      <x:c r="E292" s="2" t="str">
        <x:v>Studio Planner</x:v>
      </x:c>
      <x:c r="F292" s="2" t="str">
        <x:v>Stationery</x:v>
      </x:c>
      <x:c r="G292" s="2" t="str">
        <x:v>Stores</x:v>
      </x:c>
      <x:c r="H292" s="2" t="str">
        <x:v>Central Market</x:v>
      </x:c>
      <x:c r="I292" s="2" t="n">
        <x:v>9</x:v>
      </x:c>
      <x:c r="J292" s="2" t="n">
        <x:v>0</x:v>
      </x:c>
      <x:c r="K292" s="2" t="n">
        <x:f>I292-J292</x:f>
        <x:v>9</x:v>
      </x:c>
      <x:c r="L292" s="16" t="n">
        <x:v>18</x:v>
      </x:c>
      <x:c r="M292" s="16" t="n">
        <x:v>18</x:v>
      </x:c>
      <x:c r="N292" s="16" t="n">
        <x:v>7.83</x:v>
      </x:c>
      <x:c r="O292" s="16" t="n">
        <x:f>K292*M292</x:f>
        <x:v>162</x:v>
      </x:c>
      <x:c r="P292" s="16" t="n">
        <x:f>K292*N292</x:f>
        <x:v>70.47</x:v>
      </x:c>
      <x:c r="Q292" s="16" t="n">
        <x:f>O292-P292</x:f>
        <x:v>91.53</x:v>
      </x:c>
      <x:c r="R292" s="2" t="n">
        <x:v>114</x:v>
      </x:c>
      <x:c r="S292" s="2" t="n">
        <x:v>0</x:v>
      </x:c>
      <x:c r="T292" s="2" t="n">
        <x:f>R292+S292+J292-I292</x:f>
        <x:v>105</x:v>
      </x:c>
      <x:c r="U292" s="2" t="n">
        <x:v>0</x:v>
      </x:c>
      <x:c r="V292" s="2" t="n">
        <x:v>2</x:v>
      </x:c>
      <x:c r="W292" s="2" t="n">
        <x:v>8</x:v>
      </x:c>
      <x:c r="X292" s="14" t="b">
        <x:v>0</x:v>
      </x:c>
      <x:c r="Y292" s="14" t="b">
        <x:v>0</x:v>
      </x:c>
      <x:c r="Z292" s="2" t="n">
        <x:f>ABS(T292-AA292)</x:f>
        <x:v>0</x:v>
      </x:c>
      <x:c r="AA292" s="2" t="n">
        <x:v>105</x:v>
      </x:c>
      <x:c r="AB292" s="2" t="n">
        <x:f>ABS(K292-W292)</x:f>
        <x:v>1</x:v>
      </x:c>
      <x:c r="AC292" s="2" t="n">
        <x:f>COUNTIF($A$2:$A$1921,A292)-1</x:f>
        <x:v>0</x:v>
      </x:c>
      <x:c r="AD292" s="2" t="n">
        <x:f>IF(AND(D292=D291,H292=H291,C292=C291+1),ABS(R292-T291),0)</x:f>
        <x:v>0</x:v>
      </x:c>
    </x:row>
    <x:row r="293" ht="23" customHeight="1">
      <x:c r="A293" s="2" t="str">
        <x:v>DEMO-104-2-12</x:v>
      </x:c>
      <x:c r="B293" s="15" t="d">
        <x:v>2026-07-20T00:00:00.000Z</x:v>
      </x:c>
      <x:c r="C293" s="2" t="n">
        <x:v>12</x:v>
      </x:c>
      <x:c r="D293" s="2" t="str">
        <x:v>DEMO-104</x:v>
      </x:c>
      <x:c r="E293" s="2" t="str">
        <x:v>Studio Planner</x:v>
      </x:c>
      <x:c r="F293" s="2" t="str">
        <x:v>Stationery</x:v>
      </x:c>
      <x:c r="G293" s="2" t="str">
        <x:v>Stores</x:v>
      </x:c>
      <x:c r="H293" s="2" t="str">
        <x:v>Central Market</x:v>
      </x:c>
      <x:c r="I293" s="2" t="n">
        <x:v>6</x:v>
      </x:c>
      <x:c r="J293" s="2" t="n">
        <x:v>0</x:v>
      </x:c>
      <x:c r="K293" s="2" t="n">
        <x:f>I293-J293</x:f>
        <x:v>6</x:v>
      </x:c>
      <x:c r="L293" s="16" t="n">
        <x:v>18</x:v>
      </x:c>
      <x:c r="M293" s="16" t="n">
        <x:v>18</x:v>
      </x:c>
      <x:c r="N293" s="16" t="n">
        <x:v>7.83</x:v>
      </x:c>
      <x:c r="O293" s="16" t="n">
        <x:f>K293*M293</x:f>
        <x:v>108</x:v>
      </x:c>
      <x:c r="P293" s="16" t="n">
        <x:f>K293*N293</x:f>
        <x:v>46.980000000000004</x:v>
      </x:c>
      <x:c r="Q293" s="16" t="n">
        <x:f>O293-P293</x:f>
        <x:v>61.019999999999996</x:v>
      </x:c>
      <x:c r="R293" s="2" t="n">
        <x:v>105</x:v>
      </x:c>
      <x:c r="S293" s="2" t="n">
        <x:v>0</x:v>
      </x:c>
      <x:c r="T293" s="2" t="n">
        <x:f>R293+S293+J293-I293</x:f>
        <x:v>99</x:v>
      </x:c>
      <x:c r="U293" s="2" t="n">
        <x:v>0</x:v>
      </x:c>
      <x:c r="V293" s="2" t="n">
        <x:v>2</x:v>
      </x:c>
      <x:c r="W293" s="2" t="n">
        <x:v>8</x:v>
      </x:c>
      <x:c r="X293" s="14" t="b">
        <x:v>0</x:v>
      </x:c>
      <x:c r="Y293" s="14" t="b">
        <x:v>0</x:v>
      </x:c>
      <x:c r="Z293" s="2" t="n">
        <x:f>ABS(T293-AA293)</x:f>
        <x:v>0</x:v>
      </x:c>
      <x:c r="AA293" s="2" t="n">
        <x:v>99</x:v>
      </x:c>
      <x:c r="AB293" s="2" t="n">
        <x:f>ABS(K293-W293)</x:f>
        <x:v>2</x:v>
      </x:c>
      <x:c r="AC293" s="2" t="n">
        <x:f>COUNTIF($A$2:$A$1921,A293)-1</x:f>
        <x:v>0</x:v>
      </x:c>
      <x:c r="AD293" s="2" t="n">
        <x:f>IF(AND(D293=D292,H293=H292,C293=C292+1),ABS(R293-T292),0)</x:f>
        <x:v>0</x:v>
      </x:c>
    </x:row>
    <x:row r="294" ht="23" customHeight="1">
      <x:c r="A294" s="2" t="str">
        <x:v>DEMO-104-2-13</x:v>
      </x:c>
      <x:c r="B294" s="15" t="d">
        <x:v>2026-07-27T00:00:00.000Z</x:v>
      </x:c>
      <x:c r="C294" s="2" t="n">
        <x:v>13</x:v>
      </x:c>
      <x:c r="D294" s="2" t="str">
        <x:v>DEMO-104</x:v>
      </x:c>
      <x:c r="E294" s="2" t="str">
        <x:v>Studio Planner</x:v>
      </x:c>
      <x:c r="F294" s="2" t="str">
        <x:v>Stationery</x:v>
      </x:c>
      <x:c r="G294" s="2" t="str">
        <x:v>Stores</x:v>
      </x:c>
      <x:c r="H294" s="2" t="str">
        <x:v>Central Market</x:v>
      </x:c>
      <x:c r="I294" s="2" t="n">
        <x:v>9</x:v>
      </x:c>
      <x:c r="J294" s="2" t="n">
        <x:v>0</x:v>
      </x:c>
      <x:c r="K294" s="2" t="n">
        <x:f>I294-J294</x:f>
        <x:v>9</x:v>
      </x:c>
      <x:c r="L294" s="16" t="n">
        <x:v>18</x:v>
      </x:c>
      <x:c r="M294" s="16" t="n">
        <x:v>18</x:v>
      </x:c>
      <x:c r="N294" s="16" t="n">
        <x:v>7.83</x:v>
      </x:c>
      <x:c r="O294" s="16" t="n">
        <x:f>K294*M294</x:f>
        <x:v>162</x:v>
      </x:c>
      <x:c r="P294" s="16" t="n">
        <x:f>K294*N294</x:f>
        <x:v>70.47</x:v>
      </x:c>
      <x:c r="Q294" s="16" t="n">
        <x:f>O294-P294</x:f>
        <x:v>91.53</x:v>
      </x:c>
      <x:c r="R294" s="2" t="n">
        <x:v>99</x:v>
      </x:c>
      <x:c r="S294" s="2" t="n">
        <x:v>34</x:v>
      </x:c>
      <x:c r="T294" s="2" t="n">
        <x:f>R294+S294+J294-I294</x:f>
        <x:v>124</x:v>
      </x:c>
      <x:c r="U294" s="2" t="n">
        <x:v>0</x:v>
      </x:c>
      <x:c r="V294" s="2" t="n">
        <x:v>2</x:v>
      </x:c>
      <x:c r="W294" s="2" t="n">
        <x:v>8</x:v>
      </x:c>
      <x:c r="X294" s="14" t="b">
        <x:v>0</x:v>
      </x:c>
      <x:c r="Y294" s="14" t="b">
        <x:v>0</x:v>
      </x:c>
      <x:c r="Z294" s="2" t="n">
        <x:f>ABS(T294-AA294)</x:f>
        <x:v>0</x:v>
      </x:c>
      <x:c r="AA294" s="2" t="n">
        <x:v>124</x:v>
      </x:c>
      <x:c r="AB294" s="2" t="n">
        <x:f>ABS(K294-W294)</x:f>
        <x:v>1</x:v>
      </x:c>
      <x:c r="AC294" s="2" t="n">
        <x:f>COUNTIF($A$2:$A$1921,A294)-1</x:f>
        <x:v>0</x:v>
      </x:c>
      <x:c r="AD294" s="2" t="n">
        <x:f>IF(AND(D294=D293,H294=H293,C294=C293+1),ABS(R294-T293),0)</x:f>
        <x:v>0</x:v>
      </x:c>
    </x:row>
    <x:row r="295" ht="23" customHeight="1">
      <x:c r="A295" s="2" t="str">
        <x:v>DEMO-104-2-14</x:v>
      </x:c>
      <x:c r="B295" s="15" t="d">
        <x:v>2026-08-03T00:00:00.000Z</x:v>
      </x:c>
      <x:c r="C295" s="2" t="n">
        <x:v>14</x:v>
      </x:c>
      <x:c r="D295" s="2" t="str">
        <x:v>DEMO-104</x:v>
      </x:c>
      <x:c r="E295" s="2" t="str">
        <x:v>Studio Planner</x:v>
      </x:c>
      <x:c r="F295" s="2" t="str">
        <x:v>Stationery</x:v>
      </x:c>
      <x:c r="G295" s="2" t="str">
        <x:v>Stores</x:v>
      </x:c>
      <x:c r="H295" s="2" t="str">
        <x:v>Central Market</x:v>
      </x:c>
      <x:c r="I295" s="2" t="n">
        <x:v>8</x:v>
      </x:c>
      <x:c r="J295" s="2" t="n">
        <x:v>0</x:v>
      </x:c>
      <x:c r="K295" s="2" t="n">
        <x:f>I295-J295</x:f>
        <x:v>8</x:v>
      </x:c>
      <x:c r="L295" s="16" t="n">
        <x:v>18</x:v>
      </x:c>
      <x:c r="M295" s="16" t="n">
        <x:v>18</x:v>
      </x:c>
      <x:c r="N295" s="16" t="n">
        <x:v>7.83</x:v>
      </x:c>
      <x:c r="O295" s="16" t="n">
        <x:f>K295*M295</x:f>
        <x:v>144</x:v>
      </x:c>
      <x:c r="P295" s="16" t="n">
        <x:f>K295*N295</x:f>
        <x:v>62.64</x:v>
      </x:c>
      <x:c r="Q295" s="16" t="n">
        <x:f>O295-P295</x:f>
        <x:v>81.36</x:v>
      </x:c>
      <x:c r="R295" s="2" t="n">
        <x:v>124</x:v>
      </x:c>
      <x:c r="S295" s="2" t="n">
        <x:v>0</x:v>
      </x:c>
      <x:c r="T295" s="2" t="n">
        <x:f>R295+S295+J295-I295</x:f>
        <x:v>116</x:v>
      </x:c>
      <x:c r="U295" s="2" t="n">
        <x:v>0</x:v>
      </x:c>
      <x:c r="V295" s="2" t="n">
        <x:v>2</x:v>
      </x:c>
      <x:c r="W295" s="2" t="n">
        <x:v>8</x:v>
      </x:c>
      <x:c r="X295" s="14" t="b">
        <x:v>0</x:v>
      </x:c>
      <x:c r="Y295" s="14" t="b">
        <x:v>0</x:v>
      </x:c>
      <x:c r="Z295" s="2" t="n">
        <x:f>ABS(T295-AA295)</x:f>
        <x:v>0</x:v>
      </x:c>
      <x:c r="AA295" s="2" t="n">
        <x:v>116</x:v>
      </x:c>
      <x:c r="AB295" s="2" t="n">
        <x:f>ABS(K295-W295)</x:f>
        <x:v>0</x:v>
      </x:c>
      <x:c r="AC295" s="2" t="n">
        <x:f>COUNTIF($A$2:$A$1921,A295)-1</x:f>
        <x:v>0</x:v>
      </x:c>
      <x:c r="AD295" s="2" t="n">
        <x:f>IF(AND(D295=D294,H295=H294,C295=C294+1),ABS(R295-T294),0)</x:f>
        <x:v>0</x:v>
      </x:c>
    </x:row>
    <x:row r="296" ht="23" customHeight="1">
      <x:c r="A296" s="2" t="str">
        <x:v>DEMO-104-2-15</x:v>
      </x:c>
      <x:c r="B296" s="15" t="d">
        <x:v>2026-08-10T00:00:00.000Z</x:v>
      </x:c>
      <x:c r="C296" s="2" t="n">
        <x:v>15</x:v>
      </x:c>
      <x:c r="D296" s="2" t="str">
        <x:v>DEMO-104</x:v>
      </x:c>
      <x:c r="E296" s="2" t="str">
        <x:v>Studio Planner</x:v>
      </x:c>
      <x:c r="F296" s="2" t="str">
        <x:v>Stationery</x:v>
      </x:c>
      <x:c r="G296" s="2" t="str">
        <x:v>Stores</x:v>
      </x:c>
      <x:c r="H296" s="2" t="str">
        <x:v>Central Market</x:v>
      </x:c>
      <x:c r="I296" s="2" t="n">
        <x:v>7</x:v>
      </x:c>
      <x:c r="J296" s="2" t="n">
        <x:v>0</x:v>
      </x:c>
      <x:c r="K296" s="2" t="n">
        <x:f>I296-J296</x:f>
        <x:v>7</x:v>
      </x:c>
      <x:c r="L296" s="16" t="n">
        <x:v>18</x:v>
      </x:c>
      <x:c r="M296" s="16" t="n">
        <x:v>18</x:v>
      </x:c>
      <x:c r="N296" s="16" t="n">
        <x:v>7.83</x:v>
      </x:c>
      <x:c r="O296" s="16" t="n">
        <x:f>K296*M296</x:f>
        <x:v>126</x:v>
      </x:c>
      <x:c r="P296" s="16" t="n">
        <x:f>K296*N296</x:f>
        <x:v>54.81</x:v>
      </x:c>
      <x:c r="Q296" s="16" t="n">
        <x:f>O296-P296</x:f>
        <x:v>71.19</x:v>
      </x:c>
      <x:c r="R296" s="2" t="n">
        <x:v>116</x:v>
      </x:c>
      <x:c r="S296" s="2" t="n">
        <x:v>0</x:v>
      </x:c>
      <x:c r="T296" s="2" t="n">
        <x:f>R296+S296+J296-I296</x:f>
        <x:v>109</x:v>
      </x:c>
      <x:c r="U296" s="2" t="n">
        <x:v>0</x:v>
      </x:c>
      <x:c r="V296" s="2" t="n">
        <x:v>2</x:v>
      </x:c>
      <x:c r="W296" s="2" t="n">
        <x:v>8</x:v>
      </x:c>
      <x:c r="X296" s="14" t="b">
        <x:v>0</x:v>
      </x:c>
      <x:c r="Y296" s="14" t="b">
        <x:v>0</x:v>
      </x:c>
      <x:c r="Z296" s="2" t="n">
        <x:f>ABS(T296-AA296)</x:f>
        <x:v>0</x:v>
      </x:c>
      <x:c r="AA296" s="2" t="n">
        <x:v>109</x:v>
      </x:c>
      <x:c r="AB296" s="2" t="n">
        <x:f>ABS(K296-W296)</x:f>
        <x:v>1</x:v>
      </x:c>
      <x:c r="AC296" s="2" t="n">
        <x:f>COUNTIF($A$2:$A$1921,A296)-1</x:f>
        <x:v>0</x:v>
      </x:c>
      <x:c r="AD296" s="2" t="n">
        <x:f>IF(AND(D296=D295,H296=H295,C296=C295+1),ABS(R296-T295),0)</x:f>
        <x:v>0</x:v>
      </x:c>
    </x:row>
    <x:row r="297" ht="23" customHeight="1">
      <x:c r="A297" s="2" t="str">
        <x:v>DEMO-104-2-16</x:v>
      </x:c>
      <x:c r="B297" s="15" t="d">
        <x:v>2026-08-17T00:00:00.000Z</x:v>
      </x:c>
      <x:c r="C297" s="2" t="n">
        <x:v>16</x:v>
      </x:c>
      <x:c r="D297" s="2" t="str">
        <x:v>DEMO-104</x:v>
      </x:c>
      <x:c r="E297" s="2" t="str">
        <x:v>Studio Planner</x:v>
      </x:c>
      <x:c r="F297" s="2" t="str">
        <x:v>Stationery</x:v>
      </x:c>
      <x:c r="G297" s="2" t="str">
        <x:v>Stores</x:v>
      </x:c>
      <x:c r="H297" s="2" t="str">
        <x:v>Central Market</x:v>
      </x:c>
      <x:c r="I297" s="2" t="n">
        <x:v>8</x:v>
      </x:c>
      <x:c r="J297" s="2" t="n">
        <x:v>0</x:v>
      </x:c>
      <x:c r="K297" s="2" t="n">
        <x:f>I297-J297</x:f>
        <x:v>8</x:v>
      </x:c>
      <x:c r="L297" s="16" t="n">
        <x:v>18</x:v>
      </x:c>
      <x:c r="M297" s="16" t="n">
        <x:v>18</x:v>
      </x:c>
      <x:c r="N297" s="16" t="n">
        <x:v>7.83</x:v>
      </x:c>
      <x:c r="O297" s="16" t="n">
        <x:f>K297*M297</x:f>
        <x:v>144</x:v>
      </x:c>
      <x:c r="P297" s="16" t="n">
        <x:f>K297*N297</x:f>
        <x:v>62.64</x:v>
      </x:c>
      <x:c r="Q297" s="16" t="n">
        <x:f>O297-P297</x:f>
        <x:v>81.36</x:v>
      </x:c>
      <x:c r="R297" s="2" t="n">
        <x:v>109</x:v>
      </x:c>
      <x:c r="S297" s="2" t="n">
        <x:v>0</x:v>
      </x:c>
      <x:c r="T297" s="2" t="n">
        <x:f>R297+S297+J297-I297</x:f>
        <x:v>101</x:v>
      </x:c>
      <x:c r="U297" s="2" t="n">
        <x:v>0</x:v>
      </x:c>
      <x:c r="V297" s="2" t="n">
        <x:v>2</x:v>
      </x:c>
      <x:c r="W297" s="2" t="n">
        <x:v>8</x:v>
      </x:c>
      <x:c r="X297" s="14" t="b">
        <x:v>0</x:v>
      </x:c>
      <x:c r="Y297" s="14" t="b">
        <x:v>0</x:v>
      </x:c>
      <x:c r="Z297" s="2" t="n">
        <x:f>ABS(T297-AA297)</x:f>
        <x:v>0</x:v>
      </x:c>
      <x:c r="AA297" s="2" t="n">
        <x:v>101</x:v>
      </x:c>
      <x:c r="AB297" s="2" t="n">
        <x:f>ABS(K297-W297)</x:f>
        <x:v>0</x:v>
      </x:c>
      <x:c r="AC297" s="2" t="n">
        <x:f>COUNTIF($A$2:$A$1921,A297)-1</x:f>
        <x:v>0</x:v>
      </x:c>
      <x:c r="AD297" s="2" t="n">
        <x:f>IF(AND(D297=D296,H297=H296,C297=C296+1),ABS(R297-T296),0)</x:f>
        <x:v>0</x:v>
      </x:c>
    </x:row>
    <x:row r="298" ht="23" customHeight="1">
      <x:c r="A298" s="2" t="str">
        <x:v>DEMO-104-2-17</x:v>
      </x:c>
      <x:c r="B298" s="15" t="d">
        <x:v>2026-08-24T00:00:00.000Z</x:v>
      </x:c>
      <x:c r="C298" s="2" t="n">
        <x:v>17</x:v>
      </x:c>
      <x:c r="D298" s="2" t="str">
        <x:v>DEMO-104</x:v>
      </x:c>
      <x:c r="E298" s="2" t="str">
        <x:v>Studio Planner</x:v>
      </x:c>
      <x:c r="F298" s="2" t="str">
        <x:v>Stationery</x:v>
      </x:c>
      <x:c r="G298" s="2" t="str">
        <x:v>Stores</x:v>
      </x:c>
      <x:c r="H298" s="2" t="str">
        <x:v>Central Market</x:v>
      </x:c>
      <x:c r="I298" s="2" t="n">
        <x:v>8</x:v>
      </x:c>
      <x:c r="J298" s="2" t="n">
        <x:v>1</x:v>
      </x:c>
      <x:c r="K298" s="2" t="n">
        <x:f>I298-J298</x:f>
        <x:v>7</x:v>
      </x:c>
      <x:c r="L298" s="16" t="n">
        <x:v>18</x:v>
      </x:c>
      <x:c r="M298" s="16" t="n">
        <x:v>18</x:v>
      </x:c>
      <x:c r="N298" s="16" t="n">
        <x:v>7.83</x:v>
      </x:c>
      <x:c r="O298" s="16" t="n">
        <x:f>K298*M298</x:f>
        <x:v>126</x:v>
      </x:c>
      <x:c r="P298" s="16" t="n">
        <x:f>K298*N298</x:f>
        <x:v>54.81</x:v>
      </x:c>
      <x:c r="Q298" s="16" t="n">
        <x:f>O298-P298</x:f>
        <x:v>71.19</x:v>
      </x:c>
      <x:c r="R298" s="2" t="n">
        <x:v>101</x:v>
      </x:c>
      <x:c r="S298" s="2" t="n">
        <x:v>34</x:v>
      </x:c>
      <x:c r="T298" s="2" t="n">
        <x:f>R298+S298+J298-I298</x:f>
        <x:v>128</x:v>
      </x:c>
      <x:c r="U298" s="2" t="n">
        <x:v>0</x:v>
      </x:c>
      <x:c r="V298" s="2" t="n">
        <x:v>2</x:v>
      </x:c>
      <x:c r="W298" s="2" t="n">
        <x:v>8</x:v>
      </x:c>
      <x:c r="X298" s="14" t="b">
        <x:v>0</x:v>
      </x:c>
      <x:c r="Y298" s="14" t="b">
        <x:v>0</x:v>
      </x:c>
      <x:c r="Z298" s="2" t="n">
        <x:f>ABS(T298-AA298)</x:f>
        <x:v>0</x:v>
      </x:c>
      <x:c r="AA298" s="2" t="n">
        <x:v>128</x:v>
      </x:c>
      <x:c r="AB298" s="2" t="n">
        <x:f>ABS(K298-W298)</x:f>
        <x:v>1</x:v>
      </x:c>
      <x:c r="AC298" s="2" t="n">
        <x:f>COUNTIF($A$2:$A$1921,A298)-1</x:f>
        <x:v>0</x:v>
      </x:c>
      <x:c r="AD298" s="2" t="n">
        <x:f>IF(AND(D298=D297,H298=H297,C298=C297+1),ABS(R298-T297),0)</x:f>
        <x:v>0</x:v>
      </x:c>
    </x:row>
    <x:row r="299" ht="23" customHeight="1">
      <x:c r="A299" s="2" t="str">
        <x:v>DEMO-104-2-18</x:v>
      </x:c>
      <x:c r="B299" s="15" t="d">
        <x:v>2026-08-31T00:00:00.000Z</x:v>
      </x:c>
      <x:c r="C299" s="2" t="n">
        <x:v>18</x:v>
      </x:c>
      <x:c r="D299" s="2" t="str">
        <x:v>DEMO-104</x:v>
      </x:c>
      <x:c r="E299" s="2" t="str">
        <x:v>Studio Planner</x:v>
      </x:c>
      <x:c r="F299" s="2" t="str">
        <x:v>Stationery</x:v>
      </x:c>
      <x:c r="G299" s="2" t="str">
        <x:v>Stores</x:v>
      </x:c>
      <x:c r="H299" s="2" t="str">
        <x:v>Central Market</x:v>
      </x:c>
      <x:c r="I299" s="2" t="n">
        <x:v>9</x:v>
      </x:c>
      <x:c r="J299" s="2" t="n">
        <x:v>1</x:v>
      </x:c>
      <x:c r="K299" s="2" t="n">
        <x:f>I299-J299</x:f>
        <x:v>8</x:v>
      </x:c>
      <x:c r="L299" s="16" t="n">
        <x:v>18</x:v>
      </x:c>
      <x:c r="M299" s="16" t="n">
        <x:v>18</x:v>
      </x:c>
      <x:c r="N299" s="16" t="n">
        <x:v>7.83</x:v>
      </x:c>
      <x:c r="O299" s="16" t="n">
        <x:f>K299*M299</x:f>
        <x:v>144</x:v>
      </x:c>
      <x:c r="P299" s="16" t="n">
        <x:f>K299*N299</x:f>
        <x:v>62.64</x:v>
      </x:c>
      <x:c r="Q299" s="16" t="n">
        <x:f>O299-P299</x:f>
        <x:v>81.36</x:v>
      </x:c>
      <x:c r="R299" s="2" t="n">
        <x:v>128</x:v>
      </x:c>
      <x:c r="S299" s="2" t="n">
        <x:v>0</x:v>
      </x:c>
      <x:c r="T299" s="2" t="n">
        <x:f>R299+S299+J299-I299</x:f>
        <x:v>120</x:v>
      </x:c>
      <x:c r="U299" s="2" t="n">
        <x:v>0</x:v>
      </x:c>
      <x:c r="V299" s="2" t="n">
        <x:v>2</x:v>
      </x:c>
      <x:c r="W299" s="2" t="n">
        <x:v>8</x:v>
      </x:c>
      <x:c r="X299" s="14" t="b">
        <x:v>0</x:v>
      </x:c>
      <x:c r="Y299" s="14" t="b">
        <x:v>0</x:v>
      </x:c>
      <x:c r="Z299" s="2" t="n">
        <x:f>ABS(T299-AA299)</x:f>
        <x:v>0</x:v>
      </x:c>
      <x:c r="AA299" s="2" t="n">
        <x:v>120</x:v>
      </x:c>
      <x:c r="AB299" s="2" t="n">
        <x:f>ABS(K299-W299)</x:f>
        <x:v>0</x:v>
      </x:c>
      <x:c r="AC299" s="2" t="n">
        <x:f>COUNTIF($A$2:$A$1921,A299)-1</x:f>
        <x:v>0</x:v>
      </x:c>
      <x:c r="AD299" s="2" t="n">
        <x:f>IF(AND(D299=D298,H299=H298,C299=C298+1),ABS(R299-T298),0)</x:f>
        <x:v>0</x:v>
      </x:c>
    </x:row>
    <x:row r="300" ht="23" customHeight="1">
      <x:c r="A300" s="2" t="str">
        <x:v>DEMO-104-2-19</x:v>
      </x:c>
      <x:c r="B300" s="15" t="d">
        <x:v>2026-09-07T00:00:00.000Z</x:v>
      </x:c>
      <x:c r="C300" s="2" t="n">
        <x:v>19</x:v>
      </x:c>
      <x:c r="D300" s="2" t="str">
        <x:v>DEMO-104</x:v>
      </x:c>
      <x:c r="E300" s="2" t="str">
        <x:v>Studio Planner</x:v>
      </x:c>
      <x:c r="F300" s="2" t="str">
        <x:v>Stationery</x:v>
      </x:c>
      <x:c r="G300" s="2" t="str">
        <x:v>Stores</x:v>
      </x:c>
      <x:c r="H300" s="2" t="str">
        <x:v>Central Market</x:v>
      </x:c>
      <x:c r="I300" s="2" t="n">
        <x:v>9</x:v>
      </x:c>
      <x:c r="J300" s="2" t="n">
        <x:v>1</x:v>
      </x:c>
      <x:c r="K300" s="2" t="n">
        <x:f>I300-J300</x:f>
        <x:v>8</x:v>
      </x:c>
      <x:c r="L300" s="16" t="n">
        <x:v>18</x:v>
      </x:c>
      <x:c r="M300" s="16" t="n">
        <x:v>18</x:v>
      </x:c>
      <x:c r="N300" s="16" t="n">
        <x:v>7.83</x:v>
      </x:c>
      <x:c r="O300" s="16" t="n">
        <x:f>K300*M300</x:f>
        <x:v>144</x:v>
      </x:c>
      <x:c r="P300" s="16" t="n">
        <x:f>K300*N300</x:f>
        <x:v>62.64</x:v>
      </x:c>
      <x:c r="Q300" s="16" t="n">
        <x:f>O300-P300</x:f>
        <x:v>81.36</x:v>
      </x:c>
      <x:c r="R300" s="2" t="n">
        <x:v>120</x:v>
      </x:c>
      <x:c r="S300" s="2" t="n">
        <x:v>0</x:v>
      </x:c>
      <x:c r="T300" s="2" t="n">
        <x:f>R300+S300+J300-I300</x:f>
        <x:v>112</x:v>
      </x:c>
      <x:c r="U300" s="2" t="n">
        <x:v>0</x:v>
      </x:c>
      <x:c r="V300" s="2" t="n">
        <x:v>2</x:v>
      </x:c>
      <x:c r="W300" s="2" t="n">
        <x:v>8</x:v>
      </x:c>
      <x:c r="X300" s="14" t="b">
        <x:v>0</x:v>
      </x:c>
      <x:c r="Y300" s="14" t="b">
        <x:v>0</x:v>
      </x:c>
      <x:c r="Z300" s="2" t="n">
        <x:f>ABS(T300-AA300)</x:f>
        <x:v>0</x:v>
      </x:c>
      <x:c r="AA300" s="2" t="n">
        <x:v>112</x:v>
      </x:c>
      <x:c r="AB300" s="2" t="n">
        <x:f>ABS(K300-W300)</x:f>
        <x:v>0</x:v>
      </x:c>
      <x:c r="AC300" s="2" t="n">
        <x:f>COUNTIF($A$2:$A$1921,A300)-1</x:f>
        <x:v>0</x:v>
      </x:c>
      <x:c r="AD300" s="2" t="n">
        <x:f>IF(AND(D300=D299,H300=H299,C300=C299+1),ABS(R300-T299),0)</x:f>
        <x:v>0</x:v>
      </x:c>
    </x:row>
    <x:row r="301" ht="23" customHeight="1">
      <x:c r="A301" s="2" t="str">
        <x:v>DEMO-104-2-20</x:v>
      </x:c>
      <x:c r="B301" s="15" t="d">
        <x:v>2026-09-14T00:00:00.000Z</x:v>
      </x:c>
      <x:c r="C301" s="2" t="n">
        <x:v>20</x:v>
      </x:c>
      <x:c r="D301" s="2" t="str">
        <x:v>DEMO-104</x:v>
      </x:c>
      <x:c r="E301" s="2" t="str">
        <x:v>Studio Planner</x:v>
      </x:c>
      <x:c r="F301" s="2" t="str">
        <x:v>Stationery</x:v>
      </x:c>
      <x:c r="G301" s="2" t="str">
        <x:v>Stores</x:v>
      </x:c>
      <x:c r="H301" s="2" t="str">
        <x:v>Central Market</x:v>
      </x:c>
      <x:c r="I301" s="2" t="n">
        <x:v>9</x:v>
      </x:c>
      <x:c r="J301" s="2" t="n">
        <x:v>0</x:v>
      </x:c>
      <x:c r="K301" s="2" t="n">
        <x:f>I301-J301</x:f>
        <x:v>9</x:v>
      </x:c>
      <x:c r="L301" s="16" t="n">
        <x:v>18</x:v>
      </x:c>
      <x:c r="M301" s="16" t="n">
        <x:v>18</x:v>
      </x:c>
      <x:c r="N301" s="16" t="n">
        <x:v>7.83</x:v>
      </x:c>
      <x:c r="O301" s="16" t="n">
        <x:f>K301*M301</x:f>
        <x:v>162</x:v>
      </x:c>
      <x:c r="P301" s="16" t="n">
        <x:f>K301*N301</x:f>
        <x:v>70.47</x:v>
      </x:c>
      <x:c r="Q301" s="16" t="n">
        <x:f>O301-P301</x:f>
        <x:v>91.53</x:v>
      </x:c>
      <x:c r="R301" s="2" t="n">
        <x:v>112</x:v>
      </x:c>
      <x:c r="S301" s="2" t="n">
        <x:v>0</x:v>
      </x:c>
      <x:c r="T301" s="2" t="n">
        <x:f>R301+S301+J301-I301</x:f>
        <x:v>103</x:v>
      </x:c>
      <x:c r="U301" s="2" t="n">
        <x:v>18</x:v>
      </x:c>
      <x:c r="V301" s="2" t="n">
        <x:v>2</x:v>
      </x:c>
      <x:c r="W301" s="2" t="n">
        <x:v>8</x:v>
      </x:c>
      <x:c r="X301" s="14" t="b">
        <x:v>0</x:v>
      </x:c>
      <x:c r="Y301" s="14" t="b">
        <x:v>0</x:v>
      </x:c>
      <x:c r="Z301" s="2" t="n">
        <x:f>ABS(T301-AA301)</x:f>
        <x:v>0</x:v>
      </x:c>
      <x:c r="AA301" s="2" t="n">
        <x:v>103</x:v>
      </x:c>
      <x:c r="AB301" s="2" t="n">
        <x:f>ABS(K301-W301)</x:f>
        <x:v>1</x:v>
      </x:c>
      <x:c r="AC301" s="2" t="n">
        <x:f>COUNTIF($A$2:$A$1921,A301)-1</x:f>
        <x:v>0</x:v>
      </x:c>
      <x:c r="AD301" s="2" t="n">
        <x:f>IF(AND(D301=D300,H301=H300,C301=C300+1),ABS(R301-T300),0)</x:f>
        <x:v>0</x:v>
      </x:c>
    </x:row>
    <x:row r="302" ht="23" customHeight="1">
      <x:c r="A302" s="2" t="str">
        <x:v>DEMO-104-3-1</x:v>
      </x:c>
      <x:c r="B302" s="15" t="d">
        <x:v>2026-05-04T00:00:00.000Z</x:v>
      </x:c>
      <x:c r="C302" s="2" t="n">
        <x:v>1</x:v>
      </x:c>
      <x:c r="D302" s="2" t="str">
        <x:v>DEMO-104</x:v>
      </x:c>
      <x:c r="E302" s="2" t="str">
        <x:v>Studio Planner</x:v>
      </x:c>
      <x:c r="F302" s="2" t="str">
        <x:v>Stationery</x:v>
      </x:c>
      <x:c r="G302" s="2" t="str">
        <x:v>Online</x:v>
      </x:c>
      <x:c r="H302" s="2" t="str">
        <x:v>Online</x:v>
      </x:c>
      <x:c r="I302" s="2" t="n">
        <x:v>12</x:v>
      </x:c>
      <x:c r="J302" s="2" t="n">
        <x:v>0</x:v>
      </x:c>
      <x:c r="K302" s="2" t="n">
        <x:f>I302-J302</x:f>
        <x:v>12</x:v>
      </x:c>
      <x:c r="L302" s="16" t="n">
        <x:v>18</x:v>
      </x:c>
      <x:c r="M302" s="16" t="n">
        <x:v>18</x:v>
      </x:c>
      <x:c r="N302" s="16" t="n">
        <x:v>7.83</x:v>
      </x:c>
      <x:c r="O302" s="16" t="n">
        <x:f>K302*M302</x:f>
        <x:v>216</x:v>
      </x:c>
      <x:c r="P302" s="16" t="n">
        <x:f>K302*N302</x:f>
        <x:v>93.96000000000001</x:v>
      </x:c>
      <x:c r="Q302" s="16" t="n">
        <x:f>O302-P302</x:f>
        <x:v>122.03999999999999</x:v>
      </x:c>
      <x:c r="R302" s="2" t="n">
        <x:v>90</x:v>
      </x:c>
      <x:c r="S302" s="2" t="n">
        <x:v>57</x:v>
      </x:c>
      <x:c r="T302" s="2" t="n">
        <x:f>R302+S302+J302-I302</x:f>
        <x:v>135</x:v>
      </x:c>
      <x:c r="U302" s="2" t="n">
        <x:v>0</x:v>
      </x:c>
      <x:c r="V302" s="2" t="n">
        <x:v>2</x:v>
      </x:c>
      <x:c r="W302" s="2" t="n">
        <x:v>14</x:v>
      </x:c>
      <x:c r="X302" s="14" t="b">
        <x:v>0</x:v>
      </x:c>
      <x:c r="Y302" s="14" t="b">
        <x:v>0</x:v>
      </x:c>
      <x:c r="Z302" s="2" t="n">
        <x:f>ABS(T302-AA302)</x:f>
        <x:v>0</x:v>
      </x:c>
      <x:c r="AA302" s="2" t="n">
        <x:v>135</x:v>
      </x:c>
      <x:c r="AB302" s="2" t="n">
        <x:f>ABS(K302-W302)</x:f>
        <x:v>2</x:v>
      </x:c>
      <x:c r="AC302" s="2" t="n">
        <x:f>COUNTIF($A$2:$A$1921,A302)-1</x:f>
        <x:v>0</x:v>
      </x:c>
      <x:c r="AD302" s="2" t="n">
        <x:f>IF(AND(D302=D301,H302=H301,C302=C301+1),ABS(R302-T301),0)</x:f>
        <x:v>0</x:v>
      </x:c>
    </x:row>
    <x:row r="303" ht="23" customHeight="1">
      <x:c r="A303" s="2" t="str">
        <x:v>DEMO-104-3-2</x:v>
      </x:c>
      <x:c r="B303" s="15" t="d">
        <x:v>2026-05-11T00:00:00.000Z</x:v>
      </x:c>
      <x:c r="C303" s="2" t="n">
        <x:v>2</x:v>
      </x:c>
      <x:c r="D303" s="2" t="str">
        <x:v>DEMO-104</x:v>
      </x:c>
      <x:c r="E303" s="2" t="str">
        <x:v>Studio Planner</x:v>
      </x:c>
      <x:c r="F303" s="2" t="str">
        <x:v>Stationery</x:v>
      </x:c>
      <x:c r="G303" s="2" t="str">
        <x:v>Online</x:v>
      </x:c>
      <x:c r="H303" s="2" t="str">
        <x:v>Online</x:v>
      </x:c>
      <x:c r="I303" s="2" t="n">
        <x:v>13</x:v>
      </x:c>
      <x:c r="J303" s="2" t="n">
        <x:v>0</x:v>
      </x:c>
      <x:c r="K303" s="2" t="n">
        <x:f>I303-J303</x:f>
        <x:v>13</x:v>
      </x:c>
      <x:c r="L303" s="16" t="n">
        <x:v>18</x:v>
      </x:c>
      <x:c r="M303" s="16" t="n">
        <x:v>18</x:v>
      </x:c>
      <x:c r="N303" s="16" t="n">
        <x:v>7.83</x:v>
      </x:c>
      <x:c r="O303" s="16" t="n">
        <x:f>K303*M303</x:f>
        <x:v>234</x:v>
      </x:c>
      <x:c r="P303" s="16" t="n">
        <x:f>K303*N303</x:f>
        <x:v>101.79</x:v>
      </x:c>
      <x:c r="Q303" s="16" t="n">
        <x:f>O303-P303</x:f>
        <x:v>132.20999999999998</x:v>
      </x:c>
      <x:c r="R303" s="2" t="n">
        <x:v>135</x:v>
      </x:c>
      <x:c r="S303" s="2" t="n">
        <x:v>0</x:v>
      </x:c>
      <x:c r="T303" s="2" t="n">
        <x:f>R303+S303+J303-I303</x:f>
        <x:v>122</x:v>
      </x:c>
      <x:c r="U303" s="2" t="n">
        <x:v>0</x:v>
      </x:c>
      <x:c r="V303" s="2" t="n">
        <x:v>2</x:v>
      </x:c>
      <x:c r="W303" s="2" t="n">
        <x:v>12</x:v>
      </x:c>
      <x:c r="X303" s="14" t="b">
        <x:v>0</x:v>
      </x:c>
      <x:c r="Y303" s="14" t="b">
        <x:v>0</x:v>
      </x:c>
      <x:c r="Z303" s="2" t="n">
        <x:f>ABS(T303-AA303)</x:f>
        <x:v>0</x:v>
      </x:c>
      <x:c r="AA303" s="2" t="n">
        <x:v>122</x:v>
      </x:c>
      <x:c r="AB303" s="2" t="n">
        <x:f>ABS(K303-W303)</x:f>
        <x:v>1</x:v>
      </x:c>
      <x:c r="AC303" s="2" t="n">
        <x:f>COUNTIF($A$2:$A$1921,A303)-1</x:f>
        <x:v>0</x:v>
      </x:c>
      <x:c r="AD303" s="2" t="n">
        <x:f>IF(AND(D303=D302,H303=H302,C303=C302+1),ABS(R303-T302),0)</x:f>
        <x:v>0</x:v>
      </x:c>
    </x:row>
    <x:row r="304" ht="23" customHeight="1">
      <x:c r="A304" s="2" t="str">
        <x:v>DEMO-104-3-3</x:v>
      </x:c>
      <x:c r="B304" s="15" t="d">
        <x:v>2026-05-18T00:00:00.000Z</x:v>
      </x:c>
      <x:c r="C304" s="2" t="n">
        <x:v>3</x:v>
      </x:c>
      <x:c r="D304" s="2" t="str">
        <x:v>DEMO-104</x:v>
      </x:c>
      <x:c r="E304" s="2" t="str">
        <x:v>Studio Planner</x:v>
      </x:c>
      <x:c r="F304" s="2" t="str">
        <x:v>Stationery</x:v>
      </x:c>
      <x:c r="G304" s="2" t="str">
        <x:v>Online</x:v>
      </x:c>
      <x:c r="H304" s="2" t="str">
        <x:v>Online</x:v>
      </x:c>
      <x:c r="I304" s="2" t="n">
        <x:v>15</x:v>
      </x:c>
      <x:c r="J304" s="2" t="n">
        <x:v>0</x:v>
      </x:c>
      <x:c r="K304" s="2" t="n">
        <x:f>I304-J304</x:f>
        <x:v>15</x:v>
      </x:c>
      <x:c r="L304" s="16" t="n">
        <x:v>18</x:v>
      </x:c>
      <x:c r="M304" s="16" t="n">
        <x:v>18</x:v>
      </x:c>
      <x:c r="N304" s="16" t="n">
        <x:v>7.83</x:v>
      </x:c>
      <x:c r="O304" s="16" t="n">
        <x:f>K304*M304</x:f>
        <x:v>270</x:v>
      </x:c>
      <x:c r="P304" s="16" t="n">
        <x:f>K304*N304</x:f>
        <x:v>117.45</x:v>
      </x:c>
      <x:c r="Q304" s="16" t="n">
        <x:f>O304-P304</x:f>
        <x:v>152.55</x:v>
      </x:c>
      <x:c r="R304" s="2" t="n">
        <x:v>122</x:v>
      </x:c>
      <x:c r="S304" s="2" t="n">
        <x:v>0</x:v>
      </x:c>
      <x:c r="T304" s="2" t="n">
        <x:f>R304+S304+J304-I304</x:f>
        <x:v>107</x:v>
      </x:c>
      <x:c r="U304" s="2" t="n">
        <x:v>0</x:v>
      </x:c>
      <x:c r="V304" s="2" t="n">
        <x:v>2</x:v>
      </x:c>
      <x:c r="W304" s="2" t="n">
        <x:v>13</x:v>
      </x:c>
      <x:c r="X304" s="14" t="b">
        <x:v>0</x:v>
      </x:c>
      <x:c r="Y304" s="14" t="b">
        <x:v>0</x:v>
      </x:c>
      <x:c r="Z304" s="2" t="n">
        <x:f>ABS(T304-AA304)</x:f>
        <x:v>0</x:v>
      </x:c>
      <x:c r="AA304" s="2" t="n">
        <x:v>107</x:v>
      </x:c>
      <x:c r="AB304" s="2" t="n">
        <x:f>ABS(K304-W304)</x:f>
        <x:v>2</x:v>
      </x:c>
      <x:c r="AC304" s="2" t="n">
        <x:f>COUNTIF($A$2:$A$1921,A304)-1</x:f>
        <x:v>0</x:v>
      </x:c>
      <x:c r="AD304" s="2" t="n">
        <x:f>IF(AND(D304=D303,H304=H303,C304=C303+1),ABS(R304-T303),0)</x:f>
        <x:v>0</x:v>
      </x:c>
    </x:row>
    <x:row r="305" ht="23" customHeight="1">
      <x:c r="A305" s="2" t="str">
        <x:v>DEMO-104-3-4</x:v>
      </x:c>
      <x:c r="B305" s="15" t="d">
        <x:v>2026-05-25T00:00:00.000Z</x:v>
      </x:c>
      <x:c r="C305" s="2" t="n">
        <x:v>4</x:v>
      </x:c>
      <x:c r="D305" s="2" t="str">
        <x:v>DEMO-104</x:v>
      </x:c>
      <x:c r="E305" s="2" t="str">
        <x:v>Studio Planner</x:v>
      </x:c>
      <x:c r="F305" s="2" t="str">
        <x:v>Stationery</x:v>
      </x:c>
      <x:c r="G305" s="2" t="str">
        <x:v>Online</x:v>
      </x:c>
      <x:c r="H305" s="2" t="str">
        <x:v>Online</x:v>
      </x:c>
      <x:c r="I305" s="2" t="n">
        <x:v>16</x:v>
      </x:c>
      <x:c r="J305" s="2" t="n">
        <x:v>0</x:v>
      </x:c>
      <x:c r="K305" s="2" t="n">
        <x:f>I305-J305</x:f>
        <x:v>16</x:v>
      </x:c>
      <x:c r="L305" s="16" t="n">
        <x:v>18</x:v>
      </x:c>
      <x:c r="M305" s="16" t="n">
        <x:v>18</x:v>
      </x:c>
      <x:c r="N305" s="16" t="n">
        <x:v>7.83</x:v>
      </x:c>
      <x:c r="O305" s="16" t="n">
        <x:f>K305*M305</x:f>
        <x:v>288</x:v>
      </x:c>
      <x:c r="P305" s="16" t="n">
        <x:f>K305*N305</x:f>
        <x:v>125.28</x:v>
      </x:c>
      <x:c r="Q305" s="16" t="n">
        <x:f>O305-P305</x:f>
        <x:v>162.72</x:v>
      </x:c>
      <x:c r="R305" s="2" t="n">
        <x:v>107</x:v>
      </x:c>
      <x:c r="S305" s="2" t="n">
        <x:v>0</x:v>
      </x:c>
      <x:c r="T305" s="2" t="n">
        <x:f>R305+S305+J305-I305</x:f>
        <x:v>91</x:v>
      </x:c>
      <x:c r="U305" s="2" t="n">
        <x:v>0</x:v>
      </x:c>
      <x:c r="V305" s="2" t="n">
        <x:v>2</x:v>
      </x:c>
      <x:c r="W305" s="2" t="n">
        <x:v>13</x:v>
      </x:c>
      <x:c r="X305" s="14" t="b">
        <x:v>0</x:v>
      </x:c>
      <x:c r="Y305" s="14" t="b">
        <x:v>0</x:v>
      </x:c>
      <x:c r="Z305" s="2" t="n">
        <x:f>ABS(T305-AA305)</x:f>
        <x:v>0</x:v>
      </x:c>
      <x:c r="AA305" s="2" t="n">
        <x:v>91</x:v>
      </x:c>
      <x:c r="AB305" s="2" t="n">
        <x:f>ABS(K305-W305)</x:f>
        <x:v>3</x:v>
      </x:c>
      <x:c r="AC305" s="2" t="n">
        <x:f>COUNTIF($A$2:$A$1921,A305)-1</x:f>
        <x:v>0</x:v>
      </x:c>
      <x:c r="AD305" s="2" t="n">
        <x:f>IF(AND(D305=D304,H305=H304,C305=C304+1),ABS(R305-T304),0)</x:f>
        <x:v>0</x:v>
      </x:c>
    </x:row>
    <x:row r="306" ht="23" customHeight="1">
      <x:c r="A306" s="2" t="str">
        <x:v>DEMO-104-3-5</x:v>
      </x:c>
      <x:c r="B306" s="15" t="d">
        <x:v>2026-06-01T00:00:00.000Z</x:v>
      </x:c>
      <x:c r="C306" s="2" t="n">
        <x:v>5</x:v>
      </x:c>
      <x:c r="D306" s="2" t="str">
        <x:v>DEMO-104</x:v>
      </x:c>
      <x:c r="E306" s="2" t="str">
        <x:v>Studio Planner</x:v>
      </x:c>
      <x:c r="F306" s="2" t="str">
        <x:v>Stationery</x:v>
      </x:c>
      <x:c r="G306" s="2" t="str">
        <x:v>Online</x:v>
      </x:c>
      <x:c r="H306" s="2" t="str">
        <x:v>Online</x:v>
      </x:c>
      <x:c r="I306" s="2" t="n">
        <x:v>12</x:v>
      </x:c>
      <x:c r="J306" s="2" t="n">
        <x:v>1</x:v>
      </x:c>
      <x:c r="K306" s="2" t="n">
        <x:f>I306-J306</x:f>
        <x:v>11</x:v>
      </x:c>
      <x:c r="L306" s="16" t="n">
        <x:v>18</x:v>
      </x:c>
      <x:c r="M306" s="16" t="n">
        <x:v>18</x:v>
      </x:c>
      <x:c r="N306" s="16" t="n">
        <x:v>7.83</x:v>
      </x:c>
      <x:c r="O306" s="16" t="n">
        <x:f>K306*M306</x:f>
        <x:v>198</x:v>
      </x:c>
      <x:c r="P306" s="16" t="n">
        <x:f>K306*N306</x:f>
        <x:v>86.13</x:v>
      </x:c>
      <x:c r="Q306" s="16" t="n">
        <x:f>O306-P306</x:f>
        <x:v>111.87</x:v>
      </x:c>
      <x:c r="R306" s="2" t="n">
        <x:v>91</x:v>
      </x:c>
      <x:c r="S306" s="2" t="n">
        <x:v>57</x:v>
      </x:c>
      <x:c r="T306" s="2" t="n">
        <x:f>R306+S306+J306-I306</x:f>
        <x:v>137</x:v>
      </x:c>
      <x:c r="U306" s="2" t="n">
        <x:v>0</x:v>
      </x:c>
      <x:c r="V306" s="2" t="n">
        <x:v>2</x:v>
      </x:c>
      <x:c r="W306" s="2" t="n">
        <x:v>14</x:v>
      </x:c>
      <x:c r="X306" s="14" t="b">
        <x:v>0</x:v>
      </x:c>
      <x:c r="Y306" s="14" t="b">
        <x:v>0</x:v>
      </x:c>
      <x:c r="Z306" s="2" t="n">
        <x:f>ABS(T306-AA306)</x:f>
        <x:v>0</x:v>
      </x:c>
      <x:c r="AA306" s="2" t="n">
        <x:v>137</x:v>
      </x:c>
      <x:c r="AB306" s="2" t="n">
        <x:f>ABS(K306-W306)</x:f>
        <x:v>3</x:v>
      </x:c>
      <x:c r="AC306" s="2" t="n">
        <x:f>COUNTIF($A$2:$A$1921,A306)-1</x:f>
        <x:v>0</x:v>
      </x:c>
      <x:c r="AD306" s="2" t="n">
        <x:f>IF(AND(D306=D305,H306=H305,C306=C305+1),ABS(R306-T305),0)</x:f>
        <x:v>0</x:v>
      </x:c>
    </x:row>
    <x:row r="307" ht="23" customHeight="1">
      <x:c r="A307" s="2" t="str">
        <x:v>DEMO-104-3-6</x:v>
      </x:c>
      <x:c r="B307" s="15" t="d">
        <x:v>2026-06-08T00:00:00.000Z</x:v>
      </x:c>
      <x:c r="C307" s="2" t="n">
        <x:v>6</x:v>
      </x:c>
      <x:c r="D307" s="2" t="str">
        <x:v>DEMO-104</x:v>
      </x:c>
      <x:c r="E307" s="2" t="str">
        <x:v>Studio Planner</x:v>
      </x:c>
      <x:c r="F307" s="2" t="str">
        <x:v>Stationery</x:v>
      </x:c>
      <x:c r="G307" s="2" t="str">
        <x:v>Online</x:v>
      </x:c>
      <x:c r="H307" s="2" t="str">
        <x:v>Online</x:v>
      </x:c>
      <x:c r="I307" s="2" t="n">
        <x:v>13</x:v>
      </x:c>
      <x:c r="J307" s="2" t="n">
        <x:v>0</x:v>
      </x:c>
      <x:c r="K307" s="2" t="n">
        <x:f>I307-J307</x:f>
        <x:v>13</x:v>
      </x:c>
      <x:c r="L307" s="16" t="n">
        <x:v>18</x:v>
      </x:c>
      <x:c r="M307" s="16" t="n">
        <x:v>18</x:v>
      </x:c>
      <x:c r="N307" s="16" t="n">
        <x:v>7.83</x:v>
      </x:c>
      <x:c r="O307" s="16" t="n">
        <x:f>K307*M307</x:f>
        <x:v>234</x:v>
      </x:c>
      <x:c r="P307" s="16" t="n">
        <x:f>K307*N307</x:f>
        <x:v>101.79</x:v>
      </x:c>
      <x:c r="Q307" s="16" t="n">
        <x:f>O307-P307</x:f>
        <x:v>132.20999999999998</x:v>
      </x:c>
      <x:c r="R307" s="2" t="n">
        <x:v>137</x:v>
      </x:c>
      <x:c r="S307" s="2" t="n">
        <x:v>0</x:v>
      </x:c>
      <x:c r="T307" s="2" t="n">
        <x:f>R307+S307+J307-I307</x:f>
        <x:v>124</x:v>
      </x:c>
      <x:c r="U307" s="2" t="n">
        <x:v>0</x:v>
      </x:c>
      <x:c r="V307" s="2" t="n">
        <x:v>2</x:v>
      </x:c>
      <x:c r="W307" s="2" t="n">
        <x:v>14</x:v>
      </x:c>
      <x:c r="X307" s="14" t="b">
        <x:v>0</x:v>
      </x:c>
      <x:c r="Y307" s="14" t="b">
        <x:v>0</x:v>
      </x:c>
      <x:c r="Z307" s="2" t="n">
        <x:f>ABS(T307-AA307)</x:f>
        <x:v>0</x:v>
      </x:c>
      <x:c r="AA307" s="2" t="n">
        <x:v>124</x:v>
      </x:c>
      <x:c r="AB307" s="2" t="n">
        <x:f>ABS(K307-W307)</x:f>
        <x:v>1</x:v>
      </x:c>
      <x:c r="AC307" s="2" t="n">
        <x:f>COUNTIF($A$2:$A$1921,A307)-1</x:f>
        <x:v>0</x:v>
      </x:c>
      <x:c r="AD307" s="2" t="n">
        <x:f>IF(AND(D307=D306,H307=H306,C307=C306+1),ABS(R307-T306),0)</x:f>
        <x:v>0</x:v>
      </x:c>
    </x:row>
    <x:row r="308" ht="23" customHeight="1">
      <x:c r="A308" s="2" t="str">
        <x:v>DEMO-104-3-7</x:v>
      </x:c>
      <x:c r="B308" s="15" t="d">
        <x:v>2026-06-15T00:00:00.000Z</x:v>
      </x:c>
      <x:c r="C308" s="2" t="n">
        <x:v>7</x:v>
      </x:c>
      <x:c r="D308" s="2" t="str">
        <x:v>DEMO-104</x:v>
      </x:c>
      <x:c r="E308" s="2" t="str">
        <x:v>Studio Planner</x:v>
      </x:c>
      <x:c r="F308" s="2" t="str">
        <x:v>Stationery</x:v>
      </x:c>
      <x:c r="G308" s="2" t="str">
        <x:v>Online</x:v>
      </x:c>
      <x:c r="H308" s="2" t="str">
        <x:v>Online</x:v>
      </x:c>
      <x:c r="I308" s="2" t="n">
        <x:v>12</x:v>
      </x:c>
      <x:c r="J308" s="2" t="n">
        <x:v>0</x:v>
      </x:c>
      <x:c r="K308" s="2" t="n">
        <x:f>I308-J308</x:f>
        <x:v>12</x:v>
      </x:c>
      <x:c r="L308" s="16" t="n">
        <x:v>18</x:v>
      </x:c>
      <x:c r="M308" s="16" t="n">
        <x:v>18</x:v>
      </x:c>
      <x:c r="N308" s="16" t="n">
        <x:v>7.83</x:v>
      </x:c>
      <x:c r="O308" s="16" t="n">
        <x:f>K308*M308</x:f>
        <x:v>216</x:v>
      </x:c>
      <x:c r="P308" s="16" t="n">
        <x:f>K308*N308</x:f>
        <x:v>93.96000000000001</x:v>
      </x:c>
      <x:c r="Q308" s="16" t="n">
        <x:f>O308-P308</x:f>
        <x:v>122.03999999999999</x:v>
      </x:c>
      <x:c r="R308" s="2" t="n">
        <x:v>124</x:v>
      </x:c>
      <x:c r="S308" s="2" t="n">
        <x:v>0</x:v>
      </x:c>
      <x:c r="T308" s="2" t="n">
        <x:f>R308+S308+J308-I308</x:f>
        <x:v>112</x:v>
      </x:c>
      <x:c r="U308" s="2" t="n">
        <x:v>0</x:v>
      </x:c>
      <x:c r="V308" s="2" t="n">
        <x:v>2</x:v>
      </x:c>
      <x:c r="W308" s="2" t="n">
        <x:v>14</x:v>
      </x:c>
      <x:c r="X308" s="14" t="b">
        <x:v>0</x:v>
      </x:c>
      <x:c r="Y308" s="14" t="b">
        <x:v>0</x:v>
      </x:c>
      <x:c r="Z308" s="2" t="n">
        <x:f>ABS(T308-AA308)</x:f>
        <x:v>0</x:v>
      </x:c>
      <x:c r="AA308" s="2" t="n">
        <x:v>112</x:v>
      </x:c>
      <x:c r="AB308" s="2" t="n">
        <x:f>ABS(K308-W308)</x:f>
        <x:v>2</x:v>
      </x:c>
      <x:c r="AC308" s="2" t="n">
        <x:f>COUNTIF($A$2:$A$1921,A308)-1</x:f>
        <x:v>0</x:v>
      </x:c>
      <x:c r="AD308" s="2" t="n">
        <x:f>IF(AND(D308=D307,H308=H307,C308=C307+1),ABS(R308-T307),0)</x:f>
        <x:v>0</x:v>
      </x:c>
    </x:row>
    <x:row r="309" ht="23" customHeight="1">
      <x:c r="A309" s="2" t="str">
        <x:v>DEMO-104-3-8</x:v>
      </x:c>
      <x:c r="B309" s="15" t="d">
        <x:v>2026-06-22T00:00:00.000Z</x:v>
      </x:c>
      <x:c r="C309" s="2" t="n">
        <x:v>8</x:v>
      </x:c>
      <x:c r="D309" s="2" t="str">
        <x:v>DEMO-104</x:v>
      </x:c>
      <x:c r="E309" s="2" t="str">
        <x:v>Studio Planner</x:v>
      </x:c>
      <x:c r="F309" s="2" t="str">
        <x:v>Stationery</x:v>
      </x:c>
      <x:c r="G309" s="2" t="str">
        <x:v>Online</x:v>
      </x:c>
      <x:c r="H309" s="2" t="str">
        <x:v>Online</x:v>
      </x:c>
      <x:c r="I309" s="2" t="n">
        <x:v>11</x:v>
      </x:c>
      <x:c r="J309" s="2" t="n">
        <x:v>0</x:v>
      </x:c>
      <x:c r="K309" s="2" t="n">
        <x:f>I309-J309</x:f>
        <x:v>11</x:v>
      </x:c>
      <x:c r="L309" s="16" t="n">
        <x:v>18</x:v>
      </x:c>
      <x:c r="M309" s="16" t="n">
        <x:v>18</x:v>
      </x:c>
      <x:c r="N309" s="16" t="n">
        <x:v>7.83</x:v>
      </x:c>
      <x:c r="O309" s="16" t="n">
        <x:f>K309*M309</x:f>
        <x:v>198</x:v>
      </x:c>
      <x:c r="P309" s="16" t="n">
        <x:f>K309*N309</x:f>
        <x:v>86.13</x:v>
      </x:c>
      <x:c r="Q309" s="16" t="n">
        <x:f>O309-P309</x:f>
        <x:v>111.87</x:v>
      </x:c>
      <x:c r="R309" s="2" t="n">
        <x:v>112</x:v>
      </x:c>
      <x:c r="S309" s="2" t="n">
        <x:v>0</x:v>
      </x:c>
      <x:c r="T309" s="2" t="n">
        <x:f>R309+S309+J309-I309</x:f>
        <x:v>101</x:v>
      </x:c>
      <x:c r="U309" s="2" t="n">
        <x:v>0</x:v>
      </x:c>
      <x:c r="V309" s="2" t="n">
        <x:v>2</x:v>
      </x:c>
      <x:c r="W309" s="2" t="n">
        <x:v>13</x:v>
      </x:c>
      <x:c r="X309" s="14" t="b">
        <x:v>0</x:v>
      </x:c>
      <x:c r="Y309" s="14" t="b">
        <x:v>0</x:v>
      </x:c>
      <x:c r="Z309" s="2" t="n">
        <x:f>ABS(T309-AA309)</x:f>
        <x:v>0</x:v>
      </x:c>
      <x:c r="AA309" s="2" t="n">
        <x:v>101</x:v>
      </x:c>
      <x:c r="AB309" s="2" t="n">
        <x:f>ABS(K309-W309)</x:f>
        <x:v>2</x:v>
      </x:c>
      <x:c r="AC309" s="2" t="n">
        <x:f>COUNTIF($A$2:$A$1921,A309)-1</x:f>
        <x:v>0</x:v>
      </x:c>
      <x:c r="AD309" s="2" t="n">
        <x:f>IF(AND(D309=D308,H309=H308,C309=C308+1),ABS(R309-T308),0)</x:f>
        <x:v>0</x:v>
      </x:c>
    </x:row>
    <x:row r="310" ht="23" customHeight="1">
      <x:c r="A310" s="2" t="str">
        <x:v>DEMO-104-3-9</x:v>
      </x:c>
      <x:c r="B310" s="15" t="d">
        <x:v>2026-06-29T00:00:00.000Z</x:v>
      </x:c>
      <x:c r="C310" s="2" t="n">
        <x:v>9</x:v>
      </x:c>
      <x:c r="D310" s="2" t="str">
        <x:v>DEMO-104</x:v>
      </x:c>
      <x:c r="E310" s="2" t="str">
        <x:v>Studio Planner</x:v>
      </x:c>
      <x:c r="F310" s="2" t="str">
        <x:v>Stationery</x:v>
      </x:c>
      <x:c r="G310" s="2" t="str">
        <x:v>Online</x:v>
      </x:c>
      <x:c r="H310" s="2" t="str">
        <x:v>Online</x:v>
      </x:c>
      <x:c r="I310" s="2" t="n">
        <x:v>14</x:v>
      </x:c>
      <x:c r="J310" s="2" t="n">
        <x:v>0</x:v>
      </x:c>
      <x:c r="K310" s="2" t="n">
        <x:f>I310-J310</x:f>
        <x:v>14</x:v>
      </x:c>
      <x:c r="L310" s="16" t="n">
        <x:v>18</x:v>
      </x:c>
      <x:c r="M310" s="16" t="n">
        <x:v>18</x:v>
      </x:c>
      <x:c r="N310" s="16" t="n">
        <x:v>7.83</x:v>
      </x:c>
      <x:c r="O310" s="16" t="n">
        <x:f>K310*M310</x:f>
        <x:v>252</x:v>
      </x:c>
      <x:c r="P310" s="16" t="n">
        <x:f>K310*N310</x:f>
        <x:v>109.62</x:v>
      </x:c>
      <x:c r="Q310" s="16" t="n">
        <x:f>O310-P310</x:f>
        <x:v>142.38</x:v>
      </x:c>
      <x:c r="R310" s="2" t="n">
        <x:v>101</x:v>
      </x:c>
      <x:c r="S310" s="2" t="n">
        <x:v>57</x:v>
      </x:c>
      <x:c r="T310" s="2" t="n">
        <x:f>R310+S310+J310-I310</x:f>
        <x:v>144</x:v>
      </x:c>
      <x:c r="U310" s="2" t="n">
        <x:v>0</x:v>
      </x:c>
      <x:c r="V310" s="2" t="n">
        <x:v>2</x:v>
      </x:c>
      <x:c r="W310" s="2" t="n">
        <x:v>12</x:v>
      </x:c>
      <x:c r="X310" s="14" t="b">
        <x:v>0</x:v>
      </x:c>
      <x:c r="Y310" s="14" t="b">
        <x:v>0</x:v>
      </x:c>
      <x:c r="Z310" s="2" t="n">
        <x:f>ABS(T310-AA310)</x:f>
        <x:v>0</x:v>
      </x:c>
      <x:c r="AA310" s="2" t="n">
        <x:v>144</x:v>
      </x:c>
      <x:c r="AB310" s="2" t="n">
        <x:f>ABS(K310-W310)</x:f>
        <x:v>2</x:v>
      </x:c>
      <x:c r="AC310" s="2" t="n">
        <x:f>COUNTIF($A$2:$A$1921,A310)-1</x:f>
        <x:v>0</x:v>
      </x:c>
      <x:c r="AD310" s="2" t="n">
        <x:f>IF(AND(D310=D309,H310=H309,C310=C309+1),ABS(R310-T309),0)</x:f>
        <x:v>0</x:v>
      </x:c>
    </x:row>
    <x:row r="311" ht="23" customHeight="1">
      <x:c r="A311" s="2" t="str">
        <x:v>DEMO-104-3-10</x:v>
      </x:c>
      <x:c r="B311" s="15" t="d">
        <x:v>2026-07-06T00:00:00.000Z</x:v>
      </x:c>
      <x:c r="C311" s="2" t="n">
        <x:v>10</x:v>
      </x:c>
      <x:c r="D311" s="2" t="str">
        <x:v>DEMO-104</x:v>
      </x:c>
      <x:c r="E311" s="2" t="str">
        <x:v>Studio Planner</x:v>
      </x:c>
      <x:c r="F311" s="2" t="str">
        <x:v>Stationery</x:v>
      </x:c>
      <x:c r="G311" s="2" t="str">
        <x:v>Online</x:v>
      </x:c>
      <x:c r="H311" s="2" t="str">
        <x:v>Online</x:v>
      </x:c>
      <x:c r="I311" s="2" t="n">
        <x:v>15</x:v>
      </x:c>
      <x:c r="J311" s="2" t="n">
        <x:v>0</x:v>
      </x:c>
      <x:c r="K311" s="2" t="n">
        <x:f>I311-J311</x:f>
        <x:v>15</x:v>
      </x:c>
      <x:c r="L311" s="16" t="n">
        <x:v>18</x:v>
      </x:c>
      <x:c r="M311" s="16" t="n">
        <x:v>18</x:v>
      </x:c>
      <x:c r="N311" s="16" t="n">
        <x:v>7.83</x:v>
      </x:c>
      <x:c r="O311" s="16" t="n">
        <x:f>K311*M311</x:f>
        <x:v>270</x:v>
      </x:c>
      <x:c r="P311" s="16" t="n">
        <x:f>K311*N311</x:f>
        <x:v>117.45</x:v>
      </x:c>
      <x:c r="Q311" s="16" t="n">
        <x:f>O311-P311</x:f>
        <x:v>152.55</x:v>
      </x:c>
      <x:c r="R311" s="2" t="n">
        <x:v>144</x:v>
      </x:c>
      <x:c r="S311" s="2" t="n">
        <x:v>0</x:v>
      </x:c>
      <x:c r="T311" s="2" t="n">
        <x:f>R311+S311+J311-I311</x:f>
        <x:v>129</x:v>
      </x:c>
      <x:c r="U311" s="2" t="n">
        <x:v>0</x:v>
      </x:c>
      <x:c r="V311" s="2" t="n">
        <x:v>2</x:v>
      </x:c>
      <x:c r="W311" s="2" t="n">
        <x:v>13</x:v>
      </x:c>
      <x:c r="X311" s="14" t="b">
        <x:v>0</x:v>
      </x:c>
      <x:c r="Y311" s="14" t="b">
        <x:v>0</x:v>
      </x:c>
      <x:c r="Z311" s="2" t="n">
        <x:f>ABS(T311-AA311)</x:f>
        <x:v>0</x:v>
      </x:c>
      <x:c r="AA311" s="2" t="n">
        <x:v>129</x:v>
      </x:c>
      <x:c r="AB311" s="2" t="n">
        <x:f>ABS(K311-W311)</x:f>
        <x:v>2</x:v>
      </x:c>
      <x:c r="AC311" s="2" t="n">
        <x:f>COUNTIF($A$2:$A$1921,A311)-1</x:f>
        <x:v>0</x:v>
      </x:c>
      <x:c r="AD311" s="2" t="n">
        <x:f>IF(AND(D311=D310,H311=H310,C311=C310+1),ABS(R311-T310),0)</x:f>
        <x:v>0</x:v>
      </x:c>
    </x:row>
    <x:row r="312" ht="23" customHeight="1">
      <x:c r="A312" s="2" t="str">
        <x:v>DEMO-104-3-11</x:v>
      </x:c>
      <x:c r="B312" s="15" t="d">
        <x:v>2026-07-13T00:00:00.000Z</x:v>
      </x:c>
      <x:c r="C312" s="2" t="n">
        <x:v>11</x:v>
      </x:c>
      <x:c r="D312" s="2" t="str">
        <x:v>DEMO-104</x:v>
      </x:c>
      <x:c r="E312" s="2" t="str">
        <x:v>Studio Planner</x:v>
      </x:c>
      <x:c r="F312" s="2" t="str">
        <x:v>Stationery</x:v>
      </x:c>
      <x:c r="G312" s="2" t="str">
        <x:v>Online</x:v>
      </x:c>
      <x:c r="H312" s="2" t="str">
        <x:v>Online</x:v>
      </x:c>
      <x:c r="I312" s="2" t="n">
        <x:v>16</x:v>
      </x:c>
      <x:c r="J312" s="2" t="n">
        <x:v>0</x:v>
      </x:c>
      <x:c r="K312" s="2" t="n">
        <x:f>I312-J312</x:f>
        <x:v>16</x:v>
      </x:c>
      <x:c r="L312" s="16" t="n">
        <x:v>18</x:v>
      </x:c>
      <x:c r="M312" s="16" t="n">
        <x:v>18</x:v>
      </x:c>
      <x:c r="N312" s="16" t="n">
        <x:v>7.83</x:v>
      </x:c>
      <x:c r="O312" s="16" t="n">
        <x:f>K312*M312</x:f>
        <x:v>288</x:v>
      </x:c>
      <x:c r="P312" s="16" t="n">
        <x:f>K312*N312</x:f>
        <x:v>125.28</x:v>
      </x:c>
      <x:c r="Q312" s="16" t="n">
        <x:f>O312-P312</x:f>
        <x:v>162.72</x:v>
      </x:c>
      <x:c r="R312" s="2" t="n">
        <x:v>129</x:v>
      </x:c>
      <x:c r="S312" s="2" t="n">
        <x:v>0</x:v>
      </x:c>
      <x:c r="T312" s="2" t="n">
        <x:f>R312+S312+J312-I312</x:f>
        <x:v>113</x:v>
      </x:c>
      <x:c r="U312" s="2" t="n">
        <x:v>0</x:v>
      </x:c>
      <x:c r="V312" s="2" t="n">
        <x:v>2</x:v>
      </x:c>
      <x:c r="W312" s="2" t="n">
        <x:v>13</x:v>
      </x:c>
      <x:c r="X312" s="14" t="b">
        <x:v>0</x:v>
      </x:c>
      <x:c r="Y312" s="14" t="b">
        <x:v>0</x:v>
      </x:c>
      <x:c r="Z312" s="2" t="n">
        <x:f>ABS(T312-AA312)</x:f>
        <x:v>0</x:v>
      </x:c>
      <x:c r="AA312" s="2" t="n">
        <x:v>113</x:v>
      </x:c>
      <x:c r="AB312" s="2" t="n">
        <x:f>ABS(K312-W312)</x:f>
        <x:v>3</x:v>
      </x:c>
      <x:c r="AC312" s="2" t="n">
        <x:f>COUNTIF($A$2:$A$1921,A312)-1</x:f>
        <x:v>0</x:v>
      </x:c>
      <x:c r="AD312" s="2" t="n">
        <x:f>IF(AND(D312=D311,H312=H311,C312=C311+1),ABS(R312-T311),0)</x:f>
        <x:v>0</x:v>
      </x:c>
    </x:row>
    <x:row r="313" ht="23" customHeight="1">
      <x:c r="A313" s="2" t="str">
        <x:v>DEMO-104-3-12</x:v>
      </x:c>
      <x:c r="B313" s="15" t="d">
        <x:v>2026-07-20T00:00:00.000Z</x:v>
      </x:c>
      <x:c r="C313" s="2" t="n">
        <x:v>12</x:v>
      </x:c>
      <x:c r="D313" s="2" t="str">
        <x:v>DEMO-104</x:v>
      </x:c>
      <x:c r="E313" s="2" t="str">
        <x:v>Studio Planner</x:v>
      </x:c>
      <x:c r="F313" s="2" t="str">
        <x:v>Stationery</x:v>
      </x:c>
      <x:c r="G313" s="2" t="str">
        <x:v>Online</x:v>
      </x:c>
      <x:c r="H313" s="2" t="str">
        <x:v>Online</x:v>
      </x:c>
      <x:c r="I313" s="2" t="n">
        <x:v>14</x:v>
      </x:c>
      <x:c r="J313" s="2" t="n">
        <x:v>1</x:v>
      </x:c>
      <x:c r="K313" s="2" t="n">
        <x:f>I313-J313</x:f>
        <x:v>13</x:v>
      </x:c>
      <x:c r="L313" s="16" t="n">
        <x:v>18</x:v>
      </x:c>
      <x:c r="M313" s="16" t="n">
        <x:v>18</x:v>
      </x:c>
      <x:c r="N313" s="16" t="n">
        <x:v>7.83</x:v>
      </x:c>
      <x:c r="O313" s="16" t="n">
        <x:f>K313*M313</x:f>
        <x:v>234</x:v>
      </x:c>
      <x:c r="P313" s="16" t="n">
        <x:f>K313*N313</x:f>
        <x:v>101.79</x:v>
      </x:c>
      <x:c r="Q313" s="16" t="n">
        <x:f>O313-P313</x:f>
        <x:v>132.20999999999998</x:v>
      </x:c>
      <x:c r="R313" s="2" t="n">
        <x:v>113</x:v>
      </x:c>
      <x:c r="S313" s="2" t="n">
        <x:v>0</x:v>
      </x:c>
      <x:c r="T313" s="2" t="n">
        <x:f>R313+S313+J313-I313</x:f>
        <x:v>100</x:v>
      </x:c>
      <x:c r="U313" s="2" t="n">
        <x:v>0</x:v>
      </x:c>
      <x:c r="V313" s="2" t="n">
        <x:v>2</x:v>
      </x:c>
      <x:c r="W313" s="2" t="n">
        <x:v>14</x:v>
      </x:c>
      <x:c r="X313" s="14" t="b">
        <x:v>0</x:v>
      </x:c>
      <x:c r="Y313" s="14" t="b">
        <x:v>0</x:v>
      </x:c>
      <x:c r="Z313" s="2" t="n">
        <x:f>ABS(T313-AA313)</x:f>
        <x:v>0</x:v>
      </x:c>
      <x:c r="AA313" s="2" t="n">
        <x:v>100</x:v>
      </x:c>
      <x:c r="AB313" s="2" t="n">
        <x:f>ABS(K313-W313)</x:f>
        <x:v>1</x:v>
      </x:c>
      <x:c r="AC313" s="2" t="n">
        <x:f>COUNTIF($A$2:$A$1921,A313)-1</x:f>
        <x:v>0</x:v>
      </x:c>
      <x:c r="AD313" s="2" t="n">
        <x:f>IF(AND(D313=D312,H313=H312,C313=C312+1),ABS(R313-T312),0)</x:f>
        <x:v>0</x:v>
      </x:c>
    </x:row>
    <x:row r="314" ht="23" customHeight="1">
      <x:c r="A314" s="2" t="str">
        <x:v>DEMO-104-3-13</x:v>
      </x:c>
      <x:c r="B314" s="15" t="d">
        <x:v>2026-07-27T00:00:00.000Z</x:v>
      </x:c>
      <x:c r="C314" s="2" t="n">
        <x:v>13</x:v>
      </x:c>
      <x:c r="D314" s="2" t="str">
        <x:v>DEMO-104</x:v>
      </x:c>
      <x:c r="E314" s="2" t="str">
        <x:v>Studio Planner</x:v>
      </x:c>
      <x:c r="F314" s="2" t="str">
        <x:v>Stationery</x:v>
      </x:c>
      <x:c r="G314" s="2" t="str">
        <x:v>Online</x:v>
      </x:c>
      <x:c r="H314" s="2" t="str">
        <x:v>Online</x:v>
      </x:c>
      <x:c r="I314" s="2" t="n">
        <x:v>12</x:v>
      </x:c>
      <x:c r="J314" s="2" t="n">
        <x:v>0</x:v>
      </x:c>
      <x:c r="K314" s="2" t="n">
        <x:f>I314-J314</x:f>
        <x:v>12</x:v>
      </x:c>
      <x:c r="L314" s="16" t="n">
        <x:v>18</x:v>
      </x:c>
      <x:c r="M314" s="16" t="n">
        <x:v>18</x:v>
      </x:c>
      <x:c r="N314" s="16" t="n">
        <x:v>7.83</x:v>
      </x:c>
      <x:c r="O314" s="16" t="n">
        <x:f>K314*M314</x:f>
        <x:v>216</x:v>
      </x:c>
      <x:c r="P314" s="16" t="n">
        <x:f>K314*N314</x:f>
        <x:v>93.96000000000001</x:v>
      </x:c>
      <x:c r="Q314" s="16" t="n">
        <x:f>O314-P314</x:f>
        <x:v>122.03999999999999</x:v>
      </x:c>
      <x:c r="R314" s="2" t="n">
        <x:v>100</x:v>
      </x:c>
      <x:c r="S314" s="2" t="n">
        <x:v>57</x:v>
      </x:c>
      <x:c r="T314" s="2" t="n">
        <x:f>R314+S314+J314-I314</x:f>
        <x:v>145</x:v>
      </x:c>
      <x:c r="U314" s="2" t="n">
        <x:v>0</x:v>
      </x:c>
      <x:c r="V314" s="2" t="n">
        <x:v>2</x:v>
      </x:c>
      <x:c r="W314" s="2" t="n">
        <x:v>15</x:v>
      </x:c>
      <x:c r="X314" s="14" t="b">
        <x:v>0</x:v>
      </x:c>
      <x:c r="Y314" s="14" t="b">
        <x:v>0</x:v>
      </x:c>
      <x:c r="Z314" s="2" t="n">
        <x:f>ABS(T314-AA314)</x:f>
        <x:v>0</x:v>
      </x:c>
      <x:c r="AA314" s="2" t="n">
        <x:v>145</x:v>
      </x:c>
      <x:c r="AB314" s="2" t="n">
        <x:f>ABS(K314-W314)</x:f>
        <x:v>3</x:v>
      </x:c>
      <x:c r="AC314" s="2" t="n">
        <x:f>COUNTIF($A$2:$A$1921,A314)-1</x:f>
        <x:v>0</x:v>
      </x:c>
      <x:c r="AD314" s="2" t="n">
        <x:f>IF(AND(D314=D313,H314=H313,C314=C313+1),ABS(R314-T313),0)</x:f>
        <x:v>0</x:v>
      </x:c>
    </x:row>
    <x:row r="315" ht="23" customHeight="1">
      <x:c r="A315" s="2" t="str">
        <x:v>DEMO-104-3-14</x:v>
      </x:c>
      <x:c r="B315" s="15" t="d">
        <x:v>2026-08-03T00:00:00.000Z</x:v>
      </x:c>
      <x:c r="C315" s="2" t="n">
        <x:v>14</x:v>
      </x:c>
      <x:c r="D315" s="2" t="str">
        <x:v>DEMO-104</x:v>
      </x:c>
      <x:c r="E315" s="2" t="str">
        <x:v>Studio Planner</x:v>
      </x:c>
      <x:c r="F315" s="2" t="str">
        <x:v>Stationery</x:v>
      </x:c>
      <x:c r="G315" s="2" t="str">
        <x:v>Online</x:v>
      </x:c>
      <x:c r="H315" s="2" t="str">
        <x:v>Online</x:v>
      </x:c>
      <x:c r="I315" s="2" t="n">
        <x:v>16</x:v>
      </x:c>
      <x:c r="J315" s="2" t="n">
        <x:v>0</x:v>
      </x:c>
      <x:c r="K315" s="2" t="n">
        <x:f>I315-J315</x:f>
        <x:v>16</x:v>
      </x:c>
      <x:c r="L315" s="16" t="n">
        <x:v>18</x:v>
      </x:c>
      <x:c r="M315" s="16" t="n">
        <x:v>18</x:v>
      </x:c>
      <x:c r="N315" s="16" t="n">
        <x:v>7.83</x:v>
      </x:c>
      <x:c r="O315" s="16" t="n">
        <x:f>K315*M315</x:f>
        <x:v>288</x:v>
      </x:c>
      <x:c r="P315" s="16" t="n">
        <x:f>K315*N315</x:f>
        <x:v>125.28</x:v>
      </x:c>
      <x:c r="Q315" s="16" t="n">
        <x:f>O315-P315</x:f>
        <x:v>162.72</x:v>
      </x:c>
      <x:c r="R315" s="2" t="n">
        <x:v>145</x:v>
      </x:c>
      <x:c r="S315" s="2" t="n">
        <x:v>0</x:v>
      </x:c>
      <x:c r="T315" s="2" t="n">
        <x:f>R315+S315+J315-I315</x:f>
        <x:v>129</x:v>
      </x:c>
      <x:c r="U315" s="2" t="n">
        <x:v>0</x:v>
      </x:c>
      <x:c r="V315" s="2" t="n">
        <x:v>2</x:v>
      </x:c>
      <x:c r="W315" s="2" t="n">
        <x:v>14</x:v>
      </x:c>
      <x:c r="X315" s="14" t="b">
        <x:v>0</x:v>
      </x:c>
      <x:c r="Y315" s="14" t="b">
        <x:v>0</x:v>
      </x:c>
      <x:c r="Z315" s="2" t="n">
        <x:f>ABS(T315-AA315)</x:f>
        <x:v>0</x:v>
      </x:c>
      <x:c r="AA315" s="2" t="n">
        <x:v>129</x:v>
      </x:c>
      <x:c r="AB315" s="2" t="n">
        <x:f>ABS(K315-W315)</x:f>
        <x:v>2</x:v>
      </x:c>
      <x:c r="AC315" s="2" t="n">
        <x:f>COUNTIF($A$2:$A$1921,A315)-1</x:f>
        <x:v>0</x:v>
      </x:c>
      <x:c r="AD315" s="2" t="n">
        <x:f>IF(AND(D315=D314,H315=H314,C315=C314+1),ABS(R315-T314),0)</x:f>
        <x:v>0</x:v>
      </x:c>
    </x:row>
    <x:row r="316" ht="23" customHeight="1">
      <x:c r="A316" s="2" t="str">
        <x:v>DEMO-104-3-15</x:v>
      </x:c>
      <x:c r="B316" s="15" t="d">
        <x:v>2026-08-10T00:00:00.000Z</x:v>
      </x:c>
      <x:c r="C316" s="2" t="n">
        <x:v>15</x:v>
      </x:c>
      <x:c r="D316" s="2" t="str">
        <x:v>DEMO-104</x:v>
      </x:c>
      <x:c r="E316" s="2" t="str">
        <x:v>Studio Planner</x:v>
      </x:c>
      <x:c r="F316" s="2" t="str">
        <x:v>Stationery</x:v>
      </x:c>
      <x:c r="G316" s="2" t="str">
        <x:v>Online</x:v>
      </x:c>
      <x:c r="H316" s="2" t="str">
        <x:v>Online</x:v>
      </x:c>
      <x:c r="I316" s="2" t="n">
        <x:v>12</x:v>
      </x:c>
      <x:c r="J316" s="2" t="n">
        <x:v>0</x:v>
      </x:c>
      <x:c r="K316" s="2" t="n">
        <x:f>I316-J316</x:f>
        <x:v>12</x:v>
      </x:c>
      <x:c r="L316" s="16" t="n">
        <x:v>18</x:v>
      </x:c>
      <x:c r="M316" s="16" t="n">
        <x:v>18</x:v>
      </x:c>
      <x:c r="N316" s="16" t="n">
        <x:v>7.83</x:v>
      </x:c>
      <x:c r="O316" s="16" t="n">
        <x:f>K316*M316</x:f>
        <x:v>216</x:v>
      </x:c>
      <x:c r="P316" s="16" t="n">
        <x:f>K316*N316</x:f>
        <x:v>93.96000000000001</x:v>
      </x:c>
      <x:c r="Q316" s="16" t="n">
        <x:f>O316-P316</x:f>
        <x:v>122.03999999999999</x:v>
      </x:c>
      <x:c r="R316" s="2" t="n">
        <x:v>129</x:v>
      </x:c>
      <x:c r="S316" s="2" t="n">
        <x:v>0</x:v>
      </x:c>
      <x:c r="T316" s="2" t="n">
        <x:f>R316+S316+J316-I316</x:f>
        <x:v>117</x:v>
      </x:c>
      <x:c r="U316" s="2" t="n">
        <x:v>0</x:v>
      </x:c>
      <x:c r="V316" s="2" t="n">
        <x:v>2</x:v>
      </x:c>
      <x:c r="W316" s="2" t="n">
        <x:v>14</x:v>
      </x:c>
      <x:c r="X316" s="14" t="b">
        <x:v>0</x:v>
      </x:c>
      <x:c r="Y316" s="14" t="b">
        <x:v>0</x:v>
      </x:c>
      <x:c r="Z316" s="2" t="n">
        <x:f>ABS(T316-AA316)</x:f>
        <x:v>0</x:v>
      </x:c>
      <x:c r="AA316" s="2" t="n">
        <x:v>117</x:v>
      </x:c>
      <x:c r="AB316" s="2" t="n">
        <x:f>ABS(K316-W316)</x:f>
        <x:v>2</x:v>
      </x:c>
      <x:c r="AC316" s="2" t="n">
        <x:f>COUNTIF($A$2:$A$1921,A316)-1</x:f>
        <x:v>0</x:v>
      </x:c>
      <x:c r="AD316" s="2" t="n">
        <x:f>IF(AND(D316=D315,H316=H315,C316=C315+1),ABS(R316-T315),0)</x:f>
        <x:v>0</x:v>
      </x:c>
    </x:row>
    <x:row r="317" ht="23" customHeight="1">
      <x:c r="A317" s="2" t="str">
        <x:v>DEMO-104-3-16</x:v>
      </x:c>
      <x:c r="B317" s="15" t="d">
        <x:v>2026-08-17T00:00:00.000Z</x:v>
      </x:c>
      <x:c r="C317" s="2" t="n">
        <x:v>16</x:v>
      </x:c>
      <x:c r="D317" s="2" t="str">
        <x:v>DEMO-104</x:v>
      </x:c>
      <x:c r="E317" s="2" t="str">
        <x:v>Studio Planner</x:v>
      </x:c>
      <x:c r="F317" s="2" t="str">
        <x:v>Stationery</x:v>
      </x:c>
      <x:c r="G317" s="2" t="str">
        <x:v>Online</x:v>
      </x:c>
      <x:c r="H317" s="2" t="str">
        <x:v>Online</x:v>
      </x:c>
      <x:c r="I317" s="2" t="n">
        <x:v>11</x:v>
      </x:c>
      <x:c r="J317" s="2" t="n">
        <x:v>0</x:v>
      </x:c>
      <x:c r="K317" s="2" t="n">
        <x:f>I317-J317</x:f>
        <x:v>11</x:v>
      </x:c>
      <x:c r="L317" s="16" t="n">
        <x:v>18</x:v>
      </x:c>
      <x:c r="M317" s="16" t="n">
        <x:v>18</x:v>
      </x:c>
      <x:c r="N317" s="16" t="n">
        <x:v>7.83</x:v>
      </x:c>
      <x:c r="O317" s="16" t="n">
        <x:f>K317*M317</x:f>
        <x:v>198</x:v>
      </x:c>
      <x:c r="P317" s="16" t="n">
        <x:f>K317*N317</x:f>
        <x:v>86.13</x:v>
      </x:c>
      <x:c r="Q317" s="16" t="n">
        <x:f>O317-P317</x:f>
        <x:v>111.87</x:v>
      </x:c>
      <x:c r="R317" s="2" t="n">
        <x:v>117</x:v>
      </x:c>
      <x:c r="S317" s="2" t="n">
        <x:v>0</x:v>
      </x:c>
      <x:c r="T317" s="2" t="n">
        <x:f>R317+S317+J317-I317</x:f>
        <x:v>106</x:v>
      </x:c>
      <x:c r="U317" s="2" t="n">
        <x:v>0</x:v>
      </x:c>
      <x:c r="V317" s="2" t="n">
        <x:v>2</x:v>
      </x:c>
      <x:c r="W317" s="2" t="n">
        <x:v>13</x:v>
      </x:c>
      <x:c r="X317" s="14" t="b">
        <x:v>0</x:v>
      </x:c>
      <x:c r="Y317" s="14" t="b">
        <x:v>0</x:v>
      </x:c>
      <x:c r="Z317" s="2" t="n">
        <x:f>ABS(T317-AA317)</x:f>
        <x:v>0</x:v>
      </x:c>
      <x:c r="AA317" s="2" t="n">
        <x:v>106</x:v>
      </x:c>
      <x:c r="AB317" s="2" t="n">
        <x:f>ABS(K317-W317)</x:f>
        <x:v>2</x:v>
      </x:c>
      <x:c r="AC317" s="2" t="n">
        <x:f>COUNTIF($A$2:$A$1921,A317)-1</x:f>
        <x:v>0</x:v>
      </x:c>
      <x:c r="AD317" s="2" t="n">
        <x:f>IF(AND(D317=D316,H317=H316,C317=C316+1),ABS(R317-T316),0)</x:f>
        <x:v>0</x:v>
      </x:c>
    </x:row>
    <x:row r="318" ht="23" customHeight="1">
      <x:c r="A318" s="2" t="str">
        <x:v>DEMO-104-3-17</x:v>
      </x:c>
      <x:c r="B318" s="15" t="d">
        <x:v>2026-08-24T00:00:00.000Z</x:v>
      </x:c>
      <x:c r="C318" s="2" t="n">
        <x:v>17</x:v>
      </x:c>
      <x:c r="D318" s="2" t="str">
        <x:v>DEMO-104</x:v>
      </x:c>
      <x:c r="E318" s="2" t="str">
        <x:v>Studio Planner</x:v>
      </x:c>
      <x:c r="F318" s="2" t="str">
        <x:v>Stationery</x:v>
      </x:c>
      <x:c r="G318" s="2" t="str">
        <x:v>Online</x:v>
      </x:c>
      <x:c r="H318" s="2" t="str">
        <x:v>Online</x:v>
      </x:c>
      <x:c r="I318" s="2" t="n">
        <x:v>13</x:v>
      </x:c>
      <x:c r="J318" s="2" t="n">
        <x:v>1</x:v>
      </x:c>
      <x:c r="K318" s="2" t="n">
        <x:f>I318-J318</x:f>
        <x:v>12</x:v>
      </x:c>
      <x:c r="L318" s="16" t="n">
        <x:v>18</x:v>
      </x:c>
      <x:c r="M318" s="16" t="n">
        <x:v>18</x:v>
      </x:c>
      <x:c r="N318" s="16" t="n">
        <x:v>7.83</x:v>
      </x:c>
      <x:c r="O318" s="16" t="n">
        <x:f>K318*M318</x:f>
        <x:v>216</x:v>
      </x:c>
      <x:c r="P318" s="16" t="n">
        <x:f>K318*N318</x:f>
        <x:v>93.96000000000001</x:v>
      </x:c>
      <x:c r="Q318" s="16" t="n">
        <x:f>O318-P318</x:f>
        <x:v>122.03999999999999</x:v>
      </x:c>
      <x:c r="R318" s="2" t="n">
        <x:v>106</x:v>
      </x:c>
      <x:c r="S318" s="2" t="n">
        <x:v>57</x:v>
      </x:c>
      <x:c r="T318" s="2" t="n">
        <x:f>R318+S318+J318-I318</x:f>
        <x:v>151</x:v>
      </x:c>
      <x:c r="U318" s="2" t="n">
        <x:v>0</x:v>
      </x:c>
      <x:c r="V318" s="2" t="n">
        <x:v>2</x:v>
      </x:c>
      <x:c r="W318" s="2" t="n">
        <x:v>13</x:v>
      </x:c>
      <x:c r="X318" s="14" t="b">
        <x:v>0</x:v>
      </x:c>
      <x:c r="Y318" s="14" t="b">
        <x:v>0</x:v>
      </x:c>
      <x:c r="Z318" s="2" t="n">
        <x:f>ABS(T318-AA318)</x:f>
        <x:v>0</x:v>
      </x:c>
      <x:c r="AA318" s="2" t="n">
        <x:v>151</x:v>
      </x:c>
      <x:c r="AB318" s="2" t="n">
        <x:f>ABS(K318-W318)</x:f>
        <x:v>1</x:v>
      </x:c>
      <x:c r="AC318" s="2" t="n">
        <x:f>COUNTIF($A$2:$A$1921,A318)-1</x:f>
        <x:v>0</x:v>
      </x:c>
      <x:c r="AD318" s="2" t="n">
        <x:f>IF(AND(D318=D317,H318=H317,C318=C317+1),ABS(R318-T317),0)</x:f>
        <x:v>0</x:v>
      </x:c>
    </x:row>
    <x:row r="319" ht="23" customHeight="1">
      <x:c r="A319" s="2" t="str">
        <x:v>DEMO-104-3-18</x:v>
      </x:c>
      <x:c r="B319" s="15" t="d">
        <x:v>2026-08-31T00:00:00.000Z</x:v>
      </x:c>
      <x:c r="C319" s="2" t="n">
        <x:v>18</x:v>
      </x:c>
      <x:c r="D319" s="2" t="str">
        <x:v>DEMO-104</x:v>
      </x:c>
      <x:c r="E319" s="2" t="str">
        <x:v>Studio Planner</x:v>
      </x:c>
      <x:c r="F319" s="2" t="str">
        <x:v>Stationery</x:v>
      </x:c>
      <x:c r="G319" s="2" t="str">
        <x:v>Online</x:v>
      </x:c>
      <x:c r="H319" s="2" t="str">
        <x:v>Online</x:v>
      </x:c>
      <x:c r="I319" s="2" t="n">
        <x:v>15</x:v>
      </x:c>
      <x:c r="J319" s="2" t="n">
        <x:v>1</x:v>
      </x:c>
      <x:c r="K319" s="2" t="n">
        <x:f>I319-J319</x:f>
        <x:v>14</x:v>
      </x:c>
      <x:c r="L319" s="16" t="n">
        <x:v>18</x:v>
      </x:c>
      <x:c r="M319" s="16" t="n">
        <x:v>18</x:v>
      </x:c>
      <x:c r="N319" s="16" t="n">
        <x:v>7.83</x:v>
      </x:c>
      <x:c r="O319" s="16" t="n">
        <x:f>K319*M319</x:f>
        <x:v>252</x:v>
      </x:c>
      <x:c r="P319" s="16" t="n">
        <x:f>K319*N319</x:f>
        <x:v>109.62</x:v>
      </x:c>
      <x:c r="Q319" s="16" t="n">
        <x:f>O319-P319</x:f>
        <x:v>142.38</x:v>
      </x:c>
      <x:c r="R319" s="2" t="n">
        <x:v>151</x:v>
      </x:c>
      <x:c r="S319" s="2" t="n">
        <x:v>0</x:v>
      </x:c>
      <x:c r="T319" s="2" t="n">
        <x:f>R319+S319+J319-I319</x:f>
        <x:v>137</x:v>
      </x:c>
      <x:c r="U319" s="2" t="n">
        <x:v>0</x:v>
      </x:c>
      <x:c r="V319" s="2" t="n">
        <x:v>2</x:v>
      </x:c>
      <x:c r="W319" s="2" t="n">
        <x:v>13</x:v>
      </x:c>
      <x:c r="X319" s="14" t="b">
        <x:v>0</x:v>
      </x:c>
      <x:c r="Y319" s="14" t="b">
        <x:v>0</x:v>
      </x:c>
      <x:c r="Z319" s="2" t="n">
        <x:f>ABS(T319-AA319)</x:f>
        <x:v>0</x:v>
      </x:c>
      <x:c r="AA319" s="2" t="n">
        <x:v>137</x:v>
      </x:c>
      <x:c r="AB319" s="2" t="n">
        <x:f>ABS(K319-W319)</x:f>
        <x:v>1</x:v>
      </x:c>
      <x:c r="AC319" s="2" t="n">
        <x:f>COUNTIF($A$2:$A$1921,A319)-1</x:f>
        <x:v>0</x:v>
      </x:c>
      <x:c r="AD319" s="2" t="n">
        <x:f>IF(AND(D319=D318,H319=H318,C319=C318+1),ABS(R319-T318),0)</x:f>
        <x:v>0</x:v>
      </x:c>
    </x:row>
    <x:row r="320" ht="23" customHeight="1">
      <x:c r="A320" s="2" t="str">
        <x:v>DEMO-104-3-19</x:v>
      </x:c>
      <x:c r="B320" s="15" t="d">
        <x:v>2026-09-07T00:00:00.000Z</x:v>
      </x:c>
      <x:c r="C320" s="2" t="n">
        <x:v>19</x:v>
      </x:c>
      <x:c r="D320" s="2" t="str">
        <x:v>DEMO-104</x:v>
      </x:c>
      <x:c r="E320" s="2" t="str">
        <x:v>Studio Planner</x:v>
      </x:c>
      <x:c r="F320" s="2" t="str">
        <x:v>Stationery</x:v>
      </x:c>
      <x:c r="G320" s="2" t="str">
        <x:v>Online</x:v>
      </x:c>
      <x:c r="H320" s="2" t="str">
        <x:v>Online</x:v>
      </x:c>
      <x:c r="I320" s="2" t="n">
        <x:v>13</x:v>
      </x:c>
      <x:c r="J320" s="2" t="n">
        <x:v>0</x:v>
      </x:c>
      <x:c r="K320" s="2" t="n">
        <x:f>I320-J320</x:f>
        <x:v>13</x:v>
      </x:c>
      <x:c r="L320" s="16" t="n">
        <x:v>18</x:v>
      </x:c>
      <x:c r="M320" s="16" t="n">
        <x:v>18</x:v>
      </x:c>
      <x:c r="N320" s="16" t="n">
        <x:v>7.83</x:v>
      </x:c>
      <x:c r="O320" s="16" t="n">
        <x:f>K320*M320</x:f>
        <x:v>234</x:v>
      </x:c>
      <x:c r="P320" s="16" t="n">
        <x:f>K320*N320</x:f>
        <x:v>101.79</x:v>
      </x:c>
      <x:c r="Q320" s="16" t="n">
        <x:f>O320-P320</x:f>
        <x:v>132.20999999999998</x:v>
      </x:c>
      <x:c r="R320" s="2" t="n">
        <x:v>137</x:v>
      </x:c>
      <x:c r="S320" s="2" t="n">
        <x:v>0</x:v>
      </x:c>
      <x:c r="T320" s="2" t="n">
        <x:f>R320+S320+J320-I320</x:f>
        <x:v>124</x:v>
      </x:c>
      <x:c r="U320" s="2" t="n">
        <x:v>0</x:v>
      </x:c>
      <x:c r="V320" s="2" t="n">
        <x:v>2</x:v>
      </x:c>
      <x:c r="W320" s="2" t="n">
        <x:v>12</x:v>
      </x:c>
      <x:c r="X320" s="14" t="b">
        <x:v>0</x:v>
      </x:c>
      <x:c r="Y320" s="14" t="b">
        <x:v>0</x:v>
      </x:c>
      <x:c r="Z320" s="2" t="n">
        <x:f>ABS(T320-AA320)</x:f>
        <x:v>0</x:v>
      </x:c>
      <x:c r="AA320" s="2" t="n">
        <x:v>124</x:v>
      </x:c>
      <x:c r="AB320" s="2" t="n">
        <x:f>ABS(K320-W320)</x:f>
        <x:v>1</x:v>
      </x:c>
      <x:c r="AC320" s="2" t="n">
        <x:f>COUNTIF($A$2:$A$1921,A320)-1</x:f>
        <x:v>0</x:v>
      </x:c>
      <x:c r="AD320" s="2" t="n">
        <x:f>IF(AND(D320=D319,H320=H319,C320=C319+1),ABS(R320-T319),0)</x:f>
        <x:v>0</x:v>
      </x:c>
    </x:row>
    <x:row r="321" ht="23" customHeight="1">
      <x:c r="A321" s="2" t="str">
        <x:v>DEMO-104-3-20</x:v>
      </x:c>
      <x:c r="B321" s="15" t="d">
        <x:v>2026-09-14T00:00:00.000Z</x:v>
      </x:c>
      <x:c r="C321" s="2" t="n">
        <x:v>20</x:v>
      </x:c>
      <x:c r="D321" s="2" t="str">
        <x:v>DEMO-104</x:v>
      </x:c>
      <x:c r="E321" s="2" t="str">
        <x:v>Studio Planner</x:v>
      </x:c>
      <x:c r="F321" s="2" t="str">
        <x:v>Stationery</x:v>
      </x:c>
      <x:c r="G321" s="2" t="str">
        <x:v>Online</x:v>
      </x:c>
      <x:c r="H321" s="2" t="str">
        <x:v>Online</x:v>
      </x:c>
      <x:c r="I321" s="2" t="n">
        <x:v>14</x:v>
      </x:c>
      <x:c r="J321" s="2" t="n">
        <x:v>0</x:v>
      </x:c>
      <x:c r="K321" s="2" t="n">
        <x:f>I321-J321</x:f>
        <x:v>14</x:v>
      </x:c>
      <x:c r="L321" s="16" t="n">
        <x:v>18</x:v>
      </x:c>
      <x:c r="M321" s="16" t="n">
        <x:v>18</x:v>
      </x:c>
      <x:c r="N321" s="16" t="n">
        <x:v>7.83</x:v>
      </x:c>
      <x:c r="O321" s="16" t="n">
        <x:f>K321*M321</x:f>
        <x:v>252</x:v>
      </x:c>
      <x:c r="P321" s="16" t="n">
        <x:f>K321*N321</x:f>
        <x:v>109.62</x:v>
      </x:c>
      <x:c r="Q321" s="16" t="n">
        <x:f>O321-P321</x:f>
        <x:v>142.38</x:v>
      </x:c>
      <x:c r="R321" s="2" t="n">
        <x:v>124</x:v>
      </x:c>
      <x:c r="S321" s="2" t="n">
        <x:v>0</x:v>
      </x:c>
      <x:c r="T321" s="2" t="n">
        <x:f>R321+S321+J321-I321</x:f>
        <x:v>110</x:v>
      </x:c>
      <x:c r="U321" s="2" t="n">
        <x:v>18</x:v>
      </x:c>
      <x:c r="V321" s="2" t="n">
        <x:v>2</x:v>
      </x:c>
      <x:c r="W321" s="2" t="n">
        <x:v>13</x:v>
      </x:c>
      <x:c r="X321" s="14" t="b">
        <x:v>0</x:v>
      </x:c>
      <x:c r="Y321" s="14" t="b">
        <x:v>0</x:v>
      </x:c>
      <x:c r="Z321" s="2" t="n">
        <x:f>ABS(T321-AA321)</x:f>
        <x:v>0</x:v>
      </x:c>
      <x:c r="AA321" s="2" t="n">
        <x:v>110</x:v>
      </x:c>
      <x:c r="AB321" s="2" t="n">
        <x:f>ABS(K321-W321)</x:f>
        <x:v>1</x:v>
      </x:c>
      <x:c r="AC321" s="2" t="n">
        <x:f>COUNTIF($A$2:$A$1921,A321)-1</x:f>
        <x:v>0</x:v>
      </x:c>
      <x:c r="AD321" s="2" t="n">
        <x:f>IF(AND(D321=D320,H321=H320,C321=C320+1),ABS(R321-T320),0)</x:f>
        <x:v>0</x:v>
      </x:c>
    </x:row>
    <x:row r="322" ht="23" customHeight="1">
      <x:c r="A322" s="2" t="str">
        <x:v>DEMO-105-0-1</x:v>
      </x:c>
      <x:c r="B322" s="15" t="d">
        <x:v>2026-05-04T00:00:00.000Z</x:v>
      </x:c>
      <x:c r="C322" s="2" t="n">
        <x:v>1</x:v>
      </x:c>
      <x:c r="D322" s="2" t="str">
        <x:v>DEMO-105</x:v>
      </x:c>
      <x:c r="E322" s="2" t="str">
        <x:v>Paper Trail Pad</x:v>
      </x:c>
      <x:c r="F322" s="2" t="str">
        <x:v>Stationery</x:v>
      </x:c>
      <x:c r="G322" s="2" t="str">
        <x:v>Stores</x:v>
      </x:c>
      <x:c r="H322" s="2" t="str">
        <x:v>North Arcade</x:v>
      </x:c>
      <x:c r="I322" s="2" t="n">
        <x:v>12</x:v>
      </x:c>
      <x:c r="J322" s="2" t="n">
        <x:v>0</x:v>
      </x:c>
      <x:c r="K322" s="2" t="n">
        <x:f>I322-J322</x:f>
        <x:v>12</x:v>
      </x:c>
      <x:c r="L322" s="16" t="n">
        <x:v>20</x:v>
      </x:c>
      <x:c r="M322" s="16" t="n">
        <x:v>20</x:v>
      </x:c>
      <x:c r="N322" s="16" t="n">
        <x:v>9.2</x:v>
      </x:c>
      <x:c r="O322" s="16" t="n">
        <x:f>K322*M322</x:f>
        <x:v>240</x:v>
      </x:c>
      <x:c r="P322" s="16" t="n">
        <x:f>K322*N322</x:f>
        <x:v>110.39999999999999</x:v>
      </x:c>
      <x:c r="Q322" s="16" t="n">
        <x:f>O322-P322</x:f>
        <x:v>129.60000000000002</x:v>
      </x:c>
      <x:c r="R322" s="2" t="n">
        <x:v>90</x:v>
      </x:c>
      <x:c r="S322" s="2" t="n">
        <x:v>46</x:v>
      </x:c>
      <x:c r="T322" s="2" t="n">
        <x:f>R322+S322+J322-I322</x:f>
        <x:v>124</x:v>
      </x:c>
      <x:c r="U322" s="2" t="n">
        <x:v>0</x:v>
      </x:c>
      <x:c r="V322" s="2" t="n">
        <x:v>3</x:v>
      </x:c>
      <x:c r="W322" s="2" t="n">
        <x:v>11</x:v>
      </x:c>
      <x:c r="X322" s="14" t="b">
        <x:v>0</x:v>
      </x:c>
      <x:c r="Y322" s="14" t="b">
        <x:v>0</x:v>
      </x:c>
      <x:c r="Z322" s="2" t="n">
        <x:f>ABS(T322-AA322)</x:f>
        <x:v>0</x:v>
      </x:c>
      <x:c r="AA322" s="2" t="n">
        <x:v>124</x:v>
      </x:c>
      <x:c r="AB322" s="2" t="n">
        <x:f>ABS(K322-W322)</x:f>
        <x:v>1</x:v>
      </x:c>
      <x:c r="AC322" s="2" t="n">
        <x:f>COUNTIF($A$2:$A$1921,A322)-1</x:f>
        <x:v>0</x:v>
      </x:c>
      <x:c r="AD322" s="2" t="n">
        <x:f>IF(AND(D322=D321,H322=H321,C322=C321+1),ABS(R322-T321),0)</x:f>
        <x:v>0</x:v>
      </x:c>
    </x:row>
    <x:row r="323" ht="23" customHeight="1">
      <x:c r="A323" s="2" t="str">
        <x:v>DEMO-105-0-2</x:v>
      </x:c>
      <x:c r="B323" s="15" t="d">
        <x:v>2026-05-11T00:00:00.000Z</x:v>
      </x:c>
      <x:c r="C323" s="2" t="n">
        <x:v>2</x:v>
      </x:c>
      <x:c r="D323" s="2" t="str">
        <x:v>DEMO-105</x:v>
      </x:c>
      <x:c r="E323" s="2" t="str">
        <x:v>Paper Trail Pad</x:v>
      </x:c>
      <x:c r="F323" s="2" t="str">
        <x:v>Stationery</x:v>
      </x:c>
      <x:c r="G323" s="2" t="str">
        <x:v>Stores</x:v>
      </x:c>
      <x:c r="H323" s="2" t="str">
        <x:v>North Arcade</x:v>
      </x:c>
      <x:c r="I323" s="2" t="n">
        <x:v>12</x:v>
      </x:c>
      <x:c r="J323" s="2" t="n">
        <x:v>0</x:v>
      </x:c>
      <x:c r="K323" s="2" t="n">
        <x:f>I323-J323</x:f>
        <x:v>12</x:v>
      </x:c>
      <x:c r="L323" s="16" t="n">
        <x:v>20</x:v>
      </x:c>
      <x:c r="M323" s="16" t="n">
        <x:v>20</x:v>
      </x:c>
      <x:c r="N323" s="16" t="n">
        <x:v>9.2</x:v>
      </x:c>
      <x:c r="O323" s="16" t="n">
        <x:f>K323*M323</x:f>
        <x:v>240</x:v>
      </x:c>
      <x:c r="P323" s="16" t="n">
        <x:f>K323*N323</x:f>
        <x:v>110.39999999999999</x:v>
      </x:c>
      <x:c r="Q323" s="16" t="n">
        <x:f>O323-P323</x:f>
        <x:v>129.60000000000002</x:v>
      </x:c>
      <x:c r="R323" s="2" t="n">
        <x:v>124</x:v>
      </x:c>
      <x:c r="S323" s="2" t="n">
        <x:v>0</x:v>
      </x:c>
      <x:c r="T323" s="2" t="n">
        <x:f>R323+S323+J323-I323</x:f>
        <x:v>112</x:v>
      </x:c>
      <x:c r="U323" s="2" t="n">
        <x:v>0</x:v>
      </x:c>
      <x:c r="V323" s="2" t="n">
        <x:v>3</x:v>
      </x:c>
      <x:c r="W323" s="2" t="n">
        <x:v>12</x:v>
      </x:c>
      <x:c r="X323" s="14" t="b">
        <x:v>0</x:v>
      </x:c>
      <x:c r="Y323" s="14" t="b">
        <x:v>0</x:v>
      </x:c>
      <x:c r="Z323" s="2" t="n">
        <x:f>ABS(T323-AA323)</x:f>
        <x:v>0</x:v>
      </x:c>
      <x:c r="AA323" s="2" t="n">
        <x:v>112</x:v>
      </x:c>
      <x:c r="AB323" s="2" t="n">
        <x:f>ABS(K323-W323)</x:f>
        <x:v>0</x:v>
      </x:c>
      <x:c r="AC323" s="2" t="n">
        <x:f>COUNTIF($A$2:$A$1921,A323)-1</x:f>
        <x:v>0</x:v>
      </x:c>
      <x:c r="AD323" s="2" t="n">
        <x:f>IF(AND(D323=D322,H323=H322,C323=C322+1),ABS(R323-T322),0)</x:f>
        <x:v>0</x:v>
      </x:c>
    </x:row>
    <x:row r="324" ht="23" customHeight="1">
      <x:c r="A324" s="2" t="str">
        <x:v>DEMO-105-0-3</x:v>
      </x:c>
      <x:c r="B324" s="15" t="d">
        <x:v>2026-05-18T00:00:00.000Z</x:v>
      </x:c>
      <x:c r="C324" s="2" t="n">
        <x:v>3</x:v>
      </x:c>
      <x:c r="D324" s="2" t="str">
        <x:v>DEMO-105</x:v>
      </x:c>
      <x:c r="E324" s="2" t="str">
        <x:v>Paper Trail Pad</x:v>
      </x:c>
      <x:c r="F324" s="2" t="str">
        <x:v>Stationery</x:v>
      </x:c>
      <x:c r="G324" s="2" t="str">
        <x:v>Stores</x:v>
      </x:c>
      <x:c r="H324" s="2" t="str">
        <x:v>North Arcade</x:v>
      </x:c>
      <x:c r="I324" s="2" t="n">
        <x:v>13</x:v>
      </x:c>
      <x:c r="J324" s="2" t="n">
        <x:v>0</x:v>
      </x:c>
      <x:c r="K324" s="2" t="n">
        <x:f>I324-J324</x:f>
        <x:v>13</x:v>
      </x:c>
      <x:c r="L324" s="16" t="n">
        <x:v>20</x:v>
      </x:c>
      <x:c r="M324" s="16" t="n">
        <x:v>20</x:v>
      </x:c>
      <x:c r="N324" s="16" t="n">
        <x:v>9.2</x:v>
      </x:c>
      <x:c r="O324" s="16" t="n">
        <x:f>K324*M324</x:f>
        <x:v>260</x:v>
      </x:c>
      <x:c r="P324" s="16" t="n">
        <x:f>K324*N324</x:f>
        <x:v>119.6</x:v>
      </x:c>
      <x:c r="Q324" s="16" t="n">
        <x:f>O324-P324</x:f>
        <x:v>140.4</x:v>
      </x:c>
      <x:c r="R324" s="2" t="n">
        <x:v>112</x:v>
      </x:c>
      <x:c r="S324" s="2" t="n">
        <x:v>0</x:v>
      </x:c>
      <x:c r="T324" s="2" t="n">
        <x:f>R324+S324+J324-I324</x:f>
        <x:v>99</x:v>
      </x:c>
      <x:c r="U324" s="2" t="n">
        <x:v>0</x:v>
      </x:c>
      <x:c r="V324" s="2" t="n">
        <x:v>3</x:v>
      </x:c>
      <x:c r="W324" s="2" t="n">
        <x:v>12</x:v>
      </x:c>
      <x:c r="X324" s="14" t="b">
        <x:v>0</x:v>
      </x:c>
      <x:c r="Y324" s="14" t="b">
        <x:v>0</x:v>
      </x:c>
      <x:c r="Z324" s="2" t="n">
        <x:f>ABS(T324-AA324)</x:f>
        <x:v>0</x:v>
      </x:c>
      <x:c r="AA324" s="2" t="n">
        <x:v>99</x:v>
      </x:c>
      <x:c r="AB324" s="2" t="n">
        <x:f>ABS(K324-W324)</x:f>
        <x:v>1</x:v>
      </x:c>
      <x:c r="AC324" s="2" t="n">
        <x:f>COUNTIF($A$2:$A$1921,A324)-1</x:f>
        <x:v>0</x:v>
      </x:c>
      <x:c r="AD324" s="2" t="n">
        <x:f>IF(AND(D324=D323,H324=H323,C324=C323+1),ABS(R324-T323),0)</x:f>
        <x:v>0</x:v>
      </x:c>
    </x:row>
    <x:row r="325" ht="23" customHeight="1">
      <x:c r="A325" s="2" t="str">
        <x:v>DEMO-105-0-4</x:v>
      </x:c>
      <x:c r="B325" s="15" t="d">
        <x:v>2026-05-25T00:00:00.000Z</x:v>
      </x:c>
      <x:c r="C325" s="2" t="n">
        <x:v>4</x:v>
      </x:c>
      <x:c r="D325" s="2" t="str">
        <x:v>DEMO-105</x:v>
      </x:c>
      <x:c r="E325" s="2" t="str">
        <x:v>Paper Trail Pad</x:v>
      </x:c>
      <x:c r="F325" s="2" t="str">
        <x:v>Stationery</x:v>
      </x:c>
      <x:c r="G325" s="2" t="str">
        <x:v>Stores</x:v>
      </x:c>
      <x:c r="H325" s="2" t="str">
        <x:v>North Arcade</x:v>
      </x:c>
      <x:c r="I325" s="2" t="n">
        <x:v>12</x:v>
      </x:c>
      <x:c r="J325" s="2" t="n">
        <x:v>0</x:v>
      </x:c>
      <x:c r="K325" s="2" t="n">
        <x:f>I325-J325</x:f>
        <x:v>12</x:v>
      </x:c>
      <x:c r="L325" s="16" t="n">
        <x:v>20</x:v>
      </x:c>
      <x:c r="M325" s="16" t="n">
        <x:v>20</x:v>
      </x:c>
      <x:c r="N325" s="16" t="n">
        <x:v>9.2</x:v>
      </x:c>
      <x:c r="O325" s="16" t="n">
        <x:f>K325*M325</x:f>
        <x:v>240</x:v>
      </x:c>
      <x:c r="P325" s="16" t="n">
        <x:f>K325*N325</x:f>
        <x:v>110.39999999999999</x:v>
      </x:c>
      <x:c r="Q325" s="16" t="n">
        <x:f>O325-P325</x:f>
        <x:v>129.60000000000002</x:v>
      </x:c>
      <x:c r="R325" s="2" t="n">
        <x:v>99</x:v>
      </x:c>
      <x:c r="S325" s="2" t="n">
        <x:v>0</x:v>
      </x:c>
      <x:c r="T325" s="2" t="n">
        <x:f>R325+S325+J325-I325</x:f>
        <x:v>87</x:v>
      </x:c>
      <x:c r="U325" s="2" t="n">
        <x:v>0</x:v>
      </x:c>
      <x:c r="V325" s="2" t="n">
        <x:v>3</x:v>
      </x:c>
      <x:c r="W325" s="2" t="n">
        <x:v>12</x:v>
      </x:c>
      <x:c r="X325" s="14" t="b">
        <x:v>0</x:v>
      </x:c>
      <x:c r="Y325" s="14" t="b">
        <x:v>0</x:v>
      </x:c>
      <x:c r="Z325" s="2" t="n">
        <x:f>ABS(T325-AA325)</x:f>
        <x:v>0</x:v>
      </x:c>
      <x:c r="AA325" s="2" t="n">
        <x:v>87</x:v>
      </x:c>
      <x:c r="AB325" s="2" t="n">
        <x:f>ABS(K325-W325)</x:f>
        <x:v>0</x:v>
      </x:c>
      <x:c r="AC325" s="2" t="n">
        <x:f>COUNTIF($A$2:$A$1921,A325)-1</x:f>
        <x:v>0</x:v>
      </x:c>
      <x:c r="AD325" s="2" t="n">
        <x:f>IF(AND(D325=D324,H325=H324,C325=C324+1),ABS(R325-T324),0)</x:f>
        <x:v>0</x:v>
      </x:c>
    </x:row>
    <x:row r="326" ht="23" customHeight="1">
      <x:c r="A326" s="2" t="str">
        <x:v>DEMO-105-0-5</x:v>
      </x:c>
      <x:c r="B326" s="15" t="d">
        <x:v>2026-06-01T00:00:00.000Z</x:v>
      </x:c>
      <x:c r="C326" s="2" t="n">
        <x:v>5</x:v>
      </x:c>
      <x:c r="D326" s="2" t="str">
        <x:v>DEMO-105</x:v>
      </x:c>
      <x:c r="E326" s="2" t="str">
        <x:v>Paper Trail Pad</x:v>
      </x:c>
      <x:c r="F326" s="2" t="str">
        <x:v>Stationery</x:v>
      </x:c>
      <x:c r="G326" s="2" t="str">
        <x:v>Stores</x:v>
      </x:c>
      <x:c r="H326" s="2" t="str">
        <x:v>North Arcade</x:v>
      </x:c>
      <x:c r="I326" s="2" t="n">
        <x:v>11</x:v>
      </x:c>
      <x:c r="J326" s="2" t="n">
        <x:v>1</x:v>
      </x:c>
      <x:c r="K326" s="2" t="n">
        <x:f>I326-J326</x:f>
        <x:v>10</x:v>
      </x:c>
      <x:c r="L326" s="16" t="n">
        <x:v>20</x:v>
      </x:c>
      <x:c r="M326" s="16" t="n">
        <x:v>20</x:v>
      </x:c>
      <x:c r="N326" s="16" t="n">
        <x:v>9.2</x:v>
      </x:c>
      <x:c r="O326" s="16" t="n">
        <x:f>K326*M326</x:f>
        <x:v>200</x:v>
      </x:c>
      <x:c r="P326" s="16" t="n">
        <x:f>K326*N326</x:f>
        <x:v>92</x:v>
      </x:c>
      <x:c r="Q326" s="16" t="n">
        <x:f>O326-P326</x:f>
        <x:v>108</x:v>
      </x:c>
      <x:c r="R326" s="2" t="n">
        <x:v>87</x:v>
      </x:c>
      <x:c r="S326" s="2" t="n">
        <x:v>46</x:v>
      </x:c>
      <x:c r="T326" s="2" t="n">
        <x:f>R326+S326+J326-I326</x:f>
        <x:v>123</x:v>
      </x:c>
      <x:c r="U326" s="2" t="n">
        <x:v>0</x:v>
      </x:c>
      <x:c r="V326" s="2" t="n">
        <x:v>3</x:v>
      </x:c>
      <x:c r="W326" s="2" t="n">
        <x:v>12</x:v>
      </x:c>
      <x:c r="X326" s="14" t="b">
        <x:v>0</x:v>
      </x:c>
      <x:c r="Y326" s="14" t="b">
        <x:v>0</x:v>
      </x:c>
      <x:c r="Z326" s="2" t="n">
        <x:f>ABS(T326-AA326)</x:f>
        <x:v>0</x:v>
      </x:c>
      <x:c r="AA326" s="2" t="n">
        <x:v>123</x:v>
      </x:c>
      <x:c r="AB326" s="2" t="n">
        <x:f>ABS(K326-W326)</x:f>
        <x:v>2</x:v>
      </x:c>
      <x:c r="AC326" s="2" t="n">
        <x:f>COUNTIF($A$2:$A$1921,A326)-1</x:f>
        <x:v>0</x:v>
      </x:c>
      <x:c r="AD326" s="2" t="n">
        <x:f>IF(AND(D326=D325,H326=H325,C326=C325+1),ABS(R326-T325),0)</x:f>
        <x:v>0</x:v>
      </x:c>
    </x:row>
    <x:row r="327" ht="23" customHeight="1">
      <x:c r="A327" s="2" t="str">
        <x:v>DEMO-105-0-6</x:v>
      </x:c>
      <x:c r="B327" s="15" t="d">
        <x:v>2026-06-08T00:00:00.000Z</x:v>
      </x:c>
      <x:c r="C327" s="2" t="n">
        <x:v>6</x:v>
      </x:c>
      <x:c r="D327" s="2" t="str">
        <x:v>DEMO-105</x:v>
      </x:c>
      <x:c r="E327" s="2" t="str">
        <x:v>Paper Trail Pad</x:v>
      </x:c>
      <x:c r="F327" s="2" t="str">
        <x:v>Stationery</x:v>
      </x:c>
      <x:c r="G327" s="2" t="str">
        <x:v>Stores</x:v>
      </x:c>
      <x:c r="H327" s="2" t="str">
        <x:v>North Arcade</x:v>
      </x:c>
      <x:c r="I327" s="2" t="n">
        <x:v>13</x:v>
      </x:c>
      <x:c r="J327" s="2" t="n">
        <x:v>0</x:v>
      </x:c>
      <x:c r="K327" s="2" t="n">
        <x:f>I327-J327</x:f>
        <x:v>13</x:v>
      </x:c>
      <x:c r="L327" s="16" t="n">
        <x:v>20</x:v>
      </x:c>
      <x:c r="M327" s="16" t="n">
        <x:v>20</x:v>
      </x:c>
      <x:c r="N327" s="16" t="n">
        <x:v>9.2</x:v>
      </x:c>
      <x:c r="O327" s="16" t="n">
        <x:f>K327*M327</x:f>
        <x:v>260</x:v>
      </x:c>
      <x:c r="P327" s="16" t="n">
        <x:f>K327*N327</x:f>
        <x:v>119.6</x:v>
      </x:c>
      <x:c r="Q327" s="16" t="n">
        <x:f>O327-P327</x:f>
        <x:v>140.4</x:v>
      </x:c>
      <x:c r="R327" s="2" t="n">
        <x:v>123</x:v>
      </x:c>
      <x:c r="S327" s="2" t="n">
        <x:v>0</x:v>
      </x:c>
      <x:c r="T327" s="2" t="n">
        <x:f>R327+S327+J327-I327</x:f>
        <x:v>110</x:v>
      </x:c>
      <x:c r="U327" s="2" t="n">
        <x:v>0</x:v>
      </x:c>
      <x:c r="V327" s="2" t="n">
        <x:v>3</x:v>
      </x:c>
      <x:c r="W327" s="2" t="n">
        <x:v>12</x:v>
      </x:c>
      <x:c r="X327" s="14" t="b">
        <x:v>0</x:v>
      </x:c>
      <x:c r="Y327" s="14" t="b">
        <x:v>0</x:v>
      </x:c>
      <x:c r="Z327" s="2" t="n">
        <x:f>ABS(T327-AA327)</x:f>
        <x:v>0</x:v>
      </x:c>
      <x:c r="AA327" s="2" t="n">
        <x:v>110</x:v>
      </x:c>
      <x:c r="AB327" s="2" t="n">
        <x:f>ABS(K327-W327)</x:f>
        <x:v>1</x:v>
      </x:c>
      <x:c r="AC327" s="2" t="n">
        <x:f>COUNTIF($A$2:$A$1921,A327)-1</x:f>
        <x:v>0</x:v>
      </x:c>
      <x:c r="AD327" s="2" t="n">
        <x:f>IF(AND(D327=D326,H327=H326,C327=C326+1),ABS(R327-T326),0)</x:f>
        <x:v>0</x:v>
      </x:c>
    </x:row>
    <x:row r="328" ht="23" customHeight="1">
      <x:c r="A328" s="2" t="str">
        <x:v>DEMO-105-0-7</x:v>
      </x:c>
      <x:c r="B328" s="15" t="d">
        <x:v>2026-06-15T00:00:00.000Z</x:v>
      </x:c>
      <x:c r="C328" s="2" t="n">
        <x:v>7</x:v>
      </x:c>
      <x:c r="D328" s="2" t="str">
        <x:v>DEMO-105</x:v>
      </x:c>
      <x:c r="E328" s="2" t="str">
        <x:v>Paper Trail Pad</x:v>
      </x:c>
      <x:c r="F328" s="2" t="str">
        <x:v>Stationery</x:v>
      </x:c>
      <x:c r="G328" s="2" t="str">
        <x:v>Stores</x:v>
      </x:c>
      <x:c r="H328" s="2" t="str">
        <x:v>North Arcade</x:v>
      </x:c>
      <x:c r="I328" s="2" t="n">
        <x:v>12</x:v>
      </x:c>
      <x:c r="J328" s="2" t="n">
        <x:v>1</x:v>
      </x:c>
      <x:c r="K328" s="2" t="n">
        <x:f>I328-J328</x:f>
        <x:v>11</x:v>
      </x:c>
      <x:c r="L328" s="16" t="n">
        <x:v>20</x:v>
      </x:c>
      <x:c r="M328" s="16" t="n">
        <x:v>20</x:v>
      </x:c>
      <x:c r="N328" s="16" t="n">
        <x:v>9.2</x:v>
      </x:c>
      <x:c r="O328" s="16" t="n">
        <x:f>K328*M328</x:f>
        <x:v>220</x:v>
      </x:c>
      <x:c r="P328" s="16" t="n">
        <x:f>K328*N328</x:f>
        <x:v>101.19999999999999</x:v>
      </x:c>
      <x:c r="Q328" s="16" t="n">
        <x:f>O328-P328</x:f>
        <x:v>118.80000000000001</x:v>
      </x:c>
      <x:c r="R328" s="2" t="n">
        <x:v>110</x:v>
      </x:c>
      <x:c r="S328" s="2" t="n">
        <x:v>0</x:v>
      </x:c>
      <x:c r="T328" s="2" t="n">
        <x:f>R328+S328+J328-I328</x:f>
        <x:v>99</x:v>
      </x:c>
      <x:c r="U328" s="2" t="n">
        <x:v>0</x:v>
      </x:c>
      <x:c r="V328" s="2" t="n">
        <x:v>3</x:v>
      </x:c>
      <x:c r="W328" s="2" t="n">
        <x:v>12</x:v>
      </x:c>
      <x:c r="X328" s="14" t="b">
        <x:v>0</x:v>
      </x:c>
      <x:c r="Y328" s="14" t="b">
        <x:v>0</x:v>
      </x:c>
      <x:c r="Z328" s="2" t="n">
        <x:f>ABS(T328-AA328)</x:f>
        <x:v>0</x:v>
      </x:c>
      <x:c r="AA328" s="2" t="n">
        <x:v>99</x:v>
      </x:c>
      <x:c r="AB328" s="2" t="n">
        <x:f>ABS(K328-W328)</x:f>
        <x:v>1</x:v>
      </x:c>
      <x:c r="AC328" s="2" t="n">
        <x:f>COUNTIF($A$2:$A$1921,A328)-1</x:f>
        <x:v>0</x:v>
      </x:c>
      <x:c r="AD328" s="2" t="n">
        <x:f>IF(AND(D328=D327,H328=H327,C328=C327+1),ABS(R328-T327),0)</x:f>
        <x:v>0</x:v>
      </x:c>
    </x:row>
    <x:row r="329" ht="23" customHeight="1">
      <x:c r="A329" s="2" t="str">
        <x:v>DEMO-105-0-8</x:v>
      </x:c>
      <x:c r="B329" s="15" t="d">
        <x:v>2026-06-22T00:00:00.000Z</x:v>
      </x:c>
      <x:c r="C329" s="2" t="n">
        <x:v>8</x:v>
      </x:c>
      <x:c r="D329" s="2" t="str">
        <x:v>DEMO-105</x:v>
      </x:c>
      <x:c r="E329" s="2" t="str">
        <x:v>Paper Trail Pad</x:v>
      </x:c>
      <x:c r="F329" s="2" t="str">
        <x:v>Stationery</x:v>
      </x:c>
      <x:c r="G329" s="2" t="str">
        <x:v>Stores</x:v>
      </x:c>
      <x:c r="H329" s="2" t="str">
        <x:v>North Arcade</x:v>
      </x:c>
      <x:c r="I329" s="2" t="n">
        <x:v>10</x:v>
      </x:c>
      <x:c r="J329" s="2" t="n">
        <x:v>0</x:v>
      </x:c>
      <x:c r="K329" s="2" t="n">
        <x:f>I329-J329</x:f>
        <x:v>10</x:v>
      </x:c>
      <x:c r="L329" s="16" t="n">
        <x:v>20</x:v>
      </x:c>
      <x:c r="M329" s="16" t="n">
        <x:v>20</x:v>
      </x:c>
      <x:c r="N329" s="16" t="n">
        <x:v>9.2</x:v>
      </x:c>
      <x:c r="O329" s="16" t="n">
        <x:f>K329*M329</x:f>
        <x:v>200</x:v>
      </x:c>
      <x:c r="P329" s="16" t="n">
        <x:f>K329*N329</x:f>
        <x:v>92</x:v>
      </x:c>
      <x:c r="Q329" s="16" t="n">
        <x:f>O329-P329</x:f>
        <x:v>108</x:v>
      </x:c>
      <x:c r="R329" s="2" t="n">
        <x:v>99</x:v>
      </x:c>
      <x:c r="S329" s="2" t="n">
        <x:v>0</x:v>
      </x:c>
      <x:c r="T329" s="2" t="n">
        <x:f>R329+S329+J329-I329</x:f>
        <x:v>89</x:v>
      </x:c>
      <x:c r="U329" s="2" t="n">
        <x:v>0</x:v>
      </x:c>
      <x:c r="V329" s="2" t="n">
        <x:v>3</x:v>
      </x:c>
      <x:c r="W329" s="2" t="n">
        <x:v>12</x:v>
      </x:c>
      <x:c r="X329" s="14" t="b">
        <x:v>0</x:v>
      </x:c>
      <x:c r="Y329" s="14" t="b">
        <x:v>0</x:v>
      </x:c>
      <x:c r="Z329" s="2" t="n">
        <x:f>ABS(T329-AA329)</x:f>
        <x:v>0</x:v>
      </x:c>
      <x:c r="AA329" s="2" t="n">
        <x:v>89</x:v>
      </x:c>
      <x:c r="AB329" s="2" t="n">
        <x:f>ABS(K329-W329)</x:f>
        <x:v>2</x:v>
      </x:c>
      <x:c r="AC329" s="2" t="n">
        <x:f>COUNTIF($A$2:$A$1921,A329)-1</x:f>
        <x:v>0</x:v>
      </x:c>
      <x:c r="AD329" s="2" t="n">
        <x:f>IF(AND(D329=D328,H329=H328,C329=C328+1),ABS(R329-T328),0)</x:f>
        <x:v>0</x:v>
      </x:c>
    </x:row>
    <x:row r="330" ht="23" customHeight="1">
      <x:c r="A330" s="2" t="str">
        <x:v>DEMO-105-0-9</x:v>
      </x:c>
      <x:c r="B330" s="15" t="d">
        <x:v>2026-06-29T00:00:00.000Z</x:v>
      </x:c>
      <x:c r="C330" s="2" t="n">
        <x:v>9</x:v>
      </x:c>
      <x:c r="D330" s="2" t="str">
        <x:v>DEMO-105</x:v>
      </x:c>
      <x:c r="E330" s="2" t="str">
        <x:v>Paper Trail Pad</x:v>
      </x:c>
      <x:c r="F330" s="2" t="str">
        <x:v>Stationery</x:v>
      </x:c>
      <x:c r="G330" s="2" t="str">
        <x:v>Stores</x:v>
      </x:c>
      <x:c r="H330" s="2" t="str">
        <x:v>North Arcade</x:v>
      </x:c>
      <x:c r="I330" s="2" t="n">
        <x:v>13</x:v>
      </x:c>
      <x:c r="J330" s="2" t="n">
        <x:v>0</x:v>
      </x:c>
      <x:c r="K330" s="2" t="n">
        <x:f>I330-J330</x:f>
        <x:v>13</x:v>
      </x:c>
      <x:c r="L330" s="16" t="n">
        <x:v>20</x:v>
      </x:c>
      <x:c r="M330" s="16" t="n">
        <x:v>20</x:v>
      </x:c>
      <x:c r="N330" s="16" t="n">
        <x:v>9.2</x:v>
      </x:c>
      <x:c r="O330" s="16" t="n">
        <x:f>K330*M330</x:f>
        <x:v>260</x:v>
      </x:c>
      <x:c r="P330" s="16" t="n">
        <x:f>K330*N330</x:f>
        <x:v>119.6</x:v>
      </x:c>
      <x:c r="Q330" s="16" t="n">
        <x:f>O330-P330</x:f>
        <x:v>140.4</x:v>
      </x:c>
      <x:c r="R330" s="2" t="n">
        <x:v>89</x:v>
      </x:c>
      <x:c r="S330" s="2" t="n">
        <x:v>46</x:v>
      </x:c>
      <x:c r="T330" s="2" t="n">
        <x:f>R330+S330+J330-I330</x:f>
        <x:v>122</x:v>
      </x:c>
      <x:c r="U330" s="2" t="n">
        <x:v>0</x:v>
      </x:c>
      <x:c r="V330" s="2" t="n">
        <x:v>3</x:v>
      </x:c>
      <x:c r="W330" s="2" t="n">
        <x:v>11</x:v>
      </x:c>
      <x:c r="X330" s="14" t="b">
        <x:v>0</x:v>
      </x:c>
      <x:c r="Y330" s="14" t="b">
        <x:v>0</x:v>
      </x:c>
      <x:c r="Z330" s="2" t="n">
        <x:f>ABS(T330-AA330)</x:f>
        <x:v>0</x:v>
      </x:c>
      <x:c r="AA330" s="2" t="n">
        <x:v>122</x:v>
      </x:c>
      <x:c r="AB330" s="2" t="n">
        <x:f>ABS(K330-W330)</x:f>
        <x:v>2</x:v>
      </x:c>
      <x:c r="AC330" s="2" t="n">
        <x:f>COUNTIF($A$2:$A$1921,A330)-1</x:f>
        <x:v>0</x:v>
      </x:c>
      <x:c r="AD330" s="2" t="n">
        <x:f>IF(AND(D330=D329,H330=H329,C330=C329+1),ABS(R330-T329),0)</x:f>
        <x:v>0</x:v>
      </x:c>
    </x:row>
    <x:row r="331" ht="23" customHeight="1">
      <x:c r="A331" s="2" t="str">
        <x:v>DEMO-105-0-10</x:v>
      </x:c>
      <x:c r="B331" s="15" t="d">
        <x:v>2026-07-06T00:00:00.000Z</x:v>
      </x:c>
      <x:c r="C331" s="2" t="n">
        <x:v>10</x:v>
      </x:c>
      <x:c r="D331" s="2" t="str">
        <x:v>DEMO-105</x:v>
      </x:c>
      <x:c r="E331" s="2" t="str">
        <x:v>Paper Trail Pad</x:v>
      </x:c>
      <x:c r="F331" s="2" t="str">
        <x:v>Stationery</x:v>
      </x:c>
      <x:c r="G331" s="2" t="str">
        <x:v>Stores</x:v>
      </x:c>
      <x:c r="H331" s="2" t="str">
        <x:v>North Arcade</x:v>
      </x:c>
      <x:c r="I331" s="2" t="n">
        <x:v>11</x:v>
      </x:c>
      <x:c r="J331" s="2" t="n">
        <x:v>1</x:v>
      </x:c>
      <x:c r="K331" s="2" t="n">
        <x:f>I331-J331</x:f>
        <x:v>10</x:v>
      </x:c>
      <x:c r="L331" s="16" t="n">
        <x:v>20</x:v>
      </x:c>
      <x:c r="M331" s="16" t="n">
        <x:v>20</x:v>
      </x:c>
      <x:c r="N331" s="16" t="n">
        <x:v>9.2</x:v>
      </x:c>
      <x:c r="O331" s="16" t="n">
        <x:f>K331*M331</x:f>
        <x:v>200</x:v>
      </x:c>
      <x:c r="P331" s="16" t="n">
        <x:f>K331*N331</x:f>
        <x:v>92</x:v>
      </x:c>
      <x:c r="Q331" s="16" t="n">
        <x:f>O331-P331</x:f>
        <x:v>108</x:v>
      </x:c>
      <x:c r="R331" s="2" t="n">
        <x:v>122</x:v>
      </x:c>
      <x:c r="S331" s="2" t="n">
        <x:v>0</x:v>
      </x:c>
      <x:c r="T331" s="2" t="n">
        <x:f>R331+S331+J331-I331</x:f>
        <x:v>112</x:v>
      </x:c>
      <x:c r="U331" s="2" t="n">
        <x:v>0</x:v>
      </x:c>
      <x:c r="V331" s="2" t="n">
        <x:v>3</x:v>
      </x:c>
      <x:c r="W331" s="2" t="n">
        <x:v>12</x:v>
      </x:c>
      <x:c r="X331" s="14" t="b">
        <x:v>0</x:v>
      </x:c>
      <x:c r="Y331" s="14" t="b">
        <x:v>0</x:v>
      </x:c>
      <x:c r="Z331" s="2" t="n">
        <x:f>ABS(T331-AA331)</x:f>
        <x:v>0</x:v>
      </x:c>
      <x:c r="AA331" s="2" t="n">
        <x:v>112</x:v>
      </x:c>
      <x:c r="AB331" s="2" t="n">
        <x:f>ABS(K331-W331)</x:f>
        <x:v>2</x:v>
      </x:c>
      <x:c r="AC331" s="2" t="n">
        <x:f>COUNTIF($A$2:$A$1921,A331)-1</x:f>
        <x:v>0</x:v>
      </x:c>
      <x:c r="AD331" s="2" t="n">
        <x:f>IF(AND(D331=D330,H331=H330,C331=C330+1),ABS(R331-T330),0)</x:f>
        <x:v>0</x:v>
      </x:c>
    </x:row>
    <x:row r="332" ht="23" customHeight="1">
      <x:c r="A332" s="2" t="str">
        <x:v>DEMO-105-0-11</x:v>
      </x:c>
      <x:c r="B332" s="15" t="d">
        <x:v>2026-07-13T00:00:00.000Z</x:v>
      </x:c>
      <x:c r="C332" s="2" t="n">
        <x:v>11</x:v>
      </x:c>
      <x:c r="D332" s="2" t="str">
        <x:v>DEMO-105</x:v>
      </x:c>
      <x:c r="E332" s="2" t="str">
        <x:v>Paper Trail Pad</x:v>
      </x:c>
      <x:c r="F332" s="2" t="str">
        <x:v>Stationery</x:v>
      </x:c>
      <x:c r="G332" s="2" t="str">
        <x:v>Stores</x:v>
      </x:c>
      <x:c r="H332" s="2" t="str">
        <x:v>North Arcade</x:v>
      </x:c>
      <x:c r="I332" s="2" t="n">
        <x:v>9</x:v>
      </x:c>
      <x:c r="J332" s="2" t="n">
        <x:v>0</x:v>
      </x:c>
      <x:c r="K332" s="2" t="n">
        <x:f>I332-J332</x:f>
        <x:v>9</x:v>
      </x:c>
      <x:c r="L332" s="16" t="n">
        <x:v>20</x:v>
      </x:c>
      <x:c r="M332" s="16" t="n">
        <x:v>20</x:v>
      </x:c>
      <x:c r="N332" s="16" t="n">
        <x:v>9.2</x:v>
      </x:c>
      <x:c r="O332" s="16" t="n">
        <x:f>K332*M332</x:f>
        <x:v>180</x:v>
      </x:c>
      <x:c r="P332" s="16" t="n">
        <x:f>K332*N332</x:f>
        <x:v>82.8</x:v>
      </x:c>
      <x:c r="Q332" s="16" t="n">
        <x:f>O332-P332</x:f>
        <x:v>97.2</x:v>
      </x:c>
      <x:c r="R332" s="2" t="n">
        <x:v>112</x:v>
      </x:c>
      <x:c r="S332" s="2" t="n">
        <x:v>0</x:v>
      </x:c>
      <x:c r="T332" s="2" t="n">
        <x:f>R332+S332+J332-I332</x:f>
        <x:v>103</x:v>
      </x:c>
      <x:c r="U332" s="2" t="n">
        <x:v>0</x:v>
      </x:c>
      <x:c r="V332" s="2" t="n">
        <x:v>3</x:v>
      </x:c>
      <x:c r="W332" s="2" t="n">
        <x:v>11</x:v>
      </x:c>
      <x:c r="X332" s="14" t="b">
        <x:v>0</x:v>
      </x:c>
      <x:c r="Y332" s="14" t="b">
        <x:v>0</x:v>
      </x:c>
      <x:c r="Z332" s="2" t="n">
        <x:f>ABS(T332-AA332)</x:f>
        <x:v>0</x:v>
      </x:c>
      <x:c r="AA332" s="2" t="n">
        <x:v>103</x:v>
      </x:c>
      <x:c r="AB332" s="2" t="n">
        <x:f>ABS(K332-W332)</x:f>
        <x:v>2</x:v>
      </x:c>
      <x:c r="AC332" s="2" t="n">
        <x:f>COUNTIF($A$2:$A$1921,A332)-1</x:f>
        <x:v>0</x:v>
      </x:c>
      <x:c r="AD332" s="2" t="n">
        <x:f>IF(AND(D332=D331,H332=H331,C332=C331+1),ABS(R332-T331),0)</x:f>
        <x:v>0</x:v>
      </x:c>
    </x:row>
    <x:row r="333" ht="23" customHeight="1">
      <x:c r="A333" s="2" t="str">
        <x:v>DEMO-105-0-12</x:v>
      </x:c>
      <x:c r="B333" s="15" t="d">
        <x:v>2026-07-20T00:00:00.000Z</x:v>
      </x:c>
      <x:c r="C333" s="2" t="n">
        <x:v>12</x:v>
      </x:c>
      <x:c r="D333" s="2" t="str">
        <x:v>DEMO-105</x:v>
      </x:c>
      <x:c r="E333" s="2" t="str">
        <x:v>Paper Trail Pad</x:v>
      </x:c>
      <x:c r="F333" s="2" t="str">
        <x:v>Stationery</x:v>
      </x:c>
      <x:c r="G333" s="2" t="str">
        <x:v>Stores</x:v>
      </x:c>
      <x:c r="H333" s="2" t="str">
        <x:v>North Arcade</x:v>
      </x:c>
      <x:c r="I333" s="2" t="n">
        <x:v>9</x:v>
      </x:c>
      <x:c r="J333" s="2" t="n">
        <x:v>0</x:v>
      </x:c>
      <x:c r="K333" s="2" t="n">
        <x:f>I333-J333</x:f>
        <x:v>9</x:v>
      </x:c>
      <x:c r="L333" s="16" t="n">
        <x:v>20</x:v>
      </x:c>
      <x:c r="M333" s="16" t="n">
        <x:v>20</x:v>
      </x:c>
      <x:c r="N333" s="16" t="n">
        <x:v>9.2</x:v>
      </x:c>
      <x:c r="O333" s="16" t="n">
        <x:f>K333*M333</x:f>
        <x:v>180</x:v>
      </x:c>
      <x:c r="P333" s="16" t="n">
        <x:f>K333*N333</x:f>
        <x:v>82.8</x:v>
      </x:c>
      <x:c r="Q333" s="16" t="n">
        <x:f>O333-P333</x:f>
        <x:v>97.2</x:v>
      </x:c>
      <x:c r="R333" s="2" t="n">
        <x:v>103</x:v>
      </x:c>
      <x:c r="S333" s="2" t="n">
        <x:v>0</x:v>
      </x:c>
      <x:c r="T333" s="2" t="n">
        <x:f>R333+S333+J333-I333</x:f>
        <x:v>94</x:v>
      </x:c>
      <x:c r="U333" s="2" t="n">
        <x:v>0</x:v>
      </x:c>
      <x:c r="V333" s="2" t="n">
        <x:v>3</x:v>
      </x:c>
      <x:c r="W333" s="2" t="n">
        <x:v>11</x:v>
      </x:c>
      <x:c r="X333" s="14" t="b">
        <x:v>0</x:v>
      </x:c>
      <x:c r="Y333" s="14" t="b">
        <x:v>0</x:v>
      </x:c>
      <x:c r="Z333" s="2" t="n">
        <x:f>ABS(T333-AA333)</x:f>
        <x:v>0</x:v>
      </x:c>
      <x:c r="AA333" s="2" t="n">
        <x:v>94</x:v>
      </x:c>
      <x:c r="AB333" s="2" t="n">
        <x:f>ABS(K333-W333)</x:f>
        <x:v>2</x:v>
      </x:c>
      <x:c r="AC333" s="2" t="n">
        <x:f>COUNTIF($A$2:$A$1921,A333)-1</x:f>
        <x:v>0</x:v>
      </x:c>
      <x:c r="AD333" s="2" t="n">
        <x:f>IF(AND(D333=D332,H333=H332,C333=C332+1),ABS(R333-T332),0)</x:f>
        <x:v>0</x:v>
      </x:c>
    </x:row>
    <x:row r="334" ht="23" customHeight="1">
      <x:c r="A334" s="2" t="str">
        <x:v>DEMO-105-0-13</x:v>
      </x:c>
      <x:c r="B334" s="15" t="d">
        <x:v>2026-07-27T00:00:00.000Z</x:v>
      </x:c>
      <x:c r="C334" s="2" t="n">
        <x:v>13</x:v>
      </x:c>
      <x:c r="D334" s="2" t="str">
        <x:v>DEMO-105</x:v>
      </x:c>
      <x:c r="E334" s="2" t="str">
        <x:v>Paper Trail Pad</x:v>
      </x:c>
      <x:c r="F334" s="2" t="str">
        <x:v>Stationery</x:v>
      </x:c>
      <x:c r="G334" s="2" t="str">
        <x:v>Stores</x:v>
      </x:c>
      <x:c r="H334" s="2" t="str">
        <x:v>North Arcade</x:v>
      </x:c>
      <x:c r="I334" s="2" t="n">
        <x:v>12</x:v>
      </x:c>
      <x:c r="J334" s="2" t="n">
        <x:v>0</x:v>
      </x:c>
      <x:c r="K334" s="2" t="n">
        <x:f>I334-J334</x:f>
        <x:v>12</x:v>
      </x:c>
      <x:c r="L334" s="16" t="n">
        <x:v>20</x:v>
      </x:c>
      <x:c r="M334" s="16" t="n">
        <x:v>20</x:v>
      </x:c>
      <x:c r="N334" s="16" t="n">
        <x:v>9.2</x:v>
      </x:c>
      <x:c r="O334" s="16" t="n">
        <x:f>K334*M334</x:f>
        <x:v>240</x:v>
      </x:c>
      <x:c r="P334" s="16" t="n">
        <x:f>K334*N334</x:f>
        <x:v>110.39999999999999</x:v>
      </x:c>
      <x:c r="Q334" s="16" t="n">
        <x:f>O334-P334</x:f>
        <x:v>129.60000000000002</x:v>
      </x:c>
      <x:c r="R334" s="2" t="n">
        <x:v>94</x:v>
      </x:c>
      <x:c r="S334" s="2" t="n">
        <x:v>46</x:v>
      </x:c>
      <x:c r="T334" s="2" t="n">
        <x:f>R334+S334+J334-I334</x:f>
        <x:v>128</x:v>
      </x:c>
      <x:c r="U334" s="2" t="n">
        <x:v>0</x:v>
      </x:c>
      <x:c r="V334" s="2" t="n">
        <x:v>3</x:v>
      </x:c>
      <x:c r="W334" s="2" t="n">
        <x:v>10</x:v>
      </x:c>
      <x:c r="X334" s="14" t="b">
        <x:v>0</x:v>
      </x:c>
      <x:c r="Y334" s="14" t="b">
        <x:v>0</x:v>
      </x:c>
      <x:c r="Z334" s="2" t="n">
        <x:f>ABS(T334-AA334)</x:f>
        <x:v>0</x:v>
      </x:c>
      <x:c r="AA334" s="2" t="n">
        <x:v>128</x:v>
      </x:c>
      <x:c r="AB334" s="2" t="n">
        <x:f>ABS(K334-W334)</x:f>
        <x:v>2</x:v>
      </x:c>
      <x:c r="AC334" s="2" t="n">
        <x:f>COUNTIF($A$2:$A$1921,A334)-1</x:f>
        <x:v>0</x:v>
      </x:c>
      <x:c r="AD334" s="2" t="n">
        <x:f>IF(AND(D334=D333,H334=H333,C334=C333+1),ABS(R334-T333),0)</x:f>
        <x:v>0</x:v>
      </x:c>
    </x:row>
    <x:row r="335" ht="23" customHeight="1">
      <x:c r="A335" s="2" t="str">
        <x:v>DEMO-105-0-14</x:v>
      </x:c>
      <x:c r="B335" s="15" t="d">
        <x:v>2026-08-03T00:00:00.000Z</x:v>
      </x:c>
      <x:c r="C335" s="2" t="n">
        <x:v>14</x:v>
      </x:c>
      <x:c r="D335" s="2" t="str">
        <x:v>DEMO-105</x:v>
      </x:c>
      <x:c r="E335" s="2" t="str">
        <x:v>Paper Trail Pad</x:v>
      </x:c>
      <x:c r="F335" s="2" t="str">
        <x:v>Stationery</x:v>
      </x:c>
      <x:c r="G335" s="2" t="str">
        <x:v>Stores</x:v>
      </x:c>
      <x:c r="H335" s="2" t="str">
        <x:v>North Arcade</x:v>
      </x:c>
      <x:c r="I335" s="2" t="n">
        <x:v>13</x:v>
      </x:c>
      <x:c r="J335" s="2" t="n">
        <x:v>0</x:v>
      </x:c>
      <x:c r="K335" s="2" t="n">
        <x:f>I335-J335</x:f>
        <x:v>13</x:v>
      </x:c>
      <x:c r="L335" s="16" t="n">
        <x:v>20</x:v>
      </x:c>
      <x:c r="M335" s="16" t="n">
        <x:v>20</x:v>
      </x:c>
      <x:c r="N335" s="16" t="n">
        <x:v>9.2</x:v>
      </x:c>
      <x:c r="O335" s="16" t="n">
        <x:f>K335*M335</x:f>
        <x:v>260</x:v>
      </x:c>
      <x:c r="P335" s="16" t="n">
        <x:f>K335*N335</x:f>
        <x:v>119.6</x:v>
      </x:c>
      <x:c r="Q335" s="16" t="n">
        <x:f>O335-P335</x:f>
        <x:v>140.4</x:v>
      </x:c>
      <x:c r="R335" s="2" t="n">
        <x:v>128</x:v>
      </x:c>
      <x:c r="S335" s="2" t="n">
        <x:v>0</x:v>
      </x:c>
      <x:c r="T335" s="2" t="n">
        <x:f>R335+S335+J335-I335</x:f>
        <x:v>115</x:v>
      </x:c>
      <x:c r="U335" s="2" t="n">
        <x:v>0</x:v>
      </x:c>
      <x:c r="V335" s="2" t="n">
        <x:v>3</x:v>
      </x:c>
      <x:c r="W335" s="2" t="n">
        <x:v>10</x:v>
      </x:c>
      <x:c r="X335" s="14" t="b">
        <x:v>0</x:v>
      </x:c>
      <x:c r="Y335" s="14" t="b">
        <x:v>0</x:v>
      </x:c>
      <x:c r="Z335" s="2" t="n">
        <x:f>ABS(T335-AA335)</x:f>
        <x:v>0</x:v>
      </x:c>
      <x:c r="AA335" s="2" t="n">
        <x:v>115</x:v>
      </x:c>
      <x:c r="AB335" s="2" t="n">
        <x:f>ABS(K335-W335)</x:f>
        <x:v>3</x:v>
      </x:c>
      <x:c r="AC335" s="2" t="n">
        <x:f>COUNTIF($A$2:$A$1921,A335)-1</x:f>
        <x:v>0</x:v>
      </x:c>
      <x:c r="AD335" s="2" t="n">
        <x:f>IF(AND(D335=D334,H335=H334,C335=C334+1),ABS(R335-T334),0)</x:f>
        <x:v>0</x:v>
      </x:c>
    </x:row>
    <x:row r="336" ht="23" customHeight="1">
      <x:c r="A336" s="2" t="str">
        <x:v>DEMO-105-0-15</x:v>
      </x:c>
      <x:c r="B336" s="15" t="d">
        <x:v>2026-08-10T00:00:00.000Z</x:v>
      </x:c>
      <x:c r="C336" s="2" t="n">
        <x:v>15</x:v>
      </x:c>
      <x:c r="D336" s="2" t="str">
        <x:v>DEMO-105</x:v>
      </x:c>
      <x:c r="E336" s="2" t="str">
        <x:v>Paper Trail Pad</x:v>
      </x:c>
      <x:c r="F336" s="2" t="str">
        <x:v>Stationery</x:v>
      </x:c>
      <x:c r="G336" s="2" t="str">
        <x:v>Stores</x:v>
      </x:c>
      <x:c r="H336" s="2" t="str">
        <x:v>North Arcade</x:v>
      </x:c>
      <x:c r="I336" s="2" t="n">
        <x:v>12</x:v>
      </x:c>
      <x:c r="J336" s="2" t="n">
        <x:v>0</x:v>
      </x:c>
      <x:c r="K336" s="2" t="n">
        <x:f>I336-J336</x:f>
        <x:v>12</x:v>
      </x:c>
      <x:c r="L336" s="16" t="n">
        <x:v>20</x:v>
      </x:c>
      <x:c r="M336" s="16" t="n">
        <x:v>20</x:v>
      </x:c>
      <x:c r="N336" s="16" t="n">
        <x:v>9.2</x:v>
      </x:c>
      <x:c r="O336" s="16" t="n">
        <x:f>K336*M336</x:f>
        <x:v>240</x:v>
      </x:c>
      <x:c r="P336" s="16" t="n">
        <x:f>K336*N336</x:f>
        <x:v>110.39999999999999</x:v>
      </x:c>
      <x:c r="Q336" s="16" t="n">
        <x:f>O336-P336</x:f>
        <x:v>129.60000000000002</x:v>
      </x:c>
      <x:c r="R336" s="2" t="n">
        <x:v>115</x:v>
      </x:c>
      <x:c r="S336" s="2" t="n">
        <x:v>0</x:v>
      </x:c>
      <x:c r="T336" s="2" t="n">
        <x:f>R336+S336+J336-I336</x:f>
        <x:v>103</x:v>
      </x:c>
      <x:c r="U336" s="2" t="n">
        <x:v>0</x:v>
      </x:c>
      <x:c r="V336" s="2" t="n">
        <x:v>3</x:v>
      </x:c>
      <x:c r="W336" s="2" t="n">
        <x:v>11</x:v>
      </x:c>
      <x:c r="X336" s="14" t="b">
        <x:v>0</x:v>
      </x:c>
      <x:c r="Y336" s="14" t="b">
        <x:v>0</x:v>
      </x:c>
      <x:c r="Z336" s="2" t="n">
        <x:f>ABS(T336-AA336)</x:f>
        <x:v>0</x:v>
      </x:c>
      <x:c r="AA336" s="2" t="n">
        <x:v>103</x:v>
      </x:c>
      <x:c r="AB336" s="2" t="n">
        <x:f>ABS(K336-W336)</x:f>
        <x:v>1</x:v>
      </x:c>
      <x:c r="AC336" s="2" t="n">
        <x:f>COUNTIF($A$2:$A$1921,A336)-1</x:f>
        <x:v>0</x:v>
      </x:c>
      <x:c r="AD336" s="2" t="n">
        <x:f>IF(AND(D336=D335,H336=H335,C336=C335+1),ABS(R336-T335),0)</x:f>
        <x:v>0</x:v>
      </x:c>
    </x:row>
    <x:row r="337" ht="23" customHeight="1">
      <x:c r="A337" s="2" t="str">
        <x:v>DEMO-105-0-16</x:v>
      </x:c>
      <x:c r="B337" s="15" t="d">
        <x:v>2026-08-17T00:00:00.000Z</x:v>
      </x:c>
      <x:c r="C337" s="2" t="n">
        <x:v>16</x:v>
      </x:c>
      <x:c r="D337" s="2" t="str">
        <x:v>DEMO-105</x:v>
      </x:c>
      <x:c r="E337" s="2" t="str">
        <x:v>Paper Trail Pad</x:v>
      </x:c>
      <x:c r="F337" s="2" t="str">
        <x:v>Stationery</x:v>
      </x:c>
      <x:c r="G337" s="2" t="str">
        <x:v>Stores</x:v>
      </x:c>
      <x:c r="H337" s="2" t="str">
        <x:v>North Arcade</x:v>
      </x:c>
      <x:c r="I337" s="2" t="n">
        <x:v>9</x:v>
      </x:c>
      <x:c r="J337" s="2" t="n">
        <x:v>0</x:v>
      </x:c>
      <x:c r="K337" s="2" t="n">
        <x:f>I337-J337</x:f>
        <x:v>9</x:v>
      </x:c>
      <x:c r="L337" s="16" t="n">
        <x:v>20</x:v>
      </x:c>
      <x:c r="M337" s="16" t="n">
        <x:v>20</x:v>
      </x:c>
      <x:c r="N337" s="16" t="n">
        <x:v>9.2</x:v>
      </x:c>
      <x:c r="O337" s="16" t="n">
        <x:f>K337*M337</x:f>
        <x:v>180</x:v>
      </x:c>
      <x:c r="P337" s="16" t="n">
        <x:f>K337*N337</x:f>
        <x:v>82.8</x:v>
      </x:c>
      <x:c r="Q337" s="16" t="n">
        <x:f>O337-P337</x:f>
        <x:v>97.2</x:v>
      </x:c>
      <x:c r="R337" s="2" t="n">
        <x:v>103</x:v>
      </x:c>
      <x:c r="S337" s="2" t="n">
        <x:v>0</x:v>
      </x:c>
      <x:c r="T337" s="2" t="n">
        <x:f>R337+S337+J337-I337</x:f>
        <x:v>94</x:v>
      </x:c>
      <x:c r="U337" s="2" t="n">
        <x:v>0</x:v>
      </x:c>
      <x:c r="V337" s="2" t="n">
        <x:v>3</x:v>
      </x:c>
      <x:c r="W337" s="2" t="n">
        <x:v>12</x:v>
      </x:c>
      <x:c r="X337" s="14" t="b">
        <x:v>0</x:v>
      </x:c>
      <x:c r="Y337" s="14" t="b">
        <x:v>0</x:v>
      </x:c>
      <x:c r="Z337" s="2" t="n">
        <x:f>ABS(T337-AA337)</x:f>
        <x:v>0</x:v>
      </x:c>
      <x:c r="AA337" s="2" t="n">
        <x:v>94</x:v>
      </x:c>
      <x:c r="AB337" s="2" t="n">
        <x:f>ABS(K337-W337)</x:f>
        <x:v>3</x:v>
      </x:c>
      <x:c r="AC337" s="2" t="n">
        <x:f>COUNTIF($A$2:$A$1921,A337)-1</x:f>
        <x:v>0</x:v>
      </x:c>
      <x:c r="AD337" s="2" t="n">
        <x:f>IF(AND(D337=D336,H337=H336,C337=C336+1),ABS(R337-T336),0)</x:f>
        <x:v>0</x:v>
      </x:c>
    </x:row>
    <x:row r="338" ht="23" customHeight="1">
      <x:c r="A338" s="2" t="str">
        <x:v>DEMO-105-0-17</x:v>
      </x:c>
      <x:c r="B338" s="15" t="d">
        <x:v>2026-08-24T00:00:00.000Z</x:v>
      </x:c>
      <x:c r="C338" s="2" t="n">
        <x:v>17</x:v>
      </x:c>
      <x:c r="D338" s="2" t="str">
        <x:v>DEMO-105</x:v>
      </x:c>
      <x:c r="E338" s="2" t="str">
        <x:v>Paper Trail Pad</x:v>
      </x:c>
      <x:c r="F338" s="2" t="str">
        <x:v>Stationery</x:v>
      </x:c>
      <x:c r="G338" s="2" t="str">
        <x:v>Stores</x:v>
      </x:c>
      <x:c r="H338" s="2" t="str">
        <x:v>North Arcade</x:v>
      </x:c>
      <x:c r="I338" s="2" t="n">
        <x:v>9</x:v>
      </x:c>
      <x:c r="J338" s="2" t="n">
        <x:v>0</x:v>
      </x:c>
      <x:c r="K338" s="2" t="n">
        <x:f>I338-J338</x:f>
        <x:v>9</x:v>
      </x:c>
      <x:c r="L338" s="16" t="n">
        <x:v>20</x:v>
      </x:c>
      <x:c r="M338" s="16" t="n">
        <x:v>20</x:v>
      </x:c>
      <x:c r="N338" s="16" t="n">
        <x:v>9.2</x:v>
      </x:c>
      <x:c r="O338" s="16" t="n">
        <x:f>K338*M338</x:f>
        <x:v>180</x:v>
      </x:c>
      <x:c r="P338" s="16" t="n">
        <x:f>K338*N338</x:f>
        <x:v>82.8</x:v>
      </x:c>
      <x:c r="Q338" s="16" t="n">
        <x:f>O338-P338</x:f>
        <x:v>97.2</x:v>
      </x:c>
      <x:c r="R338" s="2" t="n">
        <x:v>94</x:v>
      </x:c>
      <x:c r="S338" s="2" t="n">
        <x:v>46</x:v>
      </x:c>
      <x:c r="T338" s="2" t="n">
        <x:f>R338+S338+J338-I338</x:f>
        <x:v>131</x:v>
      </x:c>
      <x:c r="U338" s="2" t="n">
        <x:v>0</x:v>
      </x:c>
      <x:c r="V338" s="2" t="n">
        <x:v>3</x:v>
      </x:c>
      <x:c r="W338" s="2" t="n">
        <x:v>12</x:v>
      </x:c>
      <x:c r="X338" s="14" t="b">
        <x:v>0</x:v>
      </x:c>
      <x:c r="Y338" s="14" t="b">
        <x:v>0</x:v>
      </x:c>
      <x:c r="Z338" s="2" t="n">
        <x:f>ABS(T338-AA338)</x:f>
        <x:v>0</x:v>
      </x:c>
      <x:c r="AA338" s="2" t="n">
        <x:v>131</x:v>
      </x:c>
      <x:c r="AB338" s="2" t="n">
        <x:f>ABS(K338-W338)</x:f>
        <x:v>3</x:v>
      </x:c>
      <x:c r="AC338" s="2" t="n">
        <x:f>COUNTIF($A$2:$A$1921,A338)-1</x:f>
        <x:v>0</x:v>
      </x:c>
      <x:c r="AD338" s="2" t="n">
        <x:f>IF(AND(D338=D337,H338=H337,C338=C337+1),ABS(R338-T337),0)</x:f>
        <x:v>0</x:v>
      </x:c>
    </x:row>
    <x:row r="339" ht="23" customHeight="1">
      <x:c r="A339" s="2" t="str">
        <x:v>DEMO-105-0-18</x:v>
      </x:c>
      <x:c r="B339" s="15" t="d">
        <x:v>2026-08-31T00:00:00.000Z</x:v>
      </x:c>
      <x:c r="C339" s="2" t="n">
        <x:v>18</x:v>
      </x:c>
      <x:c r="D339" s="2" t="str">
        <x:v>DEMO-105</x:v>
      </x:c>
      <x:c r="E339" s="2" t="str">
        <x:v>Paper Trail Pad</x:v>
      </x:c>
      <x:c r="F339" s="2" t="str">
        <x:v>Stationery</x:v>
      </x:c>
      <x:c r="G339" s="2" t="str">
        <x:v>Stores</x:v>
      </x:c>
      <x:c r="H339" s="2" t="str">
        <x:v>North Arcade</x:v>
      </x:c>
      <x:c r="I339" s="2" t="n">
        <x:v>10</x:v>
      </x:c>
      <x:c r="J339" s="2" t="n">
        <x:v>1</x:v>
      </x:c>
      <x:c r="K339" s="2" t="n">
        <x:f>I339-J339</x:f>
        <x:v>9</x:v>
      </x:c>
      <x:c r="L339" s="16" t="n">
        <x:v>20</x:v>
      </x:c>
      <x:c r="M339" s="16" t="n">
        <x:v>20</x:v>
      </x:c>
      <x:c r="N339" s="16" t="n">
        <x:v>9.2</x:v>
      </x:c>
      <x:c r="O339" s="16" t="n">
        <x:f>K339*M339</x:f>
        <x:v>180</x:v>
      </x:c>
      <x:c r="P339" s="16" t="n">
        <x:f>K339*N339</x:f>
        <x:v>82.8</x:v>
      </x:c>
      <x:c r="Q339" s="16" t="n">
        <x:f>O339-P339</x:f>
        <x:v>97.2</x:v>
      </x:c>
      <x:c r="R339" s="2" t="n">
        <x:v>131</x:v>
      </x:c>
      <x:c r="S339" s="2" t="n">
        <x:v>0</x:v>
      </x:c>
      <x:c r="T339" s="2" t="n">
        <x:f>R339+S339+J339-I339</x:f>
        <x:v>122</x:v>
      </x:c>
      <x:c r="U339" s="2" t="n">
        <x:v>0</x:v>
      </x:c>
      <x:c r="V339" s="2" t="n">
        <x:v>3</x:v>
      </x:c>
      <x:c r="W339" s="2" t="n">
        <x:v>11</x:v>
      </x:c>
      <x:c r="X339" s="14" t="b">
        <x:v>0</x:v>
      </x:c>
      <x:c r="Y339" s="14" t="b">
        <x:v>0</x:v>
      </x:c>
      <x:c r="Z339" s="2" t="n">
        <x:f>ABS(T339-AA339)</x:f>
        <x:v>0</x:v>
      </x:c>
      <x:c r="AA339" s="2" t="n">
        <x:v>122</x:v>
      </x:c>
      <x:c r="AB339" s="2" t="n">
        <x:f>ABS(K339-W339)</x:f>
        <x:v>2</x:v>
      </x:c>
      <x:c r="AC339" s="2" t="n">
        <x:f>COUNTIF($A$2:$A$1921,A339)-1</x:f>
        <x:v>0</x:v>
      </x:c>
      <x:c r="AD339" s="2" t="n">
        <x:f>IF(AND(D339=D338,H339=H338,C339=C338+1),ABS(R339-T338),0)</x:f>
        <x:v>0</x:v>
      </x:c>
    </x:row>
    <x:row r="340" ht="23" customHeight="1">
      <x:c r="A340" s="2" t="str">
        <x:v>DEMO-105-0-19</x:v>
      </x:c>
      <x:c r="B340" s="15" t="d">
        <x:v>2026-09-07T00:00:00.000Z</x:v>
      </x:c>
      <x:c r="C340" s="2" t="n">
        <x:v>19</x:v>
      </x:c>
      <x:c r="D340" s="2" t="str">
        <x:v>DEMO-105</x:v>
      </x:c>
      <x:c r="E340" s="2" t="str">
        <x:v>Paper Trail Pad</x:v>
      </x:c>
      <x:c r="F340" s="2" t="str">
        <x:v>Stationery</x:v>
      </x:c>
      <x:c r="G340" s="2" t="str">
        <x:v>Stores</x:v>
      </x:c>
      <x:c r="H340" s="2" t="str">
        <x:v>North Arcade</x:v>
      </x:c>
      <x:c r="I340" s="2" t="n">
        <x:v>11</x:v>
      </x:c>
      <x:c r="J340" s="2" t="n">
        <x:v>0</x:v>
      </x:c>
      <x:c r="K340" s="2" t="n">
        <x:f>I340-J340</x:f>
        <x:v>11</x:v>
      </x:c>
      <x:c r="L340" s="16" t="n">
        <x:v>20</x:v>
      </x:c>
      <x:c r="M340" s="16" t="n">
        <x:v>20</x:v>
      </x:c>
      <x:c r="N340" s="16" t="n">
        <x:v>9.2</x:v>
      </x:c>
      <x:c r="O340" s="16" t="n">
        <x:f>K340*M340</x:f>
        <x:v>220</x:v>
      </x:c>
      <x:c r="P340" s="16" t="n">
        <x:f>K340*N340</x:f>
        <x:v>101.19999999999999</x:v>
      </x:c>
      <x:c r="Q340" s="16" t="n">
        <x:f>O340-P340</x:f>
        <x:v>118.80000000000001</x:v>
      </x:c>
      <x:c r="R340" s="2" t="n">
        <x:v>122</x:v>
      </x:c>
      <x:c r="S340" s="2" t="n">
        <x:v>0</x:v>
      </x:c>
      <x:c r="T340" s="2" t="n">
        <x:f>R340+S340+J340-I340</x:f>
        <x:v>111</x:v>
      </x:c>
      <x:c r="U340" s="2" t="n">
        <x:v>0</x:v>
      </x:c>
      <x:c r="V340" s="2" t="n">
        <x:v>3</x:v>
      </x:c>
      <x:c r="W340" s="2" t="n">
        <x:v>10</x:v>
      </x:c>
      <x:c r="X340" s="14" t="b">
        <x:v>0</x:v>
      </x:c>
      <x:c r="Y340" s="14" t="b">
        <x:v>0</x:v>
      </x:c>
      <x:c r="Z340" s="2" t="n">
        <x:f>ABS(T340-AA340)</x:f>
        <x:v>0</x:v>
      </x:c>
      <x:c r="AA340" s="2" t="n">
        <x:v>111</x:v>
      </x:c>
      <x:c r="AB340" s="2" t="n">
        <x:f>ABS(K340-W340)</x:f>
        <x:v>1</x:v>
      </x:c>
      <x:c r="AC340" s="2" t="n">
        <x:f>COUNTIF($A$2:$A$1921,A340)-1</x:f>
        <x:v>0</x:v>
      </x:c>
      <x:c r="AD340" s="2" t="n">
        <x:f>IF(AND(D340=D339,H340=H339,C340=C339+1),ABS(R340-T339),0)</x:f>
        <x:v>0</x:v>
      </x:c>
    </x:row>
    <x:row r="341" ht="23" customHeight="1">
      <x:c r="A341" s="2" t="str">
        <x:v>DEMO-105-0-20</x:v>
      </x:c>
      <x:c r="B341" s="15" t="d">
        <x:v>2026-09-14T00:00:00.000Z</x:v>
      </x:c>
      <x:c r="C341" s="2" t="n">
        <x:v>20</x:v>
      </x:c>
      <x:c r="D341" s="2" t="str">
        <x:v>DEMO-105</x:v>
      </x:c>
      <x:c r="E341" s="2" t="str">
        <x:v>Paper Trail Pad</x:v>
      </x:c>
      <x:c r="F341" s="2" t="str">
        <x:v>Stationery</x:v>
      </x:c>
      <x:c r="G341" s="2" t="str">
        <x:v>Stores</x:v>
      </x:c>
      <x:c r="H341" s="2" t="str">
        <x:v>North Arcade</x:v>
      </x:c>
      <x:c r="I341" s="2" t="n">
        <x:v>9</x:v>
      </x:c>
      <x:c r="J341" s="2" t="n">
        <x:v>0</x:v>
      </x:c>
      <x:c r="K341" s="2" t="n">
        <x:f>I341-J341</x:f>
        <x:v>9</x:v>
      </x:c>
      <x:c r="L341" s="16" t="n">
        <x:v>20</x:v>
      </x:c>
      <x:c r="M341" s="16" t="n">
        <x:v>20</x:v>
      </x:c>
      <x:c r="N341" s="16" t="n">
        <x:v>9.2</x:v>
      </x:c>
      <x:c r="O341" s="16" t="n">
        <x:f>K341*M341</x:f>
        <x:v>180</x:v>
      </x:c>
      <x:c r="P341" s="16" t="n">
        <x:f>K341*N341</x:f>
        <x:v>82.8</x:v>
      </x:c>
      <x:c r="Q341" s="16" t="n">
        <x:f>O341-P341</x:f>
        <x:v>97.2</x:v>
      </x:c>
      <x:c r="R341" s="2" t="n">
        <x:v>111</x:v>
      </x:c>
      <x:c r="S341" s="2" t="n">
        <x:v>0</x:v>
      </x:c>
      <x:c r="T341" s="2" t="n">
        <x:f>R341+S341+J341-I341</x:f>
        <x:v>102</x:v>
      </x:c>
      <x:c r="U341" s="2" t="n">
        <x:v>18</x:v>
      </x:c>
      <x:c r="V341" s="2" t="n">
        <x:v>3</x:v>
      </x:c>
      <x:c r="W341" s="2" t="n">
        <x:v>10</x:v>
      </x:c>
      <x:c r="X341" s="14" t="b">
        <x:v>0</x:v>
      </x:c>
      <x:c r="Y341" s="14" t="b">
        <x:v>0</x:v>
      </x:c>
      <x:c r="Z341" s="2" t="n">
        <x:f>ABS(T341-AA341)</x:f>
        <x:v>0</x:v>
      </x:c>
      <x:c r="AA341" s="2" t="n">
        <x:v>102</x:v>
      </x:c>
      <x:c r="AB341" s="2" t="n">
        <x:f>ABS(K341-W341)</x:f>
        <x:v>1</x:v>
      </x:c>
      <x:c r="AC341" s="2" t="n">
        <x:f>COUNTIF($A$2:$A$1921,A341)-1</x:f>
        <x:v>0</x:v>
      </x:c>
      <x:c r="AD341" s="2" t="n">
        <x:f>IF(AND(D341=D340,H341=H340,C341=C340+1),ABS(R341-T340),0)</x:f>
        <x:v>0</x:v>
      </x:c>
    </x:row>
    <x:row r="342" ht="23" customHeight="1">
      <x:c r="A342" s="2" t="str">
        <x:v>DEMO-105-1-1</x:v>
      </x:c>
      <x:c r="B342" s="15" t="d">
        <x:v>2026-05-04T00:00:00.000Z</x:v>
      </x:c>
      <x:c r="C342" s="2" t="n">
        <x:v>1</x:v>
      </x:c>
      <x:c r="D342" s="2" t="str">
        <x:v>DEMO-105</x:v>
      </x:c>
      <x:c r="E342" s="2" t="str">
        <x:v>Paper Trail Pad</x:v>
      </x:c>
      <x:c r="F342" s="2" t="str">
        <x:v>Stationery</x:v>
      </x:c>
      <x:c r="G342" s="2" t="str">
        <x:v>Stores</x:v>
      </x:c>
      <x:c r="H342" s="2" t="str">
        <x:v>Riverside</x:v>
      </x:c>
      <x:c r="I342" s="2" t="n">
        <x:v>12</x:v>
      </x:c>
      <x:c r="J342" s="2" t="n">
        <x:v>0</x:v>
      </x:c>
      <x:c r="K342" s="2" t="n">
        <x:f>I342-J342</x:f>
        <x:v>12</x:v>
      </x:c>
      <x:c r="L342" s="16" t="n">
        <x:v>20</x:v>
      </x:c>
      <x:c r="M342" s="16" t="n">
        <x:v>20</x:v>
      </x:c>
      <x:c r="N342" s="16" t="n">
        <x:v>9.2</x:v>
      </x:c>
      <x:c r="O342" s="16" t="n">
        <x:f>K342*M342</x:f>
        <x:v>240</x:v>
      </x:c>
      <x:c r="P342" s="16" t="n">
        <x:f>K342*N342</x:f>
        <x:v>110.39999999999999</x:v>
      </x:c>
      <x:c r="Q342" s="16" t="n">
        <x:f>O342-P342</x:f>
        <x:v>129.60000000000002</x:v>
      </x:c>
      <x:c r="R342" s="2" t="n">
        <x:v>90</x:v>
      </x:c>
      <x:c r="S342" s="2" t="n">
        <x:v>46</x:v>
      </x:c>
      <x:c r="T342" s="2" t="n">
        <x:f>R342+S342+J342-I342</x:f>
        <x:v>124</x:v>
      </x:c>
      <x:c r="U342" s="2" t="n">
        <x:v>0</x:v>
      </x:c>
      <x:c r="V342" s="2" t="n">
        <x:v>3</x:v>
      </x:c>
      <x:c r="W342" s="2" t="n">
        <x:v>11</x:v>
      </x:c>
      <x:c r="X342" s="14" t="b">
        <x:v>0</x:v>
      </x:c>
      <x:c r="Y342" s="14" t="b">
        <x:v>0</x:v>
      </x:c>
      <x:c r="Z342" s="2" t="n">
        <x:f>ABS(T342-AA342)</x:f>
        <x:v>0</x:v>
      </x:c>
      <x:c r="AA342" s="2" t="n">
        <x:v>124</x:v>
      </x:c>
      <x:c r="AB342" s="2" t="n">
        <x:f>ABS(K342-W342)</x:f>
        <x:v>1</x:v>
      </x:c>
      <x:c r="AC342" s="2" t="n">
        <x:f>COUNTIF($A$2:$A$1921,A342)-1</x:f>
        <x:v>0</x:v>
      </x:c>
      <x:c r="AD342" s="2" t="n">
        <x:f>IF(AND(D342=D341,H342=H341,C342=C341+1),ABS(R342-T341),0)</x:f>
        <x:v>0</x:v>
      </x:c>
    </x:row>
    <x:row r="343" ht="23" customHeight="1">
      <x:c r="A343" s="2" t="str">
        <x:v>DEMO-105-1-2</x:v>
      </x:c>
      <x:c r="B343" s="15" t="d">
        <x:v>2026-05-11T00:00:00.000Z</x:v>
      </x:c>
      <x:c r="C343" s="2" t="n">
        <x:v>2</x:v>
      </x:c>
      <x:c r="D343" s="2" t="str">
        <x:v>DEMO-105</x:v>
      </x:c>
      <x:c r="E343" s="2" t="str">
        <x:v>Paper Trail Pad</x:v>
      </x:c>
      <x:c r="F343" s="2" t="str">
        <x:v>Stationery</x:v>
      </x:c>
      <x:c r="G343" s="2" t="str">
        <x:v>Stores</x:v>
      </x:c>
      <x:c r="H343" s="2" t="str">
        <x:v>Riverside</x:v>
      </x:c>
      <x:c r="I343" s="2" t="n">
        <x:v>10</x:v>
      </x:c>
      <x:c r="J343" s="2" t="n">
        <x:v>0</x:v>
      </x:c>
      <x:c r="K343" s="2" t="n">
        <x:f>I343-J343</x:f>
        <x:v>10</x:v>
      </x:c>
      <x:c r="L343" s="16" t="n">
        <x:v>20</x:v>
      </x:c>
      <x:c r="M343" s="16" t="n">
        <x:v>20</x:v>
      </x:c>
      <x:c r="N343" s="16" t="n">
        <x:v>9.2</x:v>
      </x:c>
      <x:c r="O343" s="16" t="n">
        <x:f>K343*M343</x:f>
        <x:v>200</x:v>
      </x:c>
      <x:c r="P343" s="16" t="n">
        <x:f>K343*N343</x:f>
        <x:v>92</x:v>
      </x:c>
      <x:c r="Q343" s="16" t="n">
        <x:f>O343-P343</x:f>
        <x:v>108</x:v>
      </x:c>
      <x:c r="R343" s="2" t="n">
        <x:v>124</x:v>
      </x:c>
      <x:c r="S343" s="2" t="n">
        <x:v>0</x:v>
      </x:c>
      <x:c r="T343" s="2" t="n">
        <x:f>R343+S343+J343-I343</x:f>
        <x:v>114</x:v>
      </x:c>
      <x:c r="U343" s="2" t="n">
        <x:v>0</x:v>
      </x:c>
      <x:c r="V343" s="2" t="n">
        <x:v>3</x:v>
      </x:c>
      <x:c r="W343" s="2" t="n">
        <x:v>12</x:v>
      </x:c>
      <x:c r="X343" s="14" t="b">
        <x:v>0</x:v>
      </x:c>
      <x:c r="Y343" s="14" t="b">
        <x:v>0</x:v>
      </x:c>
      <x:c r="Z343" s="2" t="n">
        <x:f>ABS(T343-AA343)</x:f>
        <x:v>0</x:v>
      </x:c>
      <x:c r="AA343" s="2" t="n">
        <x:v>114</x:v>
      </x:c>
      <x:c r="AB343" s="2" t="n">
        <x:f>ABS(K343-W343)</x:f>
        <x:v>2</x:v>
      </x:c>
      <x:c r="AC343" s="2" t="n">
        <x:f>COUNTIF($A$2:$A$1921,A343)-1</x:f>
        <x:v>0</x:v>
      </x:c>
      <x:c r="AD343" s="2" t="n">
        <x:f>IF(AND(D343=D342,H343=H342,C343=C342+1),ABS(R343-T342),0)</x:f>
        <x:v>0</x:v>
      </x:c>
    </x:row>
    <x:row r="344" ht="23" customHeight="1">
      <x:c r="A344" s="2" t="str">
        <x:v>DEMO-105-1-3</x:v>
      </x:c>
      <x:c r="B344" s="15" t="d">
        <x:v>2026-05-18T00:00:00.000Z</x:v>
      </x:c>
      <x:c r="C344" s="2" t="n">
        <x:v>3</x:v>
      </x:c>
      <x:c r="D344" s="2" t="str">
        <x:v>DEMO-105</x:v>
      </x:c>
      <x:c r="E344" s="2" t="str">
        <x:v>Paper Trail Pad</x:v>
      </x:c>
      <x:c r="F344" s="2" t="str">
        <x:v>Stationery</x:v>
      </x:c>
      <x:c r="G344" s="2" t="str">
        <x:v>Stores</x:v>
      </x:c>
      <x:c r="H344" s="2" t="str">
        <x:v>Riverside</x:v>
      </x:c>
      <x:c r="I344" s="2" t="n">
        <x:v>13</x:v>
      </x:c>
      <x:c r="J344" s="2" t="n">
        <x:v>0</x:v>
      </x:c>
      <x:c r="K344" s="2" t="n">
        <x:f>I344-J344</x:f>
        <x:v>13</x:v>
      </x:c>
      <x:c r="L344" s="16" t="n">
        <x:v>20</x:v>
      </x:c>
      <x:c r="M344" s="16" t="n">
        <x:v>20</x:v>
      </x:c>
      <x:c r="N344" s="16" t="n">
        <x:v>9.2</x:v>
      </x:c>
      <x:c r="O344" s="16" t="n">
        <x:f>K344*M344</x:f>
        <x:v>260</x:v>
      </x:c>
      <x:c r="P344" s="16" t="n">
        <x:f>K344*N344</x:f>
        <x:v>119.6</x:v>
      </x:c>
      <x:c r="Q344" s="16" t="n">
        <x:f>O344-P344</x:f>
        <x:v>140.4</x:v>
      </x:c>
      <x:c r="R344" s="2" t="n">
        <x:v>114</x:v>
      </x:c>
      <x:c r="S344" s="2" t="n">
        <x:v>0</x:v>
      </x:c>
      <x:c r="T344" s="2" t="n">
        <x:f>R344+S344+J344-I344</x:f>
        <x:v>101</x:v>
      </x:c>
      <x:c r="U344" s="2" t="n">
        <x:v>0</x:v>
      </x:c>
      <x:c r="V344" s="2" t="n">
        <x:v>3</x:v>
      </x:c>
      <x:c r="W344" s="2" t="n">
        <x:v>11</x:v>
      </x:c>
      <x:c r="X344" s="14" t="b">
        <x:v>0</x:v>
      </x:c>
      <x:c r="Y344" s="14" t="b">
        <x:v>0</x:v>
      </x:c>
      <x:c r="Z344" s="2" t="n">
        <x:f>ABS(T344-AA344)</x:f>
        <x:v>0</x:v>
      </x:c>
      <x:c r="AA344" s="2" t="n">
        <x:v>101</x:v>
      </x:c>
      <x:c r="AB344" s="2" t="n">
        <x:f>ABS(K344-W344)</x:f>
        <x:v>2</x:v>
      </x:c>
      <x:c r="AC344" s="2" t="n">
        <x:f>COUNTIF($A$2:$A$1921,A344)-1</x:f>
        <x:v>0</x:v>
      </x:c>
      <x:c r="AD344" s="2" t="n">
        <x:f>IF(AND(D344=D343,H344=H343,C344=C343+1),ABS(R344-T343),0)</x:f>
        <x:v>0</x:v>
      </x:c>
    </x:row>
    <x:row r="345" ht="23" customHeight="1">
      <x:c r="A345" s="2" t="str">
        <x:v>DEMO-105-1-4</x:v>
      </x:c>
      <x:c r="B345" s="15" t="d">
        <x:v>2026-05-25T00:00:00.000Z</x:v>
      </x:c>
      <x:c r="C345" s="2" t="n">
        <x:v>4</x:v>
      </x:c>
      <x:c r="D345" s="2" t="str">
        <x:v>DEMO-105</x:v>
      </x:c>
      <x:c r="E345" s="2" t="str">
        <x:v>Paper Trail Pad</x:v>
      </x:c>
      <x:c r="F345" s="2" t="str">
        <x:v>Stationery</x:v>
      </x:c>
      <x:c r="G345" s="2" t="str">
        <x:v>Stores</x:v>
      </x:c>
      <x:c r="H345" s="2" t="str">
        <x:v>Riverside</x:v>
      </x:c>
      <x:c r="I345" s="2" t="n">
        <x:v>13</x:v>
      </x:c>
      <x:c r="J345" s="2" t="n">
        <x:v>0</x:v>
      </x:c>
      <x:c r="K345" s="2" t="n">
        <x:f>I345-J345</x:f>
        <x:v>13</x:v>
      </x:c>
      <x:c r="L345" s="16" t="n">
        <x:v>20</x:v>
      </x:c>
      <x:c r="M345" s="16" t="n">
        <x:v>20</x:v>
      </x:c>
      <x:c r="N345" s="16" t="n">
        <x:v>9.2</x:v>
      </x:c>
      <x:c r="O345" s="16" t="n">
        <x:f>K345*M345</x:f>
        <x:v>260</x:v>
      </x:c>
      <x:c r="P345" s="16" t="n">
        <x:f>K345*N345</x:f>
        <x:v>119.6</x:v>
      </x:c>
      <x:c r="Q345" s="16" t="n">
        <x:f>O345-P345</x:f>
        <x:v>140.4</x:v>
      </x:c>
      <x:c r="R345" s="2" t="n">
        <x:v>101</x:v>
      </x:c>
      <x:c r="S345" s="2" t="n">
        <x:v>0</x:v>
      </x:c>
      <x:c r="T345" s="2" t="n">
        <x:f>R345+S345+J345-I345</x:f>
        <x:v>88</x:v>
      </x:c>
      <x:c r="U345" s="2" t="n">
        <x:v>0</x:v>
      </x:c>
      <x:c r="V345" s="2" t="n">
        <x:v>3</x:v>
      </x:c>
      <x:c r="W345" s="2" t="n">
        <x:v>12</x:v>
      </x:c>
      <x:c r="X345" s="14" t="b">
        <x:v>0</x:v>
      </x:c>
      <x:c r="Y345" s="14" t="b">
        <x:v>0</x:v>
      </x:c>
      <x:c r="Z345" s="2" t="n">
        <x:f>ABS(T345-AA345)</x:f>
        <x:v>0</x:v>
      </x:c>
      <x:c r="AA345" s="2" t="n">
        <x:v>88</x:v>
      </x:c>
      <x:c r="AB345" s="2" t="n">
        <x:f>ABS(K345-W345)</x:f>
        <x:v>1</x:v>
      </x:c>
      <x:c r="AC345" s="2" t="n">
        <x:f>COUNTIF($A$2:$A$1921,A345)-1</x:f>
        <x:v>0</x:v>
      </x:c>
      <x:c r="AD345" s="2" t="n">
        <x:f>IF(AND(D345=D344,H345=H344,C345=C344+1),ABS(R345-T344),0)</x:f>
        <x:v>0</x:v>
      </x:c>
    </x:row>
    <x:row r="346" ht="23" customHeight="1">
      <x:c r="A346" s="2" t="str">
        <x:v>DEMO-105-1-5</x:v>
      </x:c>
      <x:c r="B346" s="15" t="d">
        <x:v>2026-06-01T00:00:00.000Z</x:v>
      </x:c>
      <x:c r="C346" s="2" t="n">
        <x:v>5</x:v>
      </x:c>
      <x:c r="D346" s="2" t="str">
        <x:v>DEMO-105</x:v>
      </x:c>
      <x:c r="E346" s="2" t="str">
        <x:v>Paper Trail Pad</x:v>
      </x:c>
      <x:c r="F346" s="2" t="str">
        <x:v>Stationery</x:v>
      </x:c>
      <x:c r="G346" s="2" t="str">
        <x:v>Stores</x:v>
      </x:c>
      <x:c r="H346" s="2" t="str">
        <x:v>Riverside</x:v>
      </x:c>
      <x:c r="I346" s="2" t="n">
        <x:v>12</x:v>
      </x:c>
      <x:c r="J346" s="2" t="n">
        <x:v>0</x:v>
      </x:c>
      <x:c r="K346" s="2" t="n">
        <x:f>I346-J346</x:f>
        <x:v>12</x:v>
      </x:c>
      <x:c r="L346" s="16" t="n">
        <x:v>20</x:v>
      </x:c>
      <x:c r="M346" s="16" t="n">
        <x:v>20</x:v>
      </x:c>
      <x:c r="N346" s="16" t="n">
        <x:v>9.2</x:v>
      </x:c>
      <x:c r="O346" s="16" t="n">
        <x:f>K346*M346</x:f>
        <x:v>240</x:v>
      </x:c>
      <x:c r="P346" s="16" t="n">
        <x:f>K346*N346</x:f>
        <x:v>110.39999999999999</x:v>
      </x:c>
      <x:c r="Q346" s="16" t="n">
        <x:f>O346-P346</x:f>
        <x:v>129.60000000000002</x:v>
      </x:c>
      <x:c r="R346" s="2" t="n">
        <x:v>88</x:v>
      </x:c>
      <x:c r="S346" s="2" t="n">
        <x:v>46</x:v>
      </x:c>
      <x:c r="T346" s="2" t="n">
        <x:f>R346+S346+J346-I346</x:f>
        <x:v>122</x:v>
      </x:c>
      <x:c r="U346" s="2" t="n">
        <x:v>0</x:v>
      </x:c>
      <x:c r="V346" s="2" t="n">
        <x:v>3</x:v>
      </x:c>
      <x:c r="W346" s="2" t="n">
        <x:v>12</x:v>
      </x:c>
      <x:c r="X346" s="14" t="b">
        <x:v>0</x:v>
      </x:c>
      <x:c r="Y346" s="14" t="b">
        <x:v>0</x:v>
      </x:c>
      <x:c r="Z346" s="2" t="n">
        <x:f>ABS(T346-AA346)</x:f>
        <x:v>0</x:v>
      </x:c>
      <x:c r="AA346" s="2" t="n">
        <x:v>122</x:v>
      </x:c>
      <x:c r="AB346" s="2" t="n">
        <x:f>ABS(K346-W346)</x:f>
        <x:v>0</x:v>
      </x:c>
      <x:c r="AC346" s="2" t="n">
        <x:f>COUNTIF($A$2:$A$1921,A346)-1</x:f>
        <x:v>0</x:v>
      </x:c>
      <x:c r="AD346" s="2" t="n">
        <x:f>IF(AND(D346=D345,H346=H345,C346=C345+1),ABS(R346-T345),0)</x:f>
        <x:v>0</x:v>
      </x:c>
    </x:row>
    <x:row r="347" ht="23" customHeight="1">
      <x:c r="A347" s="2" t="str">
        <x:v>DEMO-105-1-6</x:v>
      </x:c>
      <x:c r="B347" s="15" t="d">
        <x:v>2026-06-08T00:00:00.000Z</x:v>
      </x:c>
      <x:c r="C347" s="2" t="n">
        <x:v>6</x:v>
      </x:c>
      <x:c r="D347" s="2" t="str">
        <x:v>DEMO-105</x:v>
      </x:c>
      <x:c r="E347" s="2" t="str">
        <x:v>Paper Trail Pad</x:v>
      </x:c>
      <x:c r="F347" s="2" t="str">
        <x:v>Stationery</x:v>
      </x:c>
      <x:c r="G347" s="2" t="str">
        <x:v>Stores</x:v>
      </x:c>
      <x:c r="H347" s="2" t="str">
        <x:v>Riverside</x:v>
      </x:c>
      <x:c r="I347" s="2" t="n">
        <x:v>11</x:v>
      </x:c>
      <x:c r="J347" s="2" t="n">
        <x:v>0</x:v>
      </x:c>
      <x:c r="K347" s="2" t="n">
        <x:f>I347-J347</x:f>
        <x:v>11</x:v>
      </x:c>
      <x:c r="L347" s="16" t="n">
        <x:v>20</x:v>
      </x:c>
      <x:c r="M347" s="16" t="n">
        <x:v>20</x:v>
      </x:c>
      <x:c r="N347" s="16" t="n">
        <x:v>9.2</x:v>
      </x:c>
      <x:c r="O347" s="16" t="n">
        <x:f>K347*M347</x:f>
        <x:v>220</x:v>
      </x:c>
      <x:c r="P347" s="16" t="n">
        <x:f>K347*N347</x:f>
        <x:v>101.19999999999999</x:v>
      </x:c>
      <x:c r="Q347" s="16" t="n">
        <x:f>O347-P347</x:f>
        <x:v>118.80000000000001</x:v>
      </x:c>
      <x:c r="R347" s="2" t="n">
        <x:v>122</x:v>
      </x:c>
      <x:c r="S347" s="2" t="n">
        <x:v>0</x:v>
      </x:c>
      <x:c r="T347" s="2" t="n">
        <x:f>R347+S347+J347-I347</x:f>
        <x:v>111</x:v>
      </x:c>
      <x:c r="U347" s="2" t="n">
        <x:v>0</x:v>
      </x:c>
      <x:c r="V347" s="2" t="n">
        <x:v>3</x:v>
      </x:c>
      <x:c r="W347" s="2" t="n">
        <x:v>12</x:v>
      </x:c>
      <x:c r="X347" s="14" t="b">
        <x:v>0</x:v>
      </x:c>
      <x:c r="Y347" s="14" t="b">
        <x:v>0</x:v>
      </x:c>
      <x:c r="Z347" s="2" t="n">
        <x:f>ABS(T347-AA347)</x:f>
        <x:v>0</x:v>
      </x:c>
      <x:c r="AA347" s="2" t="n">
        <x:v>111</x:v>
      </x:c>
      <x:c r="AB347" s="2" t="n">
        <x:f>ABS(K347-W347)</x:f>
        <x:v>1</x:v>
      </x:c>
      <x:c r="AC347" s="2" t="n">
        <x:f>COUNTIF($A$2:$A$1921,A347)-1</x:f>
        <x:v>0</x:v>
      </x:c>
      <x:c r="AD347" s="2" t="n">
        <x:f>IF(AND(D347=D346,H347=H346,C347=C346+1),ABS(R347-T346),0)</x:f>
        <x:v>0</x:v>
      </x:c>
    </x:row>
    <x:row r="348" ht="23" customHeight="1">
      <x:c r="A348" s="2" t="str">
        <x:v>DEMO-105-1-7</x:v>
      </x:c>
      <x:c r="B348" s="15" t="d">
        <x:v>2026-06-15T00:00:00.000Z</x:v>
      </x:c>
      <x:c r="C348" s="2" t="n">
        <x:v>7</x:v>
      </x:c>
      <x:c r="D348" s="2" t="str">
        <x:v>DEMO-105</x:v>
      </x:c>
      <x:c r="E348" s="2" t="str">
        <x:v>Paper Trail Pad</x:v>
      </x:c>
      <x:c r="F348" s="2" t="str">
        <x:v>Stationery</x:v>
      </x:c>
      <x:c r="G348" s="2" t="str">
        <x:v>Stores</x:v>
      </x:c>
      <x:c r="H348" s="2" t="str">
        <x:v>Riverside</x:v>
      </x:c>
      <x:c r="I348" s="2" t="n">
        <x:v>11</x:v>
      </x:c>
      <x:c r="J348" s="2" t="n">
        <x:v>1</x:v>
      </x:c>
      <x:c r="K348" s="2" t="n">
        <x:f>I348-J348</x:f>
        <x:v>10</x:v>
      </x:c>
      <x:c r="L348" s="16" t="n">
        <x:v>20</x:v>
      </x:c>
      <x:c r="M348" s="16" t="n">
        <x:v>20</x:v>
      </x:c>
      <x:c r="N348" s="16" t="n">
        <x:v>9.2</x:v>
      </x:c>
      <x:c r="O348" s="16" t="n">
        <x:f>K348*M348</x:f>
        <x:v>200</x:v>
      </x:c>
      <x:c r="P348" s="16" t="n">
        <x:f>K348*N348</x:f>
        <x:v>92</x:v>
      </x:c>
      <x:c r="Q348" s="16" t="n">
        <x:f>O348-P348</x:f>
        <x:v>108</x:v>
      </x:c>
      <x:c r="R348" s="2" t="n">
        <x:v>111</x:v>
      </x:c>
      <x:c r="S348" s="2" t="n">
        <x:v>0</x:v>
      </x:c>
      <x:c r="T348" s="2" t="n">
        <x:f>R348+S348+J348-I348</x:f>
        <x:v>101</x:v>
      </x:c>
      <x:c r="U348" s="2" t="n">
        <x:v>0</x:v>
      </x:c>
      <x:c r="V348" s="2" t="n">
        <x:v>3</x:v>
      </x:c>
      <x:c r="W348" s="2" t="n">
        <x:v>12</x:v>
      </x:c>
      <x:c r="X348" s="14" t="b">
        <x:v>0</x:v>
      </x:c>
      <x:c r="Y348" s="14" t="b">
        <x:v>0</x:v>
      </x:c>
      <x:c r="Z348" s="2" t="n">
        <x:f>ABS(T348-AA348)</x:f>
        <x:v>0</x:v>
      </x:c>
      <x:c r="AA348" s="2" t="n">
        <x:v>101</x:v>
      </x:c>
      <x:c r="AB348" s="2" t="n">
        <x:f>ABS(K348-W348)</x:f>
        <x:v>2</x:v>
      </x:c>
      <x:c r="AC348" s="2" t="n">
        <x:f>COUNTIF($A$2:$A$1921,A348)-1</x:f>
        <x:v>0</x:v>
      </x:c>
      <x:c r="AD348" s="2" t="n">
        <x:f>IF(AND(D348=D347,H348=H347,C348=C347+1),ABS(R348-T347),0)</x:f>
        <x:v>0</x:v>
      </x:c>
    </x:row>
    <x:row r="349" ht="23" customHeight="1">
      <x:c r="A349" s="2" t="str">
        <x:v>DEMO-105-1-8</x:v>
      </x:c>
      <x:c r="B349" s="15" t="d">
        <x:v>2026-06-22T00:00:00.000Z</x:v>
      </x:c>
      <x:c r="C349" s="2" t="n">
        <x:v>8</x:v>
      </x:c>
      <x:c r="D349" s="2" t="str">
        <x:v>DEMO-105</x:v>
      </x:c>
      <x:c r="E349" s="2" t="str">
        <x:v>Paper Trail Pad</x:v>
      </x:c>
      <x:c r="F349" s="2" t="str">
        <x:v>Stationery</x:v>
      </x:c>
      <x:c r="G349" s="2" t="str">
        <x:v>Stores</x:v>
      </x:c>
      <x:c r="H349" s="2" t="str">
        <x:v>Riverside</x:v>
      </x:c>
      <x:c r="I349" s="2" t="n">
        <x:v>13</x:v>
      </x:c>
      <x:c r="J349" s="2" t="n">
        <x:v>0</x:v>
      </x:c>
      <x:c r="K349" s="2" t="n">
        <x:f>I349-J349</x:f>
        <x:v>13</x:v>
      </x:c>
      <x:c r="L349" s="16" t="n">
        <x:v>20</x:v>
      </x:c>
      <x:c r="M349" s="16" t="n">
        <x:v>20</x:v>
      </x:c>
      <x:c r="N349" s="16" t="n">
        <x:v>9.2</x:v>
      </x:c>
      <x:c r="O349" s="16" t="n">
        <x:f>K349*M349</x:f>
        <x:v>260</x:v>
      </x:c>
      <x:c r="P349" s="16" t="n">
        <x:f>K349*N349</x:f>
        <x:v>119.6</x:v>
      </x:c>
      <x:c r="Q349" s="16" t="n">
        <x:f>O349-P349</x:f>
        <x:v>140.4</x:v>
      </x:c>
      <x:c r="R349" s="2" t="n">
        <x:v>101</x:v>
      </x:c>
      <x:c r="S349" s="2" t="n">
        <x:v>0</x:v>
      </x:c>
      <x:c r="T349" s="2" t="n">
        <x:f>R349+S349+J349-I349</x:f>
        <x:v>88</x:v>
      </x:c>
      <x:c r="U349" s="2" t="n">
        <x:v>0</x:v>
      </x:c>
      <x:c r="V349" s="2" t="n">
        <x:v>3</x:v>
      </x:c>
      <x:c r="W349" s="2" t="n">
        <x:v>12</x:v>
      </x:c>
      <x:c r="X349" s="14" t="b">
        <x:v>0</x:v>
      </x:c>
      <x:c r="Y349" s="14" t="b">
        <x:v>0</x:v>
      </x:c>
      <x:c r="Z349" s="2" t="n">
        <x:f>ABS(T349-AA349)</x:f>
        <x:v>0</x:v>
      </x:c>
      <x:c r="AA349" s="2" t="n">
        <x:v>88</x:v>
      </x:c>
      <x:c r="AB349" s="2" t="n">
        <x:f>ABS(K349-W349)</x:f>
        <x:v>1</x:v>
      </x:c>
      <x:c r="AC349" s="2" t="n">
        <x:f>COUNTIF($A$2:$A$1921,A349)-1</x:f>
        <x:v>0</x:v>
      </x:c>
      <x:c r="AD349" s="2" t="n">
        <x:f>IF(AND(D349=D348,H349=H348,C349=C348+1),ABS(R349-T348),0)</x:f>
        <x:v>0</x:v>
      </x:c>
    </x:row>
    <x:row r="350" ht="23" customHeight="1">
      <x:c r="A350" s="2" t="str">
        <x:v>DEMO-105-1-9</x:v>
      </x:c>
      <x:c r="B350" s="15" t="d">
        <x:v>2026-06-29T00:00:00.000Z</x:v>
      </x:c>
      <x:c r="C350" s="2" t="n">
        <x:v>9</x:v>
      </x:c>
      <x:c r="D350" s="2" t="str">
        <x:v>DEMO-105</x:v>
      </x:c>
      <x:c r="E350" s="2" t="str">
        <x:v>Paper Trail Pad</x:v>
      </x:c>
      <x:c r="F350" s="2" t="str">
        <x:v>Stationery</x:v>
      </x:c>
      <x:c r="G350" s="2" t="str">
        <x:v>Stores</x:v>
      </x:c>
      <x:c r="H350" s="2" t="str">
        <x:v>Riverside</x:v>
      </x:c>
      <x:c r="I350" s="2" t="n">
        <x:v>13</x:v>
      </x:c>
      <x:c r="J350" s="2" t="n">
        <x:v>0</x:v>
      </x:c>
      <x:c r="K350" s="2" t="n">
        <x:f>I350-J350</x:f>
        <x:v>13</x:v>
      </x:c>
      <x:c r="L350" s="16" t="n">
        <x:v>20</x:v>
      </x:c>
      <x:c r="M350" s="16" t="n">
        <x:v>20</x:v>
      </x:c>
      <x:c r="N350" s="16" t="n">
        <x:v>9.2</x:v>
      </x:c>
      <x:c r="O350" s="16" t="n">
        <x:f>K350*M350</x:f>
        <x:v>260</x:v>
      </x:c>
      <x:c r="P350" s="16" t="n">
        <x:f>K350*N350</x:f>
        <x:v>119.6</x:v>
      </x:c>
      <x:c r="Q350" s="16" t="n">
        <x:f>O350-P350</x:f>
        <x:v>140.4</x:v>
      </x:c>
      <x:c r="R350" s="2" t="n">
        <x:v>88</x:v>
      </x:c>
      <x:c r="S350" s="2" t="n">
        <x:v>46</x:v>
      </x:c>
      <x:c r="T350" s="2" t="n">
        <x:f>R350+S350+J350-I350</x:f>
        <x:v>121</x:v>
      </x:c>
      <x:c r="U350" s="2" t="n">
        <x:v>0</x:v>
      </x:c>
      <x:c r="V350" s="2" t="n">
        <x:v>3</x:v>
      </x:c>
      <x:c r="W350" s="2" t="n">
        <x:v>12</x:v>
      </x:c>
      <x:c r="X350" s="14" t="b">
        <x:v>0</x:v>
      </x:c>
      <x:c r="Y350" s="14" t="b">
        <x:v>0</x:v>
      </x:c>
      <x:c r="Z350" s="2" t="n">
        <x:f>ABS(T350-AA350)</x:f>
        <x:v>0</x:v>
      </x:c>
      <x:c r="AA350" s="2" t="n">
        <x:v>121</x:v>
      </x:c>
      <x:c r="AB350" s="2" t="n">
        <x:f>ABS(K350-W350)</x:f>
        <x:v>1</x:v>
      </x:c>
      <x:c r="AC350" s="2" t="n">
        <x:f>COUNTIF($A$2:$A$1921,A350)-1</x:f>
        <x:v>0</x:v>
      </x:c>
      <x:c r="AD350" s="2" t="n">
        <x:f>IF(AND(D350=D349,H350=H349,C350=C349+1),ABS(R350-T349),0)</x:f>
        <x:v>0</x:v>
      </x:c>
    </x:row>
    <x:row r="351" ht="23" customHeight="1">
      <x:c r="A351" s="2" t="str">
        <x:v>DEMO-105-1-10</x:v>
      </x:c>
      <x:c r="B351" s="15" t="d">
        <x:v>2026-07-06T00:00:00.000Z</x:v>
      </x:c>
      <x:c r="C351" s="2" t="n">
        <x:v>10</x:v>
      </x:c>
      <x:c r="D351" s="2" t="str">
        <x:v>DEMO-105</x:v>
      </x:c>
      <x:c r="E351" s="2" t="str">
        <x:v>Paper Trail Pad</x:v>
      </x:c>
      <x:c r="F351" s="2" t="str">
        <x:v>Stationery</x:v>
      </x:c>
      <x:c r="G351" s="2" t="str">
        <x:v>Stores</x:v>
      </x:c>
      <x:c r="H351" s="2" t="str">
        <x:v>Riverside</x:v>
      </x:c>
      <x:c r="I351" s="2" t="n">
        <x:v>11</x:v>
      </x:c>
      <x:c r="J351" s="2" t="n">
        <x:v>0</x:v>
      </x:c>
      <x:c r="K351" s="2" t="n">
        <x:f>I351-J351</x:f>
        <x:v>11</x:v>
      </x:c>
      <x:c r="L351" s="16" t="n">
        <x:v>20</x:v>
      </x:c>
      <x:c r="M351" s="16" t="n">
        <x:v>20</x:v>
      </x:c>
      <x:c r="N351" s="16" t="n">
        <x:v>9.2</x:v>
      </x:c>
      <x:c r="O351" s="16" t="n">
        <x:f>K351*M351</x:f>
        <x:v>220</x:v>
      </x:c>
      <x:c r="P351" s="16" t="n">
        <x:f>K351*N351</x:f>
        <x:v>101.19999999999999</x:v>
      </x:c>
      <x:c r="Q351" s="16" t="n">
        <x:f>O351-P351</x:f>
        <x:v>118.80000000000001</x:v>
      </x:c>
      <x:c r="R351" s="2" t="n">
        <x:v>121</x:v>
      </x:c>
      <x:c r="S351" s="2" t="n">
        <x:v>0</x:v>
      </x:c>
      <x:c r="T351" s="2" t="n">
        <x:f>R351+S351+J351-I351</x:f>
        <x:v>110</x:v>
      </x:c>
      <x:c r="U351" s="2" t="n">
        <x:v>0</x:v>
      </x:c>
      <x:c r="V351" s="2" t="n">
        <x:v>3</x:v>
      </x:c>
      <x:c r="W351" s="2" t="n">
        <x:v>12</x:v>
      </x:c>
      <x:c r="X351" s="14" t="b">
        <x:v>0</x:v>
      </x:c>
      <x:c r="Y351" s="14" t="b">
        <x:v>0</x:v>
      </x:c>
      <x:c r="Z351" s="2" t="n">
        <x:f>ABS(T351-AA351)</x:f>
        <x:v>0</x:v>
      </x:c>
      <x:c r="AA351" s="2" t="n">
        <x:v>110</x:v>
      </x:c>
      <x:c r="AB351" s="2" t="n">
        <x:f>ABS(K351-W351)</x:f>
        <x:v>1</x:v>
      </x:c>
      <x:c r="AC351" s="2" t="n">
        <x:f>COUNTIF($A$2:$A$1921,A351)-1</x:f>
        <x:v>0</x:v>
      </x:c>
      <x:c r="AD351" s="2" t="n">
        <x:f>IF(AND(D351=D350,H351=H350,C351=C350+1),ABS(R351-T350),0)</x:f>
        <x:v>0</x:v>
      </x:c>
    </x:row>
    <x:row r="352" ht="23" customHeight="1">
      <x:c r="A352" s="2" t="str">
        <x:v>DEMO-105-1-11</x:v>
      </x:c>
      <x:c r="B352" s="15" t="d">
        <x:v>2026-07-13T00:00:00.000Z</x:v>
      </x:c>
      <x:c r="C352" s="2" t="n">
        <x:v>11</x:v>
      </x:c>
      <x:c r="D352" s="2" t="str">
        <x:v>DEMO-105</x:v>
      </x:c>
      <x:c r="E352" s="2" t="str">
        <x:v>Paper Trail Pad</x:v>
      </x:c>
      <x:c r="F352" s="2" t="str">
        <x:v>Stationery</x:v>
      </x:c>
      <x:c r="G352" s="2" t="str">
        <x:v>Stores</x:v>
      </x:c>
      <x:c r="H352" s="2" t="str">
        <x:v>Riverside</x:v>
      </x:c>
      <x:c r="I352" s="2" t="n">
        <x:v>11</x:v>
      </x:c>
      <x:c r="J352" s="2" t="n">
        <x:v>0</x:v>
      </x:c>
      <x:c r="K352" s="2" t="n">
        <x:f>I352-J352</x:f>
        <x:v>11</x:v>
      </x:c>
      <x:c r="L352" s="16" t="n">
        <x:v>20</x:v>
      </x:c>
      <x:c r="M352" s="16" t="n">
        <x:v>20</x:v>
      </x:c>
      <x:c r="N352" s="16" t="n">
        <x:v>9.2</x:v>
      </x:c>
      <x:c r="O352" s="16" t="n">
        <x:f>K352*M352</x:f>
        <x:v>220</x:v>
      </x:c>
      <x:c r="P352" s="16" t="n">
        <x:f>K352*N352</x:f>
        <x:v>101.19999999999999</x:v>
      </x:c>
      <x:c r="Q352" s="16" t="n">
        <x:f>O352-P352</x:f>
        <x:v>118.80000000000001</x:v>
      </x:c>
      <x:c r="R352" s="2" t="n">
        <x:v>110</x:v>
      </x:c>
      <x:c r="S352" s="2" t="n">
        <x:v>0</x:v>
      </x:c>
      <x:c r="T352" s="2" t="n">
        <x:f>R352+S352+J352-I352</x:f>
        <x:v>99</x:v>
      </x:c>
      <x:c r="U352" s="2" t="n">
        <x:v>0</x:v>
      </x:c>
      <x:c r="V352" s="2" t="n">
        <x:v>3</x:v>
      </x:c>
      <x:c r="W352" s="2" t="n">
        <x:v>12</x:v>
      </x:c>
      <x:c r="X352" s="14" t="b">
        <x:v>0</x:v>
      </x:c>
      <x:c r="Y352" s="14" t="b">
        <x:v>0</x:v>
      </x:c>
      <x:c r="Z352" s="2" t="n">
        <x:f>ABS(T352-AA352)</x:f>
        <x:v>0</x:v>
      </x:c>
      <x:c r="AA352" s="2" t="n">
        <x:v>99</x:v>
      </x:c>
      <x:c r="AB352" s="2" t="n">
        <x:f>ABS(K352-W352)</x:f>
        <x:v>1</x:v>
      </x:c>
      <x:c r="AC352" s="2" t="n">
        <x:f>COUNTIF($A$2:$A$1921,A352)-1</x:f>
        <x:v>0</x:v>
      </x:c>
      <x:c r="AD352" s="2" t="n">
        <x:f>IF(AND(D352=D351,H352=H351,C352=C351+1),ABS(R352-T351),0)</x:f>
        <x:v>0</x:v>
      </x:c>
    </x:row>
    <x:row r="353" ht="23" customHeight="1">
      <x:c r="A353" s="2" t="str">
        <x:v>DEMO-105-1-12</x:v>
      </x:c>
      <x:c r="B353" s="15" t="d">
        <x:v>2026-07-20T00:00:00.000Z</x:v>
      </x:c>
      <x:c r="C353" s="2" t="n">
        <x:v>12</x:v>
      </x:c>
      <x:c r="D353" s="2" t="str">
        <x:v>DEMO-105</x:v>
      </x:c>
      <x:c r="E353" s="2" t="str">
        <x:v>Paper Trail Pad</x:v>
      </x:c>
      <x:c r="F353" s="2" t="str">
        <x:v>Stationery</x:v>
      </x:c>
      <x:c r="G353" s="2" t="str">
        <x:v>Stores</x:v>
      </x:c>
      <x:c r="H353" s="2" t="str">
        <x:v>Riverside</x:v>
      </x:c>
      <x:c r="I353" s="2" t="n">
        <x:v>11</x:v>
      </x:c>
      <x:c r="J353" s="2" t="n">
        <x:v>0</x:v>
      </x:c>
      <x:c r="K353" s="2" t="n">
        <x:f>I353-J353</x:f>
        <x:v>11</x:v>
      </x:c>
      <x:c r="L353" s="16" t="n">
        <x:v>20</x:v>
      </x:c>
      <x:c r="M353" s="16" t="n">
        <x:v>20</x:v>
      </x:c>
      <x:c r="N353" s="16" t="n">
        <x:v>9.2</x:v>
      </x:c>
      <x:c r="O353" s="16" t="n">
        <x:f>K353*M353</x:f>
        <x:v>220</x:v>
      </x:c>
      <x:c r="P353" s="16" t="n">
        <x:f>K353*N353</x:f>
        <x:v>101.19999999999999</x:v>
      </x:c>
      <x:c r="Q353" s="16" t="n">
        <x:f>O353-P353</x:f>
        <x:v>118.80000000000001</x:v>
      </x:c>
      <x:c r="R353" s="2" t="n">
        <x:v>99</x:v>
      </x:c>
      <x:c r="S353" s="2" t="n">
        <x:v>0</x:v>
      </x:c>
      <x:c r="T353" s="2" t="n">
        <x:f>R353+S353+J353-I353</x:f>
        <x:v>88</x:v>
      </x:c>
      <x:c r="U353" s="2" t="n">
        <x:v>0</x:v>
      </x:c>
      <x:c r="V353" s="2" t="n">
        <x:v>3</x:v>
      </x:c>
      <x:c r="W353" s="2" t="n">
        <x:v>12</x:v>
      </x:c>
      <x:c r="X353" s="14" t="b">
        <x:v>0</x:v>
      </x:c>
      <x:c r="Y353" s="14" t="b">
        <x:v>0</x:v>
      </x:c>
      <x:c r="Z353" s="2" t="n">
        <x:f>ABS(T353-AA353)</x:f>
        <x:v>0</x:v>
      </x:c>
      <x:c r="AA353" s="2" t="n">
        <x:v>88</x:v>
      </x:c>
      <x:c r="AB353" s="2" t="n">
        <x:f>ABS(K353-W353)</x:f>
        <x:v>1</x:v>
      </x:c>
      <x:c r="AC353" s="2" t="n">
        <x:f>COUNTIF($A$2:$A$1921,A353)-1</x:f>
        <x:v>0</x:v>
      </x:c>
      <x:c r="AD353" s="2" t="n">
        <x:f>IF(AND(D353=D352,H353=H352,C353=C352+1),ABS(R353-T352),0)</x:f>
        <x:v>0</x:v>
      </x:c>
    </x:row>
    <x:row r="354" ht="23" customHeight="1">
      <x:c r="A354" s="2" t="str">
        <x:v>DEMO-105-1-13</x:v>
      </x:c>
      <x:c r="B354" s="15" t="d">
        <x:v>2026-07-27T00:00:00.000Z</x:v>
      </x:c>
      <x:c r="C354" s="2" t="n">
        <x:v>13</x:v>
      </x:c>
      <x:c r="D354" s="2" t="str">
        <x:v>DEMO-105</x:v>
      </x:c>
      <x:c r="E354" s="2" t="str">
        <x:v>Paper Trail Pad</x:v>
      </x:c>
      <x:c r="F354" s="2" t="str">
        <x:v>Stationery</x:v>
      </x:c>
      <x:c r="G354" s="2" t="str">
        <x:v>Stores</x:v>
      </x:c>
      <x:c r="H354" s="2" t="str">
        <x:v>Riverside</x:v>
      </x:c>
      <x:c r="I354" s="2" t="n">
        <x:v>9</x:v>
      </x:c>
      <x:c r="J354" s="2" t="n">
        <x:v>0</x:v>
      </x:c>
      <x:c r="K354" s="2" t="n">
        <x:f>I354-J354</x:f>
        <x:v>9</x:v>
      </x:c>
      <x:c r="L354" s="16" t="n">
        <x:v>20</x:v>
      </x:c>
      <x:c r="M354" s="16" t="n">
        <x:v>20</x:v>
      </x:c>
      <x:c r="N354" s="16" t="n">
        <x:v>9.2</x:v>
      </x:c>
      <x:c r="O354" s="16" t="n">
        <x:f>K354*M354</x:f>
        <x:v>180</x:v>
      </x:c>
      <x:c r="P354" s="16" t="n">
        <x:f>K354*N354</x:f>
        <x:v>82.8</x:v>
      </x:c>
      <x:c r="Q354" s="16" t="n">
        <x:f>O354-P354</x:f>
        <x:v>97.2</x:v>
      </x:c>
      <x:c r="R354" s="2" t="n">
        <x:v>88</x:v>
      </x:c>
      <x:c r="S354" s="2" t="n">
        <x:v>46</x:v>
      </x:c>
      <x:c r="T354" s="2" t="n">
        <x:f>R354+S354+J354-I354</x:f>
        <x:v>125</x:v>
      </x:c>
      <x:c r="U354" s="2" t="n">
        <x:v>0</x:v>
      </x:c>
      <x:c r="V354" s="2" t="n">
        <x:v>3</x:v>
      </x:c>
      <x:c r="W354" s="2" t="n">
        <x:v>12</x:v>
      </x:c>
      <x:c r="X354" s="14" t="b">
        <x:v>0</x:v>
      </x:c>
      <x:c r="Y354" s="14" t="b">
        <x:v>0</x:v>
      </x:c>
      <x:c r="Z354" s="2" t="n">
        <x:f>ABS(T354-AA354)</x:f>
        <x:v>0</x:v>
      </x:c>
      <x:c r="AA354" s="2" t="n">
        <x:v>125</x:v>
      </x:c>
      <x:c r="AB354" s="2" t="n">
        <x:f>ABS(K354-W354)</x:f>
        <x:v>3</x:v>
      </x:c>
      <x:c r="AC354" s="2" t="n">
        <x:f>COUNTIF($A$2:$A$1921,A354)-1</x:f>
        <x:v>0</x:v>
      </x:c>
      <x:c r="AD354" s="2" t="n">
        <x:f>IF(AND(D354=D353,H354=H353,C354=C353+1),ABS(R354-T353),0)</x:f>
        <x:v>0</x:v>
      </x:c>
    </x:row>
    <x:row r="355" ht="23" customHeight="1">
      <x:c r="A355" s="2" t="str">
        <x:v>DEMO-105-1-14</x:v>
      </x:c>
      <x:c r="B355" s="15" t="d">
        <x:v>2026-08-03T00:00:00.000Z</x:v>
      </x:c>
      <x:c r="C355" s="2" t="n">
        <x:v>14</x:v>
      </x:c>
      <x:c r="D355" s="2" t="str">
        <x:v>DEMO-105</x:v>
      </x:c>
      <x:c r="E355" s="2" t="str">
        <x:v>Paper Trail Pad</x:v>
      </x:c>
      <x:c r="F355" s="2" t="str">
        <x:v>Stationery</x:v>
      </x:c>
      <x:c r="G355" s="2" t="str">
        <x:v>Stores</x:v>
      </x:c>
      <x:c r="H355" s="2" t="str">
        <x:v>Riverside</x:v>
      </x:c>
      <x:c r="I355" s="2" t="n">
        <x:v>13</x:v>
      </x:c>
      <x:c r="J355" s="2" t="n">
        <x:v>0</x:v>
      </x:c>
      <x:c r="K355" s="2" t="n">
        <x:f>I355-J355</x:f>
        <x:v>13</x:v>
      </x:c>
      <x:c r="L355" s="16" t="n">
        <x:v>20</x:v>
      </x:c>
      <x:c r="M355" s="16" t="n">
        <x:v>20</x:v>
      </x:c>
      <x:c r="N355" s="16" t="n">
        <x:v>9.2</x:v>
      </x:c>
      <x:c r="O355" s="16" t="n">
        <x:f>K355*M355</x:f>
        <x:v>260</x:v>
      </x:c>
      <x:c r="P355" s="16" t="n">
        <x:f>K355*N355</x:f>
        <x:v>119.6</x:v>
      </x:c>
      <x:c r="Q355" s="16" t="n">
        <x:f>O355-P355</x:f>
        <x:v>140.4</x:v>
      </x:c>
      <x:c r="R355" s="2" t="n">
        <x:v>125</x:v>
      </x:c>
      <x:c r="S355" s="2" t="n">
        <x:v>0</x:v>
      </x:c>
      <x:c r="T355" s="2" t="n">
        <x:f>R355+S355+J355-I355</x:f>
        <x:v>112</x:v>
      </x:c>
      <x:c r="U355" s="2" t="n">
        <x:v>0</x:v>
      </x:c>
      <x:c r="V355" s="2" t="n">
        <x:v>3</x:v>
      </x:c>
      <x:c r="W355" s="2" t="n">
        <x:v>11</x:v>
      </x:c>
      <x:c r="X355" s="14" t="b">
        <x:v>0</x:v>
      </x:c>
      <x:c r="Y355" s="14" t="b">
        <x:v>0</x:v>
      </x:c>
      <x:c r="Z355" s="2" t="n">
        <x:f>ABS(T355-AA355)</x:f>
        <x:v>0</x:v>
      </x:c>
      <x:c r="AA355" s="2" t="n">
        <x:v>112</x:v>
      </x:c>
      <x:c r="AB355" s="2" t="n">
        <x:f>ABS(K355-W355)</x:f>
        <x:v>2</x:v>
      </x:c>
      <x:c r="AC355" s="2" t="n">
        <x:f>COUNTIF($A$2:$A$1921,A355)-1</x:f>
        <x:v>0</x:v>
      </x:c>
      <x:c r="AD355" s="2" t="n">
        <x:f>IF(AND(D355=D354,H355=H354,C355=C354+1),ABS(R355-T354),0)</x:f>
        <x:v>0</x:v>
      </x:c>
    </x:row>
    <x:row r="356" ht="23" customHeight="1">
      <x:c r="A356" s="2" t="str">
        <x:v>DEMO-105-1-15</x:v>
      </x:c>
      <x:c r="B356" s="15" t="d">
        <x:v>2026-08-10T00:00:00.000Z</x:v>
      </x:c>
      <x:c r="C356" s="2" t="n">
        <x:v>15</x:v>
      </x:c>
      <x:c r="D356" s="2" t="str">
        <x:v>DEMO-105</x:v>
      </x:c>
      <x:c r="E356" s="2" t="str">
        <x:v>Paper Trail Pad</x:v>
      </x:c>
      <x:c r="F356" s="2" t="str">
        <x:v>Stationery</x:v>
      </x:c>
      <x:c r="G356" s="2" t="str">
        <x:v>Stores</x:v>
      </x:c>
      <x:c r="H356" s="2" t="str">
        <x:v>Riverside</x:v>
      </x:c>
      <x:c r="I356" s="2" t="n">
        <x:v>13</x:v>
      </x:c>
      <x:c r="J356" s="2" t="n">
        <x:v>1</x:v>
      </x:c>
      <x:c r="K356" s="2" t="n">
        <x:f>I356-J356</x:f>
        <x:v>12</x:v>
      </x:c>
      <x:c r="L356" s="16" t="n">
        <x:v>20</x:v>
      </x:c>
      <x:c r="M356" s="16" t="n">
        <x:v>20</x:v>
      </x:c>
      <x:c r="N356" s="16" t="n">
        <x:v>9.2</x:v>
      </x:c>
      <x:c r="O356" s="16" t="n">
        <x:f>K356*M356</x:f>
        <x:v>240</x:v>
      </x:c>
      <x:c r="P356" s="16" t="n">
        <x:f>K356*N356</x:f>
        <x:v>110.39999999999999</x:v>
      </x:c>
      <x:c r="Q356" s="16" t="n">
        <x:f>O356-P356</x:f>
        <x:v>129.60000000000002</x:v>
      </x:c>
      <x:c r="R356" s="2" t="n">
        <x:v>112</x:v>
      </x:c>
      <x:c r="S356" s="2" t="n">
        <x:v>0</x:v>
      </x:c>
      <x:c r="T356" s="2" t="n">
        <x:f>R356+S356+J356-I356</x:f>
        <x:v>100</x:v>
      </x:c>
      <x:c r="U356" s="2" t="n">
        <x:v>0</x:v>
      </x:c>
      <x:c r="V356" s="2" t="n">
        <x:v>3</x:v>
      </x:c>
      <x:c r="W356" s="2" t="n">
        <x:v>11</x:v>
      </x:c>
      <x:c r="X356" s="14" t="b">
        <x:v>0</x:v>
      </x:c>
      <x:c r="Y356" s="14" t="b">
        <x:v>0</x:v>
      </x:c>
      <x:c r="Z356" s="2" t="n">
        <x:f>ABS(T356-AA356)</x:f>
        <x:v>0</x:v>
      </x:c>
      <x:c r="AA356" s="2" t="n">
        <x:v>100</x:v>
      </x:c>
      <x:c r="AB356" s="2" t="n">
        <x:f>ABS(K356-W356)</x:f>
        <x:v>1</x:v>
      </x:c>
      <x:c r="AC356" s="2" t="n">
        <x:f>COUNTIF($A$2:$A$1921,A356)-1</x:f>
        <x:v>0</x:v>
      </x:c>
      <x:c r="AD356" s="2" t="n">
        <x:f>IF(AND(D356=D355,H356=H355,C356=C355+1),ABS(R356-T355),0)</x:f>
        <x:v>0</x:v>
      </x:c>
    </x:row>
    <x:row r="357" ht="23" customHeight="1">
      <x:c r="A357" s="2" t="str">
        <x:v>DEMO-105-1-16</x:v>
      </x:c>
      <x:c r="B357" s="15" t="d">
        <x:v>2026-08-17T00:00:00.000Z</x:v>
      </x:c>
      <x:c r="C357" s="2" t="n">
        <x:v>16</x:v>
      </x:c>
      <x:c r="D357" s="2" t="str">
        <x:v>DEMO-105</x:v>
      </x:c>
      <x:c r="E357" s="2" t="str">
        <x:v>Paper Trail Pad</x:v>
      </x:c>
      <x:c r="F357" s="2" t="str">
        <x:v>Stationery</x:v>
      </x:c>
      <x:c r="G357" s="2" t="str">
        <x:v>Stores</x:v>
      </x:c>
      <x:c r="H357" s="2" t="str">
        <x:v>Riverside</x:v>
      </x:c>
      <x:c r="I357" s="2" t="n">
        <x:v>12</x:v>
      </x:c>
      <x:c r="J357" s="2" t="n">
        <x:v>0</x:v>
      </x:c>
      <x:c r="K357" s="2" t="n">
        <x:f>I357-J357</x:f>
        <x:v>12</x:v>
      </x:c>
      <x:c r="L357" s="16" t="n">
        <x:v>20</x:v>
      </x:c>
      <x:c r="M357" s="16" t="n">
        <x:v>20</x:v>
      </x:c>
      <x:c r="N357" s="16" t="n">
        <x:v>9.2</x:v>
      </x:c>
      <x:c r="O357" s="16" t="n">
        <x:f>K357*M357</x:f>
        <x:v>240</x:v>
      </x:c>
      <x:c r="P357" s="16" t="n">
        <x:f>K357*N357</x:f>
        <x:v>110.39999999999999</x:v>
      </x:c>
      <x:c r="Q357" s="16" t="n">
        <x:f>O357-P357</x:f>
        <x:v>129.60000000000002</x:v>
      </x:c>
      <x:c r="R357" s="2" t="n">
        <x:v>100</x:v>
      </x:c>
      <x:c r="S357" s="2" t="n">
        <x:v>0</x:v>
      </x:c>
      <x:c r="T357" s="2" t="n">
        <x:f>R357+S357+J357-I357</x:f>
        <x:v>88</x:v>
      </x:c>
      <x:c r="U357" s="2" t="n">
        <x:v>0</x:v>
      </x:c>
      <x:c r="V357" s="2" t="n">
        <x:v>3</x:v>
      </x:c>
      <x:c r="W357" s="2" t="n">
        <x:v>11</x:v>
      </x:c>
      <x:c r="X357" s="14" t="b">
        <x:v>0</x:v>
      </x:c>
      <x:c r="Y357" s="14" t="b">
        <x:v>0</x:v>
      </x:c>
      <x:c r="Z357" s="2" t="n">
        <x:f>ABS(T357-AA357)</x:f>
        <x:v>0</x:v>
      </x:c>
      <x:c r="AA357" s="2" t="n">
        <x:v>88</x:v>
      </x:c>
      <x:c r="AB357" s="2" t="n">
        <x:f>ABS(K357-W357)</x:f>
        <x:v>1</x:v>
      </x:c>
      <x:c r="AC357" s="2" t="n">
        <x:f>COUNTIF($A$2:$A$1921,A357)-1</x:f>
        <x:v>0</x:v>
      </x:c>
      <x:c r="AD357" s="2" t="n">
        <x:f>IF(AND(D357=D356,H357=H356,C357=C356+1),ABS(R357-T356),0)</x:f>
        <x:v>0</x:v>
      </x:c>
    </x:row>
    <x:row r="358" ht="23" customHeight="1">
      <x:c r="A358" s="2" t="str">
        <x:v>DEMO-105-1-17</x:v>
      </x:c>
      <x:c r="B358" s="15" t="d">
        <x:v>2026-08-24T00:00:00.000Z</x:v>
      </x:c>
      <x:c r="C358" s="2" t="n">
        <x:v>17</x:v>
      </x:c>
      <x:c r="D358" s="2" t="str">
        <x:v>DEMO-105</x:v>
      </x:c>
      <x:c r="E358" s="2" t="str">
        <x:v>Paper Trail Pad</x:v>
      </x:c>
      <x:c r="F358" s="2" t="str">
        <x:v>Stationery</x:v>
      </x:c>
      <x:c r="G358" s="2" t="str">
        <x:v>Stores</x:v>
      </x:c>
      <x:c r="H358" s="2" t="str">
        <x:v>Riverside</x:v>
      </x:c>
      <x:c r="I358" s="2" t="n">
        <x:v>12</x:v>
      </x:c>
      <x:c r="J358" s="2" t="n">
        <x:v>0</x:v>
      </x:c>
      <x:c r="K358" s="2" t="n">
        <x:f>I358-J358</x:f>
        <x:v>12</x:v>
      </x:c>
      <x:c r="L358" s="16" t="n">
        <x:v>20</x:v>
      </x:c>
      <x:c r="M358" s="16" t="n">
        <x:v>20</x:v>
      </x:c>
      <x:c r="N358" s="16" t="n">
        <x:v>9.2</x:v>
      </x:c>
      <x:c r="O358" s="16" t="n">
        <x:f>K358*M358</x:f>
        <x:v>240</x:v>
      </x:c>
      <x:c r="P358" s="16" t="n">
        <x:f>K358*N358</x:f>
        <x:v>110.39999999999999</x:v>
      </x:c>
      <x:c r="Q358" s="16" t="n">
        <x:f>O358-P358</x:f>
        <x:v>129.60000000000002</x:v>
      </x:c>
      <x:c r="R358" s="2" t="n">
        <x:v>88</x:v>
      </x:c>
      <x:c r="S358" s="2" t="n">
        <x:v>46</x:v>
      </x:c>
      <x:c r="T358" s="2" t="n">
        <x:f>R358+S358+J358-I358</x:f>
        <x:v>122</x:v>
      </x:c>
      <x:c r="U358" s="2" t="n">
        <x:v>0</x:v>
      </x:c>
      <x:c r="V358" s="2" t="n">
        <x:v>3</x:v>
      </x:c>
      <x:c r="W358" s="2" t="n">
        <x:v>12</x:v>
      </x:c>
      <x:c r="X358" s="14" t="b">
        <x:v>0</x:v>
      </x:c>
      <x:c r="Y358" s="14" t="b">
        <x:v>0</x:v>
      </x:c>
      <x:c r="Z358" s="2" t="n">
        <x:f>ABS(T358-AA358)</x:f>
        <x:v>0</x:v>
      </x:c>
      <x:c r="AA358" s="2" t="n">
        <x:v>122</x:v>
      </x:c>
      <x:c r="AB358" s="2" t="n">
        <x:f>ABS(K358-W358)</x:f>
        <x:v>0</x:v>
      </x:c>
      <x:c r="AC358" s="2" t="n">
        <x:f>COUNTIF($A$2:$A$1921,A358)-1</x:f>
        <x:v>0</x:v>
      </x:c>
      <x:c r="AD358" s="2" t="n">
        <x:f>IF(AND(D358=D357,H358=H357,C358=C357+1),ABS(R358-T357),0)</x:f>
        <x:v>0</x:v>
      </x:c>
    </x:row>
    <x:row r="359" ht="23" customHeight="1">
      <x:c r="A359" s="2" t="str">
        <x:v>DEMO-105-1-18</x:v>
      </x:c>
      <x:c r="B359" s="15" t="d">
        <x:v>2026-08-31T00:00:00.000Z</x:v>
      </x:c>
      <x:c r="C359" s="2" t="n">
        <x:v>18</x:v>
      </x:c>
      <x:c r="D359" s="2" t="str">
        <x:v>DEMO-105</x:v>
      </x:c>
      <x:c r="E359" s="2" t="str">
        <x:v>Paper Trail Pad</x:v>
      </x:c>
      <x:c r="F359" s="2" t="str">
        <x:v>Stationery</x:v>
      </x:c>
      <x:c r="G359" s="2" t="str">
        <x:v>Stores</x:v>
      </x:c>
      <x:c r="H359" s="2" t="str">
        <x:v>Riverside</x:v>
      </x:c>
      <x:c r="I359" s="2" t="n">
        <x:v>10</x:v>
      </x:c>
      <x:c r="J359" s="2" t="n">
        <x:v>1</x:v>
      </x:c>
      <x:c r="K359" s="2" t="n">
        <x:f>I359-J359</x:f>
        <x:v>9</x:v>
      </x:c>
      <x:c r="L359" s="16" t="n">
        <x:v>20</x:v>
      </x:c>
      <x:c r="M359" s="16" t="n">
        <x:v>20</x:v>
      </x:c>
      <x:c r="N359" s="16" t="n">
        <x:v>9.2</x:v>
      </x:c>
      <x:c r="O359" s="16" t="n">
        <x:f>K359*M359</x:f>
        <x:v>180</x:v>
      </x:c>
      <x:c r="P359" s="16" t="n">
        <x:f>K359*N359</x:f>
        <x:v>82.8</x:v>
      </x:c>
      <x:c r="Q359" s="16" t="n">
        <x:f>O359-P359</x:f>
        <x:v>97.2</x:v>
      </x:c>
      <x:c r="R359" s="2" t="n">
        <x:v>122</x:v>
      </x:c>
      <x:c r="S359" s="2" t="n">
        <x:v>0</x:v>
      </x:c>
      <x:c r="T359" s="2" t="n">
        <x:f>R359+S359+J359-I359</x:f>
        <x:v>113</x:v>
      </x:c>
      <x:c r="U359" s="2" t="n">
        <x:v>0</x:v>
      </x:c>
      <x:c r="V359" s="2" t="n">
        <x:v>3</x:v>
      </x:c>
      <x:c r="W359" s="2" t="n">
        <x:v>12</x:v>
      </x:c>
      <x:c r="X359" s="14" t="b">
        <x:v>0</x:v>
      </x:c>
      <x:c r="Y359" s="14" t="b">
        <x:v>0</x:v>
      </x:c>
      <x:c r="Z359" s="2" t="n">
        <x:f>ABS(T359-AA359)</x:f>
        <x:v>0</x:v>
      </x:c>
      <x:c r="AA359" s="2" t="n">
        <x:v>113</x:v>
      </x:c>
      <x:c r="AB359" s="2" t="n">
        <x:f>ABS(K359-W359)</x:f>
        <x:v>3</x:v>
      </x:c>
      <x:c r="AC359" s="2" t="n">
        <x:f>COUNTIF($A$2:$A$1921,A359)-1</x:f>
        <x:v>0</x:v>
      </x:c>
      <x:c r="AD359" s="2" t="n">
        <x:f>IF(AND(D359=D358,H359=H358,C359=C358+1),ABS(R359-T358),0)</x:f>
        <x:v>0</x:v>
      </x:c>
    </x:row>
    <x:row r="360" ht="23" customHeight="1">
      <x:c r="A360" s="2" t="str">
        <x:v>DEMO-105-1-19</x:v>
      </x:c>
      <x:c r="B360" s="15" t="d">
        <x:v>2026-09-07T00:00:00.000Z</x:v>
      </x:c>
      <x:c r="C360" s="2" t="n">
        <x:v>19</x:v>
      </x:c>
      <x:c r="D360" s="2" t="str">
        <x:v>DEMO-105</x:v>
      </x:c>
      <x:c r="E360" s="2" t="str">
        <x:v>Paper Trail Pad</x:v>
      </x:c>
      <x:c r="F360" s="2" t="str">
        <x:v>Stationery</x:v>
      </x:c>
      <x:c r="G360" s="2" t="str">
        <x:v>Stores</x:v>
      </x:c>
      <x:c r="H360" s="2" t="str">
        <x:v>Riverside</x:v>
      </x:c>
      <x:c r="I360" s="2" t="n">
        <x:v>11</x:v>
      </x:c>
      <x:c r="J360" s="2" t="n">
        <x:v>0</x:v>
      </x:c>
      <x:c r="K360" s="2" t="n">
        <x:f>I360-J360</x:f>
        <x:v>11</x:v>
      </x:c>
      <x:c r="L360" s="16" t="n">
        <x:v>20</x:v>
      </x:c>
      <x:c r="M360" s="16" t="n">
        <x:v>20</x:v>
      </x:c>
      <x:c r="N360" s="16" t="n">
        <x:v>9.2</x:v>
      </x:c>
      <x:c r="O360" s="16" t="n">
        <x:f>K360*M360</x:f>
        <x:v>220</x:v>
      </x:c>
      <x:c r="P360" s="16" t="n">
        <x:f>K360*N360</x:f>
        <x:v>101.19999999999999</x:v>
      </x:c>
      <x:c r="Q360" s="16" t="n">
        <x:f>O360-P360</x:f>
        <x:v>118.80000000000001</x:v>
      </x:c>
      <x:c r="R360" s="2" t="n">
        <x:v>113</x:v>
      </x:c>
      <x:c r="S360" s="2" t="n">
        <x:v>0</x:v>
      </x:c>
      <x:c r="T360" s="2" t="n">
        <x:f>R360+S360+J360-I360</x:f>
        <x:v>102</x:v>
      </x:c>
      <x:c r="U360" s="2" t="n">
        <x:v>0</x:v>
      </x:c>
      <x:c r="V360" s="2" t="n">
        <x:v>3</x:v>
      </x:c>
      <x:c r="W360" s="2" t="n">
        <x:v>11</x:v>
      </x:c>
      <x:c r="X360" s="14" t="b">
        <x:v>0</x:v>
      </x:c>
      <x:c r="Y360" s="14" t="b">
        <x:v>0</x:v>
      </x:c>
      <x:c r="Z360" s="2" t="n">
        <x:f>ABS(T360-AA360)</x:f>
        <x:v>0</x:v>
      </x:c>
      <x:c r="AA360" s="2" t="n">
        <x:v>102</x:v>
      </x:c>
      <x:c r="AB360" s="2" t="n">
        <x:f>ABS(K360-W360)</x:f>
        <x:v>0</x:v>
      </x:c>
      <x:c r="AC360" s="2" t="n">
        <x:f>COUNTIF($A$2:$A$1921,A360)-1</x:f>
        <x:v>0</x:v>
      </x:c>
      <x:c r="AD360" s="2" t="n">
        <x:f>IF(AND(D360=D359,H360=H359,C360=C359+1),ABS(R360-T359),0)</x:f>
        <x:v>0</x:v>
      </x:c>
    </x:row>
    <x:row r="361" ht="23" customHeight="1">
      <x:c r="A361" s="2" t="str">
        <x:v>DEMO-105-1-20</x:v>
      </x:c>
      <x:c r="B361" s="15" t="d">
        <x:v>2026-09-14T00:00:00.000Z</x:v>
      </x:c>
      <x:c r="C361" s="2" t="n">
        <x:v>20</x:v>
      </x:c>
      <x:c r="D361" s="2" t="str">
        <x:v>DEMO-105</x:v>
      </x:c>
      <x:c r="E361" s="2" t="str">
        <x:v>Paper Trail Pad</x:v>
      </x:c>
      <x:c r="F361" s="2" t="str">
        <x:v>Stationery</x:v>
      </x:c>
      <x:c r="G361" s="2" t="str">
        <x:v>Stores</x:v>
      </x:c>
      <x:c r="H361" s="2" t="str">
        <x:v>Riverside</x:v>
      </x:c>
      <x:c r="I361" s="2" t="n">
        <x:v>11</x:v>
      </x:c>
      <x:c r="J361" s="2" t="n">
        <x:v>1</x:v>
      </x:c>
      <x:c r="K361" s="2" t="n">
        <x:f>I361-J361</x:f>
        <x:v>10</x:v>
      </x:c>
      <x:c r="L361" s="16" t="n">
        <x:v>20</x:v>
      </x:c>
      <x:c r="M361" s="16" t="n">
        <x:v>20</x:v>
      </x:c>
      <x:c r="N361" s="16" t="n">
        <x:v>9.2</x:v>
      </x:c>
      <x:c r="O361" s="16" t="n">
        <x:f>K361*M361</x:f>
        <x:v>200</x:v>
      </x:c>
      <x:c r="P361" s="16" t="n">
        <x:f>K361*N361</x:f>
        <x:v>92</x:v>
      </x:c>
      <x:c r="Q361" s="16" t="n">
        <x:f>O361-P361</x:f>
        <x:v>108</x:v>
      </x:c>
      <x:c r="R361" s="2" t="n">
        <x:v>102</x:v>
      </x:c>
      <x:c r="S361" s="2" t="n">
        <x:v>0</x:v>
      </x:c>
      <x:c r="T361" s="2" t="n">
        <x:f>R361+S361+J361-I361</x:f>
        <x:v>92</x:v>
      </x:c>
      <x:c r="U361" s="2" t="n">
        <x:v>18</x:v>
      </x:c>
      <x:c r="V361" s="2" t="n">
        <x:v>3</x:v>
      </x:c>
      <x:c r="W361" s="2" t="n">
        <x:v>11</x:v>
      </x:c>
      <x:c r="X361" s="14" t="b">
        <x:v>0</x:v>
      </x:c>
      <x:c r="Y361" s="14" t="b">
        <x:v>0</x:v>
      </x:c>
      <x:c r="Z361" s="2" t="n">
        <x:f>ABS(T361-AA361)</x:f>
        <x:v>0</x:v>
      </x:c>
      <x:c r="AA361" s="2" t="n">
        <x:v>92</x:v>
      </x:c>
      <x:c r="AB361" s="2" t="n">
        <x:f>ABS(K361-W361)</x:f>
        <x:v>1</x:v>
      </x:c>
      <x:c r="AC361" s="2" t="n">
        <x:f>COUNTIF($A$2:$A$1921,A361)-1</x:f>
        <x:v>0</x:v>
      </x:c>
      <x:c r="AD361" s="2" t="n">
        <x:f>IF(AND(D361=D360,H361=H360,C361=C360+1),ABS(R361-T360),0)</x:f>
        <x:v>0</x:v>
      </x:c>
    </x:row>
    <x:row r="362" ht="23" customHeight="1">
      <x:c r="A362" s="2" t="str">
        <x:v>DEMO-105-2-1</x:v>
      </x:c>
      <x:c r="B362" s="15" t="d">
        <x:v>2026-05-04T00:00:00.000Z</x:v>
      </x:c>
      <x:c r="C362" s="2" t="n">
        <x:v>1</x:v>
      </x:c>
      <x:c r="D362" s="2" t="str">
        <x:v>DEMO-105</x:v>
      </x:c>
      <x:c r="E362" s="2" t="str">
        <x:v>Paper Trail Pad</x:v>
      </x:c>
      <x:c r="F362" s="2" t="str">
        <x:v>Stationery</x:v>
      </x:c>
      <x:c r="G362" s="2" t="str">
        <x:v>Stores</x:v>
      </x:c>
      <x:c r="H362" s="2" t="str">
        <x:v>Central Market</x:v>
      </x:c>
      <x:c r="I362" s="2" t="n">
        <x:v>10</x:v>
      </x:c>
      <x:c r="J362" s="2" t="n">
        <x:v>0</x:v>
      </x:c>
      <x:c r="K362" s="2" t="n">
        <x:f>I362-J362</x:f>
        <x:v>10</x:v>
      </x:c>
      <x:c r="L362" s="16" t="n">
        <x:v>20</x:v>
      </x:c>
      <x:c r="M362" s="16" t="n">
        <x:v>20</x:v>
      </x:c>
      <x:c r="N362" s="16" t="n">
        <x:v>9.2</x:v>
      </x:c>
      <x:c r="O362" s="16" t="n">
        <x:f>K362*M362</x:f>
        <x:v>200</x:v>
      </x:c>
      <x:c r="P362" s="16" t="n">
        <x:f>K362*N362</x:f>
        <x:v>92</x:v>
      </x:c>
      <x:c r="Q362" s="16" t="n">
        <x:f>O362-P362</x:f>
        <x:v>108</x:v>
      </x:c>
      <x:c r="R362" s="2" t="n">
        <x:v>90</x:v>
      </x:c>
      <x:c r="S362" s="2" t="n">
        <x:v>46</x:v>
      </x:c>
      <x:c r="T362" s="2" t="n">
        <x:f>R362+S362+J362-I362</x:f>
        <x:v>126</x:v>
      </x:c>
      <x:c r="U362" s="2" t="n">
        <x:v>0</x:v>
      </x:c>
      <x:c r="V362" s="2" t="n">
        <x:v>3</x:v>
      </x:c>
      <x:c r="W362" s="2" t="n">
        <x:v>11</x:v>
      </x:c>
      <x:c r="X362" s="14" t="b">
        <x:v>0</x:v>
      </x:c>
      <x:c r="Y362" s="14" t="b">
        <x:v>0</x:v>
      </x:c>
      <x:c r="Z362" s="2" t="n">
        <x:f>ABS(T362-AA362)</x:f>
        <x:v>0</x:v>
      </x:c>
      <x:c r="AA362" s="2" t="n">
        <x:v>126</x:v>
      </x:c>
      <x:c r="AB362" s="2" t="n">
        <x:f>ABS(K362-W362)</x:f>
        <x:v>1</x:v>
      </x:c>
      <x:c r="AC362" s="2" t="n">
        <x:f>COUNTIF($A$2:$A$1921,A362)-1</x:f>
        <x:v>0</x:v>
      </x:c>
      <x:c r="AD362" s="2" t="n">
        <x:f>IF(AND(D362=D361,H362=H361,C362=C361+1),ABS(R362-T361),0)</x:f>
        <x:v>0</x:v>
      </x:c>
    </x:row>
    <x:row r="363" ht="23" customHeight="1">
      <x:c r="A363" s="2" t="str">
        <x:v>DEMO-105-2-2</x:v>
      </x:c>
      <x:c r="B363" s="15" t="d">
        <x:v>2026-05-11T00:00:00.000Z</x:v>
      </x:c>
      <x:c r="C363" s="2" t="n">
        <x:v>2</x:v>
      </x:c>
      <x:c r="D363" s="2" t="str">
        <x:v>DEMO-105</x:v>
      </x:c>
      <x:c r="E363" s="2" t="str">
        <x:v>Paper Trail Pad</x:v>
      </x:c>
      <x:c r="F363" s="2" t="str">
        <x:v>Stationery</x:v>
      </x:c>
      <x:c r="G363" s="2" t="str">
        <x:v>Stores</x:v>
      </x:c>
      <x:c r="H363" s="2" t="str">
        <x:v>Central Market</x:v>
      </x:c>
      <x:c r="I363" s="2" t="n">
        <x:v>9</x:v>
      </x:c>
      <x:c r="J363" s="2" t="n">
        <x:v>0</x:v>
      </x:c>
      <x:c r="K363" s="2" t="n">
        <x:f>I363-J363</x:f>
        <x:v>9</x:v>
      </x:c>
      <x:c r="L363" s="16" t="n">
        <x:v>20</x:v>
      </x:c>
      <x:c r="M363" s="16" t="n">
        <x:v>20</x:v>
      </x:c>
      <x:c r="N363" s="16" t="n">
        <x:v>9.2</x:v>
      </x:c>
      <x:c r="O363" s="16" t="n">
        <x:f>K363*M363</x:f>
        <x:v>180</x:v>
      </x:c>
      <x:c r="P363" s="16" t="n">
        <x:f>K363*N363</x:f>
        <x:v>82.8</x:v>
      </x:c>
      <x:c r="Q363" s="16" t="n">
        <x:f>O363-P363</x:f>
        <x:v>97.2</x:v>
      </x:c>
      <x:c r="R363" s="2" t="n">
        <x:v>126</x:v>
      </x:c>
      <x:c r="S363" s="2" t="n">
        <x:v>0</x:v>
      </x:c>
      <x:c r="T363" s="2" t="n">
        <x:f>R363+S363+J363-I363</x:f>
        <x:v>117</x:v>
      </x:c>
      <x:c r="U363" s="2" t="n">
        <x:v>0</x:v>
      </x:c>
      <x:c r="V363" s="2" t="n">
        <x:v>3</x:v>
      </x:c>
      <x:c r="W363" s="2" t="n">
        <x:v>10</x:v>
      </x:c>
      <x:c r="X363" s="14" t="b">
        <x:v>0</x:v>
      </x:c>
      <x:c r="Y363" s="14" t="b">
        <x:v>0</x:v>
      </x:c>
      <x:c r="Z363" s="2" t="n">
        <x:f>ABS(T363-AA363)</x:f>
        <x:v>0</x:v>
      </x:c>
      <x:c r="AA363" s="2" t="n">
        <x:v>117</x:v>
      </x:c>
      <x:c r="AB363" s="2" t="n">
        <x:f>ABS(K363-W363)</x:f>
        <x:v>1</x:v>
      </x:c>
      <x:c r="AC363" s="2" t="n">
        <x:f>COUNTIF($A$2:$A$1921,A363)-1</x:f>
        <x:v>0</x:v>
      </x:c>
      <x:c r="AD363" s="2" t="n">
        <x:f>IF(AND(D363=D362,H363=H362,C363=C362+1),ABS(R363-T362),0)</x:f>
        <x:v>0</x:v>
      </x:c>
    </x:row>
    <x:row r="364" ht="23" customHeight="1">
      <x:c r="A364" s="2" t="str">
        <x:v>DEMO-105-2-3</x:v>
      </x:c>
      <x:c r="B364" s="15" t="d">
        <x:v>2026-05-18T00:00:00.000Z</x:v>
      </x:c>
      <x:c r="C364" s="2" t="n">
        <x:v>3</x:v>
      </x:c>
      <x:c r="D364" s="2" t="str">
        <x:v>DEMO-105</x:v>
      </x:c>
      <x:c r="E364" s="2" t="str">
        <x:v>Paper Trail Pad</x:v>
      </x:c>
      <x:c r="F364" s="2" t="str">
        <x:v>Stationery</x:v>
      </x:c>
      <x:c r="G364" s="2" t="str">
        <x:v>Stores</x:v>
      </x:c>
      <x:c r="H364" s="2" t="str">
        <x:v>Central Market</x:v>
      </x:c>
      <x:c r="I364" s="2" t="n">
        <x:v>12</x:v>
      </x:c>
      <x:c r="J364" s="2" t="n">
        <x:v>0</x:v>
      </x:c>
      <x:c r="K364" s="2" t="n">
        <x:f>I364-J364</x:f>
        <x:v>12</x:v>
      </x:c>
      <x:c r="L364" s="16" t="n">
        <x:v>20</x:v>
      </x:c>
      <x:c r="M364" s="16" t="n">
        <x:v>20</x:v>
      </x:c>
      <x:c r="N364" s="16" t="n">
        <x:v>9.2</x:v>
      </x:c>
      <x:c r="O364" s="16" t="n">
        <x:f>K364*M364</x:f>
        <x:v>240</x:v>
      </x:c>
      <x:c r="P364" s="16" t="n">
        <x:f>K364*N364</x:f>
        <x:v>110.39999999999999</x:v>
      </x:c>
      <x:c r="Q364" s="16" t="n">
        <x:f>O364-P364</x:f>
        <x:v>129.60000000000002</x:v>
      </x:c>
      <x:c r="R364" s="2" t="n">
        <x:v>117</x:v>
      </x:c>
      <x:c r="S364" s="2" t="n">
        <x:v>0</x:v>
      </x:c>
      <x:c r="T364" s="2" t="n">
        <x:f>R364+S364+J364-I364</x:f>
        <x:v>105</x:v>
      </x:c>
      <x:c r="U364" s="2" t="n">
        <x:v>0</x:v>
      </x:c>
      <x:c r="V364" s="2" t="n">
        <x:v>3</x:v>
      </x:c>
      <x:c r="W364" s="2" t="n">
        <x:v>10</x:v>
      </x:c>
      <x:c r="X364" s="14" t="b">
        <x:v>0</x:v>
      </x:c>
      <x:c r="Y364" s="14" t="b">
        <x:v>0</x:v>
      </x:c>
      <x:c r="Z364" s="2" t="n">
        <x:f>ABS(T364-AA364)</x:f>
        <x:v>0</x:v>
      </x:c>
      <x:c r="AA364" s="2" t="n">
        <x:v>105</x:v>
      </x:c>
      <x:c r="AB364" s="2" t="n">
        <x:f>ABS(K364-W364)</x:f>
        <x:v>2</x:v>
      </x:c>
      <x:c r="AC364" s="2" t="n">
        <x:f>COUNTIF($A$2:$A$1921,A364)-1</x:f>
        <x:v>0</x:v>
      </x:c>
      <x:c r="AD364" s="2" t="n">
        <x:f>IF(AND(D364=D363,H364=H363,C364=C363+1),ABS(R364-T363),0)</x:f>
        <x:v>0</x:v>
      </x:c>
    </x:row>
    <x:row r="365" ht="23" customHeight="1">
      <x:c r="A365" s="2" t="str">
        <x:v>DEMO-105-2-4</x:v>
      </x:c>
      <x:c r="B365" s="15" t="d">
        <x:v>2026-05-25T00:00:00.000Z</x:v>
      </x:c>
      <x:c r="C365" s="2" t="n">
        <x:v>4</x:v>
      </x:c>
      <x:c r="D365" s="2" t="str">
        <x:v>DEMO-105</x:v>
      </x:c>
      <x:c r="E365" s="2" t="str">
        <x:v>Paper Trail Pad</x:v>
      </x:c>
      <x:c r="F365" s="2" t="str">
        <x:v>Stationery</x:v>
      </x:c>
      <x:c r="G365" s="2" t="str">
        <x:v>Stores</x:v>
      </x:c>
      <x:c r="H365" s="2" t="str">
        <x:v>Central Market</x:v>
      </x:c>
      <x:c r="I365" s="2" t="n">
        <x:v>10</x:v>
      </x:c>
      <x:c r="J365" s="2" t="n">
        <x:v>0</x:v>
      </x:c>
      <x:c r="K365" s="2" t="n">
        <x:f>I365-J365</x:f>
        <x:v>10</x:v>
      </x:c>
      <x:c r="L365" s="16" t="n">
        <x:v>20</x:v>
      </x:c>
      <x:c r="M365" s="16" t="n">
        <x:v>20</x:v>
      </x:c>
      <x:c r="N365" s="16" t="n">
        <x:v>9.2</x:v>
      </x:c>
      <x:c r="O365" s="16" t="n">
        <x:f>K365*M365</x:f>
        <x:v>200</x:v>
      </x:c>
      <x:c r="P365" s="16" t="n">
        <x:f>K365*N365</x:f>
        <x:v>92</x:v>
      </x:c>
      <x:c r="Q365" s="16" t="n">
        <x:f>O365-P365</x:f>
        <x:v>108</x:v>
      </x:c>
      <x:c r="R365" s="2" t="n">
        <x:v>105</x:v>
      </x:c>
      <x:c r="S365" s="2" t="n">
        <x:v>0</x:v>
      </x:c>
      <x:c r="T365" s="2" t="n">
        <x:f>R365+S365+J365-I365</x:f>
        <x:v>95</x:v>
      </x:c>
      <x:c r="U365" s="2" t="n">
        <x:v>0</x:v>
      </x:c>
      <x:c r="V365" s="2" t="n">
        <x:v>3</x:v>
      </x:c>
      <x:c r="W365" s="2" t="n">
        <x:v>10</x:v>
      </x:c>
      <x:c r="X365" s="14" t="b">
        <x:v>0</x:v>
      </x:c>
      <x:c r="Y365" s="14" t="b">
        <x:v>0</x:v>
      </x:c>
      <x:c r="Z365" s="2" t="n">
        <x:f>ABS(T365-AA365)</x:f>
        <x:v>0</x:v>
      </x:c>
      <x:c r="AA365" s="2" t="n">
        <x:v>95</x:v>
      </x:c>
      <x:c r="AB365" s="2" t="n">
        <x:f>ABS(K365-W365)</x:f>
        <x:v>0</x:v>
      </x:c>
      <x:c r="AC365" s="2" t="n">
        <x:f>COUNTIF($A$2:$A$1921,A365)-1</x:f>
        <x:v>0</x:v>
      </x:c>
      <x:c r="AD365" s="2" t="n">
        <x:f>IF(AND(D365=D364,H365=H364,C365=C364+1),ABS(R365-T364),0)</x:f>
        <x:v>0</x:v>
      </x:c>
    </x:row>
    <x:row r="366" ht="23" customHeight="1">
      <x:c r="A366" s="2" t="str">
        <x:v>DEMO-105-2-5</x:v>
      </x:c>
      <x:c r="B366" s="15" t="d">
        <x:v>2026-06-01T00:00:00.000Z</x:v>
      </x:c>
      <x:c r="C366" s="2" t="n">
        <x:v>5</x:v>
      </x:c>
      <x:c r="D366" s="2" t="str">
        <x:v>DEMO-105</x:v>
      </x:c>
      <x:c r="E366" s="2" t="str">
        <x:v>Paper Trail Pad</x:v>
      </x:c>
      <x:c r="F366" s="2" t="str">
        <x:v>Stationery</x:v>
      </x:c>
      <x:c r="G366" s="2" t="str">
        <x:v>Stores</x:v>
      </x:c>
      <x:c r="H366" s="2" t="str">
        <x:v>Central Market</x:v>
      </x:c>
      <x:c r="I366" s="2" t="n">
        <x:v>9</x:v>
      </x:c>
      <x:c r="J366" s="2" t="n">
        <x:v>1</x:v>
      </x:c>
      <x:c r="K366" s="2" t="n">
        <x:f>I366-J366</x:f>
        <x:v>8</x:v>
      </x:c>
      <x:c r="L366" s="16" t="n">
        <x:v>20</x:v>
      </x:c>
      <x:c r="M366" s="16" t="n">
        <x:v>20</x:v>
      </x:c>
      <x:c r="N366" s="16" t="n">
        <x:v>9.2</x:v>
      </x:c>
      <x:c r="O366" s="16" t="n">
        <x:f>K366*M366</x:f>
        <x:v>160</x:v>
      </x:c>
      <x:c r="P366" s="16" t="n">
        <x:f>K366*N366</x:f>
        <x:v>73.6</x:v>
      </x:c>
      <x:c r="Q366" s="16" t="n">
        <x:f>O366-P366</x:f>
        <x:v>86.4</x:v>
      </x:c>
      <x:c r="R366" s="2" t="n">
        <x:v>95</x:v>
      </x:c>
      <x:c r="S366" s="2" t="n">
        <x:v>46</x:v>
      </x:c>
      <x:c r="T366" s="2" t="n">
        <x:f>R366+S366+J366-I366</x:f>
        <x:v>133</x:v>
      </x:c>
      <x:c r="U366" s="2" t="n">
        <x:v>0</x:v>
      </x:c>
      <x:c r="V366" s="2" t="n">
        <x:v>3</x:v>
      </x:c>
      <x:c r="W366" s="2" t="n">
        <x:v>10</x:v>
      </x:c>
      <x:c r="X366" s="14" t="b">
        <x:v>0</x:v>
      </x:c>
      <x:c r="Y366" s="14" t="b">
        <x:v>0</x:v>
      </x:c>
      <x:c r="Z366" s="2" t="n">
        <x:f>ABS(T366-AA366)</x:f>
        <x:v>0</x:v>
      </x:c>
      <x:c r="AA366" s="2" t="n">
        <x:v>133</x:v>
      </x:c>
      <x:c r="AB366" s="2" t="n">
        <x:f>ABS(K366-W366)</x:f>
        <x:v>2</x:v>
      </x:c>
      <x:c r="AC366" s="2" t="n">
        <x:f>COUNTIF($A$2:$A$1921,A366)-1</x:f>
        <x:v>0</x:v>
      </x:c>
      <x:c r="AD366" s="2" t="n">
        <x:f>IF(AND(D366=D365,H366=H365,C366=C365+1),ABS(R366-T365),0)</x:f>
        <x:v>0</x:v>
      </x:c>
    </x:row>
    <x:row r="367" ht="23" customHeight="1">
      <x:c r="A367" s="2" t="str">
        <x:v>DEMO-105-2-6</x:v>
      </x:c>
      <x:c r="B367" s="15" t="d">
        <x:v>2026-06-08T00:00:00.000Z</x:v>
      </x:c>
      <x:c r="C367" s="2" t="n">
        <x:v>6</x:v>
      </x:c>
      <x:c r="D367" s="2" t="str">
        <x:v>DEMO-105</x:v>
      </x:c>
      <x:c r="E367" s="2" t="str">
        <x:v>Paper Trail Pad</x:v>
      </x:c>
      <x:c r="F367" s="2" t="str">
        <x:v>Stationery</x:v>
      </x:c>
      <x:c r="G367" s="2" t="str">
        <x:v>Stores</x:v>
      </x:c>
      <x:c r="H367" s="2" t="str">
        <x:v>Central Market</x:v>
      </x:c>
      <x:c r="I367" s="2" t="n">
        <x:v>12</x:v>
      </x:c>
      <x:c r="J367" s="2" t="n">
        <x:v>0</x:v>
      </x:c>
      <x:c r="K367" s="2" t="n">
        <x:f>I367-J367</x:f>
        <x:v>12</x:v>
      </x:c>
      <x:c r="L367" s="16" t="n">
        <x:v>20</x:v>
      </x:c>
      <x:c r="M367" s="16" t="n">
        <x:v>20</x:v>
      </x:c>
      <x:c r="N367" s="16" t="n">
        <x:v>9.2</x:v>
      </x:c>
      <x:c r="O367" s="16" t="n">
        <x:f>K367*M367</x:f>
        <x:v>240</x:v>
      </x:c>
      <x:c r="P367" s="16" t="n">
        <x:f>K367*N367</x:f>
        <x:v>110.39999999999999</x:v>
      </x:c>
      <x:c r="Q367" s="16" t="n">
        <x:f>O367-P367</x:f>
        <x:v>129.60000000000002</x:v>
      </x:c>
      <x:c r="R367" s="2" t="n">
        <x:v>133</x:v>
      </x:c>
      <x:c r="S367" s="2" t="n">
        <x:v>0</x:v>
      </x:c>
      <x:c r="T367" s="2" t="n">
        <x:f>R367+S367+J367-I367</x:f>
        <x:v>121</x:v>
      </x:c>
      <x:c r="U367" s="2" t="n">
        <x:v>0</x:v>
      </x:c>
      <x:c r="V367" s="2" t="n">
        <x:v>3</x:v>
      </x:c>
      <x:c r="W367" s="2" t="n">
        <x:v>10</x:v>
      </x:c>
      <x:c r="X367" s="14" t="b">
        <x:v>0</x:v>
      </x:c>
      <x:c r="Y367" s="14" t="b">
        <x:v>0</x:v>
      </x:c>
      <x:c r="Z367" s="2" t="n">
        <x:f>ABS(T367-AA367)</x:f>
        <x:v>0</x:v>
      </x:c>
      <x:c r="AA367" s="2" t="n">
        <x:v>121</x:v>
      </x:c>
      <x:c r="AB367" s="2" t="n">
        <x:f>ABS(K367-W367)</x:f>
        <x:v>2</x:v>
      </x:c>
      <x:c r="AC367" s="2" t="n">
        <x:f>COUNTIF($A$2:$A$1921,A367)-1</x:f>
        <x:v>0</x:v>
      </x:c>
      <x:c r="AD367" s="2" t="n">
        <x:f>IF(AND(D367=D366,H367=H366,C367=C366+1),ABS(R367-T366),0)</x:f>
        <x:v>0</x:v>
      </x:c>
    </x:row>
    <x:row r="368" ht="23" customHeight="1">
      <x:c r="A368" s="2" t="str">
        <x:v>DEMO-105-2-7</x:v>
      </x:c>
      <x:c r="B368" s="15" t="d">
        <x:v>2026-06-15T00:00:00.000Z</x:v>
      </x:c>
      <x:c r="C368" s="2" t="n">
        <x:v>7</x:v>
      </x:c>
      <x:c r="D368" s="2" t="str">
        <x:v>DEMO-105</x:v>
      </x:c>
      <x:c r="E368" s="2" t="str">
        <x:v>Paper Trail Pad</x:v>
      </x:c>
      <x:c r="F368" s="2" t="str">
        <x:v>Stationery</x:v>
      </x:c>
      <x:c r="G368" s="2" t="str">
        <x:v>Stores</x:v>
      </x:c>
      <x:c r="H368" s="2" t="str">
        <x:v>Central Market</x:v>
      </x:c>
      <x:c r="I368" s="2" t="n">
        <x:v>11</x:v>
      </x:c>
      <x:c r="J368" s="2" t="n">
        <x:v>0</x:v>
      </x:c>
      <x:c r="K368" s="2" t="n">
        <x:f>I368-J368</x:f>
        <x:v>11</x:v>
      </x:c>
      <x:c r="L368" s="16" t="n">
        <x:v>20</x:v>
      </x:c>
      <x:c r="M368" s="16" t="n">
        <x:v>20</x:v>
      </x:c>
      <x:c r="N368" s="16" t="n">
        <x:v>9.2</x:v>
      </x:c>
      <x:c r="O368" s="16" t="n">
        <x:f>K368*M368</x:f>
        <x:v>220</x:v>
      </x:c>
      <x:c r="P368" s="16" t="n">
        <x:f>K368*N368</x:f>
        <x:v>101.19999999999999</x:v>
      </x:c>
      <x:c r="Q368" s="16" t="n">
        <x:f>O368-P368</x:f>
        <x:v>118.80000000000001</x:v>
      </x:c>
      <x:c r="R368" s="2" t="n">
        <x:v>121</x:v>
      </x:c>
      <x:c r="S368" s="2" t="n">
        <x:v>0</x:v>
      </x:c>
      <x:c r="T368" s="2" t="n">
        <x:f>R368+S368+J368-I368</x:f>
        <x:v>110</x:v>
      </x:c>
      <x:c r="U368" s="2" t="n">
        <x:v>0</x:v>
      </x:c>
      <x:c r="V368" s="2" t="n">
        <x:v>3</x:v>
      </x:c>
      <x:c r="W368" s="2" t="n">
        <x:v>11</x:v>
      </x:c>
      <x:c r="X368" s="14" t="b">
        <x:v>0</x:v>
      </x:c>
      <x:c r="Y368" s="14" t="b">
        <x:v>0</x:v>
      </x:c>
      <x:c r="Z368" s="2" t="n">
        <x:f>ABS(T368-AA368)</x:f>
        <x:v>0</x:v>
      </x:c>
      <x:c r="AA368" s="2" t="n">
        <x:v>110</x:v>
      </x:c>
      <x:c r="AB368" s="2" t="n">
        <x:f>ABS(K368-W368)</x:f>
        <x:v>0</x:v>
      </x:c>
      <x:c r="AC368" s="2" t="n">
        <x:f>COUNTIF($A$2:$A$1921,A368)-1</x:f>
        <x:v>0</x:v>
      </x:c>
      <x:c r="AD368" s="2" t="n">
        <x:f>IF(AND(D368=D367,H368=H367,C368=C367+1),ABS(R368-T367),0)</x:f>
        <x:v>0</x:v>
      </x:c>
    </x:row>
    <x:row r="369" ht="23" customHeight="1">
      <x:c r="A369" s="2" t="str">
        <x:v>DEMO-105-2-8</x:v>
      </x:c>
      <x:c r="B369" s="15" t="d">
        <x:v>2026-06-22T00:00:00.000Z</x:v>
      </x:c>
      <x:c r="C369" s="2" t="n">
        <x:v>8</x:v>
      </x:c>
      <x:c r="D369" s="2" t="str">
        <x:v>DEMO-105</x:v>
      </x:c>
      <x:c r="E369" s="2" t="str">
        <x:v>Paper Trail Pad</x:v>
      </x:c>
      <x:c r="F369" s="2" t="str">
        <x:v>Stationery</x:v>
      </x:c>
      <x:c r="G369" s="2" t="str">
        <x:v>Stores</x:v>
      </x:c>
      <x:c r="H369" s="2" t="str">
        <x:v>Central Market</x:v>
      </x:c>
      <x:c r="I369" s="2" t="n">
        <x:v>13</x:v>
      </x:c>
      <x:c r="J369" s="2" t="n">
        <x:v>0</x:v>
      </x:c>
      <x:c r="K369" s="2" t="n">
        <x:f>I369-J369</x:f>
        <x:v>13</x:v>
      </x:c>
      <x:c r="L369" s="16" t="n">
        <x:v>20</x:v>
      </x:c>
      <x:c r="M369" s="16" t="n">
        <x:v>20</x:v>
      </x:c>
      <x:c r="N369" s="16" t="n">
        <x:v>9.2</x:v>
      </x:c>
      <x:c r="O369" s="16" t="n">
        <x:f>K369*M369</x:f>
        <x:v>260</x:v>
      </x:c>
      <x:c r="P369" s="16" t="n">
        <x:f>K369*N369</x:f>
        <x:v>119.6</x:v>
      </x:c>
      <x:c r="Q369" s="16" t="n">
        <x:f>O369-P369</x:f>
        <x:v>140.4</x:v>
      </x:c>
      <x:c r="R369" s="2" t="n">
        <x:v>110</x:v>
      </x:c>
      <x:c r="S369" s="2" t="n">
        <x:v>0</x:v>
      </x:c>
      <x:c r="T369" s="2" t="n">
        <x:f>R369+S369+J369-I369</x:f>
        <x:v>97</x:v>
      </x:c>
      <x:c r="U369" s="2" t="n">
        <x:v>0</x:v>
      </x:c>
      <x:c r="V369" s="2" t="n">
        <x:v>3</x:v>
      </x:c>
      <x:c r="W369" s="2" t="n">
        <x:v>10</x:v>
      </x:c>
      <x:c r="X369" s="14" t="b">
        <x:v>0</x:v>
      </x:c>
      <x:c r="Y369" s="14" t="b">
        <x:v>0</x:v>
      </x:c>
      <x:c r="Z369" s="2" t="n">
        <x:f>ABS(T369-AA369)</x:f>
        <x:v>0</x:v>
      </x:c>
      <x:c r="AA369" s="2" t="n">
        <x:v>97</x:v>
      </x:c>
      <x:c r="AB369" s="2" t="n">
        <x:f>ABS(K369-W369)</x:f>
        <x:v>3</x:v>
      </x:c>
      <x:c r="AC369" s="2" t="n">
        <x:f>COUNTIF($A$2:$A$1921,A369)-1</x:f>
        <x:v>0</x:v>
      </x:c>
      <x:c r="AD369" s="2" t="n">
        <x:f>IF(AND(D369=D368,H369=H368,C369=C368+1),ABS(R369-T368),0)</x:f>
        <x:v>0</x:v>
      </x:c>
    </x:row>
    <x:row r="370" ht="23" customHeight="1">
      <x:c r="A370" s="2" t="str">
        <x:v>DEMO-105-2-9</x:v>
      </x:c>
      <x:c r="B370" s="15" t="d">
        <x:v>2026-06-29T00:00:00.000Z</x:v>
      </x:c>
      <x:c r="C370" s="2" t="n">
        <x:v>9</x:v>
      </x:c>
      <x:c r="D370" s="2" t="str">
        <x:v>DEMO-105</x:v>
      </x:c>
      <x:c r="E370" s="2" t="str">
        <x:v>Paper Trail Pad</x:v>
      </x:c>
      <x:c r="F370" s="2" t="str">
        <x:v>Stationery</x:v>
      </x:c>
      <x:c r="G370" s="2" t="str">
        <x:v>Stores</x:v>
      </x:c>
      <x:c r="H370" s="2" t="str">
        <x:v>Central Market</x:v>
      </x:c>
      <x:c r="I370" s="2" t="n">
        <x:v>10</x:v>
      </x:c>
      <x:c r="J370" s="2" t="n">
        <x:v>0</x:v>
      </x:c>
      <x:c r="K370" s="2" t="n">
        <x:f>I370-J370</x:f>
        <x:v>10</x:v>
      </x:c>
      <x:c r="L370" s="16" t="n">
        <x:v>20</x:v>
      </x:c>
      <x:c r="M370" s="16" t="n">
        <x:v>20</x:v>
      </x:c>
      <x:c r="N370" s="16" t="n">
        <x:v>9.2</x:v>
      </x:c>
      <x:c r="O370" s="16" t="n">
        <x:f>K370*M370</x:f>
        <x:v>200</x:v>
      </x:c>
      <x:c r="P370" s="16" t="n">
        <x:f>K370*N370</x:f>
        <x:v>92</x:v>
      </x:c>
      <x:c r="Q370" s="16" t="n">
        <x:f>O370-P370</x:f>
        <x:v>108</x:v>
      </x:c>
      <x:c r="R370" s="2" t="n">
        <x:v>97</x:v>
      </x:c>
      <x:c r="S370" s="2" t="n">
        <x:v>46</x:v>
      </x:c>
      <x:c r="T370" s="2" t="n">
        <x:f>R370+S370+J370-I370</x:f>
        <x:v>133</x:v>
      </x:c>
      <x:c r="U370" s="2" t="n">
        <x:v>0</x:v>
      </x:c>
      <x:c r="V370" s="2" t="n">
        <x:v>3</x:v>
      </x:c>
      <x:c r="W370" s="2" t="n">
        <x:v>11</x:v>
      </x:c>
      <x:c r="X370" s="14" t="b">
        <x:v>0</x:v>
      </x:c>
      <x:c r="Y370" s="14" t="b">
        <x:v>0</x:v>
      </x:c>
      <x:c r="Z370" s="2" t="n">
        <x:f>ABS(T370-AA370)</x:f>
        <x:v>0</x:v>
      </x:c>
      <x:c r="AA370" s="2" t="n">
        <x:v>133</x:v>
      </x:c>
      <x:c r="AB370" s="2" t="n">
        <x:f>ABS(K370-W370)</x:f>
        <x:v>1</x:v>
      </x:c>
      <x:c r="AC370" s="2" t="n">
        <x:f>COUNTIF($A$2:$A$1921,A370)-1</x:f>
        <x:v>0</x:v>
      </x:c>
      <x:c r="AD370" s="2" t="n">
        <x:f>IF(AND(D370=D369,H370=H369,C370=C369+1),ABS(R370-T369),0)</x:f>
        <x:v>0</x:v>
      </x:c>
    </x:row>
    <x:row r="371" ht="23" customHeight="1">
      <x:c r="A371" s="2" t="str">
        <x:v>DEMO-105-2-10</x:v>
      </x:c>
      <x:c r="B371" s="15" t="d">
        <x:v>2026-07-06T00:00:00.000Z</x:v>
      </x:c>
      <x:c r="C371" s="2" t="n">
        <x:v>10</x:v>
      </x:c>
      <x:c r="D371" s="2" t="str">
        <x:v>DEMO-105</x:v>
      </x:c>
      <x:c r="E371" s="2" t="str">
        <x:v>Paper Trail Pad</x:v>
      </x:c>
      <x:c r="F371" s="2" t="str">
        <x:v>Stationery</x:v>
      </x:c>
      <x:c r="G371" s="2" t="str">
        <x:v>Stores</x:v>
      </x:c>
      <x:c r="H371" s="2" t="str">
        <x:v>Central Market</x:v>
      </x:c>
      <x:c r="I371" s="2" t="n">
        <x:v>13</x:v>
      </x:c>
      <x:c r="J371" s="2" t="n">
        <x:v>0</x:v>
      </x:c>
      <x:c r="K371" s="2" t="n">
        <x:f>I371-J371</x:f>
        <x:v>13</x:v>
      </x:c>
      <x:c r="L371" s="16" t="n">
        <x:v>20</x:v>
      </x:c>
      <x:c r="M371" s="16" t="n">
        <x:v>20</x:v>
      </x:c>
      <x:c r="N371" s="16" t="n">
        <x:v>9.2</x:v>
      </x:c>
      <x:c r="O371" s="16" t="n">
        <x:f>K371*M371</x:f>
        <x:v>260</x:v>
      </x:c>
      <x:c r="P371" s="16" t="n">
        <x:f>K371*N371</x:f>
        <x:v>119.6</x:v>
      </x:c>
      <x:c r="Q371" s="16" t="n">
        <x:f>O371-P371</x:f>
        <x:v>140.4</x:v>
      </x:c>
      <x:c r="R371" s="2" t="n">
        <x:v>133</x:v>
      </x:c>
      <x:c r="S371" s="2" t="n">
        <x:v>0</x:v>
      </x:c>
      <x:c r="T371" s="2" t="n">
        <x:f>R371+S371+J371-I371</x:f>
        <x:v>120</x:v>
      </x:c>
      <x:c r="U371" s="2" t="n">
        <x:v>0</x:v>
      </x:c>
      <x:c r="V371" s="2" t="n">
        <x:v>3</x:v>
      </x:c>
      <x:c r="W371" s="2" t="n">
        <x:v>12</x:v>
      </x:c>
      <x:c r="X371" s="14" t="b">
        <x:v>0</x:v>
      </x:c>
      <x:c r="Y371" s="14" t="b">
        <x:v>0</x:v>
      </x:c>
      <x:c r="Z371" s="2" t="n">
        <x:f>ABS(T371-AA371)</x:f>
        <x:v>0</x:v>
      </x:c>
      <x:c r="AA371" s="2" t="n">
        <x:v>120</x:v>
      </x:c>
      <x:c r="AB371" s="2" t="n">
        <x:f>ABS(K371-W371)</x:f>
        <x:v>1</x:v>
      </x:c>
      <x:c r="AC371" s="2" t="n">
        <x:f>COUNTIF($A$2:$A$1921,A371)-1</x:f>
        <x:v>0</x:v>
      </x:c>
      <x:c r="AD371" s="2" t="n">
        <x:f>IF(AND(D371=D370,H371=H370,C371=C370+1),ABS(R371-T370),0)</x:f>
        <x:v>0</x:v>
      </x:c>
    </x:row>
    <x:row r="372" ht="23" customHeight="1">
      <x:c r="A372" s="2" t="str">
        <x:v>DEMO-105-2-11</x:v>
      </x:c>
      <x:c r="B372" s="15" t="d">
        <x:v>2026-07-13T00:00:00.000Z</x:v>
      </x:c>
      <x:c r="C372" s="2" t="n">
        <x:v>11</x:v>
      </x:c>
      <x:c r="D372" s="2" t="str">
        <x:v>DEMO-105</x:v>
      </x:c>
      <x:c r="E372" s="2" t="str">
        <x:v>Paper Trail Pad</x:v>
      </x:c>
      <x:c r="F372" s="2" t="str">
        <x:v>Stationery</x:v>
      </x:c>
      <x:c r="G372" s="2" t="str">
        <x:v>Stores</x:v>
      </x:c>
      <x:c r="H372" s="2" t="str">
        <x:v>Central Market</x:v>
      </x:c>
      <x:c r="I372" s="2" t="n">
        <x:v>13</x:v>
      </x:c>
      <x:c r="J372" s="2" t="n">
        <x:v>1</x:v>
      </x:c>
      <x:c r="K372" s="2" t="n">
        <x:f>I372-J372</x:f>
        <x:v>12</x:v>
      </x:c>
      <x:c r="L372" s="16" t="n">
        <x:v>20</x:v>
      </x:c>
      <x:c r="M372" s="16" t="n">
        <x:v>20</x:v>
      </x:c>
      <x:c r="N372" s="16" t="n">
        <x:v>9.2</x:v>
      </x:c>
      <x:c r="O372" s="16" t="n">
        <x:f>K372*M372</x:f>
        <x:v>240</x:v>
      </x:c>
      <x:c r="P372" s="16" t="n">
        <x:f>K372*N372</x:f>
        <x:v>110.39999999999999</x:v>
      </x:c>
      <x:c r="Q372" s="16" t="n">
        <x:f>O372-P372</x:f>
        <x:v>129.60000000000002</x:v>
      </x:c>
      <x:c r="R372" s="2" t="n">
        <x:v>120</x:v>
      </x:c>
      <x:c r="S372" s="2" t="n">
        <x:v>0</x:v>
      </x:c>
      <x:c r="T372" s="2" t="n">
        <x:f>R372+S372+J372-I372</x:f>
        <x:v>108</x:v>
      </x:c>
      <x:c r="U372" s="2" t="n">
        <x:v>0</x:v>
      </x:c>
      <x:c r="V372" s="2" t="n">
        <x:v>3</x:v>
      </x:c>
      <x:c r="W372" s="2" t="n">
        <x:v>12</x:v>
      </x:c>
      <x:c r="X372" s="14" t="b">
        <x:v>0</x:v>
      </x:c>
      <x:c r="Y372" s="14" t="b">
        <x:v>0</x:v>
      </x:c>
      <x:c r="Z372" s="2" t="n">
        <x:f>ABS(T372-AA372)</x:f>
        <x:v>0</x:v>
      </x:c>
      <x:c r="AA372" s="2" t="n">
        <x:v>108</x:v>
      </x:c>
      <x:c r="AB372" s="2" t="n">
        <x:f>ABS(K372-W372)</x:f>
        <x:v>0</x:v>
      </x:c>
      <x:c r="AC372" s="2" t="n">
        <x:f>COUNTIF($A$2:$A$1921,A372)-1</x:f>
        <x:v>0</x:v>
      </x:c>
      <x:c r="AD372" s="2" t="n">
        <x:f>IF(AND(D372=D371,H372=H371,C372=C371+1),ABS(R372-T371),0)</x:f>
        <x:v>0</x:v>
      </x:c>
    </x:row>
    <x:row r="373" ht="23" customHeight="1">
      <x:c r="A373" s="2" t="str">
        <x:v>DEMO-105-2-12</x:v>
      </x:c>
      <x:c r="B373" s="15" t="d">
        <x:v>2026-07-20T00:00:00.000Z</x:v>
      </x:c>
      <x:c r="C373" s="2" t="n">
        <x:v>12</x:v>
      </x:c>
      <x:c r="D373" s="2" t="str">
        <x:v>DEMO-105</x:v>
      </x:c>
      <x:c r="E373" s="2" t="str">
        <x:v>Paper Trail Pad</x:v>
      </x:c>
      <x:c r="F373" s="2" t="str">
        <x:v>Stationery</x:v>
      </x:c>
      <x:c r="G373" s="2" t="str">
        <x:v>Stores</x:v>
      </x:c>
      <x:c r="H373" s="2" t="str">
        <x:v>Central Market</x:v>
      </x:c>
      <x:c r="I373" s="2" t="n">
        <x:v>10</x:v>
      </x:c>
      <x:c r="J373" s="2" t="n">
        <x:v>0</x:v>
      </x:c>
      <x:c r="K373" s="2" t="n">
        <x:f>I373-J373</x:f>
        <x:v>10</x:v>
      </x:c>
      <x:c r="L373" s="16" t="n">
        <x:v>20</x:v>
      </x:c>
      <x:c r="M373" s="16" t="n">
        <x:v>20</x:v>
      </x:c>
      <x:c r="N373" s="16" t="n">
        <x:v>9.2</x:v>
      </x:c>
      <x:c r="O373" s="16" t="n">
        <x:f>K373*M373</x:f>
        <x:v>200</x:v>
      </x:c>
      <x:c r="P373" s="16" t="n">
        <x:f>K373*N373</x:f>
        <x:v>92</x:v>
      </x:c>
      <x:c r="Q373" s="16" t="n">
        <x:f>O373-P373</x:f>
        <x:v>108</x:v>
      </x:c>
      <x:c r="R373" s="2" t="n">
        <x:v>108</x:v>
      </x:c>
      <x:c r="S373" s="2" t="n">
        <x:v>0</x:v>
      </x:c>
      <x:c r="T373" s="2" t="n">
        <x:f>R373+S373+J373-I373</x:f>
        <x:v>98</x:v>
      </x:c>
      <x:c r="U373" s="2" t="n">
        <x:v>0</x:v>
      </x:c>
      <x:c r="V373" s="2" t="n">
        <x:v>3</x:v>
      </x:c>
      <x:c r="W373" s="2" t="n">
        <x:v>12</x:v>
      </x:c>
      <x:c r="X373" s="14" t="b">
        <x:v>0</x:v>
      </x:c>
      <x:c r="Y373" s="14" t="b">
        <x:v>0</x:v>
      </x:c>
      <x:c r="Z373" s="2" t="n">
        <x:f>ABS(T373-AA373)</x:f>
        <x:v>0</x:v>
      </x:c>
      <x:c r="AA373" s="2" t="n">
        <x:v>98</x:v>
      </x:c>
      <x:c r="AB373" s="2" t="n">
        <x:f>ABS(K373-W373)</x:f>
        <x:v>2</x:v>
      </x:c>
      <x:c r="AC373" s="2" t="n">
        <x:f>COUNTIF($A$2:$A$1921,A373)-1</x:f>
        <x:v>0</x:v>
      </x:c>
      <x:c r="AD373" s="2" t="n">
        <x:f>IF(AND(D373=D372,H373=H372,C373=C372+1),ABS(R373-T372),0)</x:f>
        <x:v>0</x:v>
      </x:c>
    </x:row>
    <x:row r="374" ht="23" customHeight="1">
      <x:c r="A374" s="2" t="str">
        <x:v>DEMO-105-2-13</x:v>
      </x:c>
      <x:c r="B374" s="15" t="d">
        <x:v>2026-07-27T00:00:00.000Z</x:v>
      </x:c>
      <x:c r="C374" s="2" t="n">
        <x:v>13</x:v>
      </x:c>
      <x:c r="D374" s="2" t="str">
        <x:v>DEMO-105</x:v>
      </x:c>
      <x:c r="E374" s="2" t="str">
        <x:v>Paper Trail Pad</x:v>
      </x:c>
      <x:c r="F374" s="2" t="str">
        <x:v>Stationery</x:v>
      </x:c>
      <x:c r="G374" s="2" t="str">
        <x:v>Stores</x:v>
      </x:c>
      <x:c r="H374" s="2" t="str">
        <x:v>Central Market</x:v>
      </x:c>
      <x:c r="I374" s="2" t="n">
        <x:v>9</x:v>
      </x:c>
      <x:c r="J374" s="2" t="n">
        <x:v>0</x:v>
      </x:c>
      <x:c r="K374" s="2" t="n">
        <x:f>I374-J374</x:f>
        <x:v>9</x:v>
      </x:c>
      <x:c r="L374" s="16" t="n">
        <x:v>20</x:v>
      </x:c>
      <x:c r="M374" s="16" t="n">
        <x:v>20</x:v>
      </x:c>
      <x:c r="N374" s="16" t="n">
        <x:v>9.2</x:v>
      </x:c>
      <x:c r="O374" s="16" t="n">
        <x:f>K374*M374</x:f>
        <x:v>180</x:v>
      </x:c>
      <x:c r="P374" s="16" t="n">
        <x:f>K374*N374</x:f>
        <x:v>82.8</x:v>
      </x:c>
      <x:c r="Q374" s="16" t="n">
        <x:f>O374-P374</x:f>
        <x:v>97.2</x:v>
      </x:c>
      <x:c r="R374" s="2" t="n">
        <x:v>98</x:v>
      </x:c>
      <x:c r="S374" s="2" t="n">
        <x:v>46</x:v>
      </x:c>
      <x:c r="T374" s="2" t="n">
        <x:f>R374+S374+J374-I374</x:f>
        <x:v>135</x:v>
      </x:c>
      <x:c r="U374" s="2" t="n">
        <x:v>0</x:v>
      </x:c>
      <x:c r="V374" s="2" t="n">
        <x:v>3</x:v>
      </x:c>
      <x:c r="W374" s="2" t="n">
        <x:v>11</x:v>
      </x:c>
      <x:c r="X374" s="14" t="b">
        <x:v>0</x:v>
      </x:c>
      <x:c r="Y374" s="14" t="b">
        <x:v>0</x:v>
      </x:c>
      <x:c r="Z374" s="2" t="n">
        <x:f>ABS(T374-AA374)</x:f>
        <x:v>0</x:v>
      </x:c>
      <x:c r="AA374" s="2" t="n">
        <x:v>135</x:v>
      </x:c>
      <x:c r="AB374" s="2" t="n">
        <x:f>ABS(K374-W374)</x:f>
        <x:v>2</x:v>
      </x:c>
      <x:c r="AC374" s="2" t="n">
        <x:f>COUNTIF($A$2:$A$1921,A374)-1</x:f>
        <x:v>0</x:v>
      </x:c>
      <x:c r="AD374" s="2" t="n">
        <x:f>IF(AND(D374=D373,H374=H373,C374=C373+1),ABS(R374-T373),0)</x:f>
        <x:v>0</x:v>
      </x:c>
    </x:row>
    <x:row r="375" ht="23" customHeight="1">
      <x:c r="A375" s="2" t="str">
        <x:v>DEMO-105-2-14</x:v>
      </x:c>
      <x:c r="B375" s="15" t="d">
        <x:v>2026-08-03T00:00:00.000Z</x:v>
      </x:c>
      <x:c r="C375" s="2" t="n">
        <x:v>14</x:v>
      </x:c>
      <x:c r="D375" s="2" t="str">
        <x:v>DEMO-105</x:v>
      </x:c>
      <x:c r="E375" s="2" t="str">
        <x:v>Paper Trail Pad</x:v>
      </x:c>
      <x:c r="F375" s="2" t="str">
        <x:v>Stationery</x:v>
      </x:c>
      <x:c r="G375" s="2" t="str">
        <x:v>Stores</x:v>
      </x:c>
      <x:c r="H375" s="2" t="str">
        <x:v>Central Market</x:v>
      </x:c>
      <x:c r="I375" s="2" t="n">
        <x:v>12</x:v>
      </x:c>
      <x:c r="J375" s="2" t="n">
        <x:v>0</x:v>
      </x:c>
      <x:c r="K375" s="2" t="n">
        <x:f>I375-J375</x:f>
        <x:v>12</x:v>
      </x:c>
      <x:c r="L375" s="16" t="n">
        <x:v>20</x:v>
      </x:c>
      <x:c r="M375" s="16" t="n">
        <x:v>20</x:v>
      </x:c>
      <x:c r="N375" s="16" t="n">
        <x:v>9.2</x:v>
      </x:c>
      <x:c r="O375" s="16" t="n">
        <x:f>K375*M375</x:f>
        <x:v>240</x:v>
      </x:c>
      <x:c r="P375" s="16" t="n">
        <x:f>K375*N375</x:f>
        <x:v>110.39999999999999</x:v>
      </x:c>
      <x:c r="Q375" s="16" t="n">
        <x:f>O375-P375</x:f>
        <x:v>129.60000000000002</x:v>
      </x:c>
      <x:c r="R375" s="2" t="n">
        <x:v>135</x:v>
      </x:c>
      <x:c r="S375" s="2" t="n">
        <x:v>0</x:v>
      </x:c>
      <x:c r="T375" s="2" t="n">
        <x:f>R375+S375+J375-I375</x:f>
        <x:v>123</x:v>
      </x:c>
      <x:c r="U375" s="2" t="n">
        <x:v>0</x:v>
      </x:c>
      <x:c r="V375" s="2" t="n">
        <x:v>3</x:v>
      </x:c>
      <x:c r="W375" s="2" t="n">
        <x:v>11</x:v>
      </x:c>
      <x:c r="X375" s="14" t="b">
        <x:v>0</x:v>
      </x:c>
      <x:c r="Y375" s="14" t="b">
        <x:v>0</x:v>
      </x:c>
      <x:c r="Z375" s="2" t="n">
        <x:f>ABS(T375-AA375)</x:f>
        <x:v>0</x:v>
      </x:c>
      <x:c r="AA375" s="2" t="n">
        <x:v>123</x:v>
      </x:c>
      <x:c r="AB375" s="2" t="n">
        <x:f>ABS(K375-W375)</x:f>
        <x:v>1</x:v>
      </x:c>
      <x:c r="AC375" s="2" t="n">
        <x:f>COUNTIF($A$2:$A$1921,A375)-1</x:f>
        <x:v>0</x:v>
      </x:c>
      <x:c r="AD375" s="2" t="n">
        <x:f>IF(AND(D375=D374,H375=H374,C375=C374+1),ABS(R375-T374),0)</x:f>
        <x:v>0</x:v>
      </x:c>
    </x:row>
    <x:row r="376" ht="23" customHeight="1">
      <x:c r="A376" s="2" t="str">
        <x:v>DEMO-105-2-15</x:v>
      </x:c>
      <x:c r="B376" s="15" t="d">
        <x:v>2026-08-10T00:00:00.000Z</x:v>
      </x:c>
      <x:c r="C376" s="2" t="n">
        <x:v>15</x:v>
      </x:c>
      <x:c r="D376" s="2" t="str">
        <x:v>DEMO-105</x:v>
      </x:c>
      <x:c r="E376" s="2" t="str">
        <x:v>Paper Trail Pad</x:v>
      </x:c>
      <x:c r="F376" s="2" t="str">
        <x:v>Stationery</x:v>
      </x:c>
      <x:c r="G376" s="2" t="str">
        <x:v>Stores</x:v>
      </x:c>
      <x:c r="H376" s="2" t="str">
        <x:v>Central Market</x:v>
      </x:c>
      <x:c r="I376" s="2" t="n">
        <x:v>13</x:v>
      </x:c>
      <x:c r="J376" s="2" t="n">
        <x:v>0</x:v>
      </x:c>
      <x:c r="K376" s="2" t="n">
        <x:f>I376-J376</x:f>
        <x:v>13</x:v>
      </x:c>
      <x:c r="L376" s="16" t="n">
        <x:v>20</x:v>
      </x:c>
      <x:c r="M376" s="16" t="n">
        <x:v>20</x:v>
      </x:c>
      <x:c r="N376" s="16" t="n">
        <x:v>9.2</x:v>
      </x:c>
      <x:c r="O376" s="16" t="n">
        <x:f>K376*M376</x:f>
        <x:v>260</x:v>
      </x:c>
      <x:c r="P376" s="16" t="n">
        <x:f>K376*N376</x:f>
        <x:v>119.6</x:v>
      </x:c>
      <x:c r="Q376" s="16" t="n">
        <x:f>O376-P376</x:f>
        <x:v>140.4</x:v>
      </x:c>
      <x:c r="R376" s="2" t="n">
        <x:v>123</x:v>
      </x:c>
      <x:c r="S376" s="2" t="n">
        <x:v>0</x:v>
      </x:c>
      <x:c r="T376" s="2" t="n">
        <x:f>R376+S376+J376-I376</x:f>
        <x:v>110</x:v>
      </x:c>
      <x:c r="U376" s="2" t="n">
        <x:v>0</x:v>
      </x:c>
      <x:c r="V376" s="2" t="n">
        <x:v>3</x:v>
      </x:c>
      <x:c r="W376" s="2" t="n">
        <x:v>11</x:v>
      </x:c>
      <x:c r="X376" s="14" t="b">
        <x:v>0</x:v>
      </x:c>
      <x:c r="Y376" s="14" t="b">
        <x:v>0</x:v>
      </x:c>
      <x:c r="Z376" s="2" t="n">
        <x:f>ABS(T376-AA376)</x:f>
        <x:v>0</x:v>
      </x:c>
      <x:c r="AA376" s="2" t="n">
        <x:v>110</x:v>
      </x:c>
      <x:c r="AB376" s="2" t="n">
        <x:f>ABS(K376-W376)</x:f>
        <x:v>2</x:v>
      </x:c>
      <x:c r="AC376" s="2" t="n">
        <x:f>COUNTIF($A$2:$A$1921,A376)-1</x:f>
        <x:v>0</x:v>
      </x:c>
      <x:c r="AD376" s="2" t="n">
        <x:f>IF(AND(D376=D375,H376=H375,C376=C375+1),ABS(R376-T375),0)</x:f>
        <x:v>0</x:v>
      </x:c>
    </x:row>
    <x:row r="377" ht="23" customHeight="1">
      <x:c r="A377" s="2" t="str">
        <x:v>DEMO-105-2-16</x:v>
      </x:c>
      <x:c r="B377" s="15" t="d">
        <x:v>2026-08-17T00:00:00.000Z</x:v>
      </x:c>
      <x:c r="C377" s="2" t="n">
        <x:v>16</x:v>
      </x:c>
      <x:c r="D377" s="2" t="str">
        <x:v>DEMO-105</x:v>
      </x:c>
      <x:c r="E377" s="2" t="str">
        <x:v>Paper Trail Pad</x:v>
      </x:c>
      <x:c r="F377" s="2" t="str">
        <x:v>Stationery</x:v>
      </x:c>
      <x:c r="G377" s="2" t="str">
        <x:v>Stores</x:v>
      </x:c>
      <x:c r="H377" s="2" t="str">
        <x:v>Central Market</x:v>
      </x:c>
      <x:c r="I377" s="2" t="n">
        <x:v>12</x:v>
      </x:c>
      <x:c r="J377" s="2" t="n">
        <x:v>0</x:v>
      </x:c>
      <x:c r="K377" s="2" t="n">
        <x:f>I377-J377</x:f>
        <x:v>12</x:v>
      </x:c>
      <x:c r="L377" s="16" t="n">
        <x:v>20</x:v>
      </x:c>
      <x:c r="M377" s="16" t="n">
        <x:v>20</x:v>
      </x:c>
      <x:c r="N377" s="16" t="n">
        <x:v>9.2</x:v>
      </x:c>
      <x:c r="O377" s="16" t="n">
        <x:f>K377*M377</x:f>
        <x:v>240</x:v>
      </x:c>
      <x:c r="P377" s="16" t="n">
        <x:f>K377*N377</x:f>
        <x:v>110.39999999999999</x:v>
      </x:c>
      <x:c r="Q377" s="16" t="n">
        <x:f>O377-P377</x:f>
        <x:v>129.60000000000002</x:v>
      </x:c>
      <x:c r="R377" s="2" t="n">
        <x:v>110</x:v>
      </x:c>
      <x:c r="S377" s="2" t="n">
        <x:v>0</x:v>
      </x:c>
      <x:c r="T377" s="2" t="n">
        <x:f>R377+S377+J377-I377</x:f>
        <x:v>98</x:v>
      </x:c>
      <x:c r="U377" s="2" t="n">
        <x:v>0</x:v>
      </x:c>
      <x:c r="V377" s="2" t="n">
        <x:v>3</x:v>
      </x:c>
      <x:c r="W377" s="2" t="n">
        <x:v>11</x:v>
      </x:c>
      <x:c r="X377" s="14" t="b">
        <x:v>0</x:v>
      </x:c>
      <x:c r="Y377" s="14" t="b">
        <x:v>0</x:v>
      </x:c>
      <x:c r="Z377" s="2" t="n">
        <x:f>ABS(T377-AA377)</x:f>
        <x:v>0</x:v>
      </x:c>
      <x:c r="AA377" s="2" t="n">
        <x:v>98</x:v>
      </x:c>
      <x:c r="AB377" s="2" t="n">
        <x:f>ABS(K377-W377)</x:f>
        <x:v>1</x:v>
      </x:c>
      <x:c r="AC377" s="2" t="n">
        <x:f>COUNTIF($A$2:$A$1921,A377)-1</x:f>
        <x:v>0</x:v>
      </x:c>
      <x:c r="AD377" s="2" t="n">
        <x:f>IF(AND(D377=D376,H377=H376,C377=C376+1),ABS(R377-T376),0)</x:f>
        <x:v>0</x:v>
      </x:c>
    </x:row>
    <x:row r="378" ht="23" customHeight="1">
      <x:c r="A378" s="2" t="str">
        <x:v>DEMO-105-2-17</x:v>
      </x:c>
      <x:c r="B378" s="15" t="d">
        <x:v>2026-08-24T00:00:00.000Z</x:v>
      </x:c>
      <x:c r="C378" s="2" t="n">
        <x:v>17</x:v>
      </x:c>
      <x:c r="D378" s="2" t="str">
        <x:v>DEMO-105</x:v>
      </x:c>
      <x:c r="E378" s="2" t="str">
        <x:v>Paper Trail Pad</x:v>
      </x:c>
      <x:c r="F378" s="2" t="str">
        <x:v>Stationery</x:v>
      </x:c>
      <x:c r="G378" s="2" t="str">
        <x:v>Stores</x:v>
      </x:c>
      <x:c r="H378" s="2" t="str">
        <x:v>Central Market</x:v>
      </x:c>
      <x:c r="I378" s="2" t="n">
        <x:v>11</x:v>
      </x:c>
      <x:c r="J378" s="2" t="n">
        <x:v>0</x:v>
      </x:c>
      <x:c r="K378" s="2" t="n">
        <x:f>I378-J378</x:f>
        <x:v>11</x:v>
      </x:c>
      <x:c r="L378" s="16" t="n">
        <x:v>20</x:v>
      </x:c>
      <x:c r="M378" s="16" t="n">
        <x:v>20</x:v>
      </x:c>
      <x:c r="N378" s="16" t="n">
        <x:v>9.2</x:v>
      </x:c>
      <x:c r="O378" s="16" t="n">
        <x:f>K378*M378</x:f>
        <x:v>220</x:v>
      </x:c>
      <x:c r="P378" s="16" t="n">
        <x:f>K378*N378</x:f>
        <x:v>101.19999999999999</x:v>
      </x:c>
      <x:c r="Q378" s="16" t="n">
        <x:f>O378-P378</x:f>
        <x:v>118.80000000000001</x:v>
      </x:c>
      <x:c r="R378" s="2" t="n">
        <x:v>98</x:v>
      </x:c>
      <x:c r="S378" s="2" t="n">
        <x:v>46</x:v>
      </x:c>
      <x:c r="T378" s="2" t="n">
        <x:f>R378+S378+J378-I378</x:f>
        <x:v>133</x:v>
      </x:c>
      <x:c r="U378" s="2" t="n">
        <x:v>0</x:v>
      </x:c>
      <x:c r="V378" s="2" t="n">
        <x:v>3</x:v>
      </x:c>
      <x:c r="W378" s="2" t="n">
        <x:v>12</x:v>
      </x:c>
      <x:c r="X378" s="14" t="b">
        <x:v>0</x:v>
      </x:c>
      <x:c r="Y378" s="14" t="b">
        <x:v>0</x:v>
      </x:c>
      <x:c r="Z378" s="2" t="n">
        <x:f>ABS(T378-AA378)</x:f>
        <x:v>0</x:v>
      </x:c>
      <x:c r="AA378" s="2" t="n">
        <x:v>133</x:v>
      </x:c>
      <x:c r="AB378" s="2" t="n">
        <x:f>ABS(K378-W378)</x:f>
        <x:v>1</x:v>
      </x:c>
      <x:c r="AC378" s="2" t="n">
        <x:f>COUNTIF($A$2:$A$1921,A378)-1</x:f>
        <x:v>0</x:v>
      </x:c>
      <x:c r="AD378" s="2" t="n">
        <x:f>IF(AND(D378=D377,H378=H377,C378=C377+1),ABS(R378-T377),0)</x:f>
        <x:v>0</x:v>
      </x:c>
    </x:row>
    <x:row r="379" ht="23" customHeight="1">
      <x:c r="A379" s="2" t="str">
        <x:v>DEMO-105-2-18</x:v>
      </x:c>
      <x:c r="B379" s="15" t="d">
        <x:v>2026-08-31T00:00:00.000Z</x:v>
      </x:c>
      <x:c r="C379" s="2" t="n">
        <x:v>18</x:v>
      </x:c>
      <x:c r="D379" s="2" t="str">
        <x:v>DEMO-105</x:v>
      </x:c>
      <x:c r="E379" s="2" t="str">
        <x:v>Paper Trail Pad</x:v>
      </x:c>
      <x:c r="F379" s="2" t="str">
        <x:v>Stationery</x:v>
      </x:c>
      <x:c r="G379" s="2" t="str">
        <x:v>Stores</x:v>
      </x:c>
      <x:c r="H379" s="2" t="str">
        <x:v>Central Market</x:v>
      </x:c>
      <x:c r="I379" s="2" t="n">
        <x:v>13</x:v>
      </x:c>
      <x:c r="J379" s="2" t="n">
        <x:v>1</x:v>
      </x:c>
      <x:c r="K379" s="2" t="n">
        <x:f>I379-J379</x:f>
        <x:v>12</x:v>
      </x:c>
      <x:c r="L379" s="16" t="n">
        <x:v>20</x:v>
      </x:c>
      <x:c r="M379" s="16" t="n">
        <x:v>20</x:v>
      </x:c>
      <x:c r="N379" s="16" t="n">
        <x:v>9.2</x:v>
      </x:c>
      <x:c r="O379" s="16" t="n">
        <x:f>K379*M379</x:f>
        <x:v>240</x:v>
      </x:c>
      <x:c r="P379" s="16" t="n">
        <x:f>K379*N379</x:f>
        <x:v>110.39999999999999</x:v>
      </x:c>
      <x:c r="Q379" s="16" t="n">
        <x:f>O379-P379</x:f>
        <x:v>129.60000000000002</x:v>
      </x:c>
      <x:c r="R379" s="2" t="n">
        <x:v>133</x:v>
      </x:c>
      <x:c r="S379" s="2" t="n">
        <x:v>0</x:v>
      </x:c>
      <x:c r="T379" s="2" t="n">
        <x:f>R379+S379+J379-I379</x:f>
        <x:v>121</x:v>
      </x:c>
      <x:c r="U379" s="2" t="n">
        <x:v>0</x:v>
      </x:c>
      <x:c r="V379" s="2" t="n">
        <x:v>3</x:v>
      </x:c>
      <x:c r="W379" s="2" t="n">
        <x:v>12</x:v>
      </x:c>
      <x:c r="X379" s="14" t="b">
        <x:v>0</x:v>
      </x:c>
      <x:c r="Y379" s="14" t="b">
        <x:v>0</x:v>
      </x:c>
      <x:c r="Z379" s="2" t="n">
        <x:f>ABS(T379-AA379)</x:f>
        <x:v>0</x:v>
      </x:c>
      <x:c r="AA379" s="2" t="n">
        <x:v>121</x:v>
      </x:c>
      <x:c r="AB379" s="2" t="n">
        <x:f>ABS(K379-W379)</x:f>
        <x:v>0</x:v>
      </x:c>
      <x:c r="AC379" s="2" t="n">
        <x:f>COUNTIF($A$2:$A$1921,A379)-1</x:f>
        <x:v>0</x:v>
      </x:c>
      <x:c r="AD379" s="2" t="n">
        <x:f>IF(AND(D379=D378,H379=H378,C379=C378+1),ABS(R379-T378),0)</x:f>
        <x:v>0</x:v>
      </x:c>
    </x:row>
    <x:row r="380" ht="23" customHeight="1">
      <x:c r="A380" s="2" t="str">
        <x:v>DEMO-105-2-19</x:v>
      </x:c>
      <x:c r="B380" s="15" t="d">
        <x:v>2026-09-07T00:00:00.000Z</x:v>
      </x:c>
      <x:c r="C380" s="2" t="n">
        <x:v>19</x:v>
      </x:c>
      <x:c r="D380" s="2" t="str">
        <x:v>DEMO-105</x:v>
      </x:c>
      <x:c r="E380" s="2" t="str">
        <x:v>Paper Trail Pad</x:v>
      </x:c>
      <x:c r="F380" s="2" t="str">
        <x:v>Stationery</x:v>
      </x:c>
      <x:c r="G380" s="2" t="str">
        <x:v>Stores</x:v>
      </x:c>
      <x:c r="H380" s="2" t="str">
        <x:v>Central Market</x:v>
      </x:c>
      <x:c r="I380" s="2" t="n">
        <x:v>12</x:v>
      </x:c>
      <x:c r="J380" s="2" t="n">
        <x:v>1</x:v>
      </x:c>
      <x:c r="K380" s="2" t="n">
        <x:f>I380-J380</x:f>
        <x:v>11</x:v>
      </x:c>
      <x:c r="L380" s="16" t="n">
        <x:v>20</x:v>
      </x:c>
      <x:c r="M380" s="16" t="n">
        <x:v>20</x:v>
      </x:c>
      <x:c r="N380" s="16" t="n">
        <x:v>9.2</x:v>
      </x:c>
      <x:c r="O380" s="16" t="n">
        <x:f>K380*M380</x:f>
        <x:v>220</x:v>
      </x:c>
      <x:c r="P380" s="16" t="n">
        <x:f>K380*N380</x:f>
        <x:v>101.19999999999999</x:v>
      </x:c>
      <x:c r="Q380" s="16" t="n">
        <x:f>O380-P380</x:f>
        <x:v>118.80000000000001</x:v>
      </x:c>
      <x:c r="R380" s="2" t="n">
        <x:v>121</x:v>
      </x:c>
      <x:c r="S380" s="2" t="n">
        <x:v>0</x:v>
      </x:c>
      <x:c r="T380" s="2" t="n">
        <x:f>R380+S380+J380-I380</x:f>
        <x:v>110</x:v>
      </x:c>
      <x:c r="U380" s="2" t="n">
        <x:v>0</x:v>
      </x:c>
      <x:c r="V380" s="2" t="n">
        <x:v>3</x:v>
      </x:c>
      <x:c r="W380" s="2" t="n">
        <x:v>12</x:v>
      </x:c>
      <x:c r="X380" s="14" t="b">
        <x:v>0</x:v>
      </x:c>
      <x:c r="Y380" s="14" t="b">
        <x:v>0</x:v>
      </x:c>
      <x:c r="Z380" s="2" t="n">
        <x:f>ABS(T380-AA380)</x:f>
        <x:v>0</x:v>
      </x:c>
      <x:c r="AA380" s="2" t="n">
        <x:v>110</x:v>
      </x:c>
      <x:c r="AB380" s="2" t="n">
        <x:f>ABS(K380-W380)</x:f>
        <x:v>1</x:v>
      </x:c>
      <x:c r="AC380" s="2" t="n">
        <x:f>COUNTIF($A$2:$A$1921,A380)-1</x:f>
        <x:v>0</x:v>
      </x:c>
      <x:c r="AD380" s="2" t="n">
        <x:f>IF(AND(D380=D379,H380=H379,C380=C379+1),ABS(R380-T379),0)</x:f>
        <x:v>0</x:v>
      </x:c>
    </x:row>
    <x:row r="381" ht="23" customHeight="1">
      <x:c r="A381" s="2" t="str">
        <x:v>DEMO-105-2-20</x:v>
      </x:c>
      <x:c r="B381" s="15" t="d">
        <x:v>2026-09-14T00:00:00.000Z</x:v>
      </x:c>
      <x:c r="C381" s="2" t="n">
        <x:v>20</x:v>
      </x:c>
      <x:c r="D381" s="2" t="str">
        <x:v>DEMO-105</x:v>
      </x:c>
      <x:c r="E381" s="2" t="str">
        <x:v>Paper Trail Pad</x:v>
      </x:c>
      <x:c r="F381" s="2" t="str">
        <x:v>Stationery</x:v>
      </x:c>
      <x:c r="G381" s="2" t="str">
        <x:v>Stores</x:v>
      </x:c>
      <x:c r="H381" s="2" t="str">
        <x:v>Central Market</x:v>
      </x:c>
      <x:c r="I381" s="2" t="n">
        <x:v>13</x:v>
      </x:c>
      <x:c r="J381" s="2" t="n">
        <x:v>0</x:v>
      </x:c>
      <x:c r="K381" s="2" t="n">
        <x:f>I381-J381</x:f>
        <x:v>13</x:v>
      </x:c>
      <x:c r="L381" s="16" t="n">
        <x:v>20</x:v>
      </x:c>
      <x:c r="M381" s="16" t="n">
        <x:v>20</x:v>
      </x:c>
      <x:c r="N381" s="16" t="n">
        <x:v>9.2</x:v>
      </x:c>
      <x:c r="O381" s="16" t="n">
        <x:f>K381*M381</x:f>
        <x:v>260</x:v>
      </x:c>
      <x:c r="P381" s="16" t="n">
        <x:f>K381*N381</x:f>
        <x:v>119.6</x:v>
      </x:c>
      <x:c r="Q381" s="16" t="n">
        <x:f>O381-P381</x:f>
        <x:v>140.4</x:v>
      </x:c>
      <x:c r="R381" s="2" t="n">
        <x:v>110</x:v>
      </x:c>
      <x:c r="S381" s="2" t="n">
        <x:v>0</x:v>
      </x:c>
      <x:c r="T381" s="2" t="n">
        <x:f>R381+S381+J381-I381</x:f>
        <x:v>97</x:v>
      </x:c>
      <x:c r="U381" s="2" t="n">
        <x:v>18</x:v>
      </x:c>
      <x:c r="V381" s="2" t="n">
        <x:v>3</x:v>
      </x:c>
      <x:c r="W381" s="2" t="n">
        <x:v>12</x:v>
      </x:c>
      <x:c r="X381" s="14" t="b">
        <x:v>0</x:v>
      </x:c>
      <x:c r="Y381" s="14" t="b">
        <x:v>0</x:v>
      </x:c>
      <x:c r="Z381" s="2" t="n">
        <x:f>ABS(T381-AA381)</x:f>
        <x:v>0</x:v>
      </x:c>
      <x:c r="AA381" s="2" t="n">
        <x:v>97</x:v>
      </x:c>
      <x:c r="AB381" s="2" t="n">
        <x:f>ABS(K381-W381)</x:f>
        <x:v>1</x:v>
      </x:c>
      <x:c r="AC381" s="2" t="n">
        <x:f>COUNTIF($A$2:$A$1921,A381)-1</x:f>
        <x:v>0</x:v>
      </x:c>
      <x:c r="AD381" s="2" t="n">
        <x:f>IF(AND(D381=D380,H381=H380,C381=C380+1),ABS(R381-T380),0)</x:f>
        <x:v>0</x:v>
      </x:c>
    </x:row>
    <x:row r="382" ht="23" customHeight="1">
      <x:c r="A382" s="2" t="str">
        <x:v>DEMO-105-3-1</x:v>
      </x:c>
      <x:c r="B382" s="15" t="d">
        <x:v>2026-05-04T00:00:00.000Z</x:v>
      </x:c>
      <x:c r="C382" s="2" t="n">
        <x:v>1</x:v>
      </x:c>
      <x:c r="D382" s="2" t="str">
        <x:v>DEMO-105</x:v>
      </x:c>
      <x:c r="E382" s="2" t="str">
        <x:v>Paper Trail Pad</x:v>
      </x:c>
      <x:c r="F382" s="2" t="str">
        <x:v>Stationery</x:v>
      </x:c>
      <x:c r="G382" s="2" t="str">
        <x:v>Online</x:v>
      </x:c>
      <x:c r="H382" s="2" t="str">
        <x:v>Online</x:v>
      </x:c>
      <x:c r="I382" s="2" t="n">
        <x:v>21</x:v>
      </x:c>
      <x:c r="J382" s="2" t="n">
        <x:v>1</x:v>
      </x:c>
      <x:c r="K382" s="2" t="n">
        <x:f>I382-J382</x:f>
        <x:v>20</x:v>
      </x:c>
      <x:c r="L382" s="16" t="n">
        <x:v>20</x:v>
      </x:c>
      <x:c r="M382" s="16" t="n">
        <x:v>20</x:v>
      </x:c>
      <x:c r="N382" s="16" t="n">
        <x:v>9.2</x:v>
      </x:c>
      <x:c r="O382" s="16" t="n">
        <x:f>K382*M382</x:f>
        <x:v>400</x:v>
      </x:c>
      <x:c r="P382" s="16" t="n">
        <x:f>K382*N382</x:f>
        <x:v>184</x:v>
      </x:c>
      <x:c r="Q382" s="16" t="n">
        <x:f>O382-P382</x:f>
        <x:v>216</x:v>
      </x:c>
      <x:c r="R382" s="2" t="n">
        <x:v>90</x:v>
      </x:c>
      <x:c r="S382" s="2" t="n">
        <x:v>79</x:v>
      </x:c>
      <x:c r="T382" s="2" t="n">
        <x:f>R382+S382+J382-I382</x:f>
        <x:v>149</x:v>
      </x:c>
      <x:c r="U382" s="2" t="n">
        <x:v>0</x:v>
      </x:c>
      <x:c r="V382" s="2" t="n">
        <x:v>3</x:v>
      </x:c>
      <x:c r="W382" s="2" t="n">
        <x:v>19</x:v>
      </x:c>
      <x:c r="X382" s="14" t="b">
        <x:v>0</x:v>
      </x:c>
      <x:c r="Y382" s="14" t="b">
        <x:v>0</x:v>
      </x:c>
      <x:c r="Z382" s="2" t="n">
        <x:f>ABS(T382-AA382)</x:f>
        <x:v>0</x:v>
      </x:c>
      <x:c r="AA382" s="2" t="n">
        <x:v>149</x:v>
      </x:c>
      <x:c r="AB382" s="2" t="n">
        <x:f>ABS(K382-W382)</x:f>
        <x:v>1</x:v>
      </x:c>
      <x:c r="AC382" s="2" t="n">
        <x:f>COUNTIF($A$2:$A$1921,A382)-1</x:f>
        <x:v>0</x:v>
      </x:c>
      <x:c r="AD382" s="2" t="n">
        <x:f>IF(AND(D382=D381,H382=H381,C382=C381+1),ABS(R382-T381),0)</x:f>
        <x:v>0</x:v>
      </x:c>
    </x:row>
    <x:row r="383" ht="23" customHeight="1">
      <x:c r="A383" s="2" t="str">
        <x:v>DEMO-105-3-2</x:v>
      </x:c>
      <x:c r="B383" s="15" t="d">
        <x:v>2026-05-11T00:00:00.000Z</x:v>
      </x:c>
      <x:c r="C383" s="2" t="n">
        <x:v>2</x:v>
      </x:c>
      <x:c r="D383" s="2" t="str">
        <x:v>DEMO-105</x:v>
      </x:c>
      <x:c r="E383" s="2" t="str">
        <x:v>Paper Trail Pad</x:v>
      </x:c>
      <x:c r="F383" s="2" t="str">
        <x:v>Stationery</x:v>
      </x:c>
      <x:c r="G383" s="2" t="str">
        <x:v>Online</x:v>
      </x:c>
      <x:c r="H383" s="2" t="str">
        <x:v>Online</x:v>
      </x:c>
      <x:c r="I383" s="2" t="n">
        <x:v>16</x:v>
      </x:c>
      <x:c r="J383" s="2" t="n">
        <x:v>0</x:v>
      </x:c>
      <x:c r="K383" s="2" t="n">
        <x:f>I383-J383</x:f>
        <x:v>16</x:v>
      </x:c>
      <x:c r="L383" s="16" t="n">
        <x:v>20</x:v>
      </x:c>
      <x:c r="M383" s="16" t="n">
        <x:v>20</x:v>
      </x:c>
      <x:c r="N383" s="16" t="n">
        <x:v>9.2</x:v>
      </x:c>
      <x:c r="O383" s="16" t="n">
        <x:f>K383*M383</x:f>
        <x:v>320</x:v>
      </x:c>
      <x:c r="P383" s="16" t="n">
        <x:f>K383*N383</x:f>
        <x:v>147.2</x:v>
      </x:c>
      <x:c r="Q383" s="16" t="n">
        <x:f>O383-P383</x:f>
        <x:v>172.8</x:v>
      </x:c>
      <x:c r="R383" s="2" t="n">
        <x:v>149</x:v>
      </x:c>
      <x:c r="S383" s="2" t="n">
        <x:v>0</x:v>
      </x:c>
      <x:c r="T383" s="2" t="n">
        <x:f>R383+S383+J383-I383</x:f>
        <x:v>133</x:v>
      </x:c>
      <x:c r="U383" s="2" t="n">
        <x:v>0</x:v>
      </x:c>
      <x:c r="V383" s="2" t="n">
        <x:v>3</x:v>
      </x:c>
      <x:c r="W383" s="2" t="n">
        <x:v>20</x:v>
      </x:c>
      <x:c r="X383" s="14" t="b">
        <x:v>0</x:v>
      </x:c>
      <x:c r="Y383" s="14" t="b">
        <x:v>0</x:v>
      </x:c>
      <x:c r="Z383" s="2" t="n">
        <x:f>ABS(T383-AA383)</x:f>
        <x:v>0</x:v>
      </x:c>
      <x:c r="AA383" s="2" t="n">
        <x:v>133</x:v>
      </x:c>
      <x:c r="AB383" s="2" t="n">
        <x:f>ABS(K383-W383)</x:f>
        <x:v>4</x:v>
      </x:c>
      <x:c r="AC383" s="2" t="n">
        <x:f>COUNTIF($A$2:$A$1921,A383)-1</x:f>
        <x:v>0</x:v>
      </x:c>
      <x:c r="AD383" s="2" t="n">
        <x:f>IF(AND(D383=D382,H383=H382,C383=C382+1),ABS(R383-T382),0)</x:f>
        <x:v>0</x:v>
      </x:c>
    </x:row>
    <x:row r="384" ht="23" customHeight="1">
      <x:c r="A384" s="2" t="str">
        <x:v>DEMO-105-3-3</x:v>
      </x:c>
      <x:c r="B384" s="15" t="d">
        <x:v>2026-05-18T00:00:00.000Z</x:v>
      </x:c>
      <x:c r="C384" s="2" t="n">
        <x:v>3</x:v>
      </x:c>
      <x:c r="D384" s="2" t="str">
        <x:v>DEMO-105</x:v>
      </x:c>
      <x:c r="E384" s="2" t="str">
        <x:v>Paper Trail Pad</x:v>
      </x:c>
      <x:c r="F384" s="2" t="str">
        <x:v>Stationery</x:v>
      </x:c>
      <x:c r="G384" s="2" t="str">
        <x:v>Online</x:v>
      </x:c>
      <x:c r="H384" s="2" t="str">
        <x:v>Online</x:v>
      </x:c>
      <x:c r="I384" s="2" t="n">
        <x:v>18</x:v>
      </x:c>
      <x:c r="J384" s="2" t="n">
        <x:v>1</x:v>
      </x:c>
      <x:c r="K384" s="2" t="n">
        <x:f>I384-J384</x:f>
        <x:v>17</x:v>
      </x:c>
      <x:c r="L384" s="16" t="n">
        <x:v>20</x:v>
      </x:c>
      <x:c r="M384" s="16" t="n">
        <x:v>20</x:v>
      </x:c>
      <x:c r="N384" s="16" t="n">
        <x:v>9.2</x:v>
      </x:c>
      <x:c r="O384" s="16" t="n">
        <x:f>K384*M384</x:f>
        <x:v>340</x:v>
      </x:c>
      <x:c r="P384" s="16" t="n">
        <x:f>K384*N384</x:f>
        <x:v>156.39999999999998</x:v>
      </x:c>
      <x:c r="Q384" s="16" t="n">
        <x:f>O384-P384</x:f>
        <x:v>183.60000000000002</x:v>
      </x:c>
      <x:c r="R384" s="2" t="n">
        <x:v>133</x:v>
      </x:c>
      <x:c r="S384" s="2" t="n">
        <x:v>0</x:v>
      </x:c>
      <x:c r="T384" s="2" t="n">
        <x:f>R384+S384+J384-I384</x:f>
        <x:v>116</x:v>
      </x:c>
      <x:c r="U384" s="2" t="n">
        <x:v>0</x:v>
      </x:c>
      <x:c r="V384" s="2" t="n">
        <x:v>3</x:v>
      </x:c>
      <x:c r="W384" s="2" t="n">
        <x:v>18</x:v>
      </x:c>
      <x:c r="X384" s="14" t="b">
        <x:v>0</x:v>
      </x:c>
      <x:c r="Y384" s="14" t="b">
        <x:v>0</x:v>
      </x:c>
      <x:c r="Z384" s="2" t="n">
        <x:f>ABS(T384-AA384)</x:f>
        <x:v>0</x:v>
      </x:c>
      <x:c r="AA384" s="2" t="n">
        <x:v>116</x:v>
      </x:c>
      <x:c r="AB384" s="2" t="n">
        <x:f>ABS(K384-W384)</x:f>
        <x:v>1</x:v>
      </x:c>
      <x:c r="AC384" s="2" t="n">
        <x:f>COUNTIF($A$2:$A$1921,A384)-1</x:f>
        <x:v>0</x:v>
      </x:c>
      <x:c r="AD384" s="2" t="n">
        <x:f>IF(AND(D384=D383,H384=H383,C384=C383+1),ABS(R384-T383),0)</x:f>
        <x:v>0</x:v>
      </x:c>
    </x:row>
    <x:row r="385" ht="23" customHeight="1">
      <x:c r="A385" s="2" t="str">
        <x:v>DEMO-105-3-4</x:v>
      </x:c>
      <x:c r="B385" s="15" t="d">
        <x:v>2026-05-25T00:00:00.000Z</x:v>
      </x:c>
      <x:c r="C385" s="2" t="n">
        <x:v>4</x:v>
      </x:c>
      <x:c r="D385" s="2" t="str">
        <x:v>DEMO-105</x:v>
      </x:c>
      <x:c r="E385" s="2" t="str">
        <x:v>Paper Trail Pad</x:v>
      </x:c>
      <x:c r="F385" s="2" t="str">
        <x:v>Stationery</x:v>
      </x:c>
      <x:c r="G385" s="2" t="str">
        <x:v>Online</x:v>
      </x:c>
      <x:c r="H385" s="2" t="str">
        <x:v>Online</x:v>
      </x:c>
      <x:c r="I385" s="2" t="n">
        <x:v>20</x:v>
      </x:c>
      <x:c r="J385" s="2" t="n">
        <x:v>0</x:v>
      </x:c>
      <x:c r="K385" s="2" t="n">
        <x:f>I385-J385</x:f>
        <x:v>20</x:v>
      </x:c>
      <x:c r="L385" s="16" t="n">
        <x:v>20</x:v>
      </x:c>
      <x:c r="M385" s="16" t="n">
        <x:v>20</x:v>
      </x:c>
      <x:c r="N385" s="16" t="n">
        <x:v>9.2</x:v>
      </x:c>
      <x:c r="O385" s="16" t="n">
        <x:f>K385*M385</x:f>
        <x:v>400</x:v>
      </x:c>
      <x:c r="P385" s="16" t="n">
        <x:f>K385*N385</x:f>
        <x:v>184</x:v>
      </x:c>
      <x:c r="Q385" s="16" t="n">
        <x:f>O385-P385</x:f>
        <x:v>216</x:v>
      </x:c>
      <x:c r="R385" s="2" t="n">
        <x:v>116</x:v>
      </x:c>
      <x:c r="S385" s="2" t="n">
        <x:v>0</x:v>
      </x:c>
      <x:c r="T385" s="2" t="n">
        <x:f>R385+S385+J385-I385</x:f>
        <x:v>96</x:v>
      </x:c>
      <x:c r="U385" s="2" t="n">
        <x:v>0</x:v>
      </x:c>
      <x:c r="V385" s="2" t="n">
        <x:v>3</x:v>
      </x:c>
      <x:c r="W385" s="2" t="n">
        <x:v>18</x:v>
      </x:c>
      <x:c r="X385" s="14" t="b">
        <x:v>0</x:v>
      </x:c>
      <x:c r="Y385" s="14" t="b">
        <x:v>0</x:v>
      </x:c>
      <x:c r="Z385" s="2" t="n">
        <x:f>ABS(T385-AA385)</x:f>
        <x:v>0</x:v>
      </x:c>
      <x:c r="AA385" s="2" t="n">
        <x:v>96</x:v>
      </x:c>
      <x:c r="AB385" s="2" t="n">
        <x:f>ABS(K385-W385)</x:f>
        <x:v>2</x:v>
      </x:c>
      <x:c r="AC385" s="2" t="n">
        <x:f>COUNTIF($A$2:$A$1921,A385)-1</x:f>
        <x:v>0</x:v>
      </x:c>
      <x:c r="AD385" s="2" t="n">
        <x:f>IF(AND(D385=D384,H385=H384,C385=C384+1),ABS(R385-T384),0)</x:f>
        <x:v>0</x:v>
      </x:c>
    </x:row>
    <x:row r="386" ht="23" customHeight="1">
      <x:c r="A386" s="2" t="str">
        <x:v>DEMO-105-3-5</x:v>
      </x:c>
      <x:c r="B386" s="15" t="d">
        <x:v>2026-06-01T00:00:00.000Z</x:v>
      </x:c>
      <x:c r="C386" s="2" t="n">
        <x:v>5</x:v>
      </x:c>
      <x:c r="D386" s="2" t="str">
        <x:v>DEMO-105</x:v>
      </x:c>
      <x:c r="E386" s="2" t="str">
        <x:v>Paper Trail Pad</x:v>
      </x:c>
      <x:c r="F386" s="2" t="str">
        <x:v>Stationery</x:v>
      </x:c>
      <x:c r="G386" s="2" t="str">
        <x:v>Online</x:v>
      </x:c>
      <x:c r="H386" s="2" t="str">
        <x:v>Online</x:v>
      </x:c>
      <x:c r="I386" s="2" t="n">
        <x:v>15</x:v>
      </x:c>
      <x:c r="J386" s="2" t="n">
        <x:v>0</x:v>
      </x:c>
      <x:c r="K386" s="2" t="n">
        <x:f>I386-J386</x:f>
        <x:v>15</x:v>
      </x:c>
      <x:c r="L386" s="16" t="n">
        <x:v>20</x:v>
      </x:c>
      <x:c r="M386" s="16" t="n">
        <x:v>20</x:v>
      </x:c>
      <x:c r="N386" s="16" t="n">
        <x:v>9.2</x:v>
      </x:c>
      <x:c r="O386" s="16" t="n">
        <x:f>K386*M386</x:f>
        <x:v>300</x:v>
      </x:c>
      <x:c r="P386" s="16" t="n">
        <x:f>K386*N386</x:f>
        <x:v>138</x:v>
      </x:c>
      <x:c r="Q386" s="16" t="n">
        <x:f>O386-P386</x:f>
        <x:v>162</x:v>
      </x:c>
      <x:c r="R386" s="2" t="n">
        <x:v>96</x:v>
      </x:c>
      <x:c r="S386" s="2" t="n">
        <x:v>79</x:v>
      </x:c>
      <x:c r="T386" s="2" t="n">
        <x:f>R386+S386+J386-I386</x:f>
        <x:v>160</x:v>
      </x:c>
      <x:c r="U386" s="2" t="n">
        <x:v>0</x:v>
      </x:c>
      <x:c r="V386" s="2" t="n">
        <x:v>3</x:v>
      </x:c>
      <x:c r="W386" s="2" t="n">
        <x:v>18</x:v>
      </x:c>
      <x:c r="X386" s="14" t="b">
        <x:v>0</x:v>
      </x:c>
      <x:c r="Y386" s="14" t="b">
        <x:v>0</x:v>
      </x:c>
      <x:c r="Z386" s="2" t="n">
        <x:f>ABS(T386-AA386)</x:f>
        <x:v>0</x:v>
      </x:c>
      <x:c r="AA386" s="2" t="n">
        <x:v>160</x:v>
      </x:c>
      <x:c r="AB386" s="2" t="n">
        <x:f>ABS(K386-W386)</x:f>
        <x:v>3</x:v>
      </x:c>
      <x:c r="AC386" s="2" t="n">
        <x:f>COUNTIF($A$2:$A$1921,A386)-1</x:f>
        <x:v>0</x:v>
      </x:c>
      <x:c r="AD386" s="2" t="n">
        <x:f>IF(AND(D386=D385,H386=H385,C386=C385+1),ABS(R386-T385),0)</x:f>
        <x:v>0</x:v>
      </x:c>
    </x:row>
    <x:row r="387" ht="23" customHeight="1">
      <x:c r="A387" s="2" t="str">
        <x:v>DEMO-105-3-6</x:v>
      </x:c>
      <x:c r="B387" s="15" t="d">
        <x:v>2026-06-08T00:00:00.000Z</x:v>
      </x:c>
      <x:c r="C387" s="2" t="n">
        <x:v>6</x:v>
      </x:c>
      <x:c r="D387" s="2" t="str">
        <x:v>DEMO-105</x:v>
      </x:c>
      <x:c r="E387" s="2" t="str">
        <x:v>Paper Trail Pad</x:v>
      </x:c>
      <x:c r="F387" s="2" t="str">
        <x:v>Stationery</x:v>
      </x:c>
      <x:c r="G387" s="2" t="str">
        <x:v>Online</x:v>
      </x:c>
      <x:c r="H387" s="2" t="str">
        <x:v>Online</x:v>
      </x:c>
      <x:c r="I387" s="2" t="n">
        <x:v>16</x:v>
      </x:c>
      <x:c r="J387" s="2" t="n">
        <x:v>0</x:v>
      </x:c>
      <x:c r="K387" s="2" t="n">
        <x:f>I387-J387</x:f>
        <x:v>16</x:v>
      </x:c>
      <x:c r="L387" s="16" t="n">
        <x:v>20</x:v>
      </x:c>
      <x:c r="M387" s="16" t="n">
        <x:v>20</x:v>
      </x:c>
      <x:c r="N387" s="16" t="n">
        <x:v>9.2</x:v>
      </x:c>
      <x:c r="O387" s="16" t="n">
        <x:f>K387*M387</x:f>
        <x:v>320</x:v>
      </x:c>
      <x:c r="P387" s="16" t="n">
        <x:f>K387*N387</x:f>
        <x:v>147.2</x:v>
      </x:c>
      <x:c r="Q387" s="16" t="n">
        <x:f>O387-P387</x:f>
        <x:v>172.8</x:v>
      </x:c>
      <x:c r="R387" s="2" t="n">
        <x:v>160</x:v>
      </x:c>
      <x:c r="S387" s="2" t="n">
        <x:v>0</x:v>
      </x:c>
      <x:c r="T387" s="2" t="n">
        <x:f>R387+S387+J387-I387</x:f>
        <x:v>144</x:v>
      </x:c>
      <x:c r="U387" s="2" t="n">
        <x:v>0</x:v>
      </x:c>
      <x:c r="V387" s="2" t="n">
        <x:v>3</x:v>
      </x:c>
      <x:c r="W387" s="2" t="n">
        <x:v>17</x:v>
      </x:c>
      <x:c r="X387" s="14" t="b">
        <x:v>0</x:v>
      </x:c>
      <x:c r="Y387" s="14" t="b">
        <x:v>0</x:v>
      </x:c>
      <x:c r="Z387" s="2" t="n">
        <x:f>ABS(T387-AA387)</x:f>
        <x:v>0</x:v>
      </x:c>
      <x:c r="AA387" s="2" t="n">
        <x:v>144</x:v>
      </x:c>
      <x:c r="AB387" s="2" t="n">
        <x:f>ABS(K387-W387)</x:f>
        <x:v>1</x:v>
      </x:c>
      <x:c r="AC387" s="2" t="n">
        <x:f>COUNTIF($A$2:$A$1921,A387)-1</x:f>
        <x:v>0</x:v>
      </x:c>
      <x:c r="AD387" s="2" t="n">
        <x:f>IF(AND(D387=D386,H387=H386,C387=C386+1),ABS(R387-T386),0)</x:f>
        <x:v>0</x:v>
      </x:c>
    </x:row>
    <x:row r="388" ht="23" customHeight="1">
      <x:c r="A388" s="2" t="str">
        <x:v>DEMO-105-3-7</x:v>
      </x:c>
      <x:c r="B388" s="15" t="d">
        <x:v>2026-06-15T00:00:00.000Z</x:v>
      </x:c>
      <x:c r="C388" s="2" t="n">
        <x:v>7</x:v>
      </x:c>
      <x:c r="D388" s="2" t="str">
        <x:v>DEMO-105</x:v>
      </x:c>
      <x:c r="E388" s="2" t="str">
        <x:v>Paper Trail Pad</x:v>
      </x:c>
      <x:c r="F388" s="2" t="str">
        <x:v>Stationery</x:v>
      </x:c>
      <x:c r="G388" s="2" t="str">
        <x:v>Online</x:v>
      </x:c>
      <x:c r="H388" s="2" t="str">
        <x:v>Online</x:v>
      </x:c>
      <x:c r="I388" s="2" t="n">
        <x:v>19</x:v>
      </x:c>
      <x:c r="J388" s="2" t="n">
        <x:v>0</x:v>
      </x:c>
      <x:c r="K388" s="2" t="n">
        <x:f>I388-J388</x:f>
        <x:v>19</x:v>
      </x:c>
      <x:c r="L388" s="16" t="n">
        <x:v>20</x:v>
      </x:c>
      <x:c r="M388" s="16" t="n">
        <x:v>20</x:v>
      </x:c>
      <x:c r="N388" s="16" t="n">
        <x:v>9.2</x:v>
      </x:c>
      <x:c r="O388" s="16" t="n">
        <x:f>K388*M388</x:f>
        <x:v>380</x:v>
      </x:c>
      <x:c r="P388" s="16" t="n">
        <x:f>K388*N388</x:f>
        <x:v>174.79999999999998</x:v>
      </x:c>
      <x:c r="Q388" s="16" t="n">
        <x:f>O388-P388</x:f>
        <x:v>205.20000000000002</x:v>
      </x:c>
      <x:c r="R388" s="2" t="n">
        <x:v>144</x:v>
      </x:c>
      <x:c r="S388" s="2" t="n">
        <x:v>0</x:v>
      </x:c>
      <x:c r="T388" s="2" t="n">
        <x:f>R388+S388+J388-I388</x:f>
        <x:v>125</x:v>
      </x:c>
      <x:c r="U388" s="2" t="n">
        <x:v>0</x:v>
      </x:c>
      <x:c r="V388" s="2" t="n">
        <x:v>3</x:v>
      </x:c>
      <x:c r="W388" s="2" t="n">
        <x:v>17</x:v>
      </x:c>
      <x:c r="X388" s="14" t="b">
        <x:v>0</x:v>
      </x:c>
      <x:c r="Y388" s="14" t="b">
        <x:v>0</x:v>
      </x:c>
      <x:c r="Z388" s="2" t="n">
        <x:f>ABS(T388-AA388)</x:f>
        <x:v>0</x:v>
      </x:c>
      <x:c r="AA388" s="2" t="n">
        <x:v>125</x:v>
      </x:c>
      <x:c r="AB388" s="2" t="n">
        <x:f>ABS(K388-W388)</x:f>
        <x:v>2</x:v>
      </x:c>
      <x:c r="AC388" s="2" t="n">
        <x:f>COUNTIF($A$2:$A$1921,A388)-1</x:f>
        <x:v>0</x:v>
      </x:c>
      <x:c r="AD388" s="2" t="n">
        <x:f>IF(AND(D388=D387,H388=H387,C388=C387+1),ABS(R388-T387),0)</x:f>
        <x:v>0</x:v>
      </x:c>
    </x:row>
    <x:row r="389" ht="23" customHeight="1">
      <x:c r="A389" s="2" t="str">
        <x:v>DEMO-105-3-8</x:v>
      </x:c>
      <x:c r="B389" s="15" t="d">
        <x:v>2026-06-22T00:00:00.000Z</x:v>
      </x:c>
      <x:c r="C389" s="2" t="n">
        <x:v>8</x:v>
      </x:c>
      <x:c r="D389" s="2" t="str">
        <x:v>DEMO-105</x:v>
      </x:c>
      <x:c r="E389" s="2" t="str">
        <x:v>Paper Trail Pad</x:v>
      </x:c>
      <x:c r="F389" s="2" t="str">
        <x:v>Stationery</x:v>
      </x:c>
      <x:c r="G389" s="2" t="str">
        <x:v>Online</x:v>
      </x:c>
      <x:c r="H389" s="2" t="str">
        <x:v>Online</x:v>
      </x:c>
      <x:c r="I389" s="2" t="n">
        <x:v>21</x:v>
      </x:c>
      <x:c r="J389" s="2" t="n">
        <x:v>0</x:v>
      </x:c>
      <x:c r="K389" s="2" t="n">
        <x:f>I389-J389</x:f>
        <x:v>21</x:v>
      </x:c>
      <x:c r="L389" s="16" t="n">
        <x:v>20</x:v>
      </x:c>
      <x:c r="M389" s="16" t="n">
        <x:v>20</x:v>
      </x:c>
      <x:c r="N389" s="16" t="n">
        <x:v>9.2</x:v>
      </x:c>
      <x:c r="O389" s="16" t="n">
        <x:f>K389*M389</x:f>
        <x:v>420</x:v>
      </x:c>
      <x:c r="P389" s="16" t="n">
        <x:f>K389*N389</x:f>
        <x:v>193.2</x:v>
      </x:c>
      <x:c r="Q389" s="16" t="n">
        <x:f>O389-P389</x:f>
        <x:v>226.8</x:v>
      </x:c>
      <x:c r="R389" s="2" t="n">
        <x:v>125</x:v>
      </x:c>
      <x:c r="S389" s="2" t="n">
        <x:v>0</x:v>
      </x:c>
      <x:c r="T389" s="2" t="n">
        <x:f>R389+S389+J389-I389</x:f>
        <x:v>104</x:v>
      </x:c>
      <x:c r="U389" s="2" t="n">
        <x:v>0</x:v>
      </x:c>
      <x:c r="V389" s="2" t="n">
        <x:v>3</x:v>
      </x:c>
      <x:c r="W389" s="2" t="n">
        <x:v>18</x:v>
      </x:c>
      <x:c r="X389" s="14" t="b">
        <x:v>0</x:v>
      </x:c>
      <x:c r="Y389" s="14" t="b">
        <x:v>0</x:v>
      </x:c>
      <x:c r="Z389" s="2" t="n">
        <x:f>ABS(T389-AA389)</x:f>
        <x:v>0</x:v>
      </x:c>
      <x:c r="AA389" s="2" t="n">
        <x:v>104</x:v>
      </x:c>
      <x:c r="AB389" s="2" t="n">
        <x:f>ABS(K389-W389)</x:f>
        <x:v>3</x:v>
      </x:c>
      <x:c r="AC389" s="2" t="n">
        <x:f>COUNTIF($A$2:$A$1921,A389)-1</x:f>
        <x:v>0</x:v>
      </x:c>
      <x:c r="AD389" s="2" t="n">
        <x:f>IF(AND(D389=D388,H389=H388,C389=C388+1),ABS(R389-T388),0)</x:f>
        <x:v>0</x:v>
      </x:c>
    </x:row>
    <x:row r="390" ht="23" customHeight="1">
      <x:c r="A390" s="2" t="str">
        <x:v>DEMO-105-3-9</x:v>
      </x:c>
      <x:c r="B390" s="15" t="d">
        <x:v>2026-06-29T00:00:00.000Z</x:v>
      </x:c>
      <x:c r="C390" s="2" t="n">
        <x:v>9</x:v>
      </x:c>
      <x:c r="D390" s="2" t="str">
        <x:v>DEMO-105</x:v>
      </x:c>
      <x:c r="E390" s="2" t="str">
        <x:v>Paper Trail Pad</x:v>
      </x:c>
      <x:c r="F390" s="2" t="str">
        <x:v>Stationery</x:v>
      </x:c>
      <x:c r="G390" s="2" t="str">
        <x:v>Online</x:v>
      </x:c>
      <x:c r="H390" s="2" t="str">
        <x:v>Online</x:v>
      </x:c>
      <x:c r="I390" s="2" t="n">
        <x:v>15</x:v>
      </x:c>
      <x:c r="J390" s="2" t="n">
        <x:v>0</x:v>
      </x:c>
      <x:c r="K390" s="2" t="n">
        <x:f>I390-J390</x:f>
        <x:v>15</x:v>
      </x:c>
      <x:c r="L390" s="16" t="n">
        <x:v>20</x:v>
      </x:c>
      <x:c r="M390" s="16" t="n">
        <x:v>20</x:v>
      </x:c>
      <x:c r="N390" s="16" t="n">
        <x:v>9.2</x:v>
      </x:c>
      <x:c r="O390" s="16" t="n">
        <x:f>K390*M390</x:f>
        <x:v>300</x:v>
      </x:c>
      <x:c r="P390" s="16" t="n">
        <x:f>K390*N390</x:f>
        <x:v>138</x:v>
      </x:c>
      <x:c r="Q390" s="16" t="n">
        <x:f>O390-P390</x:f>
        <x:v>162</x:v>
      </x:c>
      <x:c r="R390" s="2" t="n">
        <x:v>104</x:v>
      </x:c>
      <x:c r="S390" s="2" t="n">
        <x:v>79</x:v>
      </x:c>
      <x:c r="T390" s="2" t="n">
        <x:f>R390+S390+J390-I390</x:f>
        <x:v>168</x:v>
      </x:c>
      <x:c r="U390" s="2" t="n">
        <x:v>0</x:v>
      </x:c>
      <x:c r="V390" s="2" t="n">
        <x:v>3</x:v>
      </x:c>
      <x:c r="W390" s="2" t="n">
        <x:v>18</x:v>
      </x:c>
      <x:c r="X390" s="14" t="b">
        <x:v>0</x:v>
      </x:c>
      <x:c r="Y390" s="14" t="b">
        <x:v>0</x:v>
      </x:c>
      <x:c r="Z390" s="2" t="n">
        <x:f>ABS(T390-AA390)</x:f>
        <x:v>0</x:v>
      </x:c>
      <x:c r="AA390" s="2" t="n">
        <x:v>168</x:v>
      </x:c>
      <x:c r="AB390" s="2" t="n">
        <x:f>ABS(K390-W390)</x:f>
        <x:v>3</x:v>
      </x:c>
      <x:c r="AC390" s="2" t="n">
        <x:f>COUNTIF($A$2:$A$1921,A390)-1</x:f>
        <x:v>0</x:v>
      </x:c>
      <x:c r="AD390" s="2" t="n">
        <x:f>IF(AND(D390=D389,H390=H389,C390=C389+1),ABS(R390-T389),0)</x:f>
        <x:v>0</x:v>
      </x:c>
    </x:row>
    <x:row r="391" ht="23" customHeight="1">
      <x:c r="A391" s="2" t="str">
        <x:v>DEMO-105-3-10</x:v>
      </x:c>
      <x:c r="B391" s="15" t="d">
        <x:v>2026-07-06T00:00:00.000Z</x:v>
      </x:c>
      <x:c r="C391" s="2" t="n">
        <x:v>10</x:v>
      </x:c>
      <x:c r="D391" s="2" t="str">
        <x:v>DEMO-105</x:v>
      </x:c>
      <x:c r="E391" s="2" t="str">
        <x:v>Paper Trail Pad</x:v>
      </x:c>
      <x:c r="F391" s="2" t="str">
        <x:v>Stationery</x:v>
      </x:c>
      <x:c r="G391" s="2" t="str">
        <x:v>Online</x:v>
      </x:c>
      <x:c r="H391" s="2" t="str">
        <x:v>Online</x:v>
      </x:c>
      <x:c r="I391" s="2" t="n">
        <x:v>16</x:v>
      </x:c>
      <x:c r="J391" s="2" t="n">
        <x:v>1</x:v>
      </x:c>
      <x:c r="K391" s="2" t="n">
        <x:f>I391-J391</x:f>
        <x:v>15</x:v>
      </x:c>
      <x:c r="L391" s="16" t="n">
        <x:v>20</x:v>
      </x:c>
      <x:c r="M391" s="16" t="n">
        <x:v>20</x:v>
      </x:c>
      <x:c r="N391" s="16" t="n">
        <x:v>9.2</x:v>
      </x:c>
      <x:c r="O391" s="16" t="n">
        <x:f>K391*M391</x:f>
        <x:v>300</x:v>
      </x:c>
      <x:c r="P391" s="16" t="n">
        <x:f>K391*N391</x:f>
        <x:v>138</x:v>
      </x:c>
      <x:c r="Q391" s="16" t="n">
        <x:f>O391-P391</x:f>
        <x:v>162</x:v>
      </x:c>
      <x:c r="R391" s="2" t="n">
        <x:v>168</x:v>
      </x:c>
      <x:c r="S391" s="2" t="n">
        <x:v>0</x:v>
      </x:c>
      <x:c r="T391" s="2" t="n">
        <x:f>R391+S391+J391-I391</x:f>
        <x:v>153</x:v>
      </x:c>
      <x:c r="U391" s="2" t="n">
        <x:v>0</x:v>
      </x:c>
      <x:c r="V391" s="2" t="n">
        <x:v>3</x:v>
      </x:c>
      <x:c r="W391" s="2" t="n">
        <x:v>18</x:v>
      </x:c>
      <x:c r="X391" s="14" t="b">
        <x:v>0</x:v>
      </x:c>
      <x:c r="Y391" s="14" t="b">
        <x:v>0</x:v>
      </x:c>
      <x:c r="Z391" s="2" t="n">
        <x:f>ABS(T391-AA391)</x:f>
        <x:v>0</x:v>
      </x:c>
      <x:c r="AA391" s="2" t="n">
        <x:v>153</x:v>
      </x:c>
      <x:c r="AB391" s="2" t="n">
        <x:f>ABS(K391-W391)</x:f>
        <x:v>3</x:v>
      </x:c>
      <x:c r="AC391" s="2" t="n">
        <x:f>COUNTIF($A$2:$A$1921,A391)-1</x:f>
        <x:v>0</x:v>
      </x:c>
      <x:c r="AD391" s="2" t="n">
        <x:f>IF(AND(D391=D390,H391=H390,C391=C390+1),ABS(R391-T390),0)</x:f>
        <x:v>0</x:v>
      </x:c>
    </x:row>
    <x:row r="392" ht="23" customHeight="1">
      <x:c r="A392" s="2" t="str">
        <x:v>DEMO-105-3-11</x:v>
      </x:c>
      <x:c r="B392" s="15" t="d">
        <x:v>2026-07-13T00:00:00.000Z</x:v>
      </x:c>
      <x:c r="C392" s="2" t="n">
        <x:v>11</x:v>
      </x:c>
      <x:c r="D392" s="2" t="str">
        <x:v>DEMO-105</x:v>
      </x:c>
      <x:c r="E392" s="2" t="str">
        <x:v>Paper Trail Pad</x:v>
      </x:c>
      <x:c r="F392" s="2" t="str">
        <x:v>Stationery</x:v>
      </x:c>
      <x:c r="G392" s="2" t="str">
        <x:v>Online</x:v>
      </x:c>
      <x:c r="H392" s="2" t="str">
        <x:v>Online</x:v>
      </x:c>
      <x:c r="I392" s="2" t="n">
        <x:v>18</x:v>
      </x:c>
      <x:c r="J392" s="2" t="n">
        <x:v>0</x:v>
      </x:c>
      <x:c r="K392" s="2" t="n">
        <x:f>I392-J392</x:f>
        <x:v>18</x:v>
      </x:c>
      <x:c r="L392" s="16" t="n">
        <x:v>20</x:v>
      </x:c>
      <x:c r="M392" s="16" t="n">
        <x:v>20</x:v>
      </x:c>
      <x:c r="N392" s="16" t="n">
        <x:v>9.2</x:v>
      </x:c>
      <x:c r="O392" s="16" t="n">
        <x:f>K392*M392</x:f>
        <x:v>360</x:v>
      </x:c>
      <x:c r="P392" s="16" t="n">
        <x:f>K392*N392</x:f>
        <x:v>165.6</x:v>
      </x:c>
      <x:c r="Q392" s="16" t="n">
        <x:f>O392-P392</x:f>
        <x:v>194.4</x:v>
      </x:c>
      <x:c r="R392" s="2" t="n">
        <x:v>153</x:v>
      </x:c>
      <x:c r="S392" s="2" t="n">
        <x:v>0</x:v>
      </x:c>
      <x:c r="T392" s="2" t="n">
        <x:f>R392+S392+J392-I392</x:f>
        <x:v>135</x:v>
      </x:c>
      <x:c r="U392" s="2" t="n">
        <x:v>0</x:v>
      </x:c>
      <x:c r="V392" s="2" t="n">
        <x:v>3</x:v>
      </x:c>
      <x:c r="W392" s="2" t="n">
        <x:v>18</x:v>
      </x:c>
      <x:c r="X392" s="14" t="b">
        <x:v>0</x:v>
      </x:c>
      <x:c r="Y392" s="14" t="b">
        <x:v>0</x:v>
      </x:c>
      <x:c r="Z392" s="2" t="n">
        <x:f>ABS(T392-AA392)</x:f>
        <x:v>0</x:v>
      </x:c>
      <x:c r="AA392" s="2" t="n">
        <x:v>135</x:v>
      </x:c>
      <x:c r="AB392" s="2" t="n">
        <x:f>ABS(K392-W392)</x:f>
        <x:v>0</x:v>
      </x:c>
      <x:c r="AC392" s="2" t="n">
        <x:f>COUNTIF($A$2:$A$1921,A392)-1</x:f>
        <x:v>0</x:v>
      </x:c>
      <x:c r="AD392" s="2" t="n">
        <x:f>IF(AND(D392=D391,H392=H391,C392=C391+1),ABS(R392-T391),0)</x:f>
        <x:v>0</x:v>
      </x:c>
    </x:row>
    <x:row r="393" ht="23" customHeight="1">
      <x:c r="A393" s="2" t="str">
        <x:v>DEMO-105-3-12</x:v>
      </x:c>
      <x:c r="B393" s="15" t="d">
        <x:v>2026-07-20T00:00:00.000Z</x:v>
      </x:c>
      <x:c r="C393" s="2" t="n">
        <x:v>12</x:v>
      </x:c>
      <x:c r="D393" s="2" t="str">
        <x:v>DEMO-105</x:v>
      </x:c>
      <x:c r="E393" s="2" t="str">
        <x:v>Paper Trail Pad</x:v>
      </x:c>
      <x:c r="F393" s="2" t="str">
        <x:v>Stationery</x:v>
      </x:c>
      <x:c r="G393" s="2" t="str">
        <x:v>Online</x:v>
      </x:c>
      <x:c r="H393" s="2" t="str">
        <x:v>Online</x:v>
      </x:c>
      <x:c r="I393" s="2" t="n">
        <x:v>22</x:v>
      </x:c>
      <x:c r="J393" s="2" t="n">
        <x:v>1</x:v>
      </x:c>
      <x:c r="K393" s="2" t="n">
        <x:f>I393-J393</x:f>
        <x:v>21</x:v>
      </x:c>
      <x:c r="L393" s="16" t="n">
        <x:v>20</x:v>
      </x:c>
      <x:c r="M393" s="16" t="n">
        <x:v>20</x:v>
      </x:c>
      <x:c r="N393" s="16" t="n">
        <x:v>9.2</x:v>
      </x:c>
      <x:c r="O393" s="16" t="n">
        <x:f>K393*M393</x:f>
        <x:v>420</x:v>
      </x:c>
      <x:c r="P393" s="16" t="n">
        <x:f>K393*N393</x:f>
        <x:v>193.2</x:v>
      </x:c>
      <x:c r="Q393" s="16" t="n">
        <x:f>O393-P393</x:f>
        <x:v>226.8</x:v>
      </x:c>
      <x:c r="R393" s="2" t="n">
        <x:v>135</x:v>
      </x:c>
      <x:c r="S393" s="2" t="n">
        <x:v>0</x:v>
      </x:c>
      <x:c r="T393" s="2" t="n">
        <x:f>R393+S393+J393-I393</x:f>
        <x:v>114</x:v>
      </x:c>
      <x:c r="U393" s="2" t="n">
        <x:v>0</x:v>
      </x:c>
      <x:c r="V393" s="2" t="n">
        <x:v>3</x:v>
      </x:c>
      <x:c r="W393" s="2" t="n">
        <x:v>17</x:v>
      </x:c>
      <x:c r="X393" s="14" t="b">
        <x:v>0</x:v>
      </x:c>
      <x:c r="Y393" s="14" t="b">
        <x:v>0</x:v>
      </x:c>
      <x:c r="Z393" s="2" t="n">
        <x:f>ABS(T393-AA393)</x:f>
        <x:v>0</x:v>
      </x:c>
      <x:c r="AA393" s="2" t="n">
        <x:v>114</x:v>
      </x:c>
      <x:c r="AB393" s="2" t="n">
        <x:f>ABS(K393-W393)</x:f>
        <x:v>4</x:v>
      </x:c>
      <x:c r="AC393" s="2" t="n">
        <x:f>COUNTIF($A$2:$A$1921,A393)-1</x:f>
        <x:v>0</x:v>
      </x:c>
      <x:c r="AD393" s="2" t="n">
        <x:f>IF(AND(D393=D392,H393=H392,C393=C392+1),ABS(R393-T392),0)</x:f>
        <x:v>0</x:v>
      </x:c>
    </x:row>
    <x:row r="394" ht="23" customHeight="1">
      <x:c r="A394" s="2" t="str">
        <x:v>DEMO-105-3-13</x:v>
      </x:c>
      <x:c r="B394" s="15" t="d">
        <x:v>2026-07-27T00:00:00.000Z</x:v>
      </x:c>
      <x:c r="C394" s="2" t="n">
        <x:v>13</x:v>
      </x:c>
      <x:c r="D394" s="2" t="str">
        <x:v>DEMO-105</x:v>
      </x:c>
      <x:c r="E394" s="2" t="str">
        <x:v>Paper Trail Pad</x:v>
      </x:c>
      <x:c r="F394" s="2" t="str">
        <x:v>Stationery</x:v>
      </x:c>
      <x:c r="G394" s="2" t="str">
        <x:v>Online</x:v>
      </x:c>
      <x:c r="H394" s="2" t="str">
        <x:v>Online</x:v>
      </x:c>
      <x:c r="I394" s="2" t="n">
        <x:v>16</x:v>
      </x:c>
      <x:c r="J394" s="2" t="n">
        <x:v>0</x:v>
      </x:c>
      <x:c r="K394" s="2" t="n">
        <x:f>I394-J394</x:f>
        <x:v>16</x:v>
      </x:c>
      <x:c r="L394" s="16" t="n">
        <x:v>20</x:v>
      </x:c>
      <x:c r="M394" s="16" t="n">
        <x:v>20</x:v>
      </x:c>
      <x:c r="N394" s="16" t="n">
        <x:v>9.2</x:v>
      </x:c>
      <x:c r="O394" s="16" t="n">
        <x:f>K394*M394</x:f>
        <x:v>320</x:v>
      </x:c>
      <x:c r="P394" s="16" t="n">
        <x:f>K394*N394</x:f>
        <x:v>147.2</x:v>
      </x:c>
      <x:c r="Q394" s="16" t="n">
        <x:f>O394-P394</x:f>
        <x:v>172.8</x:v>
      </x:c>
      <x:c r="R394" s="2" t="n">
        <x:v>114</x:v>
      </x:c>
      <x:c r="S394" s="2" t="n">
        <x:v>79</x:v>
      </x:c>
      <x:c r="T394" s="2" t="n">
        <x:f>R394+S394+J394-I394</x:f>
        <x:v>177</x:v>
      </x:c>
      <x:c r="U394" s="2" t="n">
        <x:v>0</x:v>
      </x:c>
      <x:c r="V394" s="2" t="n">
        <x:v>3</x:v>
      </x:c>
      <x:c r="W394" s="2" t="n">
        <x:v>17</x:v>
      </x:c>
      <x:c r="X394" s="14" t="b">
        <x:v>0</x:v>
      </x:c>
      <x:c r="Y394" s="14" t="b">
        <x:v>0</x:v>
      </x:c>
      <x:c r="Z394" s="2" t="n">
        <x:f>ABS(T394-AA394)</x:f>
        <x:v>0</x:v>
      </x:c>
      <x:c r="AA394" s="2" t="n">
        <x:v>177</x:v>
      </x:c>
      <x:c r="AB394" s="2" t="n">
        <x:f>ABS(K394-W394)</x:f>
        <x:v>1</x:v>
      </x:c>
      <x:c r="AC394" s="2" t="n">
        <x:f>COUNTIF($A$2:$A$1921,A394)-1</x:f>
        <x:v>0</x:v>
      </x:c>
      <x:c r="AD394" s="2" t="n">
        <x:f>IF(AND(D394=D393,H394=H393,C394=C393+1),ABS(R394-T393),0)</x:f>
        <x:v>0</x:v>
      </x:c>
    </x:row>
    <x:row r="395" ht="23" customHeight="1">
      <x:c r="A395" s="2" t="str">
        <x:v>DEMO-105-3-14</x:v>
      </x:c>
      <x:c r="B395" s="15" t="d">
        <x:v>2026-08-03T00:00:00.000Z</x:v>
      </x:c>
      <x:c r="C395" s="2" t="n">
        <x:v>14</x:v>
      </x:c>
      <x:c r="D395" s="2" t="str">
        <x:v>DEMO-105</x:v>
      </x:c>
      <x:c r="E395" s="2" t="str">
        <x:v>Paper Trail Pad</x:v>
      </x:c>
      <x:c r="F395" s="2" t="str">
        <x:v>Stationery</x:v>
      </x:c>
      <x:c r="G395" s="2" t="str">
        <x:v>Online</x:v>
      </x:c>
      <x:c r="H395" s="2" t="str">
        <x:v>Online</x:v>
      </x:c>
      <x:c r="I395" s="2" t="n">
        <x:v>17</x:v>
      </x:c>
      <x:c r="J395" s="2" t="n">
        <x:v>0</x:v>
      </x:c>
      <x:c r="K395" s="2" t="n">
        <x:f>I395-J395</x:f>
        <x:v>17</x:v>
      </x:c>
      <x:c r="L395" s="16" t="n">
        <x:v>20</x:v>
      </x:c>
      <x:c r="M395" s="16" t="n">
        <x:v>20</x:v>
      </x:c>
      <x:c r="N395" s="16" t="n">
        <x:v>9.2</x:v>
      </x:c>
      <x:c r="O395" s="16" t="n">
        <x:f>K395*M395</x:f>
        <x:v>340</x:v>
      </x:c>
      <x:c r="P395" s="16" t="n">
        <x:f>K395*N395</x:f>
        <x:v>156.39999999999998</x:v>
      </x:c>
      <x:c r="Q395" s="16" t="n">
        <x:f>O395-P395</x:f>
        <x:v>183.60000000000002</x:v>
      </x:c>
      <x:c r="R395" s="2" t="n">
        <x:v>177</x:v>
      </x:c>
      <x:c r="S395" s="2" t="n">
        <x:v>0</x:v>
      </x:c>
      <x:c r="T395" s="2" t="n">
        <x:f>R395+S395+J395-I395</x:f>
        <x:v>160</x:v>
      </x:c>
      <x:c r="U395" s="2" t="n">
        <x:v>0</x:v>
      </x:c>
      <x:c r="V395" s="2" t="n">
        <x:v>3</x:v>
      </x:c>
      <x:c r="W395" s="2" t="n">
        <x:v>18</x:v>
      </x:c>
      <x:c r="X395" s="14" t="b">
        <x:v>0</x:v>
      </x:c>
      <x:c r="Y395" s="14" t="b">
        <x:v>0</x:v>
      </x:c>
      <x:c r="Z395" s="2" t="n">
        <x:f>ABS(T395-AA395)</x:f>
        <x:v>0</x:v>
      </x:c>
      <x:c r="AA395" s="2" t="n">
        <x:v>160</x:v>
      </x:c>
      <x:c r="AB395" s="2" t="n">
        <x:f>ABS(K395-W395)</x:f>
        <x:v>1</x:v>
      </x:c>
      <x:c r="AC395" s="2" t="n">
        <x:f>COUNTIF($A$2:$A$1921,A395)-1</x:f>
        <x:v>0</x:v>
      </x:c>
      <x:c r="AD395" s="2" t="n">
        <x:f>IF(AND(D395=D394,H395=H394,C395=C394+1),ABS(R395-T394),0)</x:f>
        <x:v>0</x:v>
      </x:c>
    </x:row>
    <x:row r="396" ht="23" customHeight="1">
      <x:c r="A396" s="2" t="str">
        <x:v>DEMO-105-3-15</x:v>
      </x:c>
      <x:c r="B396" s="15" t="d">
        <x:v>2026-08-10T00:00:00.000Z</x:v>
      </x:c>
      <x:c r="C396" s="2" t="n">
        <x:v>15</x:v>
      </x:c>
      <x:c r="D396" s="2" t="str">
        <x:v>DEMO-105</x:v>
      </x:c>
      <x:c r="E396" s="2" t="str">
        <x:v>Paper Trail Pad</x:v>
      </x:c>
      <x:c r="F396" s="2" t="str">
        <x:v>Stationery</x:v>
      </x:c>
      <x:c r="G396" s="2" t="str">
        <x:v>Online</x:v>
      </x:c>
      <x:c r="H396" s="2" t="str">
        <x:v>Online</x:v>
      </x:c>
      <x:c r="I396" s="2" t="n">
        <x:v>16</x:v>
      </x:c>
      <x:c r="J396" s="2" t="n">
        <x:v>0</x:v>
      </x:c>
      <x:c r="K396" s="2" t="n">
        <x:f>I396-J396</x:f>
        <x:v>16</x:v>
      </x:c>
      <x:c r="L396" s="16" t="n">
        <x:v>20</x:v>
      </x:c>
      <x:c r="M396" s="16" t="n">
        <x:v>20</x:v>
      </x:c>
      <x:c r="N396" s="16" t="n">
        <x:v>9.2</x:v>
      </x:c>
      <x:c r="O396" s="16" t="n">
        <x:f>K396*M396</x:f>
        <x:v>320</x:v>
      </x:c>
      <x:c r="P396" s="16" t="n">
        <x:f>K396*N396</x:f>
        <x:v>147.2</x:v>
      </x:c>
      <x:c r="Q396" s="16" t="n">
        <x:f>O396-P396</x:f>
        <x:v>172.8</x:v>
      </x:c>
      <x:c r="R396" s="2" t="n">
        <x:v>160</x:v>
      </x:c>
      <x:c r="S396" s="2" t="n">
        <x:v>0</x:v>
      </x:c>
      <x:c r="T396" s="2" t="n">
        <x:f>R396+S396+J396-I396</x:f>
        <x:v>144</x:v>
      </x:c>
      <x:c r="U396" s="2" t="n">
        <x:v>0</x:v>
      </x:c>
      <x:c r="V396" s="2" t="n">
        <x:v>3</x:v>
      </x:c>
      <x:c r="W396" s="2" t="n">
        <x:v>18</x:v>
      </x:c>
      <x:c r="X396" s="14" t="b">
        <x:v>0</x:v>
      </x:c>
      <x:c r="Y396" s="14" t="b">
        <x:v>0</x:v>
      </x:c>
      <x:c r="Z396" s="2" t="n">
        <x:f>ABS(T396-AA396)</x:f>
        <x:v>0</x:v>
      </x:c>
      <x:c r="AA396" s="2" t="n">
        <x:v>144</x:v>
      </x:c>
      <x:c r="AB396" s="2" t="n">
        <x:f>ABS(K396-W396)</x:f>
        <x:v>2</x:v>
      </x:c>
      <x:c r="AC396" s="2" t="n">
        <x:f>COUNTIF($A$2:$A$1921,A396)-1</x:f>
        <x:v>0</x:v>
      </x:c>
      <x:c r="AD396" s="2" t="n">
        <x:f>IF(AND(D396=D395,H396=H395,C396=C395+1),ABS(R396-T395),0)</x:f>
        <x:v>0</x:v>
      </x:c>
    </x:row>
    <x:row r="397" ht="23" customHeight="1">
      <x:c r="A397" s="2" t="str">
        <x:v>DEMO-105-3-16</x:v>
      </x:c>
      <x:c r="B397" s="15" t="d">
        <x:v>2026-08-17T00:00:00.000Z</x:v>
      </x:c>
      <x:c r="C397" s="2" t="n">
        <x:v>16</x:v>
      </x:c>
      <x:c r="D397" s="2" t="str">
        <x:v>DEMO-105</x:v>
      </x:c>
      <x:c r="E397" s="2" t="str">
        <x:v>Paper Trail Pad</x:v>
      </x:c>
      <x:c r="F397" s="2" t="str">
        <x:v>Stationery</x:v>
      </x:c>
      <x:c r="G397" s="2" t="str">
        <x:v>Online</x:v>
      </x:c>
      <x:c r="H397" s="2" t="str">
        <x:v>Online</x:v>
      </x:c>
      <x:c r="I397" s="2" t="n">
        <x:v>16</x:v>
      </x:c>
      <x:c r="J397" s="2" t="n">
        <x:v>0</x:v>
      </x:c>
      <x:c r="K397" s="2" t="n">
        <x:f>I397-J397</x:f>
        <x:v>16</x:v>
      </x:c>
      <x:c r="L397" s="16" t="n">
        <x:v>20</x:v>
      </x:c>
      <x:c r="M397" s="16" t="n">
        <x:v>20</x:v>
      </x:c>
      <x:c r="N397" s="16" t="n">
        <x:v>9.2</x:v>
      </x:c>
      <x:c r="O397" s="16" t="n">
        <x:f>K397*M397</x:f>
        <x:v>320</x:v>
      </x:c>
      <x:c r="P397" s="16" t="n">
        <x:f>K397*N397</x:f>
        <x:v>147.2</x:v>
      </x:c>
      <x:c r="Q397" s="16" t="n">
        <x:f>O397-P397</x:f>
        <x:v>172.8</x:v>
      </x:c>
      <x:c r="R397" s="2" t="n">
        <x:v>144</x:v>
      </x:c>
      <x:c r="S397" s="2" t="n">
        <x:v>0</x:v>
      </x:c>
      <x:c r="T397" s="2" t="n">
        <x:f>R397+S397+J397-I397</x:f>
        <x:v>128</x:v>
      </x:c>
      <x:c r="U397" s="2" t="n">
        <x:v>0</x:v>
      </x:c>
      <x:c r="V397" s="2" t="n">
        <x:v>3</x:v>
      </x:c>
      <x:c r="W397" s="2" t="n">
        <x:v>18</x:v>
      </x:c>
      <x:c r="X397" s="14" t="b">
        <x:v>0</x:v>
      </x:c>
      <x:c r="Y397" s="14" t="b">
        <x:v>0</x:v>
      </x:c>
      <x:c r="Z397" s="2" t="n">
        <x:f>ABS(T397-AA397)</x:f>
        <x:v>0</x:v>
      </x:c>
      <x:c r="AA397" s="2" t="n">
        <x:v>128</x:v>
      </x:c>
      <x:c r="AB397" s="2" t="n">
        <x:f>ABS(K397-W397)</x:f>
        <x:v>2</x:v>
      </x:c>
      <x:c r="AC397" s="2" t="n">
        <x:f>COUNTIF($A$2:$A$1921,A397)-1</x:f>
        <x:v>0</x:v>
      </x:c>
      <x:c r="AD397" s="2" t="n">
        <x:f>IF(AND(D397=D396,H397=H396,C397=C396+1),ABS(R397-T396),0)</x:f>
        <x:v>0</x:v>
      </x:c>
    </x:row>
    <x:row r="398" ht="23" customHeight="1">
      <x:c r="A398" s="2" t="str">
        <x:v>DEMO-105-3-17</x:v>
      </x:c>
      <x:c r="B398" s="15" t="d">
        <x:v>2026-08-24T00:00:00.000Z</x:v>
      </x:c>
      <x:c r="C398" s="2" t="n">
        <x:v>17</x:v>
      </x:c>
      <x:c r="D398" s="2" t="str">
        <x:v>DEMO-105</x:v>
      </x:c>
      <x:c r="E398" s="2" t="str">
        <x:v>Paper Trail Pad</x:v>
      </x:c>
      <x:c r="F398" s="2" t="str">
        <x:v>Stationery</x:v>
      </x:c>
      <x:c r="G398" s="2" t="str">
        <x:v>Online</x:v>
      </x:c>
      <x:c r="H398" s="2" t="str">
        <x:v>Online</x:v>
      </x:c>
      <x:c r="I398" s="2" t="n">
        <x:v>16</x:v>
      </x:c>
      <x:c r="J398" s="2" t="n">
        <x:v>0</x:v>
      </x:c>
      <x:c r="K398" s="2" t="n">
        <x:f>I398-J398</x:f>
        <x:v>16</x:v>
      </x:c>
      <x:c r="L398" s="16" t="n">
        <x:v>20</x:v>
      </x:c>
      <x:c r="M398" s="16" t="n">
        <x:v>20</x:v>
      </x:c>
      <x:c r="N398" s="16" t="n">
        <x:v>9.2</x:v>
      </x:c>
      <x:c r="O398" s="16" t="n">
        <x:f>K398*M398</x:f>
        <x:v>320</x:v>
      </x:c>
      <x:c r="P398" s="16" t="n">
        <x:f>K398*N398</x:f>
        <x:v>147.2</x:v>
      </x:c>
      <x:c r="Q398" s="16" t="n">
        <x:f>O398-P398</x:f>
        <x:v>172.8</x:v>
      </x:c>
      <x:c r="R398" s="2" t="n">
        <x:v>128</x:v>
      </x:c>
      <x:c r="S398" s="2" t="n">
        <x:v>79</x:v>
      </x:c>
      <x:c r="T398" s="2" t="n">
        <x:f>R398+S398+J398-I398</x:f>
        <x:v>191</x:v>
      </x:c>
      <x:c r="U398" s="2" t="n">
        <x:v>0</x:v>
      </x:c>
      <x:c r="V398" s="2" t="n">
        <x:v>3</x:v>
      </x:c>
      <x:c r="W398" s="2" t="n">
        <x:v>16</x:v>
      </x:c>
      <x:c r="X398" s="14" t="b">
        <x:v>0</x:v>
      </x:c>
      <x:c r="Y398" s="14" t="b">
        <x:v>0</x:v>
      </x:c>
      <x:c r="Z398" s="2" t="n">
        <x:f>ABS(T398-AA398)</x:f>
        <x:v>0</x:v>
      </x:c>
      <x:c r="AA398" s="2" t="n">
        <x:v>191</x:v>
      </x:c>
      <x:c r="AB398" s="2" t="n">
        <x:f>ABS(K398-W398)</x:f>
        <x:v>0</x:v>
      </x:c>
      <x:c r="AC398" s="2" t="n">
        <x:f>COUNTIF($A$2:$A$1921,A398)-1</x:f>
        <x:v>0</x:v>
      </x:c>
      <x:c r="AD398" s="2" t="n">
        <x:f>IF(AND(D398=D397,H398=H397,C398=C397+1),ABS(R398-T397),0)</x:f>
        <x:v>0</x:v>
      </x:c>
    </x:row>
    <x:row r="399" ht="23" customHeight="1">
      <x:c r="A399" s="2" t="str">
        <x:v>DEMO-105-3-18</x:v>
      </x:c>
      <x:c r="B399" s="15" t="d">
        <x:v>2026-08-31T00:00:00.000Z</x:v>
      </x:c>
      <x:c r="C399" s="2" t="n">
        <x:v>18</x:v>
      </x:c>
      <x:c r="D399" s="2" t="str">
        <x:v>DEMO-105</x:v>
      </x:c>
      <x:c r="E399" s="2" t="str">
        <x:v>Paper Trail Pad</x:v>
      </x:c>
      <x:c r="F399" s="2" t="str">
        <x:v>Stationery</x:v>
      </x:c>
      <x:c r="G399" s="2" t="str">
        <x:v>Online</x:v>
      </x:c>
      <x:c r="H399" s="2" t="str">
        <x:v>Online</x:v>
      </x:c>
      <x:c r="I399" s="2" t="n">
        <x:v>18</x:v>
      </x:c>
      <x:c r="J399" s="2" t="n">
        <x:v>0</x:v>
      </x:c>
      <x:c r="K399" s="2" t="n">
        <x:f>I399-J399</x:f>
        <x:v>18</x:v>
      </x:c>
      <x:c r="L399" s="16" t="n">
        <x:v>20</x:v>
      </x:c>
      <x:c r="M399" s="16" t="n">
        <x:v>20</x:v>
      </x:c>
      <x:c r="N399" s="16" t="n">
        <x:v>9.2</x:v>
      </x:c>
      <x:c r="O399" s="16" t="n">
        <x:f>K399*M399</x:f>
        <x:v>360</x:v>
      </x:c>
      <x:c r="P399" s="16" t="n">
        <x:f>K399*N399</x:f>
        <x:v>165.6</x:v>
      </x:c>
      <x:c r="Q399" s="16" t="n">
        <x:f>O399-P399</x:f>
        <x:v>194.4</x:v>
      </x:c>
      <x:c r="R399" s="2" t="n">
        <x:v>191</x:v>
      </x:c>
      <x:c r="S399" s="2" t="n">
        <x:v>0</x:v>
      </x:c>
      <x:c r="T399" s="2" t="n">
        <x:f>R399+S399+J399-I399</x:f>
        <x:v>173</x:v>
      </x:c>
      <x:c r="U399" s="2" t="n">
        <x:v>0</x:v>
      </x:c>
      <x:c r="V399" s="2" t="n">
        <x:v>3</x:v>
      </x:c>
      <x:c r="W399" s="2" t="n">
        <x:v>16</x:v>
      </x:c>
      <x:c r="X399" s="14" t="b">
        <x:v>0</x:v>
      </x:c>
      <x:c r="Y399" s="14" t="b">
        <x:v>0</x:v>
      </x:c>
      <x:c r="Z399" s="2" t="n">
        <x:f>ABS(T399-AA399)</x:f>
        <x:v>0</x:v>
      </x:c>
      <x:c r="AA399" s="2" t="n">
        <x:v>173</x:v>
      </x:c>
      <x:c r="AB399" s="2" t="n">
        <x:f>ABS(K399-W399)</x:f>
        <x:v>2</x:v>
      </x:c>
      <x:c r="AC399" s="2" t="n">
        <x:f>COUNTIF($A$2:$A$1921,A399)-1</x:f>
        <x:v>0</x:v>
      </x:c>
      <x:c r="AD399" s="2" t="n">
        <x:f>IF(AND(D399=D398,H399=H398,C399=C398+1),ABS(R399-T398),0)</x:f>
        <x:v>0</x:v>
      </x:c>
    </x:row>
    <x:row r="400" ht="23" customHeight="1">
      <x:c r="A400" s="2" t="str">
        <x:v>DEMO-105-3-19</x:v>
      </x:c>
      <x:c r="B400" s="15" t="d">
        <x:v>2026-09-07T00:00:00.000Z</x:v>
      </x:c>
      <x:c r="C400" s="2" t="n">
        <x:v>19</x:v>
      </x:c>
      <x:c r="D400" s="2" t="str">
        <x:v>DEMO-105</x:v>
      </x:c>
      <x:c r="E400" s="2" t="str">
        <x:v>Paper Trail Pad</x:v>
      </x:c>
      <x:c r="F400" s="2" t="str">
        <x:v>Stationery</x:v>
      </x:c>
      <x:c r="G400" s="2" t="str">
        <x:v>Online</x:v>
      </x:c>
      <x:c r="H400" s="2" t="str">
        <x:v>Online</x:v>
      </x:c>
      <x:c r="I400" s="2" t="n">
        <x:v>17</x:v>
      </x:c>
      <x:c r="J400" s="2" t="n">
        <x:v>0</x:v>
      </x:c>
      <x:c r="K400" s="2" t="n">
        <x:f>I400-J400</x:f>
        <x:v>17</x:v>
      </x:c>
      <x:c r="L400" s="16" t="n">
        <x:v>20</x:v>
      </x:c>
      <x:c r="M400" s="16" t="n">
        <x:v>20</x:v>
      </x:c>
      <x:c r="N400" s="16" t="n">
        <x:v>9.2</x:v>
      </x:c>
      <x:c r="O400" s="16" t="n">
        <x:f>K400*M400</x:f>
        <x:v>340</x:v>
      </x:c>
      <x:c r="P400" s="16" t="n">
        <x:f>K400*N400</x:f>
        <x:v>156.39999999999998</x:v>
      </x:c>
      <x:c r="Q400" s="16" t="n">
        <x:f>O400-P400</x:f>
        <x:v>183.60000000000002</x:v>
      </x:c>
      <x:c r="R400" s="2" t="n">
        <x:v>173</x:v>
      </x:c>
      <x:c r="S400" s="2" t="n">
        <x:v>0</x:v>
      </x:c>
      <x:c r="T400" s="2" t="n">
        <x:f>R400+S400+J400-I400</x:f>
        <x:v>156</x:v>
      </x:c>
      <x:c r="U400" s="2" t="n">
        <x:v>0</x:v>
      </x:c>
      <x:c r="V400" s="2" t="n">
        <x:v>3</x:v>
      </x:c>
      <x:c r="W400" s="2" t="n">
        <x:v>17</x:v>
      </x:c>
      <x:c r="X400" s="14" t="b">
        <x:v>0</x:v>
      </x:c>
      <x:c r="Y400" s="14" t="b">
        <x:v>0</x:v>
      </x:c>
      <x:c r="Z400" s="2" t="n">
        <x:f>ABS(T400-AA400)</x:f>
        <x:v>0</x:v>
      </x:c>
      <x:c r="AA400" s="2" t="n">
        <x:v>156</x:v>
      </x:c>
      <x:c r="AB400" s="2" t="n">
        <x:f>ABS(K400-W400)</x:f>
        <x:v>0</x:v>
      </x:c>
      <x:c r="AC400" s="2" t="n">
        <x:f>COUNTIF($A$2:$A$1921,A400)-1</x:f>
        <x:v>0</x:v>
      </x:c>
      <x:c r="AD400" s="2" t="n">
        <x:f>IF(AND(D400=D399,H400=H399,C400=C399+1),ABS(R400-T399),0)</x:f>
        <x:v>0</x:v>
      </x:c>
    </x:row>
    <x:row r="401" ht="23" customHeight="1">
      <x:c r="A401" s="2" t="str">
        <x:v>DEMO-105-3-20</x:v>
      </x:c>
      <x:c r="B401" s="15" t="d">
        <x:v>2026-09-14T00:00:00.000Z</x:v>
      </x:c>
      <x:c r="C401" s="2" t="n">
        <x:v>20</x:v>
      </x:c>
      <x:c r="D401" s="2" t="str">
        <x:v>DEMO-105</x:v>
      </x:c>
      <x:c r="E401" s="2" t="str">
        <x:v>Paper Trail Pad</x:v>
      </x:c>
      <x:c r="F401" s="2" t="str">
        <x:v>Stationery</x:v>
      </x:c>
      <x:c r="G401" s="2" t="str">
        <x:v>Online</x:v>
      </x:c>
      <x:c r="H401" s="2" t="str">
        <x:v>Online</x:v>
      </x:c>
      <x:c r="I401" s="2" t="n">
        <x:v>16</x:v>
      </x:c>
      <x:c r="J401" s="2" t="n">
        <x:v>1</x:v>
      </x:c>
      <x:c r="K401" s="2" t="n">
        <x:f>I401-J401</x:f>
        <x:v>15</x:v>
      </x:c>
      <x:c r="L401" s="16" t="n">
        <x:v>20</x:v>
      </x:c>
      <x:c r="M401" s="16" t="n">
        <x:v>20</x:v>
      </x:c>
      <x:c r="N401" s="16" t="n">
        <x:v>9.2</x:v>
      </x:c>
      <x:c r="O401" s="16" t="n">
        <x:f>K401*M401</x:f>
        <x:v>300</x:v>
      </x:c>
      <x:c r="P401" s="16" t="n">
        <x:f>K401*N401</x:f>
        <x:v>138</x:v>
      </x:c>
      <x:c r="Q401" s="16" t="n">
        <x:f>O401-P401</x:f>
        <x:v>162</x:v>
      </x:c>
      <x:c r="R401" s="2" t="n">
        <x:v>156</x:v>
      </x:c>
      <x:c r="S401" s="2" t="n">
        <x:v>0</x:v>
      </x:c>
      <x:c r="T401" s="2" t="n">
        <x:f>R401+S401+J401-I401</x:f>
        <x:v>141</x:v>
      </x:c>
      <x:c r="U401" s="2" t="n">
        <x:v>18</x:v>
      </x:c>
      <x:c r="V401" s="2" t="n">
        <x:v>3</x:v>
      </x:c>
      <x:c r="W401" s="2" t="n">
        <x:v>17</x:v>
      </x:c>
      <x:c r="X401" s="14" t="b">
        <x:v>0</x:v>
      </x:c>
      <x:c r="Y401" s="14" t="b">
        <x:v>0</x:v>
      </x:c>
      <x:c r="Z401" s="2" t="n">
        <x:f>ABS(T401-AA401)</x:f>
        <x:v>0</x:v>
      </x:c>
      <x:c r="AA401" s="2" t="n">
        <x:v>141</x:v>
      </x:c>
      <x:c r="AB401" s="2" t="n">
        <x:f>ABS(K401-W401)</x:f>
        <x:v>2</x:v>
      </x:c>
      <x:c r="AC401" s="2" t="n">
        <x:f>COUNTIF($A$2:$A$1921,A401)-1</x:f>
        <x:v>0</x:v>
      </x:c>
      <x:c r="AD401" s="2" t="n">
        <x:f>IF(AND(D401=D400,H401=H400,C401=C400+1),ABS(R401-T400),0)</x:f>
        <x:v>0</x:v>
      </x:c>
    </x:row>
    <x:row r="402" ht="23" customHeight="1">
      <x:c r="A402" s="2" t="str">
        <x:v>DEMO-106-0-1</x:v>
      </x:c>
      <x:c r="B402" s="15" t="d">
        <x:v>2026-05-04T00:00:00.000Z</x:v>
      </x:c>
      <x:c r="C402" s="2" t="n">
        <x:v>1</x:v>
      </x:c>
      <x:c r="D402" s="2" t="str">
        <x:v>DEMO-106</x:v>
      </x:c>
      <x:c r="E402" s="2" t="str">
        <x:v>Sketch Folio</x:v>
      </x:c>
      <x:c r="F402" s="2" t="str">
        <x:v>Stationery</x:v>
      </x:c>
      <x:c r="G402" s="2" t="str">
        <x:v>Stores</x:v>
      </x:c>
      <x:c r="H402" s="2" t="str">
        <x:v>North Arcade</x:v>
      </x:c>
      <x:c r="I402" s="2" t="n">
        <x:v>16</x:v>
      </x:c>
      <x:c r="J402" s="2" t="n">
        <x:v>0</x:v>
      </x:c>
      <x:c r="K402" s="2" t="n">
        <x:f>I402-J402</x:f>
        <x:v>16</x:v>
      </x:c>
      <x:c r="L402" s="16" t="n">
        <x:v>22</x:v>
      </x:c>
      <x:c r="M402" s="16" t="n">
        <x:v>22</x:v>
      </x:c>
      <x:c r="N402" s="16" t="n">
        <x:v>10.67</x:v>
      </x:c>
      <x:c r="O402" s="16" t="n">
        <x:f>K402*M402</x:f>
        <x:v>352</x:v>
      </x:c>
      <x:c r="P402" s="16" t="n">
        <x:f>K402*N402</x:f>
        <x:v>170.72</x:v>
      </x:c>
      <x:c r="Q402" s="16" t="n">
        <x:f>O402-P402</x:f>
        <x:v>181.28</x:v>
      </x:c>
      <x:c r="R402" s="2" t="n">
        <x:v>90</x:v>
      </x:c>
      <x:c r="S402" s="2" t="n">
        <x:v>59</x:v>
      </x:c>
      <x:c r="T402" s="2" t="n">
        <x:f>R402+S402+J402-I402</x:f>
        <x:v>133</x:v>
      </x:c>
      <x:c r="U402" s="2" t="n">
        <x:v>0</x:v>
      </x:c>
      <x:c r="V402" s="2" t="n">
        <x:v>4</x:v>
      </x:c>
      <x:c r="W402" s="2" t="n">
        <x:v>14</x:v>
      </x:c>
      <x:c r="X402" s="14" t="b">
        <x:v>0</x:v>
      </x:c>
      <x:c r="Y402" s="14" t="b">
        <x:v>0</x:v>
      </x:c>
      <x:c r="Z402" s="2" t="n">
        <x:f>ABS(T402-AA402)</x:f>
        <x:v>0</x:v>
      </x:c>
      <x:c r="AA402" s="2" t="n">
        <x:v>133</x:v>
      </x:c>
      <x:c r="AB402" s="2" t="n">
        <x:f>ABS(K402-W402)</x:f>
        <x:v>2</x:v>
      </x:c>
      <x:c r="AC402" s="2" t="n">
        <x:f>COUNTIF($A$2:$A$1921,A402)-1</x:f>
        <x:v>0</x:v>
      </x:c>
      <x:c r="AD402" s="2" t="n">
        <x:f>IF(AND(D402=D401,H402=H401,C402=C401+1),ABS(R402-T401),0)</x:f>
        <x:v>0</x:v>
      </x:c>
    </x:row>
    <x:row r="403" ht="23" customHeight="1">
      <x:c r="A403" s="2" t="str">
        <x:v>DEMO-106-0-2</x:v>
      </x:c>
      <x:c r="B403" s="15" t="d">
        <x:v>2026-05-11T00:00:00.000Z</x:v>
      </x:c>
      <x:c r="C403" s="2" t="n">
        <x:v>2</x:v>
      </x:c>
      <x:c r="D403" s="2" t="str">
        <x:v>DEMO-106</x:v>
      </x:c>
      <x:c r="E403" s="2" t="str">
        <x:v>Sketch Folio</x:v>
      </x:c>
      <x:c r="F403" s="2" t="str">
        <x:v>Stationery</x:v>
      </x:c>
      <x:c r="G403" s="2" t="str">
        <x:v>Stores</x:v>
      </x:c>
      <x:c r="H403" s="2" t="str">
        <x:v>North Arcade</x:v>
      </x:c>
      <x:c r="I403" s="2" t="n">
        <x:v>15</x:v>
      </x:c>
      <x:c r="J403" s="2" t="n">
        <x:v>0</x:v>
      </x:c>
      <x:c r="K403" s="2" t="n">
        <x:f>I403-J403</x:f>
        <x:v>15</x:v>
      </x:c>
      <x:c r="L403" s="16" t="n">
        <x:v>22</x:v>
      </x:c>
      <x:c r="M403" s="16" t="n">
        <x:v>22</x:v>
      </x:c>
      <x:c r="N403" s="16" t="n">
        <x:v>10.67</x:v>
      </x:c>
      <x:c r="O403" s="16" t="n">
        <x:f>K403*M403</x:f>
        <x:v>330</x:v>
      </x:c>
      <x:c r="P403" s="16" t="n">
        <x:f>K403*N403</x:f>
        <x:v>160.05</x:v>
      </x:c>
      <x:c r="Q403" s="16" t="n">
        <x:f>O403-P403</x:f>
        <x:v>169.95</x:v>
      </x:c>
      <x:c r="R403" s="2" t="n">
        <x:v>133</x:v>
      </x:c>
      <x:c r="S403" s="2" t="n">
        <x:v>0</x:v>
      </x:c>
      <x:c r="T403" s="2" t="n">
        <x:f>R403+S403+J403-I403</x:f>
        <x:v>118</x:v>
      </x:c>
      <x:c r="U403" s="2" t="n">
        <x:v>0</x:v>
      </x:c>
      <x:c r="V403" s="2" t="n">
        <x:v>4</x:v>
      </x:c>
      <x:c r="W403" s="2" t="n">
        <x:v>16</x:v>
      </x:c>
      <x:c r="X403" s="14" t="b">
        <x:v>0</x:v>
      </x:c>
      <x:c r="Y403" s="14" t="b">
        <x:v>0</x:v>
      </x:c>
      <x:c r="Z403" s="2" t="n">
        <x:f>ABS(T403-AA403)</x:f>
        <x:v>0</x:v>
      </x:c>
      <x:c r="AA403" s="2" t="n">
        <x:v>118</x:v>
      </x:c>
      <x:c r="AB403" s="2" t="n">
        <x:f>ABS(K403-W403)</x:f>
        <x:v>1</x:v>
      </x:c>
      <x:c r="AC403" s="2" t="n">
        <x:f>COUNTIF($A$2:$A$1921,A403)-1</x:f>
        <x:v>0</x:v>
      </x:c>
      <x:c r="AD403" s="2" t="n">
        <x:f>IF(AND(D403=D402,H403=H402,C403=C402+1),ABS(R403-T402),0)</x:f>
        <x:v>0</x:v>
      </x:c>
    </x:row>
    <x:row r="404" ht="23" customHeight="1">
      <x:c r="A404" s="2" t="str">
        <x:v>DEMO-106-0-3</x:v>
      </x:c>
      <x:c r="B404" s="15" t="d">
        <x:v>2026-05-18T00:00:00.000Z</x:v>
      </x:c>
      <x:c r="C404" s="2" t="n">
        <x:v>3</x:v>
      </x:c>
      <x:c r="D404" s="2" t="str">
        <x:v>DEMO-106</x:v>
      </x:c>
      <x:c r="E404" s="2" t="str">
        <x:v>Sketch Folio</x:v>
      </x:c>
      <x:c r="F404" s="2" t="str">
        <x:v>Stationery</x:v>
      </x:c>
      <x:c r="G404" s="2" t="str">
        <x:v>Stores</x:v>
      </x:c>
      <x:c r="H404" s="2" t="str">
        <x:v>North Arcade</x:v>
      </x:c>
      <x:c r="I404" s="2" t="n">
        <x:v>13</x:v>
      </x:c>
      <x:c r="J404" s="2" t="n">
        <x:v>0</x:v>
      </x:c>
      <x:c r="K404" s="2" t="n">
        <x:f>I404-J404</x:f>
        <x:v>13</x:v>
      </x:c>
      <x:c r="L404" s="16" t="n">
        <x:v>22</x:v>
      </x:c>
      <x:c r="M404" s="16" t="n">
        <x:v>22</x:v>
      </x:c>
      <x:c r="N404" s="16" t="n">
        <x:v>10.67</x:v>
      </x:c>
      <x:c r="O404" s="16" t="n">
        <x:f>K404*M404</x:f>
        <x:v>286</x:v>
      </x:c>
      <x:c r="P404" s="16" t="n">
        <x:f>K404*N404</x:f>
        <x:v>138.71</x:v>
      </x:c>
      <x:c r="Q404" s="16" t="n">
        <x:f>O404-P404</x:f>
        <x:v>147.29</x:v>
      </x:c>
      <x:c r="R404" s="2" t="n">
        <x:v>118</x:v>
      </x:c>
      <x:c r="S404" s="2" t="n">
        <x:v>0</x:v>
      </x:c>
      <x:c r="T404" s="2" t="n">
        <x:f>R404+S404+J404-I404</x:f>
        <x:v>105</x:v>
      </x:c>
      <x:c r="U404" s="2" t="n">
        <x:v>0</x:v>
      </x:c>
      <x:c r="V404" s="2" t="n">
        <x:v>4</x:v>
      </x:c>
      <x:c r="W404" s="2" t="n">
        <x:v>16</x:v>
      </x:c>
      <x:c r="X404" s="14" t="b">
        <x:v>0</x:v>
      </x:c>
      <x:c r="Y404" s="14" t="b">
        <x:v>0</x:v>
      </x:c>
      <x:c r="Z404" s="2" t="n">
        <x:f>ABS(T404-AA404)</x:f>
        <x:v>0</x:v>
      </x:c>
      <x:c r="AA404" s="2" t="n">
        <x:v>105</x:v>
      </x:c>
      <x:c r="AB404" s="2" t="n">
        <x:f>ABS(K404-W404)</x:f>
        <x:v>3</x:v>
      </x:c>
      <x:c r="AC404" s="2" t="n">
        <x:f>COUNTIF($A$2:$A$1921,A404)-1</x:f>
        <x:v>0</x:v>
      </x:c>
      <x:c r="AD404" s="2" t="n">
        <x:f>IF(AND(D404=D403,H404=H403,C404=C403+1),ABS(R404-T403),0)</x:f>
        <x:v>0</x:v>
      </x:c>
    </x:row>
    <x:row r="405" ht="23" customHeight="1">
      <x:c r="A405" s="2" t="str">
        <x:v>DEMO-106-0-4</x:v>
      </x:c>
      <x:c r="B405" s="15" t="d">
        <x:v>2026-05-25T00:00:00.000Z</x:v>
      </x:c>
      <x:c r="C405" s="2" t="n">
        <x:v>4</x:v>
      </x:c>
      <x:c r="D405" s="2" t="str">
        <x:v>DEMO-106</x:v>
      </x:c>
      <x:c r="E405" s="2" t="str">
        <x:v>Sketch Folio</x:v>
      </x:c>
      <x:c r="F405" s="2" t="str">
        <x:v>Stationery</x:v>
      </x:c>
      <x:c r="G405" s="2" t="str">
        <x:v>Stores</x:v>
      </x:c>
      <x:c r="H405" s="2" t="str">
        <x:v>North Arcade</x:v>
      </x:c>
      <x:c r="I405" s="2" t="n">
        <x:v>14</x:v>
      </x:c>
      <x:c r="J405" s="2" t="n">
        <x:v>0</x:v>
      </x:c>
      <x:c r="K405" s="2" t="n">
        <x:f>I405-J405</x:f>
        <x:v>14</x:v>
      </x:c>
      <x:c r="L405" s="16" t="n">
        <x:v>22</x:v>
      </x:c>
      <x:c r="M405" s="16" t="n">
        <x:v>22</x:v>
      </x:c>
      <x:c r="N405" s="16" t="n">
        <x:v>10.67</x:v>
      </x:c>
      <x:c r="O405" s="16" t="n">
        <x:f>K405*M405</x:f>
        <x:v>308</x:v>
      </x:c>
      <x:c r="P405" s="16" t="n">
        <x:f>K405*N405</x:f>
        <x:v>149.38</x:v>
      </x:c>
      <x:c r="Q405" s="16" t="n">
        <x:f>O405-P405</x:f>
        <x:v>158.62</x:v>
      </x:c>
      <x:c r="R405" s="2" t="n">
        <x:v>105</x:v>
      </x:c>
      <x:c r="S405" s="2" t="n">
        <x:v>0</x:v>
      </x:c>
      <x:c r="T405" s="2" t="n">
        <x:f>R405+S405+J405-I405</x:f>
        <x:v>91</x:v>
      </x:c>
      <x:c r="U405" s="2" t="n">
        <x:v>0</x:v>
      </x:c>
      <x:c r="V405" s="2" t="n">
        <x:v>4</x:v>
      </x:c>
      <x:c r="W405" s="2" t="n">
        <x:v>15</x:v>
      </x:c>
      <x:c r="X405" s="14" t="b">
        <x:v>0</x:v>
      </x:c>
      <x:c r="Y405" s="14" t="b">
        <x:v>0</x:v>
      </x:c>
      <x:c r="Z405" s="2" t="n">
        <x:f>ABS(T405-AA405)</x:f>
        <x:v>0</x:v>
      </x:c>
      <x:c r="AA405" s="2" t="n">
        <x:v>91</x:v>
      </x:c>
      <x:c r="AB405" s="2" t="n">
        <x:f>ABS(K405-W405)</x:f>
        <x:v>1</x:v>
      </x:c>
      <x:c r="AC405" s="2" t="n">
        <x:f>COUNTIF($A$2:$A$1921,A405)-1</x:f>
        <x:v>0</x:v>
      </x:c>
      <x:c r="AD405" s="2" t="n">
        <x:f>IF(AND(D405=D404,H405=H404,C405=C404+1),ABS(R405-T404),0)</x:f>
        <x:v>0</x:v>
      </x:c>
    </x:row>
    <x:row r="406" ht="23" customHeight="1">
      <x:c r="A406" s="2" t="str">
        <x:v>DEMO-106-0-5</x:v>
      </x:c>
      <x:c r="B406" s="15" t="d">
        <x:v>2026-06-01T00:00:00.000Z</x:v>
      </x:c>
      <x:c r="C406" s="2" t="n">
        <x:v>5</x:v>
      </x:c>
      <x:c r="D406" s="2" t="str">
        <x:v>DEMO-106</x:v>
      </x:c>
      <x:c r="E406" s="2" t="str">
        <x:v>Sketch Folio</x:v>
      </x:c>
      <x:c r="F406" s="2" t="str">
        <x:v>Stationery</x:v>
      </x:c>
      <x:c r="G406" s="2" t="str">
        <x:v>Stores</x:v>
      </x:c>
      <x:c r="H406" s="2" t="str">
        <x:v>North Arcade</x:v>
      </x:c>
      <x:c r="I406" s="2" t="n">
        <x:v>14</x:v>
      </x:c>
      <x:c r="J406" s="2" t="n">
        <x:v>0</x:v>
      </x:c>
      <x:c r="K406" s="2" t="n">
        <x:f>I406-J406</x:f>
        <x:v>14</x:v>
      </x:c>
      <x:c r="L406" s="16" t="n">
        <x:v>22</x:v>
      </x:c>
      <x:c r="M406" s="16" t="n">
        <x:v>22</x:v>
      </x:c>
      <x:c r="N406" s="16" t="n">
        <x:v>10.67</x:v>
      </x:c>
      <x:c r="O406" s="16" t="n">
        <x:f>K406*M406</x:f>
        <x:v>308</x:v>
      </x:c>
      <x:c r="P406" s="16" t="n">
        <x:f>K406*N406</x:f>
        <x:v>149.38</x:v>
      </x:c>
      <x:c r="Q406" s="16" t="n">
        <x:f>O406-P406</x:f>
        <x:v>158.62</x:v>
      </x:c>
      <x:c r="R406" s="2" t="n">
        <x:v>91</x:v>
      </x:c>
      <x:c r="S406" s="2" t="n">
        <x:v>59</x:v>
      </x:c>
      <x:c r="T406" s="2" t="n">
        <x:f>R406+S406+J406-I406</x:f>
        <x:v>136</x:v>
      </x:c>
      <x:c r="U406" s="2" t="n">
        <x:v>0</x:v>
      </x:c>
      <x:c r="V406" s="2" t="n">
        <x:v>4</x:v>
      </x:c>
      <x:c r="W406" s="2" t="n">
        <x:v>15</x:v>
      </x:c>
      <x:c r="X406" s="14" t="b">
        <x:v>0</x:v>
      </x:c>
      <x:c r="Y406" s="14" t="b">
        <x:v>0</x:v>
      </x:c>
      <x:c r="Z406" s="2" t="n">
        <x:f>ABS(T406-AA406)</x:f>
        <x:v>0</x:v>
      </x:c>
      <x:c r="AA406" s="2" t="n">
        <x:v>136</x:v>
      </x:c>
      <x:c r="AB406" s="2" t="n">
        <x:f>ABS(K406-W406)</x:f>
        <x:v>1</x:v>
      </x:c>
      <x:c r="AC406" s="2" t="n">
        <x:f>COUNTIF($A$2:$A$1921,A406)-1</x:f>
        <x:v>0</x:v>
      </x:c>
      <x:c r="AD406" s="2" t="n">
        <x:f>IF(AND(D406=D405,H406=H405,C406=C405+1),ABS(R406-T405),0)</x:f>
        <x:v>0</x:v>
      </x:c>
    </x:row>
    <x:row r="407" ht="23" customHeight="1">
      <x:c r="A407" s="2" t="str">
        <x:v>DEMO-106-0-6</x:v>
      </x:c>
      <x:c r="B407" s="15" t="d">
        <x:v>2026-06-08T00:00:00.000Z</x:v>
      </x:c>
      <x:c r="C407" s="2" t="n">
        <x:v>6</x:v>
      </x:c>
      <x:c r="D407" s="2" t="str">
        <x:v>DEMO-106</x:v>
      </x:c>
      <x:c r="E407" s="2" t="str">
        <x:v>Sketch Folio</x:v>
      </x:c>
      <x:c r="F407" s="2" t="str">
        <x:v>Stationery</x:v>
      </x:c>
      <x:c r="G407" s="2" t="str">
        <x:v>Stores</x:v>
      </x:c>
      <x:c r="H407" s="2" t="str">
        <x:v>North Arcade</x:v>
      </x:c>
      <x:c r="I407" s="2" t="n">
        <x:v>14</x:v>
      </x:c>
      <x:c r="J407" s="2" t="n">
        <x:v>0</x:v>
      </x:c>
      <x:c r="K407" s="2" t="n">
        <x:f>I407-J407</x:f>
        <x:v>14</x:v>
      </x:c>
      <x:c r="L407" s="16" t="n">
        <x:v>22</x:v>
      </x:c>
      <x:c r="M407" s="16" t="n">
        <x:v>22</x:v>
      </x:c>
      <x:c r="N407" s="16" t="n">
        <x:v>10.67</x:v>
      </x:c>
      <x:c r="O407" s="16" t="n">
        <x:f>K407*M407</x:f>
        <x:v>308</x:v>
      </x:c>
      <x:c r="P407" s="16" t="n">
        <x:f>K407*N407</x:f>
        <x:v>149.38</x:v>
      </x:c>
      <x:c r="Q407" s="16" t="n">
        <x:f>O407-P407</x:f>
        <x:v>158.62</x:v>
      </x:c>
      <x:c r="R407" s="2" t="n">
        <x:v>136</x:v>
      </x:c>
      <x:c r="S407" s="2" t="n">
        <x:v>0</x:v>
      </x:c>
      <x:c r="T407" s="2" t="n">
        <x:f>R407+S407+J407-I407</x:f>
        <x:v>122</x:v>
      </x:c>
      <x:c r="U407" s="2" t="n">
        <x:v>0</x:v>
      </x:c>
      <x:c r="V407" s="2" t="n">
        <x:v>4</x:v>
      </x:c>
      <x:c r="W407" s="2" t="n">
        <x:v>14</x:v>
      </x:c>
      <x:c r="X407" s="14" t="b">
        <x:v>0</x:v>
      </x:c>
      <x:c r="Y407" s="14" t="b">
        <x:v>0</x:v>
      </x:c>
      <x:c r="Z407" s="2" t="n">
        <x:f>ABS(T407-AA407)</x:f>
        <x:v>0</x:v>
      </x:c>
      <x:c r="AA407" s="2" t="n">
        <x:v>122</x:v>
      </x:c>
      <x:c r="AB407" s="2" t="n">
        <x:f>ABS(K407-W407)</x:f>
        <x:v>0</x:v>
      </x:c>
      <x:c r="AC407" s="2" t="n">
        <x:f>COUNTIF($A$2:$A$1921,A407)-1</x:f>
        <x:v>0</x:v>
      </x:c>
      <x:c r="AD407" s="2" t="n">
        <x:f>IF(AND(D407=D406,H407=H406,C407=C406+1),ABS(R407-T406),0)</x:f>
        <x:v>0</x:v>
      </x:c>
    </x:row>
    <x:row r="408" ht="23" customHeight="1">
      <x:c r="A408" s="2" t="str">
        <x:v>DEMO-106-0-7</x:v>
      </x:c>
      <x:c r="B408" s="15" t="d">
        <x:v>2026-06-15T00:00:00.000Z</x:v>
      </x:c>
      <x:c r="C408" s="2" t="n">
        <x:v>7</x:v>
      </x:c>
      <x:c r="D408" s="2" t="str">
        <x:v>DEMO-106</x:v>
      </x:c>
      <x:c r="E408" s="2" t="str">
        <x:v>Sketch Folio</x:v>
      </x:c>
      <x:c r="F408" s="2" t="str">
        <x:v>Stationery</x:v>
      </x:c>
      <x:c r="G408" s="2" t="str">
        <x:v>Stores</x:v>
      </x:c>
      <x:c r="H408" s="2" t="str">
        <x:v>North Arcade</x:v>
      </x:c>
      <x:c r="I408" s="2" t="n">
        <x:v>16</x:v>
      </x:c>
      <x:c r="J408" s="2" t="n">
        <x:v>0</x:v>
      </x:c>
      <x:c r="K408" s="2" t="n">
        <x:f>I408-J408</x:f>
        <x:v>16</x:v>
      </x:c>
      <x:c r="L408" s="16" t="n">
        <x:v>22</x:v>
      </x:c>
      <x:c r="M408" s="16" t="n">
        <x:v>22</x:v>
      </x:c>
      <x:c r="N408" s="16" t="n">
        <x:v>10.67</x:v>
      </x:c>
      <x:c r="O408" s="16" t="n">
        <x:f>K408*M408</x:f>
        <x:v>352</x:v>
      </x:c>
      <x:c r="P408" s="16" t="n">
        <x:f>K408*N408</x:f>
        <x:v>170.72</x:v>
      </x:c>
      <x:c r="Q408" s="16" t="n">
        <x:f>O408-P408</x:f>
        <x:v>181.28</x:v>
      </x:c>
      <x:c r="R408" s="2" t="n">
        <x:v>122</x:v>
      </x:c>
      <x:c r="S408" s="2" t="n">
        <x:v>0</x:v>
      </x:c>
      <x:c r="T408" s="2" t="n">
        <x:f>R408+S408+J408-I408</x:f>
        <x:v>106</x:v>
      </x:c>
      <x:c r="U408" s="2" t="n">
        <x:v>0</x:v>
      </x:c>
      <x:c r="V408" s="2" t="n">
        <x:v>4</x:v>
      </x:c>
      <x:c r="W408" s="2" t="n">
        <x:v>14</x:v>
      </x:c>
      <x:c r="X408" s="14" t="b">
        <x:v>0</x:v>
      </x:c>
      <x:c r="Y408" s="14" t="b">
        <x:v>0</x:v>
      </x:c>
      <x:c r="Z408" s="2" t="n">
        <x:f>ABS(T408-AA408)</x:f>
        <x:v>0</x:v>
      </x:c>
      <x:c r="AA408" s="2" t="n">
        <x:v>106</x:v>
      </x:c>
      <x:c r="AB408" s="2" t="n">
        <x:f>ABS(K408-W408)</x:f>
        <x:v>2</x:v>
      </x:c>
      <x:c r="AC408" s="2" t="n">
        <x:f>COUNTIF($A$2:$A$1921,A408)-1</x:f>
        <x:v>0</x:v>
      </x:c>
      <x:c r="AD408" s="2" t="n">
        <x:f>IF(AND(D408=D407,H408=H407,C408=C407+1),ABS(R408-T407),0)</x:f>
        <x:v>0</x:v>
      </x:c>
    </x:row>
    <x:row r="409" ht="23" customHeight="1">
      <x:c r="A409" s="2" t="str">
        <x:v>DEMO-106-0-8</x:v>
      </x:c>
      <x:c r="B409" s="15" t="d">
        <x:v>2026-06-22T00:00:00.000Z</x:v>
      </x:c>
      <x:c r="C409" s="2" t="n">
        <x:v>8</x:v>
      </x:c>
      <x:c r="D409" s="2" t="str">
        <x:v>DEMO-106</x:v>
      </x:c>
      <x:c r="E409" s="2" t="str">
        <x:v>Sketch Folio</x:v>
      </x:c>
      <x:c r="F409" s="2" t="str">
        <x:v>Stationery</x:v>
      </x:c>
      <x:c r="G409" s="2" t="str">
        <x:v>Stores</x:v>
      </x:c>
      <x:c r="H409" s="2" t="str">
        <x:v>North Arcade</x:v>
      </x:c>
      <x:c r="I409" s="2" t="n">
        <x:v>14</x:v>
      </x:c>
      <x:c r="J409" s="2" t="n">
        <x:v>0</x:v>
      </x:c>
      <x:c r="K409" s="2" t="n">
        <x:f>I409-J409</x:f>
        <x:v>14</x:v>
      </x:c>
      <x:c r="L409" s="16" t="n">
        <x:v>22</x:v>
      </x:c>
      <x:c r="M409" s="16" t="n">
        <x:v>22</x:v>
      </x:c>
      <x:c r="N409" s="16" t="n">
        <x:v>10.67</x:v>
      </x:c>
      <x:c r="O409" s="16" t="n">
        <x:f>K409*M409</x:f>
        <x:v>308</x:v>
      </x:c>
      <x:c r="P409" s="16" t="n">
        <x:f>K409*N409</x:f>
        <x:v>149.38</x:v>
      </x:c>
      <x:c r="Q409" s="16" t="n">
        <x:f>O409-P409</x:f>
        <x:v>158.62</x:v>
      </x:c>
      <x:c r="R409" s="2" t="n">
        <x:v>106</x:v>
      </x:c>
      <x:c r="S409" s="2" t="n">
        <x:v>0</x:v>
      </x:c>
      <x:c r="T409" s="2" t="n">
        <x:f>R409+S409+J409-I409</x:f>
        <x:v>92</x:v>
      </x:c>
      <x:c r="U409" s="2" t="n">
        <x:v>0</x:v>
      </x:c>
      <x:c r="V409" s="2" t="n">
        <x:v>4</x:v>
      </x:c>
      <x:c r="W409" s="2" t="n">
        <x:v>15</x:v>
      </x:c>
      <x:c r="X409" s="14" t="b">
        <x:v>0</x:v>
      </x:c>
      <x:c r="Y409" s="14" t="b">
        <x:v>0</x:v>
      </x:c>
      <x:c r="Z409" s="2" t="n">
        <x:f>ABS(T409-AA409)</x:f>
        <x:v>0</x:v>
      </x:c>
      <x:c r="AA409" s="2" t="n">
        <x:v>92</x:v>
      </x:c>
      <x:c r="AB409" s="2" t="n">
        <x:f>ABS(K409-W409)</x:f>
        <x:v>1</x:v>
      </x:c>
      <x:c r="AC409" s="2" t="n">
        <x:f>COUNTIF($A$2:$A$1921,A409)-1</x:f>
        <x:v>0</x:v>
      </x:c>
      <x:c r="AD409" s="2" t="n">
        <x:f>IF(AND(D409=D408,H409=H408,C409=C408+1),ABS(R409-T408),0)</x:f>
        <x:v>0</x:v>
      </x:c>
    </x:row>
    <x:row r="410" ht="23" customHeight="1">
      <x:c r="A410" s="2" t="str">
        <x:v>DEMO-106-0-9</x:v>
      </x:c>
      <x:c r="B410" s="15" t="d">
        <x:v>2026-06-29T00:00:00.000Z</x:v>
      </x:c>
      <x:c r="C410" s="2" t="n">
        <x:v>9</x:v>
      </x:c>
      <x:c r="D410" s="2" t="str">
        <x:v>DEMO-106</x:v>
      </x:c>
      <x:c r="E410" s="2" t="str">
        <x:v>Sketch Folio</x:v>
      </x:c>
      <x:c r="F410" s="2" t="str">
        <x:v>Stationery</x:v>
      </x:c>
      <x:c r="G410" s="2" t="str">
        <x:v>Stores</x:v>
      </x:c>
      <x:c r="H410" s="2" t="str">
        <x:v>North Arcade</x:v>
      </x:c>
      <x:c r="I410" s="2" t="n">
        <x:v>15</x:v>
      </x:c>
      <x:c r="J410" s="2" t="n">
        <x:v>0</x:v>
      </x:c>
      <x:c r="K410" s="2" t="n">
        <x:f>I410-J410</x:f>
        <x:v>15</x:v>
      </x:c>
      <x:c r="L410" s="16" t="n">
        <x:v>22</x:v>
      </x:c>
      <x:c r="M410" s="16" t="n">
        <x:v>22</x:v>
      </x:c>
      <x:c r="N410" s="16" t="n">
        <x:v>10.67</x:v>
      </x:c>
      <x:c r="O410" s="16" t="n">
        <x:f>K410*M410</x:f>
        <x:v>330</x:v>
      </x:c>
      <x:c r="P410" s="16" t="n">
        <x:f>K410*N410</x:f>
        <x:v>160.05</x:v>
      </x:c>
      <x:c r="Q410" s="16" t="n">
        <x:f>O410-P410</x:f>
        <x:v>169.95</x:v>
      </x:c>
      <x:c r="R410" s="2" t="n">
        <x:v>92</x:v>
      </x:c>
      <x:c r="S410" s="2" t="n">
        <x:v>59</x:v>
      </x:c>
      <x:c r="T410" s="2" t="n">
        <x:f>R410+S410+J410-I410</x:f>
        <x:v>136</x:v>
      </x:c>
      <x:c r="U410" s="2" t="n">
        <x:v>0</x:v>
      </x:c>
      <x:c r="V410" s="2" t="n">
        <x:v>4</x:v>
      </x:c>
      <x:c r="W410" s="2" t="n">
        <x:v>15</x:v>
      </x:c>
      <x:c r="X410" s="14" t="b">
        <x:v>0</x:v>
      </x:c>
      <x:c r="Y410" s="14" t="b">
        <x:v>0</x:v>
      </x:c>
      <x:c r="Z410" s="2" t="n">
        <x:f>ABS(T410-AA410)</x:f>
        <x:v>0</x:v>
      </x:c>
      <x:c r="AA410" s="2" t="n">
        <x:v>136</x:v>
      </x:c>
      <x:c r="AB410" s="2" t="n">
        <x:f>ABS(K410-W410)</x:f>
        <x:v>0</x:v>
      </x:c>
      <x:c r="AC410" s="2" t="n">
        <x:f>COUNTIF($A$2:$A$1921,A410)-1</x:f>
        <x:v>0</x:v>
      </x:c>
      <x:c r="AD410" s="2" t="n">
        <x:f>IF(AND(D410=D409,H410=H409,C410=C409+1),ABS(R410-T409),0)</x:f>
        <x:v>0</x:v>
      </x:c>
    </x:row>
    <x:row r="411" ht="23" customHeight="1">
      <x:c r="A411" s="2" t="str">
        <x:v>DEMO-106-0-10</x:v>
      </x:c>
      <x:c r="B411" s="15" t="d">
        <x:v>2026-07-06T00:00:00.000Z</x:v>
      </x:c>
      <x:c r="C411" s="2" t="n">
        <x:v>10</x:v>
      </x:c>
      <x:c r="D411" s="2" t="str">
        <x:v>DEMO-106</x:v>
      </x:c>
      <x:c r="E411" s="2" t="str">
        <x:v>Sketch Folio</x:v>
      </x:c>
      <x:c r="F411" s="2" t="str">
        <x:v>Stationery</x:v>
      </x:c>
      <x:c r="G411" s="2" t="str">
        <x:v>Stores</x:v>
      </x:c>
      <x:c r="H411" s="2" t="str">
        <x:v>North Arcade</x:v>
      </x:c>
      <x:c r="I411" s="2" t="n">
        <x:v>12</x:v>
      </x:c>
      <x:c r="J411" s="2" t="n">
        <x:v>0</x:v>
      </x:c>
      <x:c r="K411" s="2" t="n">
        <x:f>I411-J411</x:f>
        <x:v>12</x:v>
      </x:c>
      <x:c r="L411" s="16" t="n">
        <x:v>22</x:v>
      </x:c>
      <x:c r="M411" s="16" t="n">
        <x:v>22</x:v>
      </x:c>
      <x:c r="N411" s="16" t="n">
        <x:v>10.67</x:v>
      </x:c>
      <x:c r="O411" s="16" t="n">
        <x:f>K411*M411</x:f>
        <x:v>264</x:v>
      </x:c>
      <x:c r="P411" s="16" t="n">
        <x:f>K411*N411</x:f>
        <x:v>128.04</x:v>
      </x:c>
      <x:c r="Q411" s="16" t="n">
        <x:f>O411-P411</x:f>
        <x:v>135.96</x:v>
      </x:c>
      <x:c r="R411" s="2" t="n">
        <x:v>136</x:v>
      </x:c>
      <x:c r="S411" s="2" t="n">
        <x:v>0</x:v>
      </x:c>
      <x:c r="T411" s="2" t="n">
        <x:f>R411+S411+J411-I411</x:f>
        <x:v>124</x:v>
      </x:c>
      <x:c r="U411" s="2" t="n">
        <x:v>0</x:v>
      </x:c>
      <x:c r="V411" s="2" t="n">
        <x:v>4</x:v>
      </x:c>
      <x:c r="W411" s="2" t="n">
        <x:v>15</x:v>
      </x:c>
      <x:c r="X411" s="14" t="b">
        <x:v>0</x:v>
      </x:c>
      <x:c r="Y411" s="14" t="b">
        <x:v>0</x:v>
      </x:c>
      <x:c r="Z411" s="2" t="n">
        <x:f>ABS(T411-AA411)</x:f>
        <x:v>0</x:v>
      </x:c>
      <x:c r="AA411" s="2" t="n">
        <x:v>124</x:v>
      </x:c>
      <x:c r="AB411" s="2" t="n">
        <x:f>ABS(K411-W411)</x:f>
        <x:v>3</x:v>
      </x:c>
      <x:c r="AC411" s="2" t="n">
        <x:f>COUNTIF($A$2:$A$1921,A411)-1</x:f>
        <x:v>0</x:v>
      </x:c>
      <x:c r="AD411" s="2" t="n">
        <x:f>IF(AND(D411=D410,H411=H410,C411=C410+1),ABS(R411-T410),0)</x:f>
        <x:v>0</x:v>
      </x:c>
    </x:row>
    <x:row r="412" ht="23" customHeight="1">
      <x:c r="A412" s="2" t="str">
        <x:v>DEMO-106-0-11</x:v>
      </x:c>
      <x:c r="B412" s="15" t="d">
        <x:v>2026-07-13T00:00:00.000Z</x:v>
      </x:c>
      <x:c r="C412" s="2" t="n">
        <x:v>11</x:v>
      </x:c>
      <x:c r="D412" s="2" t="str">
        <x:v>DEMO-106</x:v>
      </x:c>
      <x:c r="E412" s="2" t="str">
        <x:v>Sketch Folio</x:v>
      </x:c>
      <x:c r="F412" s="2" t="str">
        <x:v>Stationery</x:v>
      </x:c>
      <x:c r="G412" s="2" t="str">
        <x:v>Stores</x:v>
      </x:c>
      <x:c r="H412" s="2" t="str">
        <x:v>North Arcade</x:v>
      </x:c>
      <x:c r="I412" s="2" t="n">
        <x:v>14</x:v>
      </x:c>
      <x:c r="J412" s="2" t="n">
        <x:v>0</x:v>
      </x:c>
      <x:c r="K412" s="2" t="n">
        <x:f>I412-J412</x:f>
        <x:v>14</x:v>
      </x:c>
      <x:c r="L412" s="16" t="n">
        <x:v>22</x:v>
      </x:c>
      <x:c r="M412" s="16" t="n">
        <x:v>22</x:v>
      </x:c>
      <x:c r="N412" s="16" t="n">
        <x:v>10.67</x:v>
      </x:c>
      <x:c r="O412" s="16" t="n">
        <x:f>K412*M412</x:f>
        <x:v>308</x:v>
      </x:c>
      <x:c r="P412" s="16" t="n">
        <x:f>K412*N412</x:f>
        <x:v>149.38</x:v>
      </x:c>
      <x:c r="Q412" s="16" t="n">
        <x:f>O412-P412</x:f>
        <x:v>158.62</x:v>
      </x:c>
      <x:c r="R412" s="2" t="n">
        <x:v>124</x:v>
      </x:c>
      <x:c r="S412" s="2" t="n">
        <x:v>0</x:v>
      </x:c>
      <x:c r="T412" s="2" t="n">
        <x:f>R412+S412+J412-I412</x:f>
        <x:v>110</x:v>
      </x:c>
      <x:c r="U412" s="2" t="n">
        <x:v>0</x:v>
      </x:c>
      <x:c r="V412" s="2" t="n">
        <x:v>4</x:v>
      </x:c>
      <x:c r="W412" s="2" t="n">
        <x:v>14</x:v>
      </x:c>
      <x:c r="X412" s="14" t="b">
        <x:v>0</x:v>
      </x:c>
      <x:c r="Y412" s="14" t="b">
        <x:v>0</x:v>
      </x:c>
      <x:c r="Z412" s="2" t="n">
        <x:f>ABS(T412-AA412)</x:f>
        <x:v>0</x:v>
      </x:c>
      <x:c r="AA412" s="2" t="n">
        <x:v>110</x:v>
      </x:c>
      <x:c r="AB412" s="2" t="n">
        <x:f>ABS(K412-W412)</x:f>
        <x:v>0</x:v>
      </x:c>
      <x:c r="AC412" s="2" t="n">
        <x:f>COUNTIF($A$2:$A$1921,A412)-1</x:f>
        <x:v>0</x:v>
      </x:c>
      <x:c r="AD412" s="2" t="n">
        <x:f>IF(AND(D412=D411,H412=H411,C412=C411+1),ABS(R412-T411),0)</x:f>
        <x:v>0</x:v>
      </x:c>
    </x:row>
    <x:row r="413" ht="23" customHeight="1">
      <x:c r="A413" s="2" t="str">
        <x:v>DEMO-106-0-12</x:v>
      </x:c>
      <x:c r="B413" s="15" t="d">
        <x:v>2026-07-20T00:00:00.000Z</x:v>
      </x:c>
      <x:c r="C413" s="2" t="n">
        <x:v>12</x:v>
      </x:c>
      <x:c r="D413" s="2" t="str">
        <x:v>DEMO-106</x:v>
      </x:c>
      <x:c r="E413" s="2" t="str">
        <x:v>Sketch Folio</x:v>
      </x:c>
      <x:c r="F413" s="2" t="str">
        <x:v>Stationery</x:v>
      </x:c>
      <x:c r="G413" s="2" t="str">
        <x:v>Stores</x:v>
      </x:c>
      <x:c r="H413" s="2" t="str">
        <x:v>North Arcade</x:v>
      </x:c>
      <x:c r="I413" s="2" t="n">
        <x:v>12</x:v>
      </x:c>
      <x:c r="J413" s="2" t="n">
        <x:v>0</x:v>
      </x:c>
      <x:c r="K413" s="2" t="n">
        <x:f>I413-J413</x:f>
        <x:v>12</x:v>
      </x:c>
      <x:c r="L413" s="16" t="n">
        <x:v>22</x:v>
      </x:c>
      <x:c r="M413" s="16" t="n">
        <x:v>22</x:v>
      </x:c>
      <x:c r="N413" s="16" t="n">
        <x:v>10.67</x:v>
      </x:c>
      <x:c r="O413" s="16" t="n">
        <x:f>K413*M413</x:f>
        <x:v>264</x:v>
      </x:c>
      <x:c r="P413" s="16" t="n">
        <x:f>K413*N413</x:f>
        <x:v>128.04</x:v>
      </x:c>
      <x:c r="Q413" s="16" t="n">
        <x:f>O413-P413</x:f>
        <x:v>135.96</x:v>
      </x:c>
      <x:c r="R413" s="2" t="n">
        <x:v>110</x:v>
      </x:c>
      <x:c r="S413" s="2" t="n">
        <x:v>0</x:v>
      </x:c>
      <x:c r="T413" s="2" t="n">
        <x:f>R413+S413+J413-I413</x:f>
        <x:v>98</x:v>
      </x:c>
      <x:c r="U413" s="2" t="n">
        <x:v>0</x:v>
      </x:c>
      <x:c r="V413" s="2" t="n">
        <x:v>4</x:v>
      </x:c>
      <x:c r="W413" s="2" t="n">
        <x:v>14</x:v>
      </x:c>
      <x:c r="X413" s="14" t="b">
        <x:v>0</x:v>
      </x:c>
      <x:c r="Y413" s="14" t="b">
        <x:v>0</x:v>
      </x:c>
      <x:c r="Z413" s="2" t="n">
        <x:f>ABS(T413-AA413)</x:f>
        <x:v>0</x:v>
      </x:c>
      <x:c r="AA413" s="2" t="n">
        <x:v>98</x:v>
      </x:c>
      <x:c r="AB413" s="2" t="n">
        <x:f>ABS(K413-W413)</x:f>
        <x:v>2</x:v>
      </x:c>
      <x:c r="AC413" s="2" t="n">
        <x:f>COUNTIF($A$2:$A$1921,A413)-1</x:f>
        <x:v>0</x:v>
      </x:c>
      <x:c r="AD413" s="2" t="n">
        <x:f>IF(AND(D413=D412,H413=H412,C413=C412+1),ABS(R413-T412),0)</x:f>
        <x:v>0</x:v>
      </x:c>
    </x:row>
    <x:row r="414" ht="23" customHeight="1">
      <x:c r="A414" s="2" t="str">
        <x:v>DEMO-106-0-13</x:v>
      </x:c>
      <x:c r="B414" s="15" t="d">
        <x:v>2026-07-27T00:00:00.000Z</x:v>
      </x:c>
      <x:c r="C414" s="2" t="n">
        <x:v>13</x:v>
      </x:c>
      <x:c r="D414" s="2" t="str">
        <x:v>DEMO-106</x:v>
      </x:c>
      <x:c r="E414" s="2" t="str">
        <x:v>Sketch Folio</x:v>
      </x:c>
      <x:c r="F414" s="2" t="str">
        <x:v>Stationery</x:v>
      </x:c>
      <x:c r="G414" s="2" t="str">
        <x:v>Stores</x:v>
      </x:c>
      <x:c r="H414" s="2" t="str">
        <x:v>North Arcade</x:v>
      </x:c>
      <x:c r="I414" s="2" t="n">
        <x:v>13</x:v>
      </x:c>
      <x:c r="J414" s="2" t="n">
        <x:v>0</x:v>
      </x:c>
      <x:c r="K414" s="2" t="n">
        <x:f>I414-J414</x:f>
        <x:v>13</x:v>
      </x:c>
      <x:c r="L414" s="16" t="n">
        <x:v>22</x:v>
      </x:c>
      <x:c r="M414" s="16" t="n">
        <x:v>22</x:v>
      </x:c>
      <x:c r="N414" s="16" t="n">
        <x:v>10.67</x:v>
      </x:c>
      <x:c r="O414" s="16" t="n">
        <x:f>K414*M414</x:f>
        <x:v>286</x:v>
      </x:c>
      <x:c r="P414" s="16" t="n">
        <x:f>K414*N414</x:f>
        <x:v>138.71</x:v>
      </x:c>
      <x:c r="Q414" s="16" t="n">
        <x:f>O414-P414</x:f>
        <x:v>147.29</x:v>
      </x:c>
      <x:c r="R414" s="2" t="n">
        <x:v>98</x:v>
      </x:c>
      <x:c r="S414" s="2" t="n">
        <x:v>59</x:v>
      </x:c>
      <x:c r="T414" s="2" t="n">
        <x:f>R414+S414+J414-I414</x:f>
        <x:v>144</x:v>
      </x:c>
      <x:c r="U414" s="2" t="n">
        <x:v>0</x:v>
      </x:c>
      <x:c r="V414" s="2" t="n">
        <x:v>4</x:v>
      </x:c>
      <x:c r="W414" s="2" t="n">
        <x:v>13</x:v>
      </x:c>
      <x:c r="X414" s="14" t="b">
        <x:v>0</x:v>
      </x:c>
      <x:c r="Y414" s="14" t="b">
        <x:v>0</x:v>
      </x:c>
      <x:c r="Z414" s="2" t="n">
        <x:f>ABS(T414-AA414)</x:f>
        <x:v>0</x:v>
      </x:c>
      <x:c r="AA414" s="2" t="n">
        <x:v>144</x:v>
      </x:c>
      <x:c r="AB414" s="2" t="n">
        <x:f>ABS(K414-W414)</x:f>
        <x:v>0</x:v>
      </x:c>
      <x:c r="AC414" s="2" t="n">
        <x:f>COUNTIF($A$2:$A$1921,A414)-1</x:f>
        <x:v>0</x:v>
      </x:c>
      <x:c r="AD414" s="2" t="n">
        <x:f>IF(AND(D414=D413,H414=H413,C414=C413+1),ABS(R414-T413),0)</x:f>
        <x:v>0</x:v>
      </x:c>
    </x:row>
    <x:row r="415" ht="23" customHeight="1">
      <x:c r="A415" s="2" t="str">
        <x:v>DEMO-106-0-14</x:v>
      </x:c>
      <x:c r="B415" s="15" t="d">
        <x:v>2026-08-03T00:00:00.000Z</x:v>
      </x:c>
      <x:c r="C415" s="2" t="n">
        <x:v>14</x:v>
      </x:c>
      <x:c r="D415" s="2" t="str">
        <x:v>DEMO-106</x:v>
      </x:c>
      <x:c r="E415" s="2" t="str">
        <x:v>Sketch Folio</x:v>
      </x:c>
      <x:c r="F415" s="2" t="str">
        <x:v>Stationery</x:v>
      </x:c>
      <x:c r="G415" s="2" t="str">
        <x:v>Stores</x:v>
      </x:c>
      <x:c r="H415" s="2" t="str">
        <x:v>North Arcade</x:v>
      </x:c>
      <x:c r="I415" s="2" t="n">
        <x:v>16</x:v>
      </x:c>
      <x:c r="J415" s="2" t="n">
        <x:v>0</x:v>
      </x:c>
      <x:c r="K415" s="2" t="n">
        <x:f>I415-J415</x:f>
        <x:v>16</x:v>
      </x:c>
      <x:c r="L415" s="16" t="n">
        <x:v>22</x:v>
      </x:c>
      <x:c r="M415" s="16" t="n">
        <x:v>22</x:v>
      </x:c>
      <x:c r="N415" s="16" t="n">
        <x:v>10.67</x:v>
      </x:c>
      <x:c r="O415" s="16" t="n">
        <x:f>K415*M415</x:f>
        <x:v>352</x:v>
      </x:c>
      <x:c r="P415" s="16" t="n">
        <x:f>K415*N415</x:f>
        <x:v>170.72</x:v>
      </x:c>
      <x:c r="Q415" s="16" t="n">
        <x:f>O415-P415</x:f>
        <x:v>181.28</x:v>
      </x:c>
      <x:c r="R415" s="2" t="n">
        <x:v>144</x:v>
      </x:c>
      <x:c r="S415" s="2" t="n">
        <x:v>0</x:v>
      </x:c>
      <x:c r="T415" s="2" t="n">
        <x:f>R415+S415+J415-I415</x:f>
        <x:v>128</x:v>
      </x:c>
      <x:c r="U415" s="2" t="n">
        <x:v>0</x:v>
      </x:c>
      <x:c r="V415" s="2" t="n">
        <x:v>4</x:v>
      </x:c>
      <x:c r="W415" s="2" t="n">
        <x:v>13</x:v>
      </x:c>
      <x:c r="X415" s="14" t="b">
        <x:v>0</x:v>
      </x:c>
      <x:c r="Y415" s="14" t="b">
        <x:v>0</x:v>
      </x:c>
      <x:c r="Z415" s="2" t="n">
        <x:f>ABS(T415-AA415)</x:f>
        <x:v>0</x:v>
      </x:c>
      <x:c r="AA415" s="2" t="n">
        <x:v>128</x:v>
      </x:c>
      <x:c r="AB415" s="2" t="n">
        <x:f>ABS(K415-W415)</x:f>
        <x:v>3</x:v>
      </x:c>
      <x:c r="AC415" s="2" t="n">
        <x:f>COUNTIF($A$2:$A$1921,A415)-1</x:f>
        <x:v>0</x:v>
      </x:c>
      <x:c r="AD415" s="2" t="n">
        <x:f>IF(AND(D415=D414,H415=H414,C415=C414+1),ABS(R415-T414),0)</x:f>
        <x:v>0</x:v>
      </x:c>
    </x:row>
    <x:row r="416" ht="23" customHeight="1">
      <x:c r="A416" s="2" t="str">
        <x:v>DEMO-106-0-15</x:v>
      </x:c>
      <x:c r="B416" s="15" t="d">
        <x:v>2026-08-10T00:00:00.000Z</x:v>
      </x:c>
      <x:c r="C416" s="2" t="n">
        <x:v>15</x:v>
      </x:c>
      <x:c r="D416" s="2" t="str">
        <x:v>DEMO-106</x:v>
      </x:c>
      <x:c r="E416" s="2" t="str">
        <x:v>Sketch Folio</x:v>
      </x:c>
      <x:c r="F416" s="2" t="str">
        <x:v>Stationery</x:v>
      </x:c>
      <x:c r="G416" s="2" t="str">
        <x:v>Stores</x:v>
      </x:c>
      <x:c r="H416" s="2" t="str">
        <x:v>North Arcade</x:v>
      </x:c>
      <x:c r="I416" s="2" t="n">
        <x:v>14</x:v>
      </x:c>
      <x:c r="J416" s="2" t="n">
        <x:v>1</x:v>
      </x:c>
      <x:c r="K416" s="2" t="n">
        <x:f>I416-J416</x:f>
        <x:v>13</x:v>
      </x:c>
      <x:c r="L416" s="16" t="n">
        <x:v>22</x:v>
      </x:c>
      <x:c r="M416" s="16" t="n">
        <x:v>22</x:v>
      </x:c>
      <x:c r="N416" s="16" t="n">
        <x:v>10.67</x:v>
      </x:c>
      <x:c r="O416" s="16" t="n">
        <x:f>K416*M416</x:f>
        <x:v>286</x:v>
      </x:c>
      <x:c r="P416" s="16" t="n">
        <x:f>K416*N416</x:f>
        <x:v>138.71</x:v>
      </x:c>
      <x:c r="Q416" s="16" t="n">
        <x:f>O416-P416</x:f>
        <x:v>147.29</x:v>
      </x:c>
      <x:c r="R416" s="2" t="n">
        <x:v>128</x:v>
      </x:c>
      <x:c r="S416" s="2" t="n">
        <x:v>0</x:v>
      </x:c>
      <x:c r="T416" s="2" t="n">
        <x:f>R416+S416+J416-I416</x:f>
        <x:v>115</x:v>
      </x:c>
      <x:c r="U416" s="2" t="n">
        <x:v>0</x:v>
      </x:c>
      <x:c r="V416" s="2" t="n">
        <x:v>4</x:v>
      </x:c>
      <x:c r="W416" s="2" t="n">
        <x:v>14</x:v>
      </x:c>
      <x:c r="X416" s="14" t="b">
        <x:v>0</x:v>
      </x:c>
      <x:c r="Y416" s="14" t="b">
        <x:v>0</x:v>
      </x:c>
      <x:c r="Z416" s="2" t="n">
        <x:f>ABS(T416-AA416)</x:f>
        <x:v>0</x:v>
      </x:c>
      <x:c r="AA416" s="2" t="n">
        <x:v>115</x:v>
      </x:c>
      <x:c r="AB416" s="2" t="n">
        <x:f>ABS(K416-W416)</x:f>
        <x:v>1</x:v>
      </x:c>
      <x:c r="AC416" s="2" t="n">
        <x:f>COUNTIF($A$2:$A$1921,A416)-1</x:f>
        <x:v>0</x:v>
      </x:c>
      <x:c r="AD416" s="2" t="n">
        <x:f>IF(AND(D416=D415,H416=H415,C416=C415+1),ABS(R416-T415),0)</x:f>
        <x:v>0</x:v>
      </x:c>
    </x:row>
    <x:row r="417" ht="23" customHeight="1">
      <x:c r="A417" s="2" t="str">
        <x:v>DEMO-106-0-16</x:v>
      </x:c>
      <x:c r="B417" s="15" t="d">
        <x:v>2026-08-17T00:00:00.000Z</x:v>
      </x:c>
      <x:c r="C417" s="2" t="n">
        <x:v>16</x:v>
      </x:c>
      <x:c r="D417" s="2" t="str">
        <x:v>DEMO-106</x:v>
      </x:c>
      <x:c r="E417" s="2" t="str">
        <x:v>Sketch Folio</x:v>
      </x:c>
      <x:c r="F417" s="2" t="str">
        <x:v>Stationery</x:v>
      </x:c>
      <x:c r="G417" s="2" t="str">
        <x:v>Stores</x:v>
      </x:c>
      <x:c r="H417" s="2" t="str">
        <x:v>North Arcade</x:v>
      </x:c>
      <x:c r="I417" s="2" t="n">
        <x:v>15</x:v>
      </x:c>
      <x:c r="J417" s="2" t="n">
        <x:v>0</x:v>
      </x:c>
      <x:c r="K417" s="2" t="n">
        <x:f>I417-J417</x:f>
        <x:v>15</x:v>
      </x:c>
      <x:c r="L417" s="16" t="n">
        <x:v>22</x:v>
      </x:c>
      <x:c r="M417" s="16" t="n">
        <x:v>22</x:v>
      </x:c>
      <x:c r="N417" s="16" t="n">
        <x:v>10.67</x:v>
      </x:c>
      <x:c r="O417" s="16" t="n">
        <x:f>K417*M417</x:f>
        <x:v>330</x:v>
      </x:c>
      <x:c r="P417" s="16" t="n">
        <x:f>K417*N417</x:f>
        <x:v>160.05</x:v>
      </x:c>
      <x:c r="Q417" s="16" t="n">
        <x:f>O417-P417</x:f>
        <x:v>169.95</x:v>
      </x:c>
      <x:c r="R417" s="2" t="n">
        <x:v>115</x:v>
      </x:c>
      <x:c r="S417" s="2" t="n">
        <x:v>0</x:v>
      </x:c>
      <x:c r="T417" s="2" t="n">
        <x:f>R417+S417+J417-I417</x:f>
        <x:v>100</x:v>
      </x:c>
      <x:c r="U417" s="2" t="n">
        <x:v>0</x:v>
      </x:c>
      <x:c r="V417" s="2" t="n">
        <x:v>4</x:v>
      </x:c>
      <x:c r="W417" s="2" t="n">
        <x:v>14</x:v>
      </x:c>
      <x:c r="X417" s="14" t="b">
        <x:v>0</x:v>
      </x:c>
      <x:c r="Y417" s="14" t="b">
        <x:v>0</x:v>
      </x:c>
      <x:c r="Z417" s="2" t="n">
        <x:f>ABS(T417-AA417)</x:f>
        <x:v>0</x:v>
      </x:c>
      <x:c r="AA417" s="2" t="n">
        <x:v>100</x:v>
      </x:c>
      <x:c r="AB417" s="2" t="n">
        <x:f>ABS(K417-W417)</x:f>
        <x:v>1</x:v>
      </x:c>
      <x:c r="AC417" s="2" t="n">
        <x:f>COUNTIF($A$2:$A$1921,A417)-1</x:f>
        <x:v>0</x:v>
      </x:c>
      <x:c r="AD417" s="2" t="n">
        <x:f>IF(AND(D417=D416,H417=H416,C417=C416+1),ABS(R417-T416),0)</x:f>
        <x:v>0</x:v>
      </x:c>
    </x:row>
    <x:row r="418" ht="23" customHeight="1">
      <x:c r="A418" s="2" t="str">
        <x:v>DEMO-106-0-17</x:v>
      </x:c>
      <x:c r="B418" s="15" t="d">
        <x:v>2026-08-24T00:00:00.000Z</x:v>
      </x:c>
      <x:c r="C418" s="2" t="n">
        <x:v>17</x:v>
      </x:c>
      <x:c r="D418" s="2" t="str">
        <x:v>DEMO-106</x:v>
      </x:c>
      <x:c r="E418" s="2" t="str">
        <x:v>Sketch Folio</x:v>
      </x:c>
      <x:c r="F418" s="2" t="str">
        <x:v>Stationery</x:v>
      </x:c>
      <x:c r="G418" s="2" t="str">
        <x:v>Stores</x:v>
      </x:c>
      <x:c r="H418" s="2" t="str">
        <x:v>North Arcade</x:v>
      </x:c>
      <x:c r="I418" s="2" t="n">
        <x:v>16</x:v>
      </x:c>
      <x:c r="J418" s="2" t="n">
        <x:v>0</x:v>
      </x:c>
      <x:c r="K418" s="2" t="n">
        <x:f>I418-J418</x:f>
        <x:v>16</x:v>
      </x:c>
      <x:c r="L418" s="16" t="n">
        <x:v>22</x:v>
      </x:c>
      <x:c r="M418" s="16" t="n">
        <x:v>22</x:v>
      </x:c>
      <x:c r="N418" s="16" t="n">
        <x:v>10.67</x:v>
      </x:c>
      <x:c r="O418" s="16" t="n">
        <x:f>K418*M418</x:f>
        <x:v>352</x:v>
      </x:c>
      <x:c r="P418" s="16" t="n">
        <x:f>K418*N418</x:f>
        <x:v>170.72</x:v>
      </x:c>
      <x:c r="Q418" s="16" t="n">
        <x:f>O418-P418</x:f>
        <x:v>181.28</x:v>
      </x:c>
      <x:c r="R418" s="2" t="n">
        <x:v>100</x:v>
      </x:c>
      <x:c r="S418" s="2" t="n">
        <x:v>59</x:v>
      </x:c>
      <x:c r="T418" s="2" t="n">
        <x:f>R418+S418+J418-I418</x:f>
        <x:v>143</x:v>
      </x:c>
      <x:c r="U418" s="2" t="n">
        <x:v>0</x:v>
      </x:c>
      <x:c r="V418" s="2" t="n">
        <x:v>4</x:v>
      </x:c>
      <x:c r="W418" s="2" t="n">
        <x:v>14</x:v>
      </x:c>
      <x:c r="X418" s="14" t="b">
        <x:v>0</x:v>
      </x:c>
      <x:c r="Y418" s="14" t="b">
        <x:v>0</x:v>
      </x:c>
      <x:c r="Z418" s="2" t="n">
        <x:f>ABS(T418-AA418)</x:f>
        <x:v>0</x:v>
      </x:c>
      <x:c r="AA418" s="2" t="n">
        <x:v>143</x:v>
      </x:c>
      <x:c r="AB418" s="2" t="n">
        <x:f>ABS(K418-W418)</x:f>
        <x:v>2</x:v>
      </x:c>
      <x:c r="AC418" s="2" t="n">
        <x:f>COUNTIF($A$2:$A$1921,A418)-1</x:f>
        <x:v>0</x:v>
      </x:c>
      <x:c r="AD418" s="2" t="n">
        <x:f>IF(AND(D418=D417,H418=H417,C418=C417+1),ABS(R418-T417),0)</x:f>
        <x:v>0</x:v>
      </x:c>
    </x:row>
    <x:row r="419" ht="23" customHeight="1">
      <x:c r="A419" s="2" t="str">
        <x:v>DEMO-106-0-18</x:v>
      </x:c>
      <x:c r="B419" s="15" t="d">
        <x:v>2026-08-31T00:00:00.000Z</x:v>
      </x:c>
      <x:c r="C419" s="2" t="n">
        <x:v>18</x:v>
      </x:c>
      <x:c r="D419" s="2" t="str">
        <x:v>DEMO-106</x:v>
      </x:c>
      <x:c r="E419" s="2" t="str">
        <x:v>Sketch Folio</x:v>
      </x:c>
      <x:c r="F419" s="2" t="str">
        <x:v>Stationery</x:v>
      </x:c>
      <x:c r="G419" s="2" t="str">
        <x:v>Stores</x:v>
      </x:c>
      <x:c r="H419" s="2" t="str">
        <x:v>North Arcade</x:v>
      </x:c>
      <x:c r="I419" s="2" t="n">
        <x:v>15</x:v>
      </x:c>
      <x:c r="J419" s="2" t="n">
        <x:v>0</x:v>
      </x:c>
      <x:c r="K419" s="2" t="n">
        <x:f>I419-J419</x:f>
        <x:v>15</x:v>
      </x:c>
      <x:c r="L419" s="16" t="n">
        <x:v>22</x:v>
      </x:c>
      <x:c r="M419" s="16" t="n">
        <x:v>22</x:v>
      </x:c>
      <x:c r="N419" s="16" t="n">
        <x:v>10.67</x:v>
      </x:c>
      <x:c r="O419" s="16" t="n">
        <x:f>K419*M419</x:f>
        <x:v>330</x:v>
      </x:c>
      <x:c r="P419" s="16" t="n">
        <x:f>K419*N419</x:f>
        <x:v>160.05</x:v>
      </x:c>
      <x:c r="Q419" s="16" t="n">
        <x:f>O419-P419</x:f>
        <x:v>169.95</x:v>
      </x:c>
      <x:c r="R419" s="2" t="n">
        <x:v>143</x:v>
      </x:c>
      <x:c r="S419" s="2" t="n">
        <x:v>0</x:v>
      </x:c>
      <x:c r="T419" s="2" t="n">
        <x:f>R419+S419+J419-I419</x:f>
        <x:v>128</x:v>
      </x:c>
      <x:c r="U419" s="2" t="n">
        <x:v>0</x:v>
      </x:c>
      <x:c r="V419" s="2" t="n">
        <x:v>4</x:v>
      </x:c>
      <x:c r="W419" s="2" t="n">
        <x:v>15</x:v>
      </x:c>
      <x:c r="X419" s="14" t="b">
        <x:v>0</x:v>
      </x:c>
      <x:c r="Y419" s="14" t="b">
        <x:v>0</x:v>
      </x:c>
      <x:c r="Z419" s="2" t="n">
        <x:f>ABS(T419-AA419)</x:f>
        <x:v>0</x:v>
      </x:c>
      <x:c r="AA419" s="2" t="n">
        <x:v>128</x:v>
      </x:c>
      <x:c r="AB419" s="2" t="n">
        <x:f>ABS(K419-W419)</x:f>
        <x:v>0</x:v>
      </x:c>
      <x:c r="AC419" s="2" t="n">
        <x:f>COUNTIF($A$2:$A$1921,A419)-1</x:f>
        <x:v>0</x:v>
      </x:c>
      <x:c r="AD419" s="2" t="n">
        <x:f>IF(AND(D419=D418,H419=H418,C419=C418+1),ABS(R419-T418),0)</x:f>
        <x:v>0</x:v>
      </x:c>
    </x:row>
    <x:row r="420" ht="23" customHeight="1">
      <x:c r="A420" s="2" t="str">
        <x:v>DEMO-106-0-19</x:v>
      </x:c>
      <x:c r="B420" s="15" t="d">
        <x:v>2026-09-07T00:00:00.000Z</x:v>
      </x:c>
      <x:c r="C420" s="2" t="n">
        <x:v>19</x:v>
      </x:c>
      <x:c r="D420" s="2" t="str">
        <x:v>DEMO-106</x:v>
      </x:c>
      <x:c r="E420" s="2" t="str">
        <x:v>Sketch Folio</x:v>
      </x:c>
      <x:c r="F420" s="2" t="str">
        <x:v>Stationery</x:v>
      </x:c>
      <x:c r="G420" s="2" t="str">
        <x:v>Stores</x:v>
      </x:c>
      <x:c r="H420" s="2" t="str">
        <x:v>North Arcade</x:v>
      </x:c>
      <x:c r="I420" s="2" t="n">
        <x:v>14</x:v>
      </x:c>
      <x:c r="J420" s="2" t="n">
        <x:v>0</x:v>
      </x:c>
      <x:c r="K420" s="2" t="n">
        <x:f>I420-J420</x:f>
        <x:v>14</x:v>
      </x:c>
      <x:c r="L420" s="16" t="n">
        <x:v>22</x:v>
      </x:c>
      <x:c r="M420" s="16" t="n">
        <x:v>22</x:v>
      </x:c>
      <x:c r="N420" s="16" t="n">
        <x:v>10.67</x:v>
      </x:c>
      <x:c r="O420" s="16" t="n">
        <x:f>K420*M420</x:f>
        <x:v>308</x:v>
      </x:c>
      <x:c r="P420" s="16" t="n">
        <x:f>K420*N420</x:f>
        <x:v>149.38</x:v>
      </x:c>
      <x:c r="Q420" s="16" t="n">
        <x:f>O420-P420</x:f>
        <x:v>158.62</x:v>
      </x:c>
      <x:c r="R420" s="2" t="n">
        <x:v>128</x:v>
      </x:c>
      <x:c r="S420" s="2" t="n">
        <x:v>0</x:v>
      </x:c>
      <x:c r="T420" s="2" t="n">
        <x:f>R420+S420+J420-I420</x:f>
        <x:v>114</x:v>
      </x:c>
      <x:c r="U420" s="2" t="n">
        <x:v>0</x:v>
      </x:c>
      <x:c r="V420" s="2" t="n">
        <x:v>4</x:v>
      </x:c>
      <x:c r="W420" s="2" t="n">
        <x:v>15</x:v>
      </x:c>
      <x:c r="X420" s="14" t="b">
        <x:v>0</x:v>
      </x:c>
      <x:c r="Y420" s="14" t="b">
        <x:v>0</x:v>
      </x:c>
      <x:c r="Z420" s="2" t="n">
        <x:f>ABS(T420-AA420)</x:f>
        <x:v>0</x:v>
      </x:c>
      <x:c r="AA420" s="2" t="n">
        <x:v>114</x:v>
      </x:c>
      <x:c r="AB420" s="2" t="n">
        <x:f>ABS(K420-W420)</x:f>
        <x:v>1</x:v>
      </x:c>
      <x:c r="AC420" s="2" t="n">
        <x:f>COUNTIF($A$2:$A$1921,A420)-1</x:f>
        <x:v>0</x:v>
      </x:c>
      <x:c r="AD420" s="2" t="n">
        <x:f>IF(AND(D420=D419,H420=H419,C420=C419+1),ABS(R420-T419),0)</x:f>
        <x:v>0</x:v>
      </x:c>
    </x:row>
    <x:row r="421" ht="23" customHeight="1">
      <x:c r="A421" s="2" t="str">
        <x:v>DEMO-106-0-20</x:v>
      </x:c>
      <x:c r="B421" s="15" t="d">
        <x:v>2026-09-14T00:00:00.000Z</x:v>
      </x:c>
      <x:c r="C421" s="2" t="n">
        <x:v>20</x:v>
      </x:c>
      <x:c r="D421" s="2" t="str">
        <x:v>DEMO-106</x:v>
      </x:c>
      <x:c r="E421" s="2" t="str">
        <x:v>Sketch Folio</x:v>
      </x:c>
      <x:c r="F421" s="2" t="str">
        <x:v>Stationery</x:v>
      </x:c>
      <x:c r="G421" s="2" t="str">
        <x:v>Stores</x:v>
      </x:c>
      <x:c r="H421" s="2" t="str">
        <x:v>North Arcade</x:v>
      </x:c>
      <x:c r="I421" s="2" t="n">
        <x:v>16</x:v>
      </x:c>
      <x:c r="J421" s="2" t="n">
        <x:v>1</x:v>
      </x:c>
      <x:c r="K421" s="2" t="n">
        <x:f>I421-J421</x:f>
        <x:v>15</x:v>
      </x:c>
      <x:c r="L421" s="16" t="n">
        <x:v>22</x:v>
      </x:c>
      <x:c r="M421" s="16" t="n">
        <x:v>22</x:v>
      </x:c>
      <x:c r="N421" s="16" t="n">
        <x:v>10.67</x:v>
      </x:c>
      <x:c r="O421" s="16" t="n">
        <x:f>K421*M421</x:f>
        <x:v>330</x:v>
      </x:c>
      <x:c r="P421" s="16" t="n">
        <x:f>K421*N421</x:f>
        <x:v>160.05</x:v>
      </x:c>
      <x:c r="Q421" s="16" t="n">
        <x:f>O421-P421</x:f>
        <x:v>169.95</x:v>
      </x:c>
      <x:c r="R421" s="2" t="n">
        <x:v>114</x:v>
      </x:c>
      <x:c r="S421" s="2" t="n">
        <x:v>0</x:v>
      </x:c>
      <x:c r="T421" s="2" t="n">
        <x:f>R421+S421+J421-I421</x:f>
        <x:v>99</x:v>
      </x:c>
      <x:c r="U421" s="2" t="n">
        <x:v>18</x:v>
      </x:c>
      <x:c r="V421" s="2" t="n">
        <x:v>4</x:v>
      </x:c>
      <x:c r="W421" s="2" t="n">
        <x:v>15</x:v>
      </x:c>
      <x:c r="X421" s="14" t="b">
        <x:v>0</x:v>
      </x:c>
      <x:c r="Y421" s="14" t="b">
        <x:v>0</x:v>
      </x:c>
      <x:c r="Z421" s="2" t="n">
        <x:f>ABS(T421-AA421)</x:f>
        <x:v>0</x:v>
      </x:c>
      <x:c r="AA421" s="2" t="n">
        <x:v>99</x:v>
      </x:c>
      <x:c r="AB421" s="2" t="n">
        <x:f>ABS(K421-W421)</x:f>
        <x:v>0</x:v>
      </x:c>
      <x:c r="AC421" s="2" t="n">
        <x:f>COUNTIF($A$2:$A$1921,A421)-1</x:f>
        <x:v>0</x:v>
      </x:c>
      <x:c r="AD421" s="2" t="n">
        <x:f>IF(AND(D421=D420,H421=H420,C421=C420+1),ABS(R421-T420),0)</x:f>
        <x:v>0</x:v>
      </x:c>
    </x:row>
    <x:row r="422" ht="23" customHeight="1">
      <x:c r="A422" s="2" t="str">
        <x:v>DEMO-106-1-1</x:v>
      </x:c>
      <x:c r="B422" s="15" t="d">
        <x:v>2026-05-04T00:00:00.000Z</x:v>
      </x:c>
      <x:c r="C422" s="2" t="n">
        <x:v>1</x:v>
      </x:c>
      <x:c r="D422" s="2" t="str">
        <x:v>DEMO-106</x:v>
      </x:c>
      <x:c r="E422" s="2" t="str">
        <x:v>Sketch Folio</x:v>
      </x:c>
      <x:c r="F422" s="2" t="str">
        <x:v>Stationery</x:v>
      </x:c>
      <x:c r="G422" s="2" t="str">
        <x:v>Stores</x:v>
      </x:c>
      <x:c r="H422" s="2" t="str">
        <x:v>Riverside</x:v>
      </x:c>
      <x:c r="I422" s="2" t="n">
        <x:v>16</x:v>
      </x:c>
      <x:c r="J422" s="2" t="n">
        <x:v>0</x:v>
      </x:c>
      <x:c r="K422" s="2" t="n">
        <x:f>I422-J422</x:f>
        <x:v>16</x:v>
      </x:c>
      <x:c r="L422" s="16" t="n">
        <x:v>22</x:v>
      </x:c>
      <x:c r="M422" s="16" t="n">
        <x:v>22</x:v>
      </x:c>
      <x:c r="N422" s="16" t="n">
        <x:v>10.67</x:v>
      </x:c>
      <x:c r="O422" s="16" t="n">
        <x:f>K422*M422</x:f>
        <x:v>352</x:v>
      </x:c>
      <x:c r="P422" s="16" t="n">
        <x:f>K422*N422</x:f>
        <x:v>170.72</x:v>
      </x:c>
      <x:c r="Q422" s="16" t="n">
        <x:f>O422-P422</x:f>
        <x:v>181.28</x:v>
      </x:c>
      <x:c r="R422" s="2" t="n">
        <x:v>90</x:v>
      </x:c>
      <x:c r="S422" s="2" t="n">
        <x:v>59</x:v>
      </x:c>
      <x:c r="T422" s="2" t="n">
        <x:f>R422+S422+J422-I422</x:f>
        <x:v>133</x:v>
      </x:c>
      <x:c r="U422" s="2" t="n">
        <x:v>0</x:v>
      </x:c>
      <x:c r="V422" s="2" t="n">
        <x:v>4</x:v>
      </x:c>
      <x:c r="W422" s="2" t="n">
        <x:v>14</x:v>
      </x:c>
      <x:c r="X422" s="14" t="b">
        <x:v>0</x:v>
      </x:c>
      <x:c r="Y422" s="14" t="b">
        <x:v>0</x:v>
      </x:c>
      <x:c r="Z422" s="2" t="n">
        <x:f>ABS(T422-AA422)</x:f>
        <x:v>0</x:v>
      </x:c>
      <x:c r="AA422" s="2" t="n">
        <x:v>133</x:v>
      </x:c>
      <x:c r="AB422" s="2" t="n">
        <x:f>ABS(K422-W422)</x:f>
        <x:v>2</x:v>
      </x:c>
      <x:c r="AC422" s="2" t="n">
        <x:f>COUNTIF($A$2:$A$1921,A422)-1</x:f>
        <x:v>0</x:v>
      </x:c>
      <x:c r="AD422" s="2" t="n">
        <x:f>IF(AND(D422=D421,H422=H421,C422=C421+1),ABS(R422-T421),0)</x:f>
        <x:v>0</x:v>
      </x:c>
    </x:row>
    <x:row r="423" ht="23" customHeight="1">
      <x:c r="A423" s="2" t="str">
        <x:v>DEMO-106-1-2</x:v>
      </x:c>
      <x:c r="B423" s="15" t="d">
        <x:v>2026-05-11T00:00:00.000Z</x:v>
      </x:c>
      <x:c r="C423" s="2" t="n">
        <x:v>2</x:v>
      </x:c>
      <x:c r="D423" s="2" t="str">
        <x:v>DEMO-106</x:v>
      </x:c>
      <x:c r="E423" s="2" t="str">
        <x:v>Sketch Folio</x:v>
      </x:c>
      <x:c r="F423" s="2" t="str">
        <x:v>Stationery</x:v>
      </x:c>
      <x:c r="G423" s="2" t="str">
        <x:v>Stores</x:v>
      </x:c>
      <x:c r="H423" s="2" t="str">
        <x:v>Riverside</x:v>
      </x:c>
      <x:c r="I423" s="2" t="n">
        <x:v>13</x:v>
      </x:c>
      <x:c r="J423" s="2" t="n">
        <x:v>0</x:v>
      </x:c>
      <x:c r="K423" s="2" t="n">
        <x:f>I423-J423</x:f>
        <x:v>13</x:v>
      </x:c>
      <x:c r="L423" s="16" t="n">
        <x:v>22</x:v>
      </x:c>
      <x:c r="M423" s="16" t="n">
        <x:v>22</x:v>
      </x:c>
      <x:c r="N423" s="16" t="n">
        <x:v>10.67</x:v>
      </x:c>
      <x:c r="O423" s="16" t="n">
        <x:f>K423*M423</x:f>
        <x:v>286</x:v>
      </x:c>
      <x:c r="P423" s="16" t="n">
        <x:f>K423*N423</x:f>
        <x:v>138.71</x:v>
      </x:c>
      <x:c r="Q423" s="16" t="n">
        <x:f>O423-P423</x:f>
        <x:v>147.29</x:v>
      </x:c>
      <x:c r="R423" s="2" t="n">
        <x:v>133</x:v>
      </x:c>
      <x:c r="S423" s="2" t="n">
        <x:v>0</x:v>
      </x:c>
      <x:c r="T423" s="2" t="n">
        <x:f>R423+S423+J423-I423</x:f>
        <x:v>120</x:v>
      </x:c>
      <x:c r="U423" s="2" t="n">
        <x:v>0</x:v>
      </x:c>
      <x:c r="V423" s="2" t="n">
        <x:v>4</x:v>
      </x:c>
      <x:c r="W423" s="2" t="n">
        <x:v>16</x:v>
      </x:c>
      <x:c r="X423" s="14" t="b">
        <x:v>0</x:v>
      </x:c>
      <x:c r="Y423" s="14" t="b">
        <x:v>0</x:v>
      </x:c>
      <x:c r="Z423" s="2" t="n">
        <x:f>ABS(T423-AA423)</x:f>
        <x:v>0</x:v>
      </x:c>
      <x:c r="AA423" s="2" t="n">
        <x:v>120</x:v>
      </x:c>
      <x:c r="AB423" s="2" t="n">
        <x:f>ABS(K423-W423)</x:f>
        <x:v>3</x:v>
      </x:c>
      <x:c r="AC423" s="2" t="n">
        <x:f>COUNTIF($A$2:$A$1921,A423)-1</x:f>
        <x:v>0</x:v>
      </x:c>
      <x:c r="AD423" s="2" t="n">
        <x:f>IF(AND(D423=D422,H423=H422,C423=C422+1),ABS(R423-T422),0)</x:f>
        <x:v>0</x:v>
      </x:c>
    </x:row>
    <x:row r="424" ht="23" customHeight="1">
      <x:c r="A424" s="2" t="str">
        <x:v>DEMO-106-1-3</x:v>
      </x:c>
      <x:c r="B424" s="15" t="d">
        <x:v>2026-05-18T00:00:00.000Z</x:v>
      </x:c>
      <x:c r="C424" s="2" t="n">
        <x:v>3</x:v>
      </x:c>
      <x:c r="D424" s="2" t="str">
        <x:v>DEMO-106</x:v>
      </x:c>
      <x:c r="E424" s="2" t="str">
        <x:v>Sketch Folio</x:v>
      </x:c>
      <x:c r="F424" s="2" t="str">
        <x:v>Stationery</x:v>
      </x:c>
      <x:c r="G424" s="2" t="str">
        <x:v>Stores</x:v>
      </x:c>
      <x:c r="H424" s="2" t="str">
        <x:v>Riverside</x:v>
      </x:c>
      <x:c r="I424" s="2" t="n">
        <x:v>14</x:v>
      </x:c>
      <x:c r="J424" s="2" t="n">
        <x:v>0</x:v>
      </x:c>
      <x:c r="K424" s="2" t="n">
        <x:f>I424-J424</x:f>
        <x:v>14</x:v>
      </x:c>
      <x:c r="L424" s="16" t="n">
        <x:v>22</x:v>
      </x:c>
      <x:c r="M424" s="16" t="n">
        <x:v>22</x:v>
      </x:c>
      <x:c r="N424" s="16" t="n">
        <x:v>10.67</x:v>
      </x:c>
      <x:c r="O424" s="16" t="n">
        <x:f>K424*M424</x:f>
        <x:v>308</x:v>
      </x:c>
      <x:c r="P424" s="16" t="n">
        <x:f>K424*N424</x:f>
        <x:v>149.38</x:v>
      </x:c>
      <x:c r="Q424" s="16" t="n">
        <x:f>O424-P424</x:f>
        <x:v>158.62</x:v>
      </x:c>
      <x:c r="R424" s="2" t="n">
        <x:v>120</x:v>
      </x:c>
      <x:c r="S424" s="2" t="n">
        <x:v>0</x:v>
      </x:c>
      <x:c r="T424" s="2" t="n">
        <x:f>R424+S424+J424-I424</x:f>
        <x:v>106</x:v>
      </x:c>
      <x:c r="U424" s="2" t="n">
        <x:v>0</x:v>
      </x:c>
      <x:c r="V424" s="2" t="n">
        <x:v>4</x:v>
      </x:c>
      <x:c r="W424" s="2" t="n">
        <x:v>15</x:v>
      </x:c>
      <x:c r="X424" s="14" t="b">
        <x:v>0</x:v>
      </x:c>
      <x:c r="Y424" s="14" t="b">
        <x:v>0</x:v>
      </x:c>
      <x:c r="Z424" s="2" t="n">
        <x:f>ABS(T424-AA424)</x:f>
        <x:v>0</x:v>
      </x:c>
      <x:c r="AA424" s="2" t="n">
        <x:v>106</x:v>
      </x:c>
      <x:c r="AB424" s="2" t="n">
        <x:f>ABS(K424-W424)</x:f>
        <x:v>1</x:v>
      </x:c>
      <x:c r="AC424" s="2" t="n">
        <x:f>COUNTIF($A$2:$A$1921,A424)-1</x:f>
        <x:v>0</x:v>
      </x:c>
      <x:c r="AD424" s="2" t="n">
        <x:f>IF(AND(D424=D423,H424=H423,C424=C423+1),ABS(R424-T423),0)</x:f>
        <x:v>0</x:v>
      </x:c>
    </x:row>
    <x:row r="425" ht="23" customHeight="1">
      <x:c r="A425" s="2" t="str">
        <x:v>DEMO-106-1-4</x:v>
      </x:c>
      <x:c r="B425" s="15" t="d">
        <x:v>2026-05-25T00:00:00.000Z</x:v>
      </x:c>
      <x:c r="C425" s="2" t="n">
        <x:v>4</x:v>
      </x:c>
      <x:c r="D425" s="2" t="str">
        <x:v>DEMO-106</x:v>
      </x:c>
      <x:c r="E425" s="2" t="str">
        <x:v>Sketch Folio</x:v>
      </x:c>
      <x:c r="F425" s="2" t="str">
        <x:v>Stationery</x:v>
      </x:c>
      <x:c r="G425" s="2" t="str">
        <x:v>Stores</x:v>
      </x:c>
      <x:c r="H425" s="2" t="str">
        <x:v>Riverside</x:v>
      </x:c>
      <x:c r="I425" s="2" t="n">
        <x:v>14</x:v>
      </x:c>
      <x:c r="J425" s="2" t="n">
        <x:v>1</x:v>
      </x:c>
      <x:c r="K425" s="2" t="n">
        <x:f>I425-J425</x:f>
        <x:v>13</x:v>
      </x:c>
      <x:c r="L425" s="16" t="n">
        <x:v>22</x:v>
      </x:c>
      <x:c r="M425" s="16" t="n">
        <x:v>22</x:v>
      </x:c>
      <x:c r="N425" s="16" t="n">
        <x:v>10.67</x:v>
      </x:c>
      <x:c r="O425" s="16" t="n">
        <x:f>K425*M425</x:f>
        <x:v>286</x:v>
      </x:c>
      <x:c r="P425" s="16" t="n">
        <x:f>K425*N425</x:f>
        <x:v>138.71</x:v>
      </x:c>
      <x:c r="Q425" s="16" t="n">
        <x:f>O425-P425</x:f>
        <x:v>147.29</x:v>
      </x:c>
      <x:c r="R425" s="2" t="n">
        <x:v>106</x:v>
      </x:c>
      <x:c r="S425" s="2" t="n">
        <x:v>0</x:v>
      </x:c>
      <x:c r="T425" s="2" t="n">
        <x:f>R425+S425+J425-I425</x:f>
        <x:v>93</x:v>
      </x:c>
      <x:c r="U425" s="2" t="n">
        <x:v>0</x:v>
      </x:c>
      <x:c r="V425" s="2" t="n">
        <x:v>4</x:v>
      </x:c>
      <x:c r="W425" s="2" t="n">
        <x:v>14</x:v>
      </x:c>
      <x:c r="X425" s="14" t="b">
        <x:v>0</x:v>
      </x:c>
      <x:c r="Y425" s="14" t="b">
        <x:v>0</x:v>
      </x:c>
      <x:c r="Z425" s="2" t="n">
        <x:f>ABS(T425-AA425)</x:f>
        <x:v>0</x:v>
      </x:c>
      <x:c r="AA425" s="2" t="n">
        <x:v>93</x:v>
      </x:c>
      <x:c r="AB425" s="2" t="n">
        <x:f>ABS(K425-W425)</x:f>
        <x:v>1</x:v>
      </x:c>
      <x:c r="AC425" s="2" t="n">
        <x:f>COUNTIF($A$2:$A$1921,A425)-1</x:f>
        <x:v>0</x:v>
      </x:c>
      <x:c r="AD425" s="2" t="n">
        <x:f>IF(AND(D425=D424,H425=H424,C425=C424+1),ABS(R425-T424),0)</x:f>
        <x:v>0</x:v>
      </x:c>
    </x:row>
    <x:row r="426" ht="23" customHeight="1">
      <x:c r="A426" s="2" t="str">
        <x:v>DEMO-106-1-5</x:v>
      </x:c>
      <x:c r="B426" s="15" t="d">
        <x:v>2026-06-01T00:00:00.000Z</x:v>
      </x:c>
      <x:c r="C426" s="2" t="n">
        <x:v>5</x:v>
      </x:c>
      <x:c r="D426" s="2" t="str">
        <x:v>DEMO-106</x:v>
      </x:c>
      <x:c r="E426" s="2" t="str">
        <x:v>Sketch Folio</x:v>
      </x:c>
      <x:c r="F426" s="2" t="str">
        <x:v>Stationery</x:v>
      </x:c>
      <x:c r="G426" s="2" t="str">
        <x:v>Stores</x:v>
      </x:c>
      <x:c r="H426" s="2" t="str">
        <x:v>Riverside</x:v>
      </x:c>
      <x:c r="I426" s="2" t="n">
        <x:v>14</x:v>
      </x:c>
      <x:c r="J426" s="2" t="n">
        <x:v>0</x:v>
      </x:c>
      <x:c r="K426" s="2" t="n">
        <x:f>I426-J426</x:f>
        <x:v>14</x:v>
      </x:c>
      <x:c r="L426" s="16" t="n">
        <x:v>22</x:v>
      </x:c>
      <x:c r="M426" s="16" t="n">
        <x:v>22</x:v>
      </x:c>
      <x:c r="N426" s="16" t="n">
        <x:v>10.67</x:v>
      </x:c>
      <x:c r="O426" s="16" t="n">
        <x:f>K426*M426</x:f>
        <x:v>308</x:v>
      </x:c>
      <x:c r="P426" s="16" t="n">
        <x:f>K426*N426</x:f>
        <x:v>149.38</x:v>
      </x:c>
      <x:c r="Q426" s="16" t="n">
        <x:f>O426-P426</x:f>
        <x:v>158.62</x:v>
      </x:c>
      <x:c r="R426" s="2" t="n">
        <x:v>93</x:v>
      </x:c>
      <x:c r="S426" s="2" t="n">
        <x:v>59</x:v>
      </x:c>
      <x:c r="T426" s="2" t="n">
        <x:f>R426+S426+J426-I426</x:f>
        <x:v>138</x:v>
      </x:c>
      <x:c r="U426" s="2" t="n">
        <x:v>0</x:v>
      </x:c>
      <x:c r="V426" s="2" t="n">
        <x:v>4</x:v>
      </x:c>
      <x:c r="W426" s="2" t="n">
        <x:v>14</x:v>
      </x:c>
      <x:c r="X426" s="14" t="b">
        <x:v>0</x:v>
      </x:c>
      <x:c r="Y426" s="14" t="b">
        <x:v>0</x:v>
      </x:c>
      <x:c r="Z426" s="2" t="n">
        <x:f>ABS(T426-AA426)</x:f>
        <x:v>0</x:v>
      </x:c>
      <x:c r="AA426" s="2" t="n">
        <x:v>138</x:v>
      </x:c>
      <x:c r="AB426" s="2" t="n">
        <x:f>ABS(K426-W426)</x:f>
        <x:v>0</x:v>
      </x:c>
      <x:c r="AC426" s="2" t="n">
        <x:f>COUNTIF($A$2:$A$1921,A426)-1</x:f>
        <x:v>0</x:v>
      </x:c>
      <x:c r="AD426" s="2" t="n">
        <x:f>IF(AND(D426=D425,H426=H425,C426=C425+1),ABS(R426-T425),0)</x:f>
        <x:v>0</x:v>
      </x:c>
    </x:row>
    <x:row r="427" ht="23" customHeight="1">
      <x:c r="A427" s="2" t="str">
        <x:v>DEMO-106-1-6</x:v>
      </x:c>
      <x:c r="B427" s="15" t="d">
        <x:v>2026-06-08T00:00:00.000Z</x:v>
      </x:c>
      <x:c r="C427" s="2" t="n">
        <x:v>6</x:v>
      </x:c>
      <x:c r="D427" s="2" t="str">
        <x:v>DEMO-106</x:v>
      </x:c>
      <x:c r="E427" s="2" t="str">
        <x:v>Sketch Folio</x:v>
      </x:c>
      <x:c r="F427" s="2" t="str">
        <x:v>Stationery</x:v>
      </x:c>
      <x:c r="G427" s="2" t="str">
        <x:v>Stores</x:v>
      </x:c>
      <x:c r="H427" s="2" t="str">
        <x:v>Riverside</x:v>
      </x:c>
      <x:c r="I427" s="2" t="n">
        <x:v>16</x:v>
      </x:c>
      <x:c r="J427" s="2" t="n">
        <x:v>0</x:v>
      </x:c>
      <x:c r="K427" s="2" t="n">
        <x:f>I427-J427</x:f>
        <x:v>16</x:v>
      </x:c>
      <x:c r="L427" s="16" t="n">
        <x:v>22</x:v>
      </x:c>
      <x:c r="M427" s="16" t="n">
        <x:v>22</x:v>
      </x:c>
      <x:c r="N427" s="16" t="n">
        <x:v>10.67</x:v>
      </x:c>
      <x:c r="O427" s="16" t="n">
        <x:f>K427*M427</x:f>
        <x:v>352</x:v>
      </x:c>
      <x:c r="P427" s="16" t="n">
        <x:f>K427*N427</x:f>
        <x:v>170.72</x:v>
      </x:c>
      <x:c r="Q427" s="16" t="n">
        <x:f>O427-P427</x:f>
        <x:v>181.28</x:v>
      </x:c>
      <x:c r="R427" s="2" t="n">
        <x:v>138</x:v>
      </x:c>
      <x:c r="S427" s="2" t="n">
        <x:v>0</x:v>
      </x:c>
      <x:c r="T427" s="2" t="n">
        <x:f>R427+S427+J427-I427</x:f>
        <x:v>122</x:v>
      </x:c>
      <x:c r="U427" s="2" t="n">
        <x:v>0</x:v>
      </x:c>
      <x:c r="V427" s="2" t="n">
        <x:v>4</x:v>
      </x:c>
      <x:c r="W427" s="2" t="n">
        <x:v>14</x:v>
      </x:c>
      <x:c r="X427" s="14" t="b">
        <x:v>0</x:v>
      </x:c>
      <x:c r="Y427" s="14" t="b">
        <x:v>0</x:v>
      </x:c>
      <x:c r="Z427" s="2" t="n">
        <x:f>ABS(T427-AA427)</x:f>
        <x:v>0</x:v>
      </x:c>
      <x:c r="AA427" s="2" t="n">
        <x:v>122</x:v>
      </x:c>
      <x:c r="AB427" s="2" t="n">
        <x:f>ABS(K427-W427)</x:f>
        <x:v>2</x:v>
      </x:c>
      <x:c r="AC427" s="2" t="n">
        <x:f>COUNTIF($A$2:$A$1921,A427)-1</x:f>
        <x:v>0</x:v>
      </x:c>
      <x:c r="AD427" s="2" t="n">
        <x:f>IF(AND(D427=D426,H427=H426,C427=C426+1),ABS(R427-T426),0)</x:f>
        <x:v>0</x:v>
      </x:c>
    </x:row>
    <x:row r="428" ht="23" customHeight="1">
      <x:c r="A428" s="2" t="str">
        <x:v>DEMO-106-1-7</x:v>
      </x:c>
      <x:c r="B428" s="15" t="d">
        <x:v>2026-06-15T00:00:00.000Z</x:v>
      </x:c>
      <x:c r="C428" s="2" t="n">
        <x:v>7</x:v>
      </x:c>
      <x:c r="D428" s="2" t="str">
        <x:v>DEMO-106</x:v>
      </x:c>
      <x:c r="E428" s="2" t="str">
        <x:v>Sketch Folio</x:v>
      </x:c>
      <x:c r="F428" s="2" t="str">
        <x:v>Stationery</x:v>
      </x:c>
      <x:c r="G428" s="2" t="str">
        <x:v>Stores</x:v>
      </x:c>
      <x:c r="H428" s="2" t="str">
        <x:v>Riverside</x:v>
      </x:c>
      <x:c r="I428" s="2" t="n">
        <x:v>14</x:v>
      </x:c>
      <x:c r="J428" s="2" t="n">
        <x:v>1</x:v>
      </x:c>
      <x:c r="K428" s="2" t="n">
        <x:f>I428-J428</x:f>
        <x:v>13</x:v>
      </x:c>
      <x:c r="L428" s="16" t="n">
        <x:v>22</x:v>
      </x:c>
      <x:c r="M428" s="16" t="n">
        <x:v>22</x:v>
      </x:c>
      <x:c r="N428" s="16" t="n">
        <x:v>10.67</x:v>
      </x:c>
      <x:c r="O428" s="16" t="n">
        <x:f>K428*M428</x:f>
        <x:v>286</x:v>
      </x:c>
      <x:c r="P428" s="16" t="n">
        <x:f>K428*N428</x:f>
        <x:v>138.71</x:v>
      </x:c>
      <x:c r="Q428" s="16" t="n">
        <x:f>O428-P428</x:f>
        <x:v>147.29</x:v>
      </x:c>
      <x:c r="R428" s="2" t="n">
        <x:v>122</x:v>
      </x:c>
      <x:c r="S428" s="2" t="n">
        <x:v>0</x:v>
      </x:c>
      <x:c r="T428" s="2" t="n">
        <x:f>R428+S428+J428-I428</x:f>
        <x:v>109</x:v>
      </x:c>
      <x:c r="U428" s="2" t="n">
        <x:v>0</x:v>
      </x:c>
      <x:c r="V428" s="2" t="n">
        <x:v>4</x:v>
      </x:c>
      <x:c r="W428" s="2" t="n">
        <x:v>14</x:v>
      </x:c>
      <x:c r="X428" s="14" t="b">
        <x:v>0</x:v>
      </x:c>
      <x:c r="Y428" s="14" t="b">
        <x:v>0</x:v>
      </x:c>
      <x:c r="Z428" s="2" t="n">
        <x:f>ABS(T428-AA428)</x:f>
        <x:v>0</x:v>
      </x:c>
      <x:c r="AA428" s="2" t="n">
        <x:v>109</x:v>
      </x:c>
      <x:c r="AB428" s="2" t="n">
        <x:f>ABS(K428-W428)</x:f>
        <x:v>1</x:v>
      </x:c>
      <x:c r="AC428" s="2" t="n">
        <x:f>COUNTIF($A$2:$A$1921,A428)-1</x:f>
        <x:v>0</x:v>
      </x:c>
      <x:c r="AD428" s="2" t="n">
        <x:f>IF(AND(D428=D427,H428=H427,C428=C427+1),ABS(R428-T427),0)</x:f>
        <x:v>0</x:v>
      </x:c>
    </x:row>
    <x:row r="429" ht="23" customHeight="1">
      <x:c r="A429" s="2" t="str">
        <x:v>DEMO-106-1-8</x:v>
      </x:c>
      <x:c r="B429" s="15" t="d">
        <x:v>2026-06-22T00:00:00.000Z</x:v>
      </x:c>
      <x:c r="C429" s="2" t="n">
        <x:v>8</x:v>
      </x:c>
      <x:c r="D429" s="2" t="str">
        <x:v>DEMO-106</x:v>
      </x:c>
      <x:c r="E429" s="2" t="str">
        <x:v>Sketch Folio</x:v>
      </x:c>
      <x:c r="F429" s="2" t="str">
        <x:v>Stationery</x:v>
      </x:c>
      <x:c r="G429" s="2" t="str">
        <x:v>Stores</x:v>
      </x:c>
      <x:c r="H429" s="2" t="str">
        <x:v>Riverside</x:v>
      </x:c>
      <x:c r="I429" s="2" t="n">
        <x:v>15</x:v>
      </x:c>
      <x:c r="J429" s="2" t="n">
        <x:v>0</x:v>
      </x:c>
      <x:c r="K429" s="2" t="n">
        <x:f>I429-J429</x:f>
        <x:v>15</x:v>
      </x:c>
      <x:c r="L429" s="16" t="n">
        <x:v>22</x:v>
      </x:c>
      <x:c r="M429" s="16" t="n">
        <x:v>22</x:v>
      </x:c>
      <x:c r="N429" s="16" t="n">
        <x:v>10.67</x:v>
      </x:c>
      <x:c r="O429" s="16" t="n">
        <x:f>K429*M429</x:f>
        <x:v>330</x:v>
      </x:c>
      <x:c r="P429" s="16" t="n">
        <x:f>K429*N429</x:f>
        <x:v>160.05</x:v>
      </x:c>
      <x:c r="Q429" s="16" t="n">
        <x:f>O429-P429</x:f>
        <x:v>169.95</x:v>
      </x:c>
      <x:c r="R429" s="2" t="n">
        <x:v>109</x:v>
      </x:c>
      <x:c r="S429" s="2" t="n">
        <x:v>0</x:v>
      </x:c>
      <x:c r="T429" s="2" t="n">
        <x:f>R429+S429+J429-I429</x:f>
        <x:v>94</x:v>
      </x:c>
      <x:c r="U429" s="2" t="n">
        <x:v>0</x:v>
      </x:c>
      <x:c r="V429" s="2" t="n">
        <x:v>4</x:v>
      </x:c>
      <x:c r="W429" s="2" t="n">
        <x:v>14</x:v>
      </x:c>
      <x:c r="X429" s="14" t="b">
        <x:v>0</x:v>
      </x:c>
      <x:c r="Y429" s="14" t="b">
        <x:v>0</x:v>
      </x:c>
      <x:c r="Z429" s="2" t="n">
        <x:f>ABS(T429-AA429)</x:f>
        <x:v>0</x:v>
      </x:c>
      <x:c r="AA429" s="2" t="n">
        <x:v>94</x:v>
      </x:c>
      <x:c r="AB429" s="2" t="n">
        <x:f>ABS(K429-W429)</x:f>
        <x:v>1</x:v>
      </x:c>
      <x:c r="AC429" s="2" t="n">
        <x:f>COUNTIF($A$2:$A$1921,A429)-1</x:f>
        <x:v>0</x:v>
      </x:c>
      <x:c r="AD429" s="2" t="n">
        <x:f>IF(AND(D429=D428,H429=H428,C429=C428+1),ABS(R429-T428),0)</x:f>
        <x:v>0</x:v>
      </x:c>
    </x:row>
    <x:row r="430" ht="23" customHeight="1">
      <x:c r="A430" s="2" t="str">
        <x:v>DEMO-106-1-9</x:v>
      </x:c>
      <x:c r="B430" s="15" t="d">
        <x:v>2026-06-29T00:00:00.000Z</x:v>
      </x:c>
      <x:c r="C430" s="2" t="n">
        <x:v>9</x:v>
      </x:c>
      <x:c r="D430" s="2" t="str">
        <x:v>DEMO-106</x:v>
      </x:c>
      <x:c r="E430" s="2" t="str">
        <x:v>Sketch Folio</x:v>
      </x:c>
      <x:c r="F430" s="2" t="str">
        <x:v>Stationery</x:v>
      </x:c>
      <x:c r="G430" s="2" t="str">
        <x:v>Stores</x:v>
      </x:c>
      <x:c r="H430" s="2" t="str">
        <x:v>Riverside</x:v>
      </x:c>
      <x:c r="I430" s="2" t="n">
        <x:v>12</x:v>
      </x:c>
      <x:c r="J430" s="2" t="n">
        <x:v>0</x:v>
      </x:c>
      <x:c r="K430" s="2" t="n">
        <x:f>I430-J430</x:f>
        <x:v>12</x:v>
      </x:c>
      <x:c r="L430" s="16" t="n">
        <x:v>22</x:v>
      </x:c>
      <x:c r="M430" s="16" t="n">
        <x:v>22</x:v>
      </x:c>
      <x:c r="N430" s="16" t="n">
        <x:v>10.67</x:v>
      </x:c>
      <x:c r="O430" s="16" t="n">
        <x:f>K430*M430</x:f>
        <x:v>264</x:v>
      </x:c>
      <x:c r="P430" s="16" t="n">
        <x:f>K430*N430</x:f>
        <x:v>128.04</x:v>
      </x:c>
      <x:c r="Q430" s="16" t="n">
        <x:f>O430-P430</x:f>
        <x:v>135.96</x:v>
      </x:c>
      <x:c r="R430" s="2" t="n">
        <x:v>94</x:v>
      </x:c>
      <x:c r="S430" s="2" t="n">
        <x:v>59</x:v>
      </x:c>
      <x:c r="T430" s="2" t="n">
        <x:f>R430+S430+J430-I430</x:f>
        <x:v>141</x:v>
      </x:c>
      <x:c r="U430" s="2" t="n">
        <x:v>0</x:v>
      </x:c>
      <x:c r="V430" s="2" t="n">
        <x:v>4</x:v>
      </x:c>
      <x:c r="W430" s="2" t="n">
        <x:v>15</x:v>
      </x:c>
      <x:c r="X430" s="14" t="b">
        <x:v>0</x:v>
      </x:c>
      <x:c r="Y430" s="14" t="b">
        <x:v>0</x:v>
      </x:c>
      <x:c r="Z430" s="2" t="n">
        <x:f>ABS(T430-AA430)</x:f>
        <x:v>0</x:v>
      </x:c>
      <x:c r="AA430" s="2" t="n">
        <x:v>141</x:v>
      </x:c>
      <x:c r="AB430" s="2" t="n">
        <x:f>ABS(K430-W430)</x:f>
        <x:v>3</x:v>
      </x:c>
      <x:c r="AC430" s="2" t="n">
        <x:f>COUNTIF($A$2:$A$1921,A430)-1</x:f>
        <x:v>0</x:v>
      </x:c>
      <x:c r="AD430" s="2" t="n">
        <x:f>IF(AND(D430=D429,H430=H429,C430=C429+1),ABS(R430-T429),0)</x:f>
        <x:v>0</x:v>
      </x:c>
    </x:row>
    <x:row r="431" ht="23" customHeight="1">
      <x:c r="A431" s="2" t="str">
        <x:v>DEMO-106-1-10</x:v>
      </x:c>
      <x:c r="B431" s="15" t="d">
        <x:v>2026-07-06T00:00:00.000Z</x:v>
      </x:c>
      <x:c r="C431" s="2" t="n">
        <x:v>10</x:v>
      </x:c>
      <x:c r="D431" s="2" t="str">
        <x:v>DEMO-106</x:v>
      </x:c>
      <x:c r="E431" s="2" t="str">
        <x:v>Sketch Folio</x:v>
      </x:c>
      <x:c r="F431" s="2" t="str">
        <x:v>Stationery</x:v>
      </x:c>
      <x:c r="G431" s="2" t="str">
        <x:v>Stores</x:v>
      </x:c>
      <x:c r="H431" s="2" t="str">
        <x:v>Riverside</x:v>
      </x:c>
      <x:c r="I431" s="2" t="n">
        <x:v>11</x:v>
      </x:c>
      <x:c r="J431" s="2" t="n">
        <x:v>0</x:v>
      </x:c>
      <x:c r="K431" s="2" t="n">
        <x:f>I431-J431</x:f>
        <x:v>11</x:v>
      </x:c>
      <x:c r="L431" s="16" t="n">
        <x:v>22</x:v>
      </x:c>
      <x:c r="M431" s="16" t="n">
        <x:v>22</x:v>
      </x:c>
      <x:c r="N431" s="16" t="n">
        <x:v>10.67</x:v>
      </x:c>
      <x:c r="O431" s="16" t="n">
        <x:f>K431*M431</x:f>
        <x:v>242</x:v>
      </x:c>
      <x:c r="P431" s="16" t="n">
        <x:f>K431*N431</x:f>
        <x:v>117.37</x:v>
      </x:c>
      <x:c r="Q431" s="16" t="n">
        <x:f>O431-P431</x:f>
        <x:v>124.63</x:v>
      </x:c>
      <x:c r="R431" s="2" t="n">
        <x:v>141</x:v>
      </x:c>
      <x:c r="S431" s="2" t="n">
        <x:v>0</x:v>
      </x:c>
      <x:c r="T431" s="2" t="n">
        <x:f>R431+S431+J431-I431</x:f>
        <x:v>130</x:v>
      </x:c>
      <x:c r="U431" s="2" t="n">
        <x:v>0</x:v>
      </x:c>
      <x:c r="V431" s="2" t="n">
        <x:v>4</x:v>
      </x:c>
      <x:c r="W431" s="2" t="n">
        <x:v>14</x:v>
      </x:c>
      <x:c r="X431" s="14" t="b">
        <x:v>0</x:v>
      </x:c>
      <x:c r="Y431" s="14" t="b">
        <x:v>0</x:v>
      </x:c>
      <x:c r="Z431" s="2" t="n">
        <x:f>ABS(T431-AA431)</x:f>
        <x:v>0</x:v>
      </x:c>
      <x:c r="AA431" s="2" t="n">
        <x:v>130</x:v>
      </x:c>
      <x:c r="AB431" s="2" t="n">
        <x:f>ABS(K431-W431)</x:f>
        <x:v>3</x:v>
      </x:c>
      <x:c r="AC431" s="2" t="n">
        <x:f>COUNTIF($A$2:$A$1921,A431)-1</x:f>
        <x:v>0</x:v>
      </x:c>
      <x:c r="AD431" s="2" t="n">
        <x:f>IF(AND(D431=D430,H431=H430,C431=C430+1),ABS(R431-T430),0)</x:f>
        <x:v>0</x:v>
      </x:c>
    </x:row>
    <x:row r="432" ht="23" customHeight="1">
      <x:c r="A432" s="2" t="str">
        <x:v>DEMO-106-1-11</x:v>
      </x:c>
      <x:c r="B432" s="15" t="d">
        <x:v>2026-07-13T00:00:00.000Z</x:v>
      </x:c>
      <x:c r="C432" s="2" t="n">
        <x:v>11</x:v>
      </x:c>
      <x:c r="D432" s="2" t="str">
        <x:v>DEMO-106</x:v>
      </x:c>
      <x:c r="E432" s="2" t="str">
        <x:v>Sketch Folio</x:v>
      </x:c>
      <x:c r="F432" s="2" t="str">
        <x:v>Stationery</x:v>
      </x:c>
      <x:c r="G432" s="2" t="str">
        <x:v>Stores</x:v>
      </x:c>
      <x:c r="H432" s="2" t="str">
        <x:v>Riverside</x:v>
      </x:c>
      <x:c r="I432" s="2" t="n">
        <x:v>12</x:v>
      </x:c>
      <x:c r="J432" s="2" t="n">
        <x:v>0</x:v>
      </x:c>
      <x:c r="K432" s="2" t="n">
        <x:f>I432-J432</x:f>
        <x:v>12</x:v>
      </x:c>
      <x:c r="L432" s="16" t="n">
        <x:v>22</x:v>
      </x:c>
      <x:c r="M432" s="16" t="n">
        <x:v>22</x:v>
      </x:c>
      <x:c r="N432" s="16" t="n">
        <x:v>10.67</x:v>
      </x:c>
      <x:c r="O432" s="16" t="n">
        <x:f>K432*M432</x:f>
        <x:v>264</x:v>
      </x:c>
      <x:c r="P432" s="16" t="n">
        <x:f>K432*N432</x:f>
        <x:v>128.04</x:v>
      </x:c>
      <x:c r="Q432" s="16" t="n">
        <x:f>O432-P432</x:f>
        <x:v>135.96</x:v>
      </x:c>
      <x:c r="R432" s="2" t="n">
        <x:v>130</x:v>
      </x:c>
      <x:c r="S432" s="2" t="n">
        <x:v>0</x:v>
      </x:c>
      <x:c r="T432" s="2" t="n">
        <x:f>R432+S432+J432-I432</x:f>
        <x:v>118</x:v>
      </x:c>
      <x:c r="U432" s="2" t="n">
        <x:v>0</x:v>
      </x:c>
      <x:c r="V432" s="2" t="n">
        <x:v>4</x:v>
      </x:c>
      <x:c r="W432" s="2" t="n">
        <x:v>13</x:v>
      </x:c>
      <x:c r="X432" s="14" t="b">
        <x:v>0</x:v>
      </x:c>
      <x:c r="Y432" s="14" t="b">
        <x:v>0</x:v>
      </x:c>
      <x:c r="Z432" s="2" t="n">
        <x:f>ABS(T432-AA432)</x:f>
        <x:v>0</x:v>
      </x:c>
      <x:c r="AA432" s="2" t="n">
        <x:v>118</x:v>
      </x:c>
      <x:c r="AB432" s="2" t="n">
        <x:f>ABS(K432-W432)</x:f>
        <x:v>1</x:v>
      </x:c>
      <x:c r="AC432" s="2" t="n">
        <x:f>COUNTIF($A$2:$A$1921,A432)-1</x:f>
        <x:v>0</x:v>
      </x:c>
      <x:c r="AD432" s="2" t="n">
        <x:f>IF(AND(D432=D431,H432=H431,C432=C431+1),ABS(R432-T431),0)</x:f>
        <x:v>0</x:v>
      </x:c>
    </x:row>
    <x:row r="433" ht="23" customHeight="1">
      <x:c r="A433" s="2" t="str">
        <x:v>DEMO-106-1-12</x:v>
      </x:c>
      <x:c r="B433" s="15" t="d">
        <x:v>2026-07-20T00:00:00.000Z</x:v>
      </x:c>
      <x:c r="C433" s="2" t="n">
        <x:v>12</x:v>
      </x:c>
      <x:c r="D433" s="2" t="str">
        <x:v>DEMO-106</x:v>
      </x:c>
      <x:c r="E433" s="2" t="str">
        <x:v>Sketch Folio</x:v>
      </x:c>
      <x:c r="F433" s="2" t="str">
        <x:v>Stationery</x:v>
      </x:c>
      <x:c r="G433" s="2" t="str">
        <x:v>Stores</x:v>
      </x:c>
      <x:c r="H433" s="2" t="str">
        <x:v>Riverside</x:v>
      </x:c>
      <x:c r="I433" s="2" t="n">
        <x:v>11</x:v>
      </x:c>
      <x:c r="J433" s="2" t="n">
        <x:v>0</x:v>
      </x:c>
      <x:c r="K433" s="2" t="n">
        <x:f>I433-J433</x:f>
        <x:v>11</x:v>
      </x:c>
      <x:c r="L433" s="16" t="n">
        <x:v>22</x:v>
      </x:c>
      <x:c r="M433" s="16" t="n">
        <x:v>22</x:v>
      </x:c>
      <x:c r="N433" s="16" t="n">
        <x:v>10.67</x:v>
      </x:c>
      <x:c r="O433" s="16" t="n">
        <x:f>K433*M433</x:f>
        <x:v>242</x:v>
      </x:c>
      <x:c r="P433" s="16" t="n">
        <x:f>K433*N433</x:f>
        <x:v>117.37</x:v>
      </x:c>
      <x:c r="Q433" s="16" t="n">
        <x:f>O433-P433</x:f>
        <x:v>124.63</x:v>
      </x:c>
      <x:c r="R433" s="2" t="n">
        <x:v>118</x:v>
      </x:c>
      <x:c r="S433" s="2" t="n">
        <x:v>0</x:v>
      </x:c>
      <x:c r="T433" s="2" t="n">
        <x:f>R433+S433+J433-I433</x:f>
        <x:v>107</x:v>
      </x:c>
      <x:c r="U433" s="2" t="n">
        <x:v>0</x:v>
      </x:c>
      <x:c r="V433" s="2" t="n">
        <x:v>4</x:v>
      </x:c>
      <x:c r="W433" s="2" t="n">
        <x:v>13</x:v>
      </x:c>
      <x:c r="X433" s="14" t="b">
        <x:v>0</x:v>
      </x:c>
      <x:c r="Y433" s="14" t="b">
        <x:v>0</x:v>
      </x:c>
      <x:c r="Z433" s="2" t="n">
        <x:f>ABS(T433-AA433)</x:f>
        <x:v>0</x:v>
      </x:c>
      <x:c r="AA433" s="2" t="n">
        <x:v>107</x:v>
      </x:c>
      <x:c r="AB433" s="2" t="n">
        <x:f>ABS(K433-W433)</x:f>
        <x:v>2</x:v>
      </x:c>
      <x:c r="AC433" s="2" t="n">
        <x:f>COUNTIF($A$2:$A$1921,A433)-1</x:f>
        <x:v>0</x:v>
      </x:c>
      <x:c r="AD433" s="2" t="n">
        <x:f>IF(AND(D433=D432,H433=H432,C433=C432+1),ABS(R433-T432),0)</x:f>
        <x:v>0</x:v>
      </x:c>
    </x:row>
    <x:row r="434" ht="23" customHeight="1">
      <x:c r="A434" s="2" t="str">
        <x:v>DEMO-106-1-13</x:v>
      </x:c>
      <x:c r="B434" s="15" t="d">
        <x:v>2026-07-27T00:00:00.000Z</x:v>
      </x:c>
      <x:c r="C434" s="2" t="n">
        <x:v>13</x:v>
      </x:c>
      <x:c r="D434" s="2" t="str">
        <x:v>DEMO-106</x:v>
      </x:c>
      <x:c r="E434" s="2" t="str">
        <x:v>Sketch Folio</x:v>
      </x:c>
      <x:c r="F434" s="2" t="str">
        <x:v>Stationery</x:v>
      </x:c>
      <x:c r="G434" s="2" t="str">
        <x:v>Stores</x:v>
      </x:c>
      <x:c r="H434" s="2" t="str">
        <x:v>Riverside</x:v>
      </x:c>
      <x:c r="I434" s="2" t="n">
        <x:v>13</x:v>
      </x:c>
      <x:c r="J434" s="2" t="n">
        <x:v>0</x:v>
      </x:c>
      <x:c r="K434" s="2" t="n">
        <x:f>I434-J434</x:f>
        <x:v>13</x:v>
      </x:c>
      <x:c r="L434" s="16" t="n">
        <x:v>22</x:v>
      </x:c>
      <x:c r="M434" s="16" t="n">
        <x:v>22</x:v>
      </x:c>
      <x:c r="N434" s="16" t="n">
        <x:v>10.67</x:v>
      </x:c>
      <x:c r="O434" s="16" t="n">
        <x:f>K434*M434</x:f>
        <x:v>286</x:v>
      </x:c>
      <x:c r="P434" s="16" t="n">
        <x:f>K434*N434</x:f>
        <x:v>138.71</x:v>
      </x:c>
      <x:c r="Q434" s="16" t="n">
        <x:f>O434-P434</x:f>
        <x:v>147.29</x:v>
      </x:c>
      <x:c r="R434" s="2" t="n">
        <x:v>107</x:v>
      </x:c>
      <x:c r="S434" s="2" t="n">
        <x:v>59</x:v>
      </x:c>
      <x:c r="T434" s="2" t="n">
        <x:f>R434+S434+J434-I434</x:f>
        <x:v>153</x:v>
      </x:c>
      <x:c r="U434" s="2" t="n">
        <x:v>0</x:v>
      </x:c>
      <x:c r="V434" s="2" t="n">
        <x:v>4</x:v>
      </x:c>
      <x:c r="W434" s="2" t="n">
        <x:v>12</x:v>
      </x:c>
      <x:c r="X434" s="14" t="b">
        <x:v>0</x:v>
      </x:c>
      <x:c r="Y434" s="14" t="b">
        <x:v>0</x:v>
      </x:c>
      <x:c r="Z434" s="2" t="n">
        <x:f>ABS(T434-AA434)</x:f>
        <x:v>0</x:v>
      </x:c>
      <x:c r="AA434" s="2" t="n">
        <x:v>153</x:v>
      </x:c>
      <x:c r="AB434" s="2" t="n">
        <x:f>ABS(K434-W434)</x:f>
        <x:v>1</x:v>
      </x:c>
      <x:c r="AC434" s="2" t="n">
        <x:f>COUNTIF($A$2:$A$1921,A434)-1</x:f>
        <x:v>0</x:v>
      </x:c>
      <x:c r="AD434" s="2" t="n">
        <x:f>IF(AND(D434=D433,H434=H433,C434=C433+1),ABS(R434-T433),0)</x:f>
        <x:v>0</x:v>
      </x:c>
    </x:row>
    <x:row r="435" ht="23" customHeight="1">
      <x:c r="A435" s="2" t="str">
        <x:v>DEMO-106-1-14</x:v>
      </x:c>
      <x:c r="B435" s="15" t="d">
        <x:v>2026-08-03T00:00:00.000Z</x:v>
      </x:c>
      <x:c r="C435" s="2" t="n">
        <x:v>14</x:v>
      </x:c>
      <x:c r="D435" s="2" t="str">
        <x:v>DEMO-106</x:v>
      </x:c>
      <x:c r="E435" s="2" t="str">
        <x:v>Sketch Folio</x:v>
      </x:c>
      <x:c r="F435" s="2" t="str">
        <x:v>Stationery</x:v>
      </x:c>
      <x:c r="G435" s="2" t="str">
        <x:v>Stores</x:v>
      </x:c>
      <x:c r="H435" s="2" t="str">
        <x:v>Riverside</x:v>
      </x:c>
      <x:c r="I435" s="2" t="n">
        <x:v>11</x:v>
      </x:c>
      <x:c r="J435" s="2" t="n">
        <x:v>0</x:v>
      </x:c>
      <x:c r="K435" s="2" t="n">
        <x:f>I435-J435</x:f>
        <x:v>11</x:v>
      </x:c>
      <x:c r="L435" s="16" t="n">
        <x:v>22</x:v>
      </x:c>
      <x:c r="M435" s="16" t="n">
        <x:v>22</x:v>
      </x:c>
      <x:c r="N435" s="16" t="n">
        <x:v>10.67</x:v>
      </x:c>
      <x:c r="O435" s="16" t="n">
        <x:f>K435*M435</x:f>
        <x:v>242</x:v>
      </x:c>
      <x:c r="P435" s="16" t="n">
        <x:f>K435*N435</x:f>
        <x:v>117.37</x:v>
      </x:c>
      <x:c r="Q435" s="16" t="n">
        <x:f>O435-P435</x:f>
        <x:v>124.63</x:v>
      </x:c>
      <x:c r="R435" s="2" t="n">
        <x:v>153</x:v>
      </x:c>
      <x:c r="S435" s="2" t="n">
        <x:v>0</x:v>
      </x:c>
      <x:c r="T435" s="2" t="n">
        <x:f>R435+S435+J435-I435</x:f>
        <x:v>142</x:v>
      </x:c>
      <x:c r="U435" s="2" t="n">
        <x:v>0</x:v>
      </x:c>
      <x:c r="V435" s="2" t="n">
        <x:v>4</x:v>
      </x:c>
      <x:c r="W435" s="2" t="n">
        <x:v>12</x:v>
      </x:c>
      <x:c r="X435" s="14" t="b">
        <x:v>0</x:v>
      </x:c>
      <x:c r="Y435" s="14" t="b">
        <x:v>0</x:v>
      </x:c>
      <x:c r="Z435" s="2" t="n">
        <x:f>ABS(T435-AA435)</x:f>
        <x:v>0</x:v>
      </x:c>
      <x:c r="AA435" s="2" t="n">
        <x:v>142</x:v>
      </x:c>
      <x:c r="AB435" s="2" t="n">
        <x:f>ABS(K435-W435)</x:f>
        <x:v>1</x:v>
      </x:c>
      <x:c r="AC435" s="2" t="n">
        <x:f>COUNTIF($A$2:$A$1921,A435)-1</x:f>
        <x:v>0</x:v>
      </x:c>
      <x:c r="AD435" s="2" t="n">
        <x:f>IF(AND(D435=D434,H435=H434,C435=C434+1),ABS(R435-T434),0)</x:f>
        <x:v>0</x:v>
      </x:c>
    </x:row>
    <x:row r="436" ht="23" customHeight="1">
      <x:c r="A436" s="2" t="str">
        <x:v>DEMO-106-1-15</x:v>
      </x:c>
      <x:c r="B436" s="15" t="d">
        <x:v>2026-08-10T00:00:00.000Z</x:v>
      </x:c>
      <x:c r="C436" s="2" t="n">
        <x:v>15</x:v>
      </x:c>
      <x:c r="D436" s="2" t="str">
        <x:v>DEMO-106</x:v>
      </x:c>
      <x:c r="E436" s="2" t="str">
        <x:v>Sketch Folio</x:v>
      </x:c>
      <x:c r="F436" s="2" t="str">
        <x:v>Stationery</x:v>
      </x:c>
      <x:c r="G436" s="2" t="str">
        <x:v>Stores</x:v>
      </x:c>
      <x:c r="H436" s="2" t="str">
        <x:v>Riverside</x:v>
      </x:c>
      <x:c r="I436" s="2" t="n">
        <x:v>13</x:v>
      </x:c>
      <x:c r="J436" s="2" t="n">
        <x:v>0</x:v>
      </x:c>
      <x:c r="K436" s="2" t="n">
        <x:f>I436-J436</x:f>
        <x:v>13</x:v>
      </x:c>
      <x:c r="L436" s="16" t="n">
        <x:v>22</x:v>
      </x:c>
      <x:c r="M436" s="16" t="n">
        <x:v>22</x:v>
      </x:c>
      <x:c r="N436" s="16" t="n">
        <x:v>10.67</x:v>
      </x:c>
      <x:c r="O436" s="16" t="n">
        <x:f>K436*M436</x:f>
        <x:v>286</x:v>
      </x:c>
      <x:c r="P436" s="16" t="n">
        <x:f>K436*N436</x:f>
        <x:v>138.71</x:v>
      </x:c>
      <x:c r="Q436" s="16" t="n">
        <x:f>O436-P436</x:f>
        <x:v>147.29</x:v>
      </x:c>
      <x:c r="R436" s="2" t="n">
        <x:v>142</x:v>
      </x:c>
      <x:c r="S436" s="2" t="n">
        <x:v>0</x:v>
      </x:c>
      <x:c r="T436" s="2" t="n">
        <x:f>R436+S436+J436-I436</x:f>
        <x:v>129</x:v>
      </x:c>
      <x:c r="U436" s="2" t="n">
        <x:v>0</x:v>
      </x:c>
      <x:c r="V436" s="2" t="n">
        <x:v>4</x:v>
      </x:c>
      <x:c r="W436" s="2" t="n">
        <x:v>12</x:v>
      </x:c>
      <x:c r="X436" s="14" t="b">
        <x:v>0</x:v>
      </x:c>
      <x:c r="Y436" s="14" t="b">
        <x:v>0</x:v>
      </x:c>
      <x:c r="Z436" s="2" t="n">
        <x:f>ABS(T436-AA436)</x:f>
        <x:v>0</x:v>
      </x:c>
      <x:c r="AA436" s="2" t="n">
        <x:v>129</x:v>
      </x:c>
      <x:c r="AB436" s="2" t="n">
        <x:f>ABS(K436-W436)</x:f>
        <x:v>1</x:v>
      </x:c>
      <x:c r="AC436" s="2" t="n">
        <x:f>COUNTIF($A$2:$A$1921,A436)-1</x:f>
        <x:v>0</x:v>
      </x:c>
      <x:c r="AD436" s="2" t="n">
        <x:f>IF(AND(D436=D435,H436=H435,C436=C435+1),ABS(R436-T435),0)</x:f>
        <x:v>0</x:v>
      </x:c>
    </x:row>
    <x:row r="437" ht="23" customHeight="1">
      <x:c r="A437" s="2" t="str">
        <x:v>DEMO-106-1-16</x:v>
      </x:c>
      <x:c r="B437" s="15" t="d">
        <x:v>2026-08-17T00:00:00.000Z</x:v>
      </x:c>
      <x:c r="C437" s="2" t="n">
        <x:v>16</x:v>
      </x:c>
      <x:c r="D437" s="2" t="str">
        <x:v>DEMO-106</x:v>
      </x:c>
      <x:c r="E437" s="2" t="str">
        <x:v>Sketch Folio</x:v>
      </x:c>
      <x:c r="F437" s="2" t="str">
        <x:v>Stationery</x:v>
      </x:c>
      <x:c r="G437" s="2" t="str">
        <x:v>Stores</x:v>
      </x:c>
      <x:c r="H437" s="2" t="str">
        <x:v>Riverside</x:v>
      </x:c>
      <x:c r="I437" s="2" t="n">
        <x:v>15</x:v>
      </x:c>
      <x:c r="J437" s="2" t="n">
        <x:v>0</x:v>
      </x:c>
      <x:c r="K437" s="2" t="n">
        <x:f>I437-J437</x:f>
        <x:v>15</x:v>
      </x:c>
      <x:c r="L437" s="16" t="n">
        <x:v>22</x:v>
      </x:c>
      <x:c r="M437" s="16" t="n">
        <x:v>22</x:v>
      </x:c>
      <x:c r="N437" s="16" t="n">
        <x:v>10.67</x:v>
      </x:c>
      <x:c r="O437" s="16" t="n">
        <x:f>K437*M437</x:f>
        <x:v>330</x:v>
      </x:c>
      <x:c r="P437" s="16" t="n">
        <x:f>K437*N437</x:f>
        <x:v>160.05</x:v>
      </x:c>
      <x:c r="Q437" s="16" t="n">
        <x:f>O437-P437</x:f>
        <x:v>169.95</x:v>
      </x:c>
      <x:c r="R437" s="2" t="n">
        <x:v>129</x:v>
      </x:c>
      <x:c r="S437" s="2" t="n">
        <x:v>0</x:v>
      </x:c>
      <x:c r="T437" s="2" t="n">
        <x:f>R437+S437+J437-I437</x:f>
        <x:v>114</x:v>
      </x:c>
      <x:c r="U437" s="2" t="n">
        <x:v>0</x:v>
      </x:c>
      <x:c r="V437" s="2" t="n">
        <x:v>4</x:v>
      </x:c>
      <x:c r="W437" s="2" t="n">
        <x:v>12</x:v>
      </x:c>
      <x:c r="X437" s="14" t="b">
        <x:v>0</x:v>
      </x:c>
      <x:c r="Y437" s="14" t="b">
        <x:v>0</x:v>
      </x:c>
      <x:c r="Z437" s="2" t="n">
        <x:f>ABS(T437-AA437)</x:f>
        <x:v>0</x:v>
      </x:c>
      <x:c r="AA437" s="2" t="n">
        <x:v>114</x:v>
      </x:c>
      <x:c r="AB437" s="2" t="n">
        <x:f>ABS(K437-W437)</x:f>
        <x:v>3</x:v>
      </x:c>
      <x:c r="AC437" s="2" t="n">
        <x:f>COUNTIF($A$2:$A$1921,A437)-1</x:f>
        <x:v>0</x:v>
      </x:c>
      <x:c r="AD437" s="2" t="n">
        <x:f>IF(AND(D437=D436,H437=H436,C437=C436+1),ABS(R437-T436),0)</x:f>
        <x:v>0</x:v>
      </x:c>
    </x:row>
    <x:row r="438" ht="23" customHeight="1">
      <x:c r="A438" s="2" t="str">
        <x:v>DEMO-106-1-17</x:v>
      </x:c>
      <x:c r="B438" s="15" t="d">
        <x:v>2026-08-24T00:00:00.000Z</x:v>
      </x:c>
      <x:c r="C438" s="2" t="n">
        <x:v>17</x:v>
      </x:c>
      <x:c r="D438" s="2" t="str">
        <x:v>DEMO-106</x:v>
      </x:c>
      <x:c r="E438" s="2" t="str">
        <x:v>Sketch Folio</x:v>
      </x:c>
      <x:c r="F438" s="2" t="str">
        <x:v>Stationery</x:v>
      </x:c>
      <x:c r="G438" s="2" t="str">
        <x:v>Stores</x:v>
      </x:c>
      <x:c r="H438" s="2" t="str">
        <x:v>Riverside</x:v>
      </x:c>
      <x:c r="I438" s="2" t="n">
        <x:v>15</x:v>
      </x:c>
      <x:c r="J438" s="2" t="n">
        <x:v>0</x:v>
      </x:c>
      <x:c r="K438" s="2" t="n">
        <x:f>I438-J438</x:f>
        <x:v>15</x:v>
      </x:c>
      <x:c r="L438" s="16" t="n">
        <x:v>22</x:v>
      </x:c>
      <x:c r="M438" s="16" t="n">
        <x:v>22</x:v>
      </x:c>
      <x:c r="N438" s="16" t="n">
        <x:v>10.67</x:v>
      </x:c>
      <x:c r="O438" s="16" t="n">
        <x:f>K438*M438</x:f>
        <x:v>330</x:v>
      </x:c>
      <x:c r="P438" s="16" t="n">
        <x:f>K438*N438</x:f>
        <x:v>160.05</x:v>
      </x:c>
      <x:c r="Q438" s="16" t="n">
        <x:f>O438-P438</x:f>
        <x:v>169.95</x:v>
      </x:c>
      <x:c r="R438" s="2" t="n">
        <x:v>114</x:v>
      </x:c>
      <x:c r="S438" s="2" t="n">
        <x:v>59</x:v>
      </x:c>
      <x:c r="T438" s="2" t="n">
        <x:f>R438+S438+J438-I438</x:f>
        <x:v>158</x:v>
      </x:c>
      <x:c r="U438" s="2" t="n">
        <x:v>0</x:v>
      </x:c>
      <x:c r="V438" s="2" t="n">
        <x:v>4</x:v>
      </x:c>
      <x:c r="W438" s="2" t="n">
        <x:v>13</x:v>
      </x:c>
      <x:c r="X438" s="14" t="b">
        <x:v>0</x:v>
      </x:c>
      <x:c r="Y438" s="14" t="b">
        <x:v>0</x:v>
      </x:c>
      <x:c r="Z438" s="2" t="n">
        <x:f>ABS(T438-AA438)</x:f>
        <x:v>0</x:v>
      </x:c>
      <x:c r="AA438" s="2" t="n">
        <x:v>158</x:v>
      </x:c>
      <x:c r="AB438" s="2" t="n">
        <x:f>ABS(K438-W438)</x:f>
        <x:v>2</x:v>
      </x:c>
      <x:c r="AC438" s="2" t="n">
        <x:f>COUNTIF($A$2:$A$1921,A438)-1</x:f>
        <x:v>0</x:v>
      </x:c>
      <x:c r="AD438" s="2" t="n">
        <x:f>IF(AND(D438=D437,H438=H437,C438=C437+1),ABS(R438-T437),0)</x:f>
        <x:v>0</x:v>
      </x:c>
    </x:row>
    <x:row r="439" ht="23" customHeight="1">
      <x:c r="A439" s="2" t="str">
        <x:v>DEMO-106-1-18</x:v>
      </x:c>
      <x:c r="B439" s="15" t="d">
        <x:v>2026-08-31T00:00:00.000Z</x:v>
      </x:c>
      <x:c r="C439" s="2" t="n">
        <x:v>18</x:v>
      </x:c>
      <x:c r="D439" s="2" t="str">
        <x:v>DEMO-106</x:v>
      </x:c>
      <x:c r="E439" s="2" t="str">
        <x:v>Sketch Folio</x:v>
      </x:c>
      <x:c r="F439" s="2" t="str">
        <x:v>Stationery</x:v>
      </x:c>
      <x:c r="G439" s="2" t="str">
        <x:v>Stores</x:v>
      </x:c>
      <x:c r="H439" s="2" t="str">
        <x:v>Riverside</x:v>
      </x:c>
      <x:c r="I439" s="2" t="n">
        <x:v>15</x:v>
      </x:c>
      <x:c r="J439" s="2" t="n">
        <x:v>0</x:v>
      </x:c>
      <x:c r="K439" s="2" t="n">
        <x:f>I439-J439</x:f>
        <x:v>15</x:v>
      </x:c>
      <x:c r="L439" s="16" t="n">
        <x:v>22</x:v>
      </x:c>
      <x:c r="M439" s="16" t="n">
        <x:v>22</x:v>
      </x:c>
      <x:c r="N439" s="16" t="n">
        <x:v>10.67</x:v>
      </x:c>
      <x:c r="O439" s="16" t="n">
        <x:f>K439*M439</x:f>
        <x:v>330</x:v>
      </x:c>
      <x:c r="P439" s="16" t="n">
        <x:f>K439*N439</x:f>
        <x:v>160.05</x:v>
      </x:c>
      <x:c r="Q439" s="16" t="n">
        <x:f>O439-P439</x:f>
        <x:v>169.95</x:v>
      </x:c>
      <x:c r="R439" s="2" t="n">
        <x:v>158</x:v>
      </x:c>
      <x:c r="S439" s="2" t="n">
        <x:v>0</x:v>
      </x:c>
      <x:c r="T439" s="2" t="n">
        <x:f>R439+S439+J439-I439</x:f>
        <x:v>143</x:v>
      </x:c>
      <x:c r="U439" s="2" t="n">
        <x:v>0</x:v>
      </x:c>
      <x:c r="V439" s="2" t="n">
        <x:v>4</x:v>
      </x:c>
      <x:c r="W439" s="2" t="n">
        <x:v>14</x:v>
      </x:c>
      <x:c r="X439" s="14" t="b">
        <x:v>0</x:v>
      </x:c>
      <x:c r="Y439" s="14" t="b">
        <x:v>0</x:v>
      </x:c>
      <x:c r="Z439" s="2" t="n">
        <x:f>ABS(T439-AA439)</x:f>
        <x:v>0</x:v>
      </x:c>
      <x:c r="AA439" s="2" t="n">
        <x:v>143</x:v>
      </x:c>
      <x:c r="AB439" s="2" t="n">
        <x:f>ABS(K439-W439)</x:f>
        <x:v>1</x:v>
      </x:c>
      <x:c r="AC439" s="2" t="n">
        <x:f>COUNTIF($A$2:$A$1921,A439)-1</x:f>
        <x:v>0</x:v>
      </x:c>
      <x:c r="AD439" s="2" t="n">
        <x:f>IF(AND(D439=D438,H439=H438,C439=C438+1),ABS(R439-T438),0)</x:f>
        <x:v>0</x:v>
      </x:c>
    </x:row>
    <x:row r="440" ht="23" customHeight="1">
      <x:c r="A440" s="2" t="str">
        <x:v>DEMO-106-1-19</x:v>
      </x:c>
      <x:c r="B440" s="15" t="d">
        <x:v>2026-09-07T00:00:00.000Z</x:v>
      </x:c>
      <x:c r="C440" s="2" t="n">
        <x:v>19</x:v>
      </x:c>
      <x:c r="D440" s="2" t="str">
        <x:v>DEMO-106</x:v>
      </x:c>
      <x:c r="E440" s="2" t="str">
        <x:v>Sketch Folio</x:v>
      </x:c>
      <x:c r="F440" s="2" t="str">
        <x:v>Stationery</x:v>
      </x:c>
      <x:c r="G440" s="2" t="str">
        <x:v>Stores</x:v>
      </x:c>
      <x:c r="H440" s="2" t="str">
        <x:v>Riverside</x:v>
      </x:c>
      <x:c r="I440" s="2" t="n">
        <x:v>16</x:v>
      </x:c>
      <x:c r="J440" s="2" t="n">
        <x:v>0</x:v>
      </x:c>
      <x:c r="K440" s="2" t="n">
        <x:f>I440-J440</x:f>
        <x:v>16</x:v>
      </x:c>
      <x:c r="L440" s="16" t="n">
        <x:v>22</x:v>
      </x:c>
      <x:c r="M440" s="16" t="n">
        <x:v>22</x:v>
      </x:c>
      <x:c r="N440" s="16" t="n">
        <x:v>10.67</x:v>
      </x:c>
      <x:c r="O440" s="16" t="n">
        <x:f>K440*M440</x:f>
        <x:v>352</x:v>
      </x:c>
      <x:c r="P440" s="16" t="n">
        <x:f>K440*N440</x:f>
        <x:v>170.72</x:v>
      </x:c>
      <x:c r="Q440" s="16" t="n">
        <x:f>O440-P440</x:f>
        <x:v>181.28</x:v>
      </x:c>
      <x:c r="R440" s="2" t="n">
        <x:v>143</x:v>
      </x:c>
      <x:c r="S440" s="2" t="n">
        <x:v>0</x:v>
      </x:c>
      <x:c r="T440" s="2" t="n">
        <x:f>R440+S440+J440-I440</x:f>
        <x:v>127</x:v>
      </x:c>
      <x:c r="U440" s="2" t="n">
        <x:v>0</x:v>
      </x:c>
      <x:c r="V440" s="2" t="n">
        <x:v>4</x:v>
      </x:c>
      <x:c r="W440" s="2" t="n">
        <x:v>15</x:v>
      </x:c>
      <x:c r="X440" s="14" t="b">
        <x:v>0</x:v>
      </x:c>
      <x:c r="Y440" s="14" t="b">
        <x:v>0</x:v>
      </x:c>
      <x:c r="Z440" s="2" t="n">
        <x:f>ABS(T440-AA440)</x:f>
        <x:v>0</x:v>
      </x:c>
      <x:c r="AA440" s="2" t="n">
        <x:v>127</x:v>
      </x:c>
      <x:c r="AB440" s="2" t="n">
        <x:f>ABS(K440-W440)</x:f>
        <x:v>1</x:v>
      </x:c>
      <x:c r="AC440" s="2" t="n">
        <x:f>COUNTIF($A$2:$A$1921,A440)-1</x:f>
        <x:v>0</x:v>
      </x:c>
      <x:c r="AD440" s="2" t="n">
        <x:f>IF(AND(D440=D439,H440=H439,C440=C439+1),ABS(R440-T439),0)</x:f>
        <x:v>0</x:v>
      </x:c>
    </x:row>
    <x:row r="441" ht="23" customHeight="1">
      <x:c r="A441" s="2" t="str">
        <x:v>DEMO-106-1-20</x:v>
      </x:c>
      <x:c r="B441" s="15" t="d">
        <x:v>2026-09-14T00:00:00.000Z</x:v>
      </x:c>
      <x:c r="C441" s="2" t="n">
        <x:v>20</x:v>
      </x:c>
      <x:c r="D441" s="2" t="str">
        <x:v>DEMO-106</x:v>
      </x:c>
      <x:c r="E441" s="2" t="str">
        <x:v>Sketch Folio</x:v>
      </x:c>
      <x:c r="F441" s="2" t="str">
        <x:v>Stationery</x:v>
      </x:c>
      <x:c r="G441" s="2" t="str">
        <x:v>Stores</x:v>
      </x:c>
      <x:c r="H441" s="2" t="str">
        <x:v>Riverside</x:v>
      </x:c>
      <x:c r="I441" s="2" t="n">
        <x:v>14</x:v>
      </x:c>
      <x:c r="J441" s="2" t="n">
        <x:v>0</x:v>
      </x:c>
      <x:c r="K441" s="2" t="n">
        <x:f>I441-J441</x:f>
        <x:v>14</x:v>
      </x:c>
      <x:c r="L441" s="16" t="n">
        <x:v>22</x:v>
      </x:c>
      <x:c r="M441" s="16" t="n">
        <x:v>22</x:v>
      </x:c>
      <x:c r="N441" s="16" t="n">
        <x:v>10.67</x:v>
      </x:c>
      <x:c r="O441" s="16" t="n">
        <x:f>K441*M441</x:f>
        <x:v>308</x:v>
      </x:c>
      <x:c r="P441" s="16" t="n">
        <x:f>K441*N441</x:f>
        <x:v>149.38</x:v>
      </x:c>
      <x:c r="Q441" s="16" t="n">
        <x:f>O441-P441</x:f>
        <x:v>158.62</x:v>
      </x:c>
      <x:c r="R441" s="2" t="n">
        <x:v>127</x:v>
      </x:c>
      <x:c r="S441" s="2" t="n">
        <x:v>0</x:v>
      </x:c>
      <x:c r="T441" s="2" t="n">
        <x:f>R441+S441+J441-I441</x:f>
        <x:v>113</x:v>
      </x:c>
      <x:c r="U441" s="2" t="n">
        <x:v>18</x:v>
      </x:c>
      <x:c r="V441" s="2" t="n">
        <x:v>4</x:v>
      </x:c>
      <x:c r="W441" s="2" t="n">
        <x:v>15</x:v>
      </x:c>
      <x:c r="X441" s="14" t="b">
        <x:v>0</x:v>
      </x:c>
      <x:c r="Y441" s="14" t="b">
        <x:v>0</x:v>
      </x:c>
      <x:c r="Z441" s="2" t="n">
        <x:f>ABS(T441-AA441)</x:f>
        <x:v>0</x:v>
      </x:c>
      <x:c r="AA441" s="2" t="n">
        <x:v>113</x:v>
      </x:c>
      <x:c r="AB441" s="2" t="n">
        <x:f>ABS(K441-W441)</x:f>
        <x:v>1</x:v>
      </x:c>
      <x:c r="AC441" s="2" t="n">
        <x:f>COUNTIF($A$2:$A$1921,A441)-1</x:f>
        <x:v>0</x:v>
      </x:c>
      <x:c r="AD441" s="2" t="n">
        <x:f>IF(AND(D441=D440,H441=H440,C441=C440+1),ABS(R441-T440),0)</x:f>
        <x:v>0</x:v>
      </x:c>
    </x:row>
    <x:row r="442" ht="23" customHeight="1">
      <x:c r="A442" s="2" t="str">
        <x:v>DEMO-106-2-1</x:v>
      </x:c>
      <x:c r="B442" s="15" t="d">
        <x:v>2026-05-04T00:00:00.000Z</x:v>
      </x:c>
      <x:c r="C442" s="2" t="n">
        <x:v>1</x:v>
      </x:c>
      <x:c r="D442" s="2" t="str">
        <x:v>DEMO-106</x:v>
      </x:c>
      <x:c r="E442" s="2" t="str">
        <x:v>Sketch Folio</x:v>
      </x:c>
      <x:c r="F442" s="2" t="str">
        <x:v>Stationery</x:v>
      </x:c>
      <x:c r="G442" s="2" t="str">
        <x:v>Stores</x:v>
      </x:c>
      <x:c r="H442" s="2" t="str">
        <x:v>Central Market</x:v>
      </x:c>
      <x:c r="I442" s="2" t="n">
        <x:v>12</x:v>
      </x:c>
      <x:c r="J442" s="2" t="n">
        <x:v>1</x:v>
      </x:c>
      <x:c r="K442" s="2" t="n">
        <x:f>I442-J442</x:f>
        <x:v>11</x:v>
      </x:c>
      <x:c r="L442" s="16" t="n">
        <x:v>22</x:v>
      </x:c>
      <x:c r="M442" s="16" t="n">
        <x:v>22</x:v>
      </x:c>
      <x:c r="N442" s="16" t="n">
        <x:v>10.67</x:v>
      </x:c>
      <x:c r="O442" s="16" t="n">
        <x:f>K442*M442</x:f>
        <x:v>242</x:v>
      </x:c>
      <x:c r="P442" s="16" t="n">
        <x:f>K442*N442</x:f>
        <x:v>117.37</x:v>
      </x:c>
      <x:c r="Q442" s="16" t="n">
        <x:f>O442-P442</x:f>
        <x:v>124.63</x:v>
      </x:c>
      <x:c r="R442" s="2" t="n">
        <x:v>90</x:v>
      </x:c>
      <x:c r="S442" s="2" t="n">
        <x:v>59</x:v>
      </x:c>
      <x:c r="T442" s="2" t="n">
        <x:f>R442+S442+J442-I442</x:f>
        <x:v>138</x:v>
      </x:c>
      <x:c r="U442" s="2" t="n">
        <x:v>0</x:v>
      </x:c>
      <x:c r="V442" s="2" t="n">
        <x:v>4</x:v>
      </x:c>
      <x:c r="W442" s="2" t="n">
        <x:v>14</x:v>
      </x:c>
      <x:c r="X442" s="14" t="b">
        <x:v>0</x:v>
      </x:c>
      <x:c r="Y442" s="14" t="b">
        <x:v>0</x:v>
      </x:c>
      <x:c r="Z442" s="2" t="n">
        <x:f>ABS(T442-AA442)</x:f>
        <x:v>0</x:v>
      </x:c>
      <x:c r="AA442" s="2" t="n">
        <x:v>138</x:v>
      </x:c>
      <x:c r="AB442" s="2" t="n">
        <x:f>ABS(K442-W442)</x:f>
        <x:v>3</x:v>
      </x:c>
      <x:c r="AC442" s="2" t="n">
        <x:f>COUNTIF($A$2:$A$1921,A442)-1</x:f>
        <x:v>0</x:v>
      </x:c>
      <x:c r="AD442" s="2" t="n">
        <x:f>IF(AND(D442=D441,H442=H441,C442=C441+1),ABS(R442-T441),0)</x:f>
        <x:v>0</x:v>
      </x:c>
    </x:row>
    <x:row r="443" ht="23" customHeight="1">
      <x:c r="A443" s="2" t="str">
        <x:v>DEMO-106-2-2</x:v>
      </x:c>
      <x:c r="B443" s="15" t="d">
        <x:v>2026-05-11T00:00:00.000Z</x:v>
      </x:c>
      <x:c r="C443" s="2" t="n">
        <x:v>2</x:v>
      </x:c>
      <x:c r="D443" s="2" t="str">
        <x:v>DEMO-106</x:v>
      </x:c>
      <x:c r="E443" s="2" t="str">
        <x:v>Sketch Folio</x:v>
      </x:c>
      <x:c r="F443" s="2" t="str">
        <x:v>Stationery</x:v>
      </x:c>
      <x:c r="G443" s="2" t="str">
        <x:v>Stores</x:v>
      </x:c>
      <x:c r="H443" s="2" t="str">
        <x:v>Central Market</x:v>
      </x:c>
      <x:c r="I443" s="2" t="n">
        <x:v>17</x:v>
      </x:c>
      <x:c r="J443" s="2" t="n">
        <x:v>1</x:v>
      </x:c>
      <x:c r="K443" s="2" t="n">
        <x:f>I443-J443</x:f>
        <x:v>16</x:v>
      </x:c>
      <x:c r="L443" s="16" t="n">
        <x:v>22</x:v>
      </x:c>
      <x:c r="M443" s="16" t="n">
        <x:v>22</x:v>
      </x:c>
      <x:c r="N443" s="16" t="n">
        <x:v>10.67</x:v>
      </x:c>
      <x:c r="O443" s="16" t="n">
        <x:f>K443*M443</x:f>
        <x:v>352</x:v>
      </x:c>
      <x:c r="P443" s="16" t="n">
        <x:f>K443*N443</x:f>
        <x:v>170.72</x:v>
      </x:c>
      <x:c r="Q443" s="16" t="n">
        <x:f>O443-P443</x:f>
        <x:v>181.28</x:v>
      </x:c>
      <x:c r="R443" s="2" t="n">
        <x:v>138</x:v>
      </x:c>
      <x:c r="S443" s="2" t="n">
        <x:v>0</x:v>
      </x:c>
      <x:c r="T443" s="2" t="n">
        <x:f>R443+S443+J443-I443</x:f>
        <x:v>122</x:v>
      </x:c>
      <x:c r="U443" s="2" t="n">
        <x:v>0</x:v>
      </x:c>
      <x:c r="V443" s="2" t="n">
        <x:v>4</x:v>
      </x:c>
      <x:c r="W443" s="2" t="n">
        <x:v>11</x:v>
      </x:c>
      <x:c r="X443" s="14" t="b">
        <x:v>0</x:v>
      </x:c>
      <x:c r="Y443" s="14" t="b">
        <x:v>0</x:v>
      </x:c>
      <x:c r="Z443" s="2" t="n">
        <x:f>ABS(T443-AA443)</x:f>
        <x:v>0</x:v>
      </x:c>
      <x:c r="AA443" s="2" t="n">
        <x:v>122</x:v>
      </x:c>
      <x:c r="AB443" s="2" t="n">
        <x:f>ABS(K443-W443)</x:f>
        <x:v>5</x:v>
      </x:c>
      <x:c r="AC443" s="2" t="n">
        <x:f>COUNTIF($A$2:$A$1921,A443)-1</x:f>
        <x:v>0</x:v>
      </x:c>
      <x:c r="AD443" s="2" t="n">
        <x:f>IF(AND(D443=D442,H443=H442,C443=C442+1),ABS(R443-T442),0)</x:f>
        <x:v>0</x:v>
      </x:c>
    </x:row>
    <x:row r="444" ht="23" customHeight="1">
      <x:c r="A444" s="2" t="str">
        <x:v>DEMO-106-2-3</x:v>
      </x:c>
      <x:c r="B444" s="15" t="d">
        <x:v>2026-05-18T00:00:00.000Z</x:v>
      </x:c>
      <x:c r="C444" s="2" t="n">
        <x:v>3</x:v>
      </x:c>
      <x:c r="D444" s="2" t="str">
        <x:v>DEMO-106</x:v>
      </x:c>
      <x:c r="E444" s="2" t="str">
        <x:v>Sketch Folio</x:v>
      </x:c>
      <x:c r="F444" s="2" t="str">
        <x:v>Stationery</x:v>
      </x:c>
      <x:c r="G444" s="2" t="str">
        <x:v>Stores</x:v>
      </x:c>
      <x:c r="H444" s="2" t="str">
        <x:v>Central Market</x:v>
      </x:c>
      <x:c r="I444" s="2" t="n">
        <x:v>16</x:v>
      </x:c>
      <x:c r="J444" s="2" t="n">
        <x:v>0</x:v>
      </x:c>
      <x:c r="K444" s="2" t="n">
        <x:f>I444-J444</x:f>
        <x:v>16</x:v>
      </x:c>
      <x:c r="L444" s="16" t="n">
        <x:v>22</x:v>
      </x:c>
      <x:c r="M444" s="16" t="n">
        <x:v>22</x:v>
      </x:c>
      <x:c r="N444" s="16" t="n">
        <x:v>10.67</x:v>
      </x:c>
      <x:c r="O444" s="16" t="n">
        <x:f>K444*M444</x:f>
        <x:v>352</x:v>
      </x:c>
      <x:c r="P444" s="16" t="n">
        <x:f>K444*N444</x:f>
        <x:v>170.72</x:v>
      </x:c>
      <x:c r="Q444" s="16" t="n">
        <x:f>O444-P444</x:f>
        <x:v>181.28</x:v>
      </x:c>
      <x:c r="R444" s="2" t="n">
        <x:v>122</x:v>
      </x:c>
      <x:c r="S444" s="2" t="n">
        <x:v>0</x:v>
      </x:c>
      <x:c r="T444" s="2" t="n">
        <x:f>R444+S444+J444-I444</x:f>
        <x:v>106</x:v>
      </x:c>
      <x:c r="U444" s="2" t="n">
        <x:v>0</x:v>
      </x:c>
      <x:c r="V444" s="2" t="n">
        <x:v>4</x:v>
      </x:c>
      <x:c r="W444" s="2" t="n">
        <x:v>14</x:v>
      </x:c>
      <x:c r="X444" s="14" t="b">
        <x:v>0</x:v>
      </x:c>
      <x:c r="Y444" s="14" t="b">
        <x:v>0</x:v>
      </x:c>
      <x:c r="Z444" s="2" t="n">
        <x:f>ABS(T444-AA444)</x:f>
        <x:v>0</x:v>
      </x:c>
      <x:c r="AA444" s="2" t="n">
        <x:v>106</x:v>
      </x:c>
      <x:c r="AB444" s="2" t="n">
        <x:f>ABS(K444-W444)</x:f>
        <x:v>2</x:v>
      </x:c>
      <x:c r="AC444" s="2" t="n">
        <x:f>COUNTIF($A$2:$A$1921,A444)-1</x:f>
        <x:v>0</x:v>
      </x:c>
      <x:c r="AD444" s="2" t="n">
        <x:f>IF(AND(D444=D443,H444=H443,C444=C443+1),ABS(R444-T443),0)</x:f>
        <x:v>0</x:v>
      </x:c>
    </x:row>
    <x:row r="445" ht="23" customHeight="1">
      <x:c r="A445" s="2" t="str">
        <x:v>DEMO-106-2-4</x:v>
      </x:c>
      <x:c r="B445" s="15" t="d">
        <x:v>2026-05-25T00:00:00.000Z</x:v>
      </x:c>
      <x:c r="C445" s="2" t="n">
        <x:v>4</x:v>
      </x:c>
      <x:c r="D445" s="2" t="str">
        <x:v>DEMO-106</x:v>
      </x:c>
      <x:c r="E445" s="2" t="str">
        <x:v>Sketch Folio</x:v>
      </x:c>
      <x:c r="F445" s="2" t="str">
        <x:v>Stationery</x:v>
      </x:c>
      <x:c r="G445" s="2" t="str">
        <x:v>Stores</x:v>
      </x:c>
      <x:c r="H445" s="2" t="str">
        <x:v>Central Market</x:v>
      </x:c>
      <x:c r="I445" s="2" t="n">
        <x:v>14</x:v>
      </x:c>
      <x:c r="J445" s="2" t="n">
        <x:v>0</x:v>
      </x:c>
      <x:c r="K445" s="2" t="n">
        <x:f>I445-J445</x:f>
        <x:v>14</x:v>
      </x:c>
      <x:c r="L445" s="16" t="n">
        <x:v>22</x:v>
      </x:c>
      <x:c r="M445" s="16" t="n">
        <x:v>22</x:v>
      </x:c>
      <x:c r="N445" s="16" t="n">
        <x:v>10.67</x:v>
      </x:c>
      <x:c r="O445" s="16" t="n">
        <x:f>K445*M445</x:f>
        <x:v>308</x:v>
      </x:c>
      <x:c r="P445" s="16" t="n">
        <x:f>K445*N445</x:f>
        <x:v>149.38</x:v>
      </x:c>
      <x:c r="Q445" s="16" t="n">
        <x:f>O445-P445</x:f>
        <x:v>158.62</x:v>
      </x:c>
      <x:c r="R445" s="2" t="n">
        <x:v>106</x:v>
      </x:c>
      <x:c r="S445" s="2" t="n">
        <x:v>0</x:v>
      </x:c>
      <x:c r="T445" s="2" t="n">
        <x:f>R445+S445+J445-I445</x:f>
        <x:v>92</x:v>
      </x:c>
      <x:c r="U445" s="2" t="n">
        <x:v>0</x:v>
      </x:c>
      <x:c r="V445" s="2" t="n">
        <x:v>4</x:v>
      </x:c>
      <x:c r="W445" s="2" t="n">
        <x:v>14</x:v>
      </x:c>
      <x:c r="X445" s="14" t="b">
        <x:v>0</x:v>
      </x:c>
      <x:c r="Y445" s="14" t="b">
        <x:v>0</x:v>
      </x:c>
      <x:c r="Z445" s="2" t="n">
        <x:f>ABS(T445-AA445)</x:f>
        <x:v>0</x:v>
      </x:c>
      <x:c r="AA445" s="2" t="n">
        <x:v>92</x:v>
      </x:c>
      <x:c r="AB445" s="2" t="n">
        <x:f>ABS(K445-W445)</x:f>
        <x:v>0</x:v>
      </x:c>
      <x:c r="AC445" s="2" t="n">
        <x:f>COUNTIF($A$2:$A$1921,A445)-1</x:f>
        <x:v>0</x:v>
      </x:c>
      <x:c r="AD445" s="2" t="n">
        <x:f>IF(AND(D445=D444,H445=H444,C445=C444+1),ABS(R445-T444),0)</x:f>
        <x:v>0</x:v>
      </x:c>
    </x:row>
    <x:row r="446" ht="23" customHeight="1">
      <x:c r="A446" s="2" t="str">
        <x:v>DEMO-106-2-5</x:v>
      </x:c>
      <x:c r="B446" s="15" t="d">
        <x:v>2026-06-01T00:00:00.000Z</x:v>
      </x:c>
      <x:c r="C446" s="2" t="n">
        <x:v>5</x:v>
      </x:c>
      <x:c r="D446" s="2" t="str">
        <x:v>DEMO-106</x:v>
      </x:c>
      <x:c r="E446" s="2" t="str">
        <x:v>Sketch Folio</x:v>
      </x:c>
      <x:c r="F446" s="2" t="str">
        <x:v>Stationery</x:v>
      </x:c>
      <x:c r="G446" s="2" t="str">
        <x:v>Stores</x:v>
      </x:c>
      <x:c r="H446" s="2" t="str">
        <x:v>Central Market</x:v>
      </x:c>
      <x:c r="I446" s="2" t="n">
        <x:v>15</x:v>
      </x:c>
      <x:c r="J446" s="2" t="n">
        <x:v>0</x:v>
      </x:c>
      <x:c r="K446" s="2" t="n">
        <x:f>I446-J446</x:f>
        <x:v>15</x:v>
      </x:c>
      <x:c r="L446" s="16" t="n">
        <x:v>22</x:v>
      </x:c>
      <x:c r="M446" s="16" t="n">
        <x:v>22</x:v>
      </x:c>
      <x:c r="N446" s="16" t="n">
        <x:v>10.67</x:v>
      </x:c>
      <x:c r="O446" s="16" t="n">
        <x:f>K446*M446</x:f>
        <x:v>330</x:v>
      </x:c>
      <x:c r="P446" s="16" t="n">
        <x:f>K446*N446</x:f>
        <x:v>160.05</x:v>
      </x:c>
      <x:c r="Q446" s="16" t="n">
        <x:f>O446-P446</x:f>
        <x:v>169.95</x:v>
      </x:c>
      <x:c r="R446" s="2" t="n">
        <x:v>92</x:v>
      </x:c>
      <x:c r="S446" s="2" t="n">
        <x:v>59</x:v>
      </x:c>
      <x:c r="T446" s="2" t="n">
        <x:f>R446+S446+J446-I446</x:f>
        <x:v>136</x:v>
      </x:c>
      <x:c r="U446" s="2" t="n">
        <x:v>0</x:v>
      </x:c>
      <x:c r="V446" s="2" t="n">
        <x:v>4</x:v>
      </x:c>
      <x:c r="W446" s="2" t="n">
        <x:v>14</x:v>
      </x:c>
      <x:c r="X446" s="14" t="b">
        <x:v>0</x:v>
      </x:c>
      <x:c r="Y446" s="14" t="b">
        <x:v>0</x:v>
      </x:c>
      <x:c r="Z446" s="2" t="n">
        <x:f>ABS(T446-AA446)</x:f>
        <x:v>0</x:v>
      </x:c>
      <x:c r="AA446" s="2" t="n">
        <x:v>136</x:v>
      </x:c>
      <x:c r="AB446" s="2" t="n">
        <x:f>ABS(K446-W446)</x:f>
        <x:v>1</x:v>
      </x:c>
      <x:c r="AC446" s="2" t="n">
        <x:f>COUNTIF($A$2:$A$1921,A446)-1</x:f>
        <x:v>0</x:v>
      </x:c>
      <x:c r="AD446" s="2" t="n">
        <x:f>IF(AND(D446=D445,H446=H445,C446=C445+1),ABS(R446-T445),0)</x:f>
        <x:v>0</x:v>
      </x:c>
    </x:row>
    <x:row r="447" ht="23" customHeight="1">
      <x:c r="A447" s="2" t="str">
        <x:v>DEMO-106-2-6</x:v>
      </x:c>
      <x:c r="B447" s="15" t="d">
        <x:v>2026-06-08T00:00:00.000Z</x:v>
      </x:c>
      <x:c r="C447" s="2" t="n">
        <x:v>6</x:v>
      </x:c>
      <x:c r="D447" s="2" t="str">
        <x:v>DEMO-106</x:v>
      </x:c>
      <x:c r="E447" s="2" t="str">
        <x:v>Sketch Folio</x:v>
      </x:c>
      <x:c r="F447" s="2" t="str">
        <x:v>Stationery</x:v>
      </x:c>
      <x:c r="G447" s="2" t="str">
        <x:v>Stores</x:v>
      </x:c>
      <x:c r="H447" s="2" t="str">
        <x:v>Central Market</x:v>
      </x:c>
      <x:c r="I447" s="2" t="n">
        <x:v>14</x:v>
      </x:c>
      <x:c r="J447" s="2" t="n">
        <x:v>0</x:v>
      </x:c>
      <x:c r="K447" s="2" t="n">
        <x:f>I447-J447</x:f>
        <x:v>14</x:v>
      </x:c>
      <x:c r="L447" s="16" t="n">
        <x:v>22</x:v>
      </x:c>
      <x:c r="M447" s="16" t="n">
        <x:v>22</x:v>
      </x:c>
      <x:c r="N447" s="16" t="n">
        <x:v>10.67</x:v>
      </x:c>
      <x:c r="O447" s="16" t="n">
        <x:f>K447*M447</x:f>
        <x:v>308</x:v>
      </x:c>
      <x:c r="P447" s="16" t="n">
        <x:f>K447*N447</x:f>
        <x:v>149.38</x:v>
      </x:c>
      <x:c r="Q447" s="16" t="n">
        <x:f>O447-P447</x:f>
        <x:v>158.62</x:v>
      </x:c>
      <x:c r="R447" s="2" t="n">
        <x:v>136</x:v>
      </x:c>
      <x:c r="S447" s="2" t="n">
        <x:v>0</x:v>
      </x:c>
      <x:c r="T447" s="2" t="n">
        <x:f>R447+S447+J447-I447</x:f>
        <x:v>122</x:v>
      </x:c>
      <x:c r="U447" s="2" t="n">
        <x:v>0</x:v>
      </x:c>
      <x:c r="V447" s="2" t="n">
        <x:v>4</x:v>
      </x:c>
      <x:c r="W447" s="2" t="n">
        <x:v>15</x:v>
      </x:c>
      <x:c r="X447" s="14" t="b">
        <x:v>0</x:v>
      </x:c>
      <x:c r="Y447" s="14" t="b">
        <x:v>0</x:v>
      </x:c>
      <x:c r="Z447" s="2" t="n">
        <x:f>ABS(T447-AA447)</x:f>
        <x:v>0</x:v>
      </x:c>
      <x:c r="AA447" s="2" t="n">
        <x:v>122</x:v>
      </x:c>
      <x:c r="AB447" s="2" t="n">
        <x:f>ABS(K447-W447)</x:f>
        <x:v>1</x:v>
      </x:c>
      <x:c r="AC447" s="2" t="n">
        <x:f>COUNTIF($A$2:$A$1921,A447)-1</x:f>
        <x:v>0</x:v>
      </x:c>
      <x:c r="AD447" s="2" t="n">
        <x:f>IF(AND(D447=D446,H447=H446,C447=C446+1),ABS(R447-T446),0)</x:f>
        <x:v>0</x:v>
      </x:c>
    </x:row>
    <x:row r="448" ht="23" customHeight="1">
      <x:c r="A448" s="2" t="str">
        <x:v>DEMO-106-2-7</x:v>
      </x:c>
      <x:c r="B448" s="15" t="d">
        <x:v>2026-06-15T00:00:00.000Z</x:v>
      </x:c>
      <x:c r="C448" s="2" t="n">
        <x:v>7</x:v>
      </x:c>
      <x:c r="D448" s="2" t="str">
        <x:v>DEMO-106</x:v>
      </x:c>
      <x:c r="E448" s="2" t="str">
        <x:v>Sketch Folio</x:v>
      </x:c>
      <x:c r="F448" s="2" t="str">
        <x:v>Stationery</x:v>
      </x:c>
      <x:c r="G448" s="2" t="str">
        <x:v>Stores</x:v>
      </x:c>
      <x:c r="H448" s="2" t="str">
        <x:v>Central Market</x:v>
      </x:c>
      <x:c r="I448" s="2" t="n">
        <x:v>15</x:v>
      </x:c>
      <x:c r="J448" s="2" t="n">
        <x:v>0</x:v>
      </x:c>
      <x:c r="K448" s="2" t="n">
        <x:f>I448-J448</x:f>
        <x:v>15</x:v>
      </x:c>
      <x:c r="L448" s="16" t="n">
        <x:v>22</x:v>
      </x:c>
      <x:c r="M448" s="16" t="n">
        <x:v>22</x:v>
      </x:c>
      <x:c r="N448" s="16" t="n">
        <x:v>10.67</x:v>
      </x:c>
      <x:c r="O448" s="16" t="n">
        <x:f>K448*M448</x:f>
        <x:v>330</x:v>
      </x:c>
      <x:c r="P448" s="16" t="n">
        <x:f>K448*N448</x:f>
        <x:v>160.05</x:v>
      </x:c>
      <x:c r="Q448" s="16" t="n">
        <x:f>O448-P448</x:f>
        <x:v>169.95</x:v>
      </x:c>
      <x:c r="R448" s="2" t="n">
        <x:v>122</x:v>
      </x:c>
      <x:c r="S448" s="2" t="n">
        <x:v>0</x:v>
      </x:c>
      <x:c r="T448" s="2" t="n">
        <x:f>R448+S448+J448-I448</x:f>
        <x:v>107</x:v>
      </x:c>
      <x:c r="U448" s="2" t="n">
        <x:v>0</x:v>
      </x:c>
      <x:c r="V448" s="2" t="n">
        <x:v>4</x:v>
      </x:c>
      <x:c r="W448" s="2" t="n">
        <x:v>15</x:v>
      </x:c>
      <x:c r="X448" s="14" t="b">
        <x:v>0</x:v>
      </x:c>
      <x:c r="Y448" s="14" t="b">
        <x:v>0</x:v>
      </x:c>
      <x:c r="Z448" s="2" t="n">
        <x:f>ABS(T448-AA448)</x:f>
        <x:v>0</x:v>
      </x:c>
      <x:c r="AA448" s="2" t="n">
        <x:v>107</x:v>
      </x:c>
      <x:c r="AB448" s="2" t="n">
        <x:f>ABS(K448-W448)</x:f>
        <x:v>0</x:v>
      </x:c>
      <x:c r="AC448" s="2" t="n">
        <x:f>COUNTIF($A$2:$A$1921,A448)-1</x:f>
        <x:v>0</x:v>
      </x:c>
      <x:c r="AD448" s="2" t="n">
        <x:f>IF(AND(D448=D447,H448=H447,C448=C447+1),ABS(R448-T447),0)</x:f>
        <x:v>0</x:v>
      </x:c>
    </x:row>
    <x:row r="449" ht="23" customHeight="1">
      <x:c r="A449" s="2" t="str">
        <x:v>DEMO-106-2-8</x:v>
      </x:c>
      <x:c r="B449" s="15" t="d">
        <x:v>2026-06-22T00:00:00.000Z</x:v>
      </x:c>
      <x:c r="C449" s="2" t="n">
        <x:v>8</x:v>
      </x:c>
      <x:c r="D449" s="2" t="str">
        <x:v>DEMO-106</x:v>
      </x:c>
      <x:c r="E449" s="2" t="str">
        <x:v>Sketch Folio</x:v>
      </x:c>
      <x:c r="F449" s="2" t="str">
        <x:v>Stationery</x:v>
      </x:c>
      <x:c r="G449" s="2" t="str">
        <x:v>Stores</x:v>
      </x:c>
      <x:c r="H449" s="2" t="str">
        <x:v>Central Market</x:v>
      </x:c>
      <x:c r="I449" s="2" t="n">
        <x:v>16</x:v>
      </x:c>
      <x:c r="J449" s="2" t="n">
        <x:v>0</x:v>
      </x:c>
      <x:c r="K449" s="2" t="n">
        <x:f>I449-J449</x:f>
        <x:v>16</x:v>
      </x:c>
      <x:c r="L449" s="16" t="n">
        <x:v>22</x:v>
      </x:c>
      <x:c r="M449" s="16" t="n">
        <x:v>22</x:v>
      </x:c>
      <x:c r="N449" s="16" t="n">
        <x:v>10.67</x:v>
      </x:c>
      <x:c r="O449" s="16" t="n">
        <x:f>K449*M449</x:f>
        <x:v>352</x:v>
      </x:c>
      <x:c r="P449" s="16" t="n">
        <x:f>K449*N449</x:f>
        <x:v>170.72</x:v>
      </x:c>
      <x:c r="Q449" s="16" t="n">
        <x:f>O449-P449</x:f>
        <x:v>181.28</x:v>
      </x:c>
      <x:c r="R449" s="2" t="n">
        <x:v>107</x:v>
      </x:c>
      <x:c r="S449" s="2" t="n">
        <x:v>0</x:v>
      </x:c>
      <x:c r="T449" s="2" t="n">
        <x:f>R449+S449+J449-I449</x:f>
        <x:v>91</x:v>
      </x:c>
      <x:c r="U449" s="2" t="n">
        <x:v>0</x:v>
      </x:c>
      <x:c r="V449" s="2" t="n">
        <x:v>4</x:v>
      </x:c>
      <x:c r="W449" s="2" t="n">
        <x:v>15</x:v>
      </x:c>
      <x:c r="X449" s="14" t="b">
        <x:v>0</x:v>
      </x:c>
      <x:c r="Y449" s="14" t="b">
        <x:v>0</x:v>
      </x:c>
      <x:c r="Z449" s="2" t="n">
        <x:f>ABS(T449-AA449)</x:f>
        <x:v>0</x:v>
      </x:c>
      <x:c r="AA449" s="2" t="n">
        <x:v>91</x:v>
      </x:c>
      <x:c r="AB449" s="2" t="n">
        <x:f>ABS(K449-W449)</x:f>
        <x:v>1</x:v>
      </x:c>
      <x:c r="AC449" s="2" t="n">
        <x:f>COUNTIF($A$2:$A$1921,A449)-1</x:f>
        <x:v>0</x:v>
      </x:c>
      <x:c r="AD449" s="2" t="n">
        <x:f>IF(AND(D449=D448,H449=H448,C449=C448+1),ABS(R449-T448),0)</x:f>
        <x:v>0</x:v>
      </x:c>
    </x:row>
    <x:row r="450" ht="23" customHeight="1">
      <x:c r="A450" s="2" t="str">
        <x:v>DEMO-106-2-9</x:v>
      </x:c>
      <x:c r="B450" s="15" t="d">
        <x:v>2026-06-29T00:00:00.000Z</x:v>
      </x:c>
      <x:c r="C450" s="2" t="n">
        <x:v>9</x:v>
      </x:c>
      <x:c r="D450" s="2" t="str">
        <x:v>DEMO-106</x:v>
      </x:c>
      <x:c r="E450" s="2" t="str">
        <x:v>Sketch Folio</x:v>
      </x:c>
      <x:c r="F450" s="2" t="str">
        <x:v>Stationery</x:v>
      </x:c>
      <x:c r="G450" s="2" t="str">
        <x:v>Stores</x:v>
      </x:c>
      <x:c r="H450" s="2" t="str">
        <x:v>Central Market</x:v>
      </x:c>
      <x:c r="I450" s="2" t="n">
        <x:v>13</x:v>
      </x:c>
      <x:c r="J450" s="2" t="n">
        <x:v>1</x:v>
      </x:c>
      <x:c r="K450" s="2" t="n">
        <x:f>I450-J450</x:f>
        <x:v>12</x:v>
      </x:c>
      <x:c r="L450" s="16" t="n">
        <x:v>22</x:v>
      </x:c>
      <x:c r="M450" s="16" t="n">
        <x:v>22</x:v>
      </x:c>
      <x:c r="N450" s="16" t="n">
        <x:v>10.67</x:v>
      </x:c>
      <x:c r="O450" s="16" t="n">
        <x:f>K450*M450</x:f>
        <x:v>264</x:v>
      </x:c>
      <x:c r="P450" s="16" t="n">
        <x:f>K450*N450</x:f>
        <x:v>128.04</x:v>
      </x:c>
      <x:c r="Q450" s="16" t="n">
        <x:f>O450-P450</x:f>
        <x:v>135.96</x:v>
      </x:c>
      <x:c r="R450" s="2" t="n">
        <x:v>91</x:v>
      </x:c>
      <x:c r="S450" s="2" t="n">
        <x:v>59</x:v>
      </x:c>
      <x:c r="T450" s="2" t="n">
        <x:f>R450+S450+J450-I450</x:f>
        <x:v>138</x:v>
      </x:c>
      <x:c r="U450" s="2" t="n">
        <x:v>0</x:v>
      </x:c>
      <x:c r="V450" s="2" t="n">
        <x:v>4</x:v>
      </x:c>
      <x:c r="W450" s="2" t="n">
        <x:v>15</x:v>
      </x:c>
      <x:c r="X450" s="14" t="b">
        <x:v>0</x:v>
      </x:c>
      <x:c r="Y450" s="14" t="b">
        <x:v>0</x:v>
      </x:c>
      <x:c r="Z450" s="2" t="n">
        <x:f>ABS(T450-AA450)</x:f>
        <x:v>0</x:v>
      </x:c>
      <x:c r="AA450" s="2" t="n">
        <x:v>138</x:v>
      </x:c>
      <x:c r="AB450" s="2" t="n">
        <x:f>ABS(K450-W450)</x:f>
        <x:v>3</x:v>
      </x:c>
      <x:c r="AC450" s="2" t="n">
        <x:f>COUNTIF($A$2:$A$1921,A450)-1</x:f>
        <x:v>0</x:v>
      </x:c>
      <x:c r="AD450" s="2" t="n">
        <x:f>IF(AND(D450=D449,H450=H449,C450=C449+1),ABS(R450-T449),0)</x:f>
        <x:v>0</x:v>
      </x:c>
    </x:row>
    <x:row r="451" ht="23" customHeight="1">
      <x:c r="A451" s="2" t="str">
        <x:v>DEMO-106-2-10</x:v>
      </x:c>
      <x:c r="B451" s="15" t="d">
        <x:v>2026-07-06T00:00:00.000Z</x:v>
      </x:c>
      <x:c r="C451" s="2" t="n">
        <x:v>10</x:v>
      </x:c>
      <x:c r="D451" s="2" t="str">
        <x:v>DEMO-106</x:v>
      </x:c>
      <x:c r="E451" s="2" t="str">
        <x:v>Sketch Folio</x:v>
      </x:c>
      <x:c r="F451" s="2" t="str">
        <x:v>Stationery</x:v>
      </x:c>
      <x:c r="G451" s="2" t="str">
        <x:v>Stores</x:v>
      </x:c>
      <x:c r="H451" s="2" t="str">
        <x:v>Central Market</x:v>
      </x:c>
      <x:c r="I451" s="2" t="n">
        <x:v>12</x:v>
      </x:c>
      <x:c r="J451" s="2" t="n">
        <x:v>0</x:v>
      </x:c>
      <x:c r="K451" s="2" t="n">
        <x:f>I451-J451</x:f>
        <x:v>12</x:v>
      </x:c>
      <x:c r="L451" s="16" t="n">
        <x:v>22</x:v>
      </x:c>
      <x:c r="M451" s="16" t="n">
        <x:v>22</x:v>
      </x:c>
      <x:c r="N451" s="16" t="n">
        <x:v>10.67</x:v>
      </x:c>
      <x:c r="O451" s="16" t="n">
        <x:f>K451*M451</x:f>
        <x:v>264</x:v>
      </x:c>
      <x:c r="P451" s="16" t="n">
        <x:f>K451*N451</x:f>
        <x:v>128.04</x:v>
      </x:c>
      <x:c r="Q451" s="16" t="n">
        <x:f>O451-P451</x:f>
        <x:v>135.96</x:v>
      </x:c>
      <x:c r="R451" s="2" t="n">
        <x:v>138</x:v>
      </x:c>
      <x:c r="S451" s="2" t="n">
        <x:v>0</x:v>
      </x:c>
      <x:c r="T451" s="2" t="n">
        <x:f>R451+S451+J451-I451</x:f>
        <x:v>126</x:v>
      </x:c>
      <x:c r="U451" s="2" t="n">
        <x:v>0</x:v>
      </x:c>
      <x:c r="V451" s="2" t="n">
        <x:v>4</x:v>
      </x:c>
      <x:c r="W451" s="2" t="n">
        <x:v>14</x:v>
      </x:c>
      <x:c r="X451" s="14" t="b">
        <x:v>0</x:v>
      </x:c>
      <x:c r="Y451" s="14" t="b">
        <x:v>0</x:v>
      </x:c>
      <x:c r="Z451" s="2" t="n">
        <x:f>ABS(T451-AA451)</x:f>
        <x:v>0</x:v>
      </x:c>
      <x:c r="AA451" s="2" t="n">
        <x:v>126</x:v>
      </x:c>
      <x:c r="AB451" s="2" t="n">
        <x:f>ABS(K451-W451)</x:f>
        <x:v>2</x:v>
      </x:c>
      <x:c r="AC451" s="2" t="n">
        <x:f>COUNTIF($A$2:$A$1921,A451)-1</x:f>
        <x:v>0</x:v>
      </x:c>
      <x:c r="AD451" s="2" t="n">
        <x:f>IF(AND(D451=D450,H451=H450,C451=C450+1),ABS(R451-T450),0)</x:f>
        <x:v>0</x:v>
      </x:c>
    </x:row>
    <x:row r="452" ht="23" customHeight="1">
      <x:c r="A452" s="2" t="str">
        <x:v>DEMO-106-2-11</x:v>
      </x:c>
      <x:c r="B452" s="15" t="d">
        <x:v>2026-07-13T00:00:00.000Z</x:v>
      </x:c>
      <x:c r="C452" s="2" t="n">
        <x:v>11</x:v>
      </x:c>
      <x:c r="D452" s="2" t="str">
        <x:v>DEMO-106</x:v>
      </x:c>
      <x:c r="E452" s="2" t="str">
        <x:v>Sketch Folio</x:v>
      </x:c>
      <x:c r="F452" s="2" t="str">
        <x:v>Stationery</x:v>
      </x:c>
      <x:c r="G452" s="2" t="str">
        <x:v>Stores</x:v>
      </x:c>
      <x:c r="H452" s="2" t="str">
        <x:v>Central Market</x:v>
      </x:c>
      <x:c r="I452" s="2" t="n">
        <x:v>17</x:v>
      </x:c>
      <x:c r="J452" s="2" t="n">
        <x:v>0</x:v>
      </x:c>
      <x:c r="K452" s="2" t="n">
        <x:f>I452-J452</x:f>
        <x:v>17</x:v>
      </x:c>
      <x:c r="L452" s="16" t="n">
        <x:v>22</x:v>
      </x:c>
      <x:c r="M452" s="16" t="n">
        <x:v>22</x:v>
      </x:c>
      <x:c r="N452" s="16" t="n">
        <x:v>10.67</x:v>
      </x:c>
      <x:c r="O452" s="16" t="n">
        <x:f>K452*M452</x:f>
        <x:v>374</x:v>
      </x:c>
      <x:c r="P452" s="16" t="n">
        <x:f>K452*N452</x:f>
        <x:v>181.39</x:v>
      </x:c>
      <x:c r="Q452" s="16" t="n">
        <x:f>O452-P452</x:f>
        <x:v>192.61</x:v>
      </x:c>
      <x:c r="R452" s="2" t="n">
        <x:v>126</x:v>
      </x:c>
      <x:c r="S452" s="2" t="n">
        <x:v>0</x:v>
      </x:c>
      <x:c r="T452" s="2" t="n">
        <x:f>R452+S452+J452-I452</x:f>
        <x:v>109</x:v>
      </x:c>
      <x:c r="U452" s="2" t="n">
        <x:v>0</x:v>
      </x:c>
      <x:c r="V452" s="2" t="n">
        <x:v>4</x:v>
      </x:c>
      <x:c r="W452" s="2" t="n">
        <x:v>14</x:v>
      </x:c>
      <x:c r="X452" s="14" t="b">
        <x:v>0</x:v>
      </x:c>
      <x:c r="Y452" s="14" t="b">
        <x:v>0</x:v>
      </x:c>
      <x:c r="Z452" s="2" t="n">
        <x:f>ABS(T452-AA452)</x:f>
        <x:v>0</x:v>
      </x:c>
      <x:c r="AA452" s="2" t="n">
        <x:v>109</x:v>
      </x:c>
      <x:c r="AB452" s="2" t="n">
        <x:f>ABS(K452-W452)</x:f>
        <x:v>3</x:v>
      </x:c>
      <x:c r="AC452" s="2" t="n">
        <x:f>COUNTIF($A$2:$A$1921,A452)-1</x:f>
        <x:v>0</x:v>
      </x:c>
      <x:c r="AD452" s="2" t="n">
        <x:f>IF(AND(D452=D451,H452=H451,C452=C451+1),ABS(R452-T451),0)</x:f>
        <x:v>0</x:v>
      </x:c>
    </x:row>
    <x:row r="453" ht="23" customHeight="1">
      <x:c r="A453" s="2" t="str">
        <x:v>DEMO-106-2-12</x:v>
      </x:c>
      <x:c r="B453" s="15" t="d">
        <x:v>2026-07-20T00:00:00.000Z</x:v>
      </x:c>
      <x:c r="C453" s="2" t="n">
        <x:v>12</x:v>
      </x:c>
      <x:c r="D453" s="2" t="str">
        <x:v>DEMO-106</x:v>
      </x:c>
      <x:c r="E453" s="2" t="str">
        <x:v>Sketch Folio</x:v>
      </x:c>
      <x:c r="F453" s="2" t="str">
        <x:v>Stationery</x:v>
      </x:c>
      <x:c r="G453" s="2" t="str">
        <x:v>Stores</x:v>
      </x:c>
      <x:c r="H453" s="2" t="str">
        <x:v>Central Market</x:v>
      </x:c>
      <x:c r="I453" s="2" t="n">
        <x:v>11</x:v>
      </x:c>
      <x:c r="J453" s="2" t="n">
        <x:v>0</x:v>
      </x:c>
      <x:c r="K453" s="2" t="n">
        <x:f>I453-J453</x:f>
        <x:v>11</x:v>
      </x:c>
      <x:c r="L453" s="16" t="n">
        <x:v>22</x:v>
      </x:c>
      <x:c r="M453" s="16" t="n">
        <x:v>22</x:v>
      </x:c>
      <x:c r="N453" s="16" t="n">
        <x:v>10.67</x:v>
      </x:c>
      <x:c r="O453" s="16" t="n">
        <x:f>K453*M453</x:f>
        <x:v>242</x:v>
      </x:c>
      <x:c r="P453" s="16" t="n">
        <x:f>K453*N453</x:f>
        <x:v>117.37</x:v>
      </x:c>
      <x:c r="Q453" s="16" t="n">
        <x:f>O453-P453</x:f>
        <x:v>124.63</x:v>
      </x:c>
      <x:c r="R453" s="2" t="n">
        <x:v>109</x:v>
      </x:c>
      <x:c r="S453" s="2" t="n">
        <x:v>0</x:v>
      </x:c>
      <x:c r="T453" s="2" t="n">
        <x:f>R453+S453+J453-I453</x:f>
        <x:v>98</x:v>
      </x:c>
      <x:c r="U453" s="2" t="n">
        <x:v>0</x:v>
      </x:c>
      <x:c r="V453" s="2" t="n">
        <x:v>4</x:v>
      </x:c>
      <x:c r="W453" s="2" t="n">
        <x:v>14</x:v>
      </x:c>
      <x:c r="X453" s="14" t="b">
        <x:v>0</x:v>
      </x:c>
      <x:c r="Y453" s="14" t="b">
        <x:v>0</x:v>
      </x:c>
      <x:c r="Z453" s="2" t="n">
        <x:f>ABS(T453-AA453)</x:f>
        <x:v>0</x:v>
      </x:c>
      <x:c r="AA453" s="2" t="n">
        <x:v>98</x:v>
      </x:c>
      <x:c r="AB453" s="2" t="n">
        <x:f>ABS(K453-W453)</x:f>
        <x:v>3</x:v>
      </x:c>
      <x:c r="AC453" s="2" t="n">
        <x:f>COUNTIF($A$2:$A$1921,A453)-1</x:f>
        <x:v>0</x:v>
      </x:c>
      <x:c r="AD453" s="2" t="n">
        <x:f>IF(AND(D453=D452,H453=H452,C453=C452+1),ABS(R453-T452),0)</x:f>
        <x:v>0</x:v>
      </x:c>
    </x:row>
    <x:row r="454" ht="23" customHeight="1">
      <x:c r="A454" s="2" t="str">
        <x:v>DEMO-106-2-13</x:v>
      </x:c>
      <x:c r="B454" s="15" t="d">
        <x:v>2026-07-27T00:00:00.000Z</x:v>
      </x:c>
      <x:c r="C454" s="2" t="n">
        <x:v>13</x:v>
      </x:c>
      <x:c r="D454" s="2" t="str">
        <x:v>DEMO-106</x:v>
      </x:c>
      <x:c r="E454" s="2" t="str">
        <x:v>Sketch Folio</x:v>
      </x:c>
      <x:c r="F454" s="2" t="str">
        <x:v>Stationery</x:v>
      </x:c>
      <x:c r="G454" s="2" t="str">
        <x:v>Stores</x:v>
      </x:c>
      <x:c r="H454" s="2" t="str">
        <x:v>Central Market</x:v>
      </x:c>
      <x:c r="I454" s="2" t="n">
        <x:v>12</x:v>
      </x:c>
      <x:c r="J454" s="2" t="n">
        <x:v>1</x:v>
      </x:c>
      <x:c r="K454" s="2" t="n">
        <x:f>I454-J454</x:f>
        <x:v>11</x:v>
      </x:c>
      <x:c r="L454" s="16" t="n">
        <x:v>22</x:v>
      </x:c>
      <x:c r="M454" s="16" t="n">
        <x:v>22</x:v>
      </x:c>
      <x:c r="N454" s="16" t="n">
        <x:v>10.67</x:v>
      </x:c>
      <x:c r="O454" s="16" t="n">
        <x:f>K454*M454</x:f>
        <x:v>242</x:v>
      </x:c>
      <x:c r="P454" s="16" t="n">
        <x:f>K454*N454</x:f>
        <x:v>117.37</x:v>
      </x:c>
      <x:c r="Q454" s="16" t="n">
        <x:f>O454-P454</x:f>
        <x:v>124.63</x:v>
      </x:c>
      <x:c r="R454" s="2" t="n">
        <x:v>98</x:v>
      </x:c>
      <x:c r="S454" s="2" t="n">
        <x:v>59</x:v>
      </x:c>
      <x:c r="T454" s="2" t="n">
        <x:f>R454+S454+J454-I454</x:f>
        <x:v>146</x:v>
      </x:c>
      <x:c r="U454" s="2" t="n">
        <x:v>0</x:v>
      </x:c>
      <x:c r="V454" s="2" t="n">
        <x:v>4</x:v>
      </x:c>
      <x:c r="W454" s="2" t="n">
        <x:v>13</x:v>
      </x:c>
      <x:c r="X454" s="14" t="b">
        <x:v>0</x:v>
      </x:c>
      <x:c r="Y454" s="14" t="b">
        <x:v>0</x:v>
      </x:c>
      <x:c r="Z454" s="2" t="n">
        <x:f>ABS(T454-AA454)</x:f>
        <x:v>0</x:v>
      </x:c>
      <x:c r="AA454" s="2" t="n">
        <x:v>146</x:v>
      </x:c>
      <x:c r="AB454" s="2" t="n">
        <x:f>ABS(K454-W454)</x:f>
        <x:v>2</x:v>
      </x:c>
      <x:c r="AC454" s="2" t="n">
        <x:f>COUNTIF($A$2:$A$1921,A454)-1</x:f>
        <x:v>0</x:v>
      </x:c>
      <x:c r="AD454" s="2" t="n">
        <x:f>IF(AND(D454=D453,H454=H453,C454=C453+1),ABS(R454-T453),0)</x:f>
        <x:v>0</x:v>
      </x:c>
    </x:row>
    <x:row r="455" ht="23" customHeight="1">
      <x:c r="A455" s="2" t="str">
        <x:v>DEMO-106-2-14</x:v>
      </x:c>
      <x:c r="B455" s="15" t="d">
        <x:v>2026-08-03T00:00:00.000Z</x:v>
      </x:c>
      <x:c r="C455" s="2" t="n">
        <x:v>14</x:v>
      </x:c>
      <x:c r="D455" s="2" t="str">
        <x:v>DEMO-106</x:v>
      </x:c>
      <x:c r="E455" s="2" t="str">
        <x:v>Sketch Folio</x:v>
      </x:c>
      <x:c r="F455" s="2" t="str">
        <x:v>Stationery</x:v>
      </x:c>
      <x:c r="G455" s="2" t="str">
        <x:v>Stores</x:v>
      </x:c>
      <x:c r="H455" s="2" t="str">
        <x:v>Central Market</x:v>
      </x:c>
      <x:c r="I455" s="2" t="n">
        <x:v>11</x:v>
      </x:c>
      <x:c r="J455" s="2" t="n">
        <x:v>1</x:v>
      </x:c>
      <x:c r="K455" s="2" t="n">
        <x:f>I455-J455</x:f>
        <x:v>10</x:v>
      </x:c>
      <x:c r="L455" s="16" t="n">
        <x:v>22</x:v>
      </x:c>
      <x:c r="M455" s="16" t="n">
        <x:v>22</x:v>
      </x:c>
      <x:c r="N455" s="16" t="n">
        <x:v>10.67</x:v>
      </x:c>
      <x:c r="O455" s="16" t="n">
        <x:f>K455*M455</x:f>
        <x:v>220</x:v>
      </x:c>
      <x:c r="P455" s="16" t="n">
        <x:f>K455*N455</x:f>
        <x:v>106.7</x:v>
      </x:c>
      <x:c r="Q455" s="16" t="n">
        <x:f>O455-P455</x:f>
        <x:v>113.3</x:v>
      </x:c>
      <x:c r="R455" s="2" t="n">
        <x:v>146</x:v>
      </x:c>
      <x:c r="S455" s="2" t="n">
        <x:v>0</x:v>
      </x:c>
      <x:c r="T455" s="2" t="n">
        <x:f>R455+S455+J455-I455</x:f>
        <x:v>136</x:v>
      </x:c>
      <x:c r="U455" s="2" t="n">
        <x:v>0</x:v>
      </x:c>
      <x:c r="V455" s="2" t="n">
        <x:v>4</x:v>
      </x:c>
      <x:c r="W455" s="2" t="n">
        <x:v>13</x:v>
      </x:c>
      <x:c r="X455" s="14" t="b">
        <x:v>0</x:v>
      </x:c>
      <x:c r="Y455" s="14" t="b">
        <x:v>0</x:v>
      </x:c>
      <x:c r="Z455" s="2" t="n">
        <x:f>ABS(T455-AA455)</x:f>
        <x:v>0</x:v>
      </x:c>
      <x:c r="AA455" s="2" t="n">
        <x:v>136</x:v>
      </x:c>
      <x:c r="AB455" s="2" t="n">
        <x:f>ABS(K455-W455)</x:f>
        <x:v>3</x:v>
      </x:c>
      <x:c r="AC455" s="2" t="n">
        <x:f>COUNTIF($A$2:$A$1921,A455)-1</x:f>
        <x:v>0</x:v>
      </x:c>
      <x:c r="AD455" s="2" t="n">
        <x:f>IF(AND(D455=D454,H455=H454,C455=C454+1),ABS(R455-T454),0)</x:f>
        <x:v>0</x:v>
      </x:c>
    </x:row>
    <x:row r="456" ht="23" customHeight="1">
      <x:c r="A456" s="2" t="str">
        <x:v>DEMO-106-2-15</x:v>
      </x:c>
      <x:c r="B456" s="15" t="d">
        <x:v>2026-08-10T00:00:00.000Z</x:v>
      </x:c>
      <x:c r="C456" s="2" t="n">
        <x:v>15</x:v>
      </x:c>
      <x:c r="D456" s="2" t="str">
        <x:v>DEMO-106</x:v>
      </x:c>
      <x:c r="E456" s="2" t="str">
        <x:v>Sketch Folio</x:v>
      </x:c>
      <x:c r="F456" s="2" t="str">
        <x:v>Stationery</x:v>
      </x:c>
      <x:c r="G456" s="2" t="str">
        <x:v>Stores</x:v>
      </x:c>
      <x:c r="H456" s="2" t="str">
        <x:v>Central Market</x:v>
      </x:c>
      <x:c r="I456" s="2" t="n">
        <x:v>13</x:v>
      </x:c>
      <x:c r="J456" s="2" t="n">
        <x:v>0</x:v>
      </x:c>
      <x:c r="K456" s="2" t="n">
        <x:f>I456-J456</x:f>
        <x:v>13</x:v>
      </x:c>
      <x:c r="L456" s="16" t="n">
        <x:v>22</x:v>
      </x:c>
      <x:c r="M456" s="16" t="n">
        <x:v>22</x:v>
      </x:c>
      <x:c r="N456" s="16" t="n">
        <x:v>10.67</x:v>
      </x:c>
      <x:c r="O456" s="16" t="n">
        <x:f>K456*M456</x:f>
        <x:v>286</x:v>
      </x:c>
      <x:c r="P456" s="16" t="n">
        <x:f>K456*N456</x:f>
        <x:v>138.71</x:v>
      </x:c>
      <x:c r="Q456" s="16" t="n">
        <x:f>O456-P456</x:f>
        <x:v>147.29</x:v>
      </x:c>
      <x:c r="R456" s="2" t="n">
        <x:v>136</x:v>
      </x:c>
      <x:c r="S456" s="2" t="n">
        <x:v>0</x:v>
      </x:c>
      <x:c r="T456" s="2" t="n">
        <x:f>R456+S456+J456-I456</x:f>
        <x:v>123</x:v>
      </x:c>
      <x:c r="U456" s="2" t="n">
        <x:v>0</x:v>
      </x:c>
      <x:c r="V456" s="2" t="n">
        <x:v>4</x:v>
      </x:c>
      <x:c r="W456" s="2" t="n">
        <x:v>12</x:v>
      </x:c>
      <x:c r="X456" s="14" t="b">
        <x:v>0</x:v>
      </x:c>
      <x:c r="Y456" s="14" t="b">
        <x:v>0</x:v>
      </x:c>
      <x:c r="Z456" s="2" t="n">
        <x:f>ABS(T456-AA456)</x:f>
        <x:v>0</x:v>
      </x:c>
      <x:c r="AA456" s="2" t="n">
        <x:v>123</x:v>
      </x:c>
      <x:c r="AB456" s="2" t="n">
        <x:f>ABS(K456-W456)</x:f>
        <x:v>1</x:v>
      </x:c>
      <x:c r="AC456" s="2" t="n">
        <x:f>COUNTIF($A$2:$A$1921,A456)-1</x:f>
        <x:v>0</x:v>
      </x:c>
      <x:c r="AD456" s="2" t="n">
        <x:f>IF(AND(D456=D455,H456=H455,C456=C455+1),ABS(R456-T455),0)</x:f>
        <x:v>0</x:v>
      </x:c>
    </x:row>
    <x:row r="457" ht="23" customHeight="1">
      <x:c r="A457" s="2" t="str">
        <x:v>DEMO-106-2-16</x:v>
      </x:c>
      <x:c r="B457" s="15" t="d">
        <x:v>2026-08-17T00:00:00.000Z</x:v>
      </x:c>
      <x:c r="C457" s="2" t="n">
        <x:v>16</x:v>
      </x:c>
      <x:c r="D457" s="2" t="str">
        <x:v>DEMO-106</x:v>
      </x:c>
      <x:c r="E457" s="2" t="str">
        <x:v>Sketch Folio</x:v>
      </x:c>
      <x:c r="F457" s="2" t="str">
        <x:v>Stationery</x:v>
      </x:c>
      <x:c r="G457" s="2" t="str">
        <x:v>Stores</x:v>
      </x:c>
      <x:c r="H457" s="2" t="str">
        <x:v>Central Market</x:v>
      </x:c>
      <x:c r="I457" s="2" t="n">
        <x:v>13</x:v>
      </x:c>
      <x:c r="J457" s="2" t="n">
        <x:v>0</x:v>
      </x:c>
      <x:c r="K457" s="2" t="n">
        <x:f>I457-J457</x:f>
        <x:v>13</x:v>
      </x:c>
      <x:c r="L457" s="16" t="n">
        <x:v>22</x:v>
      </x:c>
      <x:c r="M457" s="16" t="n">
        <x:v>22</x:v>
      </x:c>
      <x:c r="N457" s="16" t="n">
        <x:v>10.67</x:v>
      </x:c>
      <x:c r="O457" s="16" t="n">
        <x:f>K457*M457</x:f>
        <x:v>286</x:v>
      </x:c>
      <x:c r="P457" s="16" t="n">
        <x:f>K457*N457</x:f>
        <x:v>138.71</x:v>
      </x:c>
      <x:c r="Q457" s="16" t="n">
        <x:f>O457-P457</x:f>
        <x:v>147.29</x:v>
      </x:c>
      <x:c r="R457" s="2" t="n">
        <x:v>123</x:v>
      </x:c>
      <x:c r="S457" s="2" t="n">
        <x:v>0</x:v>
      </x:c>
      <x:c r="T457" s="2" t="n">
        <x:f>R457+S457+J457-I457</x:f>
        <x:v>110</x:v>
      </x:c>
      <x:c r="U457" s="2" t="n">
        <x:v>0</x:v>
      </x:c>
      <x:c r="V457" s="2" t="n">
        <x:v>4</x:v>
      </x:c>
      <x:c r="W457" s="2" t="n">
        <x:v>11</x:v>
      </x:c>
      <x:c r="X457" s="14" t="b">
        <x:v>0</x:v>
      </x:c>
      <x:c r="Y457" s="14" t="b">
        <x:v>0</x:v>
      </x:c>
      <x:c r="Z457" s="2" t="n">
        <x:f>ABS(T457-AA457)</x:f>
        <x:v>0</x:v>
      </x:c>
      <x:c r="AA457" s="2" t="n">
        <x:v>110</x:v>
      </x:c>
      <x:c r="AB457" s="2" t="n">
        <x:f>ABS(K457-W457)</x:f>
        <x:v>2</x:v>
      </x:c>
      <x:c r="AC457" s="2" t="n">
        <x:f>COUNTIF($A$2:$A$1921,A457)-1</x:f>
        <x:v>0</x:v>
      </x:c>
      <x:c r="AD457" s="2" t="n">
        <x:f>IF(AND(D457=D456,H457=H456,C457=C456+1),ABS(R457-T456),0)</x:f>
        <x:v>0</x:v>
      </x:c>
    </x:row>
    <x:row r="458" ht="23" customHeight="1">
      <x:c r="A458" s="2" t="str">
        <x:v>DEMO-106-2-17</x:v>
      </x:c>
      <x:c r="B458" s="15" t="d">
        <x:v>2026-08-24T00:00:00.000Z</x:v>
      </x:c>
      <x:c r="C458" s="2" t="n">
        <x:v>17</x:v>
      </x:c>
      <x:c r="D458" s="2" t="str">
        <x:v>DEMO-106</x:v>
      </x:c>
      <x:c r="E458" s="2" t="str">
        <x:v>Sketch Folio</x:v>
      </x:c>
      <x:c r="F458" s="2" t="str">
        <x:v>Stationery</x:v>
      </x:c>
      <x:c r="G458" s="2" t="str">
        <x:v>Stores</x:v>
      </x:c>
      <x:c r="H458" s="2" t="str">
        <x:v>Central Market</x:v>
      </x:c>
      <x:c r="I458" s="2" t="n">
        <x:v>15</x:v>
      </x:c>
      <x:c r="J458" s="2" t="n">
        <x:v>0</x:v>
      </x:c>
      <x:c r="K458" s="2" t="n">
        <x:f>I458-J458</x:f>
        <x:v>15</x:v>
      </x:c>
      <x:c r="L458" s="16" t="n">
        <x:v>22</x:v>
      </x:c>
      <x:c r="M458" s="16" t="n">
        <x:v>22</x:v>
      </x:c>
      <x:c r="N458" s="16" t="n">
        <x:v>10.67</x:v>
      </x:c>
      <x:c r="O458" s="16" t="n">
        <x:f>K458*M458</x:f>
        <x:v>330</x:v>
      </x:c>
      <x:c r="P458" s="16" t="n">
        <x:f>K458*N458</x:f>
        <x:v>160.05</x:v>
      </x:c>
      <x:c r="Q458" s="16" t="n">
        <x:f>O458-P458</x:f>
        <x:v>169.95</x:v>
      </x:c>
      <x:c r="R458" s="2" t="n">
        <x:v>110</x:v>
      </x:c>
      <x:c r="S458" s="2" t="n">
        <x:v>59</x:v>
      </x:c>
      <x:c r="T458" s="2" t="n">
        <x:f>R458+S458+J458-I458</x:f>
        <x:v>154</x:v>
      </x:c>
      <x:c r="U458" s="2" t="n">
        <x:v>0</x:v>
      </x:c>
      <x:c r="V458" s="2" t="n">
        <x:v>4</x:v>
      </x:c>
      <x:c r="W458" s="2" t="n">
        <x:v>12</x:v>
      </x:c>
      <x:c r="X458" s="14" t="b">
        <x:v>0</x:v>
      </x:c>
      <x:c r="Y458" s="14" t="b">
        <x:v>0</x:v>
      </x:c>
      <x:c r="Z458" s="2" t="n">
        <x:f>ABS(T458-AA458)</x:f>
        <x:v>0</x:v>
      </x:c>
      <x:c r="AA458" s="2" t="n">
        <x:v>154</x:v>
      </x:c>
      <x:c r="AB458" s="2" t="n">
        <x:f>ABS(K458-W458)</x:f>
        <x:v>3</x:v>
      </x:c>
      <x:c r="AC458" s="2" t="n">
        <x:f>COUNTIF($A$2:$A$1921,A458)-1</x:f>
        <x:v>0</x:v>
      </x:c>
      <x:c r="AD458" s="2" t="n">
        <x:f>IF(AND(D458=D457,H458=H457,C458=C457+1),ABS(R458-T457),0)</x:f>
        <x:v>0</x:v>
      </x:c>
    </x:row>
    <x:row r="459" ht="23" customHeight="1">
      <x:c r="A459" s="2" t="str">
        <x:v>DEMO-106-2-18</x:v>
      </x:c>
      <x:c r="B459" s="15" t="d">
        <x:v>2026-08-31T00:00:00.000Z</x:v>
      </x:c>
      <x:c r="C459" s="2" t="n">
        <x:v>18</x:v>
      </x:c>
      <x:c r="D459" s="2" t="str">
        <x:v>DEMO-106</x:v>
      </x:c>
      <x:c r="E459" s="2" t="str">
        <x:v>Sketch Folio</x:v>
      </x:c>
      <x:c r="F459" s="2" t="str">
        <x:v>Stationery</x:v>
      </x:c>
      <x:c r="G459" s="2" t="str">
        <x:v>Stores</x:v>
      </x:c>
      <x:c r="H459" s="2" t="str">
        <x:v>Central Market</x:v>
      </x:c>
      <x:c r="I459" s="2" t="n">
        <x:v>11</x:v>
      </x:c>
      <x:c r="J459" s="2" t="n">
        <x:v>0</x:v>
      </x:c>
      <x:c r="K459" s="2" t="n">
        <x:f>I459-J459</x:f>
        <x:v>11</x:v>
      </x:c>
      <x:c r="L459" s="16" t="n">
        <x:v>22</x:v>
      </x:c>
      <x:c r="M459" s="16" t="n">
        <x:v>22</x:v>
      </x:c>
      <x:c r="N459" s="16" t="n">
        <x:v>10.67</x:v>
      </x:c>
      <x:c r="O459" s="16" t="n">
        <x:f>K459*M459</x:f>
        <x:v>242</x:v>
      </x:c>
      <x:c r="P459" s="16" t="n">
        <x:f>K459*N459</x:f>
        <x:v>117.37</x:v>
      </x:c>
      <x:c r="Q459" s="16" t="n">
        <x:f>O459-P459</x:f>
        <x:v>124.63</x:v>
      </x:c>
      <x:c r="R459" s="2" t="n">
        <x:v>154</x:v>
      </x:c>
      <x:c r="S459" s="2" t="n">
        <x:v>0</x:v>
      </x:c>
      <x:c r="T459" s="2" t="n">
        <x:f>R459+S459+J459-I459</x:f>
        <x:v>143</x:v>
      </x:c>
      <x:c r="U459" s="2" t="n">
        <x:v>0</x:v>
      </x:c>
      <x:c r="V459" s="2" t="n">
        <x:v>4</x:v>
      </x:c>
      <x:c r="W459" s="2" t="n">
        <x:v>13</x:v>
      </x:c>
      <x:c r="X459" s="14" t="b">
        <x:v>0</x:v>
      </x:c>
      <x:c r="Y459" s="14" t="b">
        <x:v>0</x:v>
      </x:c>
      <x:c r="Z459" s="2" t="n">
        <x:f>ABS(T459-AA459)</x:f>
        <x:v>0</x:v>
      </x:c>
      <x:c r="AA459" s="2" t="n">
        <x:v>143</x:v>
      </x:c>
      <x:c r="AB459" s="2" t="n">
        <x:f>ABS(K459-W459)</x:f>
        <x:v>2</x:v>
      </x:c>
      <x:c r="AC459" s="2" t="n">
        <x:f>COUNTIF($A$2:$A$1921,A459)-1</x:f>
        <x:v>0</x:v>
      </x:c>
      <x:c r="AD459" s="2" t="n">
        <x:f>IF(AND(D459=D458,H459=H458,C459=C458+1),ABS(R459-T458),0)</x:f>
        <x:v>0</x:v>
      </x:c>
    </x:row>
    <x:row r="460" ht="23" customHeight="1">
      <x:c r="A460" s="2" t="str">
        <x:v>DEMO-106-2-19</x:v>
      </x:c>
      <x:c r="B460" s="15" t="d">
        <x:v>2026-09-07T00:00:00.000Z</x:v>
      </x:c>
      <x:c r="C460" s="2" t="n">
        <x:v>19</x:v>
      </x:c>
      <x:c r="D460" s="2" t="str">
        <x:v>DEMO-106</x:v>
      </x:c>
      <x:c r="E460" s="2" t="str">
        <x:v>Sketch Folio</x:v>
      </x:c>
      <x:c r="F460" s="2" t="str">
        <x:v>Stationery</x:v>
      </x:c>
      <x:c r="G460" s="2" t="str">
        <x:v>Stores</x:v>
      </x:c>
      <x:c r="H460" s="2" t="str">
        <x:v>Central Market</x:v>
      </x:c>
      <x:c r="I460" s="2" t="n">
        <x:v>15</x:v>
      </x:c>
      <x:c r="J460" s="2" t="n">
        <x:v>0</x:v>
      </x:c>
      <x:c r="K460" s="2" t="n">
        <x:f>I460-J460</x:f>
        <x:v>15</x:v>
      </x:c>
      <x:c r="L460" s="16" t="n">
        <x:v>22</x:v>
      </x:c>
      <x:c r="M460" s="16" t="n">
        <x:v>22</x:v>
      </x:c>
      <x:c r="N460" s="16" t="n">
        <x:v>10.67</x:v>
      </x:c>
      <x:c r="O460" s="16" t="n">
        <x:f>K460*M460</x:f>
        <x:v>330</x:v>
      </x:c>
      <x:c r="P460" s="16" t="n">
        <x:f>K460*N460</x:f>
        <x:v>160.05</x:v>
      </x:c>
      <x:c r="Q460" s="16" t="n">
        <x:f>O460-P460</x:f>
        <x:v>169.95</x:v>
      </x:c>
      <x:c r="R460" s="2" t="n">
        <x:v>143</x:v>
      </x:c>
      <x:c r="S460" s="2" t="n">
        <x:v>0</x:v>
      </x:c>
      <x:c r="T460" s="2" t="n">
        <x:f>R460+S460+J460-I460</x:f>
        <x:v>128</x:v>
      </x:c>
      <x:c r="U460" s="2" t="n">
        <x:v>0</x:v>
      </x:c>
      <x:c r="V460" s="2" t="n">
        <x:v>4</x:v>
      </x:c>
      <x:c r="W460" s="2" t="n">
        <x:v>13</x:v>
      </x:c>
      <x:c r="X460" s="14" t="b">
        <x:v>0</x:v>
      </x:c>
      <x:c r="Y460" s="14" t="b">
        <x:v>0</x:v>
      </x:c>
      <x:c r="Z460" s="2" t="n">
        <x:f>ABS(T460-AA460)</x:f>
        <x:v>0</x:v>
      </x:c>
      <x:c r="AA460" s="2" t="n">
        <x:v>128</x:v>
      </x:c>
      <x:c r="AB460" s="2" t="n">
        <x:f>ABS(K460-W460)</x:f>
        <x:v>2</x:v>
      </x:c>
      <x:c r="AC460" s="2" t="n">
        <x:f>COUNTIF($A$2:$A$1921,A460)-1</x:f>
        <x:v>0</x:v>
      </x:c>
      <x:c r="AD460" s="2" t="n">
        <x:f>IF(AND(D460=D459,H460=H459,C460=C459+1),ABS(R460-T459),0)</x:f>
        <x:v>0</x:v>
      </x:c>
    </x:row>
    <x:row r="461" ht="23" customHeight="1">
      <x:c r="A461" s="2" t="str">
        <x:v>DEMO-106-2-20</x:v>
      </x:c>
      <x:c r="B461" s="15" t="d">
        <x:v>2026-09-14T00:00:00.000Z</x:v>
      </x:c>
      <x:c r="C461" s="2" t="n">
        <x:v>20</x:v>
      </x:c>
      <x:c r="D461" s="2" t="str">
        <x:v>DEMO-106</x:v>
      </x:c>
      <x:c r="E461" s="2" t="str">
        <x:v>Sketch Folio</x:v>
      </x:c>
      <x:c r="F461" s="2" t="str">
        <x:v>Stationery</x:v>
      </x:c>
      <x:c r="G461" s="2" t="str">
        <x:v>Stores</x:v>
      </x:c>
      <x:c r="H461" s="2" t="str">
        <x:v>Central Market</x:v>
      </x:c>
      <x:c r="I461" s="2" t="n">
        <x:v>16</x:v>
      </x:c>
      <x:c r="J461" s="2" t="n">
        <x:v>1</x:v>
      </x:c>
      <x:c r="K461" s="2" t="n">
        <x:f>I461-J461</x:f>
        <x:v>15</x:v>
      </x:c>
      <x:c r="L461" s="16" t="n">
        <x:v>22</x:v>
      </x:c>
      <x:c r="M461" s="16" t="n">
        <x:v>22</x:v>
      </x:c>
      <x:c r="N461" s="16" t="n">
        <x:v>10.67</x:v>
      </x:c>
      <x:c r="O461" s="16" t="n">
        <x:f>K461*M461</x:f>
        <x:v>330</x:v>
      </x:c>
      <x:c r="P461" s="16" t="n">
        <x:f>K461*N461</x:f>
        <x:v>160.05</x:v>
      </x:c>
      <x:c r="Q461" s="16" t="n">
        <x:f>O461-P461</x:f>
        <x:v>169.95</x:v>
      </x:c>
      <x:c r="R461" s="2" t="n">
        <x:v>128</x:v>
      </x:c>
      <x:c r="S461" s="2" t="n">
        <x:v>0</x:v>
      </x:c>
      <x:c r="T461" s="2" t="n">
        <x:f>R461+S461+J461-I461</x:f>
        <x:v>113</x:v>
      </x:c>
      <x:c r="U461" s="2" t="n">
        <x:v>18</x:v>
      </x:c>
      <x:c r="V461" s="2" t="n">
        <x:v>4</x:v>
      </x:c>
      <x:c r="W461" s="2" t="n">
        <x:v>14</x:v>
      </x:c>
      <x:c r="X461" s="14" t="b">
        <x:v>0</x:v>
      </x:c>
      <x:c r="Y461" s="14" t="b">
        <x:v>0</x:v>
      </x:c>
      <x:c r="Z461" s="2" t="n">
        <x:f>ABS(T461-AA461)</x:f>
        <x:v>0</x:v>
      </x:c>
      <x:c r="AA461" s="2" t="n">
        <x:v>113</x:v>
      </x:c>
      <x:c r="AB461" s="2" t="n">
        <x:f>ABS(K461-W461)</x:f>
        <x:v>1</x:v>
      </x:c>
      <x:c r="AC461" s="2" t="n">
        <x:f>COUNTIF($A$2:$A$1921,A461)-1</x:f>
        <x:v>0</x:v>
      </x:c>
      <x:c r="AD461" s="2" t="n">
        <x:f>IF(AND(D461=D460,H461=H460,C461=C460+1),ABS(R461-T460),0)</x:f>
        <x:v>0</x:v>
      </x:c>
    </x:row>
    <x:row r="462" ht="23" customHeight="1">
      <x:c r="A462" s="2" t="str">
        <x:v>DEMO-106-3-1</x:v>
      </x:c>
      <x:c r="B462" s="15" t="d">
        <x:v>2026-05-04T00:00:00.000Z</x:v>
      </x:c>
      <x:c r="C462" s="2" t="n">
        <x:v>1</x:v>
      </x:c>
      <x:c r="D462" s="2" t="str">
        <x:v>DEMO-106</x:v>
      </x:c>
      <x:c r="E462" s="2" t="str">
        <x:v>Sketch Folio</x:v>
      </x:c>
      <x:c r="F462" s="2" t="str">
        <x:v>Stationery</x:v>
      </x:c>
      <x:c r="G462" s="2" t="str">
        <x:v>Online</x:v>
      </x:c>
      <x:c r="H462" s="2" t="str">
        <x:v>Online</x:v>
      </x:c>
      <x:c r="I462" s="2" t="n">
        <x:v>24</x:v>
      </x:c>
      <x:c r="J462" s="2" t="n">
        <x:v>0</x:v>
      </x:c>
      <x:c r="K462" s="2" t="n">
        <x:f>I462-J462</x:f>
        <x:v>24</x:v>
      </x:c>
      <x:c r="L462" s="16" t="n">
        <x:v>22</x:v>
      </x:c>
      <x:c r="M462" s="16" t="n">
        <x:v>22</x:v>
      </x:c>
      <x:c r="N462" s="16" t="n">
        <x:v>10.67</x:v>
      </x:c>
      <x:c r="O462" s="16" t="n">
        <x:f>K462*M462</x:f>
        <x:v>528</x:v>
      </x:c>
      <x:c r="P462" s="16" t="n">
        <x:f>K462*N462</x:f>
        <x:v>256.08</x:v>
      </x:c>
      <x:c r="Q462" s="16" t="n">
        <x:f>O462-P462</x:f>
        <x:v>271.92</x:v>
      </x:c>
      <x:c r="R462" s="2" t="n">
        <x:v>90</x:v>
      </x:c>
      <x:c r="S462" s="2" t="n">
        <x:v>100</x:v>
      </x:c>
      <x:c r="T462" s="2" t="n">
        <x:f>R462+S462+J462-I462</x:f>
        <x:v>166</x:v>
      </x:c>
      <x:c r="U462" s="2" t="n">
        <x:v>0</x:v>
      </x:c>
      <x:c r="V462" s="2" t="n">
        <x:v>4</x:v>
      </x:c>
      <x:c r="W462" s="2" t="n">
        <x:v>24</x:v>
      </x:c>
      <x:c r="X462" s="14" t="b">
        <x:v>0</x:v>
      </x:c>
      <x:c r="Y462" s="14" t="b">
        <x:v>0</x:v>
      </x:c>
      <x:c r="Z462" s="2" t="n">
        <x:f>ABS(T462-AA462)</x:f>
        <x:v>0</x:v>
      </x:c>
      <x:c r="AA462" s="2" t="n">
        <x:v>166</x:v>
      </x:c>
      <x:c r="AB462" s="2" t="n">
        <x:f>ABS(K462-W462)</x:f>
        <x:v>0</x:v>
      </x:c>
      <x:c r="AC462" s="2" t="n">
        <x:f>COUNTIF($A$2:$A$1921,A462)-1</x:f>
        <x:v>0</x:v>
      </x:c>
      <x:c r="AD462" s="2" t="n">
        <x:f>IF(AND(D462=D461,H462=H461,C462=C461+1),ABS(R462-T461),0)</x:f>
        <x:v>0</x:v>
      </x:c>
    </x:row>
    <x:row r="463" ht="23" customHeight="1">
      <x:c r="A463" s="2" t="str">
        <x:v>DEMO-106-3-2</x:v>
      </x:c>
      <x:c r="B463" s="15" t="d">
        <x:v>2026-05-11T00:00:00.000Z</x:v>
      </x:c>
      <x:c r="C463" s="2" t="n">
        <x:v>2</x:v>
      </x:c>
      <x:c r="D463" s="2" t="str">
        <x:v>DEMO-106</x:v>
      </x:c>
      <x:c r="E463" s="2" t="str">
        <x:v>Sketch Folio</x:v>
      </x:c>
      <x:c r="F463" s="2" t="str">
        <x:v>Stationery</x:v>
      </x:c>
      <x:c r="G463" s="2" t="str">
        <x:v>Online</x:v>
      </x:c>
      <x:c r="H463" s="2" t="str">
        <x:v>Online</x:v>
      </x:c>
      <x:c r="I463" s="2" t="n">
        <x:v>25</x:v>
      </x:c>
      <x:c r="J463" s="2" t="n">
        <x:v>0</x:v>
      </x:c>
      <x:c r="K463" s="2" t="n">
        <x:f>I463-J463</x:f>
        <x:v>25</x:v>
      </x:c>
      <x:c r="L463" s="16" t="n">
        <x:v>22</x:v>
      </x:c>
      <x:c r="M463" s="16" t="n">
        <x:v>22</x:v>
      </x:c>
      <x:c r="N463" s="16" t="n">
        <x:v>10.67</x:v>
      </x:c>
      <x:c r="O463" s="16" t="n">
        <x:f>K463*M463</x:f>
        <x:v>550</x:v>
      </x:c>
      <x:c r="P463" s="16" t="n">
        <x:f>K463*N463</x:f>
        <x:v>266.75</x:v>
      </x:c>
      <x:c r="Q463" s="16" t="n">
        <x:f>O463-P463</x:f>
        <x:v>283.25</x:v>
      </x:c>
      <x:c r="R463" s="2" t="n">
        <x:v>166</x:v>
      </x:c>
      <x:c r="S463" s="2" t="n">
        <x:v>0</x:v>
      </x:c>
      <x:c r="T463" s="2" t="n">
        <x:f>R463+S463+J463-I463</x:f>
        <x:v>141</x:v>
      </x:c>
      <x:c r="U463" s="2" t="n">
        <x:v>0</x:v>
      </x:c>
      <x:c r="V463" s="2" t="n">
        <x:v>4</x:v>
      </x:c>
      <x:c r="W463" s="2" t="n">
        <x:v>24</x:v>
      </x:c>
      <x:c r="X463" s="14" t="b">
        <x:v>0</x:v>
      </x:c>
      <x:c r="Y463" s="14" t="b">
        <x:v>0</x:v>
      </x:c>
      <x:c r="Z463" s="2" t="n">
        <x:f>ABS(T463-AA463)</x:f>
        <x:v>0</x:v>
      </x:c>
      <x:c r="AA463" s="2" t="n">
        <x:v>141</x:v>
      </x:c>
      <x:c r="AB463" s="2" t="n">
        <x:f>ABS(K463-W463)</x:f>
        <x:v>1</x:v>
      </x:c>
      <x:c r="AC463" s="2" t="n">
        <x:f>COUNTIF($A$2:$A$1921,A463)-1</x:f>
        <x:v>0</x:v>
      </x:c>
      <x:c r="AD463" s="2" t="n">
        <x:f>IF(AND(D463=D462,H463=H462,C463=C462+1),ABS(R463-T462),0)</x:f>
        <x:v>0</x:v>
      </x:c>
    </x:row>
    <x:row r="464" ht="23" customHeight="1">
      <x:c r="A464" s="2" t="str">
        <x:v>DEMO-106-3-3</x:v>
      </x:c>
      <x:c r="B464" s="15" t="d">
        <x:v>2026-05-18T00:00:00.000Z</x:v>
      </x:c>
      <x:c r="C464" s="2" t="n">
        <x:v>3</x:v>
      </x:c>
      <x:c r="D464" s="2" t="str">
        <x:v>DEMO-106</x:v>
      </x:c>
      <x:c r="E464" s="2" t="str">
        <x:v>Sketch Folio</x:v>
      </x:c>
      <x:c r="F464" s="2" t="str">
        <x:v>Stationery</x:v>
      </x:c>
      <x:c r="G464" s="2" t="str">
        <x:v>Online</x:v>
      </x:c>
      <x:c r="H464" s="2" t="str">
        <x:v>Online</x:v>
      </x:c>
      <x:c r="I464" s="2" t="n">
        <x:v>26</x:v>
      </x:c>
      <x:c r="J464" s="2" t="n">
        <x:v>0</x:v>
      </x:c>
      <x:c r="K464" s="2" t="n">
        <x:f>I464-J464</x:f>
        <x:v>26</x:v>
      </x:c>
      <x:c r="L464" s="16" t="n">
        <x:v>22</x:v>
      </x:c>
      <x:c r="M464" s="16" t="n">
        <x:v>22</x:v>
      </x:c>
      <x:c r="N464" s="16" t="n">
        <x:v>10.67</x:v>
      </x:c>
      <x:c r="O464" s="16" t="n">
        <x:f>K464*M464</x:f>
        <x:v>572</x:v>
      </x:c>
      <x:c r="P464" s="16" t="n">
        <x:f>K464*N464</x:f>
        <x:v>277.42</x:v>
      </x:c>
      <x:c r="Q464" s="16" t="n">
        <x:f>O464-P464</x:f>
        <x:v>294.58</x:v>
      </x:c>
      <x:c r="R464" s="2" t="n">
        <x:v>141</x:v>
      </x:c>
      <x:c r="S464" s="2" t="n">
        <x:v>0</x:v>
      </x:c>
      <x:c r="T464" s="2" t="n">
        <x:f>R464+S464+J464-I464</x:f>
        <x:v>115</x:v>
      </x:c>
      <x:c r="U464" s="2" t="n">
        <x:v>0</x:v>
      </x:c>
      <x:c r="V464" s="2" t="n">
        <x:v>4</x:v>
      </x:c>
      <x:c r="W464" s="2" t="n">
        <x:v>25</x:v>
      </x:c>
      <x:c r="X464" s="14" t="b">
        <x:v>0</x:v>
      </x:c>
      <x:c r="Y464" s="14" t="b">
        <x:v>0</x:v>
      </x:c>
      <x:c r="Z464" s="2" t="n">
        <x:f>ABS(T464-AA464)</x:f>
        <x:v>0</x:v>
      </x:c>
      <x:c r="AA464" s="2" t="n">
        <x:v>115</x:v>
      </x:c>
      <x:c r="AB464" s="2" t="n">
        <x:f>ABS(K464-W464)</x:f>
        <x:v>1</x:v>
      </x:c>
      <x:c r="AC464" s="2" t="n">
        <x:f>COUNTIF($A$2:$A$1921,A464)-1</x:f>
        <x:v>0</x:v>
      </x:c>
      <x:c r="AD464" s="2" t="n">
        <x:f>IF(AND(D464=D463,H464=H463,C464=C463+1),ABS(R464-T463),0)</x:f>
        <x:v>0</x:v>
      </x:c>
    </x:row>
    <x:row r="465" ht="23" customHeight="1">
      <x:c r="A465" s="2" t="str">
        <x:v>DEMO-106-3-4</x:v>
      </x:c>
      <x:c r="B465" s="15" t="d">
        <x:v>2026-05-25T00:00:00.000Z</x:v>
      </x:c>
      <x:c r="C465" s="2" t="n">
        <x:v>4</x:v>
      </x:c>
      <x:c r="D465" s="2" t="str">
        <x:v>DEMO-106</x:v>
      </x:c>
      <x:c r="E465" s="2" t="str">
        <x:v>Sketch Folio</x:v>
      </x:c>
      <x:c r="F465" s="2" t="str">
        <x:v>Stationery</x:v>
      </x:c>
      <x:c r="G465" s="2" t="str">
        <x:v>Online</x:v>
      </x:c>
      <x:c r="H465" s="2" t="str">
        <x:v>Online</x:v>
      </x:c>
      <x:c r="I465" s="2" t="n">
        <x:v>26</x:v>
      </x:c>
      <x:c r="J465" s="2" t="n">
        <x:v>1</x:v>
      </x:c>
      <x:c r="K465" s="2" t="n">
        <x:f>I465-J465</x:f>
        <x:v>25</x:v>
      </x:c>
      <x:c r="L465" s="16" t="n">
        <x:v>22</x:v>
      </x:c>
      <x:c r="M465" s="16" t="n">
        <x:v>22</x:v>
      </x:c>
      <x:c r="N465" s="16" t="n">
        <x:v>10.67</x:v>
      </x:c>
      <x:c r="O465" s="16" t="n">
        <x:f>K465*M465</x:f>
        <x:v>550</x:v>
      </x:c>
      <x:c r="P465" s="16" t="n">
        <x:f>K465*N465</x:f>
        <x:v>266.75</x:v>
      </x:c>
      <x:c r="Q465" s="16" t="n">
        <x:f>O465-P465</x:f>
        <x:v>283.25</x:v>
      </x:c>
      <x:c r="R465" s="2" t="n">
        <x:v>115</x:v>
      </x:c>
      <x:c r="S465" s="2" t="n">
        <x:v>0</x:v>
      </x:c>
      <x:c r="T465" s="2" t="n">
        <x:f>R465+S465+J465-I465</x:f>
        <x:v>90</x:v>
      </x:c>
      <x:c r="U465" s="2" t="n">
        <x:v>0</x:v>
      </x:c>
      <x:c r="V465" s="2" t="n">
        <x:v>4</x:v>
      </x:c>
      <x:c r="W465" s="2" t="n">
        <x:v>25</x:v>
      </x:c>
      <x:c r="X465" s="14" t="b">
        <x:v>0</x:v>
      </x:c>
      <x:c r="Y465" s="14" t="b">
        <x:v>0</x:v>
      </x:c>
      <x:c r="Z465" s="2" t="n">
        <x:f>ABS(T465-AA465)</x:f>
        <x:v>0</x:v>
      </x:c>
      <x:c r="AA465" s="2" t="n">
        <x:v>90</x:v>
      </x:c>
      <x:c r="AB465" s="2" t="n">
        <x:f>ABS(K465-W465)</x:f>
        <x:v>0</x:v>
      </x:c>
      <x:c r="AC465" s="2" t="n">
        <x:f>COUNTIF($A$2:$A$1921,A465)-1</x:f>
        <x:v>0</x:v>
      </x:c>
      <x:c r="AD465" s="2" t="n">
        <x:f>IF(AND(D465=D464,H465=H464,C465=C464+1),ABS(R465-T464),0)</x:f>
        <x:v>0</x:v>
      </x:c>
    </x:row>
    <x:row r="466" ht="23" customHeight="1">
      <x:c r="A466" s="2" t="str">
        <x:v>DEMO-106-3-5</x:v>
      </x:c>
      <x:c r="B466" s="15" t="d">
        <x:v>2026-06-01T00:00:00.000Z</x:v>
      </x:c>
      <x:c r="C466" s="2" t="n">
        <x:v>5</x:v>
      </x:c>
      <x:c r="D466" s="2" t="str">
        <x:v>DEMO-106</x:v>
      </x:c>
      <x:c r="E466" s="2" t="str">
        <x:v>Sketch Folio</x:v>
      </x:c>
      <x:c r="F466" s="2" t="str">
        <x:v>Stationery</x:v>
      </x:c>
      <x:c r="G466" s="2" t="str">
        <x:v>Online</x:v>
      </x:c>
      <x:c r="H466" s="2" t="str">
        <x:v>Online</x:v>
      </x:c>
      <x:c r="I466" s="2" t="n">
        <x:v>25</x:v>
      </x:c>
      <x:c r="J466" s="2" t="n">
        <x:v>0</x:v>
      </x:c>
      <x:c r="K466" s="2" t="n">
        <x:f>I466-J466</x:f>
        <x:v>25</x:v>
      </x:c>
      <x:c r="L466" s="16" t="n">
        <x:v>22</x:v>
      </x:c>
      <x:c r="M466" s="16" t="n">
        <x:v>22</x:v>
      </x:c>
      <x:c r="N466" s="16" t="n">
        <x:v>10.67</x:v>
      </x:c>
      <x:c r="O466" s="16" t="n">
        <x:f>K466*M466</x:f>
        <x:v>550</x:v>
      </x:c>
      <x:c r="P466" s="16" t="n">
        <x:f>K466*N466</x:f>
        <x:v>266.75</x:v>
      </x:c>
      <x:c r="Q466" s="16" t="n">
        <x:f>O466-P466</x:f>
        <x:v>283.25</x:v>
      </x:c>
      <x:c r="R466" s="2" t="n">
        <x:v>90</x:v>
      </x:c>
      <x:c r="S466" s="2" t="n">
        <x:v>100</x:v>
      </x:c>
      <x:c r="T466" s="2" t="n">
        <x:f>R466+S466+J466-I466</x:f>
        <x:v>165</x:v>
      </x:c>
      <x:c r="U466" s="2" t="n">
        <x:v>0</x:v>
      </x:c>
      <x:c r="V466" s="2" t="n">
        <x:v>4</x:v>
      </x:c>
      <x:c r="W466" s="2" t="n">
        <x:v>25</x:v>
      </x:c>
      <x:c r="X466" s="14" t="b">
        <x:v>0</x:v>
      </x:c>
      <x:c r="Y466" s="14" t="b">
        <x:v>0</x:v>
      </x:c>
      <x:c r="Z466" s="2" t="n">
        <x:f>ABS(T466-AA466)</x:f>
        <x:v>0</x:v>
      </x:c>
      <x:c r="AA466" s="2" t="n">
        <x:v>165</x:v>
      </x:c>
      <x:c r="AB466" s="2" t="n">
        <x:f>ABS(K466-W466)</x:f>
        <x:v>0</x:v>
      </x:c>
      <x:c r="AC466" s="2" t="n">
        <x:f>COUNTIF($A$2:$A$1921,A466)-1</x:f>
        <x:v>0</x:v>
      </x:c>
      <x:c r="AD466" s="2" t="n">
        <x:f>IF(AND(D466=D465,H466=H465,C466=C465+1),ABS(R466-T465),0)</x:f>
        <x:v>0</x:v>
      </x:c>
    </x:row>
    <x:row r="467" ht="23" customHeight="1">
      <x:c r="A467" s="2" t="str">
        <x:v>DEMO-106-3-6</x:v>
      </x:c>
      <x:c r="B467" s="15" t="d">
        <x:v>2026-06-08T00:00:00.000Z</x:v>
      </x:c>
      <x:c r="C467" s="2" t="n">
        <x:v>6</x:v>
      </x:c>
      <x:c r="D467" s="2" t="str">
        <x:v>DEMO-106</x:v>
      </x:c>
      <x:c r="E467" s="2" t="str">
        <x:v>Sketch Folio</x:v>
      </x:c>
      <x:c r="F467" s="2" t="str">
        <x:v>Stationery</x:v>
      </x:c>
      <x:c r="G467" s="2" t="str">
        <x:v>Online</x:v>
      </x:c>
      <x:c r="H467" s="2" t="str">
        <x:v>Online</x:v>
      </x:c>
      <x:c r="I467" s="2" t="n">
        <x:v>25</x:v>
      </x:c>
      <x:c r="J467" s="2" t="n">
        <x:v>0</x:v>
      </x:c>
      <x:c r="K467" s="2" t="n">
        <x:f>I467-J467</x:f>
        <x:v>25</x:v>
      </x:c>
      <x:c r="L467" s="16" t="n">
        <x:v>22</x:v>
      </x:c>
      <x:c r="M467" s="16" t="n">
        <x:v>22</x:v>
      </x:c>
      <x:c r="N467" s="16" t="n">
        <x:v>10.67</x:v>
      </x:c>
      <x:c r="O467" s="16" t="n">
        <x:f>K467*M467</x:f>
        <x:v>550</x:v>
      </x:c>
      <x:c r="P467" s="16" t="n">
        <x:f>K467*N467</x:f>
        <x:v>266.75</x:v>
      </x:c>
      <x:c r="Q467" s="16" t="n">
        <x:f>O467-P467</x:f>
        <x:v>283.25</x:v>
      </x:c>
      <x:c r="R467" s="2" t="n">
        <x:v>165</x:v>
      </x:c>
      <x:c r="S467" s="2" t="n">
        <x:v>0</x:v>
      </x:c>
      <x:c r="T467" s="2" t="n">
        <x:f>R467+S467+J467-I467</x:f>
        <x:v>140</x:v>
      </x:c>
      <x:c r="U467" s="2" t="n">
        <x:v>0</x:v>
      </x:c>
      <x:c r="V467" s="2" t="n">
        <x:v>4</x:v>
      </x:c>
      <x:c r="W467" s="2" t="n">
        <x:v>25</x:v>
      </x:c>
      <x:c r="X467" s="14" t="b">
        <x:v>0</x:v>
      </x:c>
      <x:c r="Y467" s="14" t="b">
        <x:v>0</x:v>
      </x:c>
      <x:c r="Z467" s="2" t="n">
        <x:f>ABS(T467-AA467)</x:f>
        <x:v>0</x:v>
      </x:c>
      <x:c r="AA467" s="2" t="n">
        <x:v>140</x:v>
      </x:c>
      <x:c r="AB467" s="2" t="n">
        <x:f>ABS(K467-W467)</x:f>
        <x:v>0</x:v>
      </x:c>
      <x:c r="AC467" s="2" t="n">
        <x:f>COUNTIF($A$2:$A$1921,A467)-1</x:f>
        <x:v>0</x:v>
      </x:c>
      <x:c r="AD467" s="2" t="n">
        <x:f>IF(AND(D467=D466,H467=H466,C467=C466+1),ABS(R467-T466),0)</x:f>
        <x:v>0</x:v>
      </x:c>
    </x:row>
    <x:row r="468" ht="23" customHeight="1">
      <x:c r="A468" s="2" t="str">
        <x:v>DEMO-106-3-7</x:v>
      </x:c>
      <x:c r="B468" s="15" t="d">
        <x:v>2026-06-15T00:00:00.000Z</x:v>
      </x:c>
      <x:c r="C468" s="2" t="n">
        <x:v>7</x:v>
      </x:c>
      <x:c r="D468" s="2" t="str">
        <x:v>DEMO-106</x:v>
      </x:c>
      <x:c r="E468" s="2" t="str">
        <x:v>Sketch Folio</x:v>
      </x:c>
      <x:c r="F468" s="2" t="str">
        <x:v>Stationery</x:v>
      </x:c>
      <x:c r="G468" s="2" t="str">
        <x:v>Online</x:v>
      </x:c>
      <x:c r="H468" s="2" t="str">
        <x:v>Online</x:v>
      </x:c>
      <x:c r="I468" s="2" t="n">
        <x:v>27</x:v>
      </x:c>
      <x:c r="J468" s="2" t="n">
        <x:v>1</x:v>
      </x:c>
      <x:c r="K468" s="2" t="n">
        <x:f>I468-J468</x:f>
        <x:v>26</x:v>
      </x:c>
      <x:c r="L468" s="16" t="n">
        <x:v>22</x:v>
      </x:c>
      <x:c r="M468" s="16" t="n">
        <x:v>22</x:v>
      </x:c>
      <x:c r="N468" s="16" t="n">
        <x:v>10.67</x:v>
      </x:c>
      <x:c r="O468" s="16" t="n">
        <x:f>K468*M468</x:f>
        <x:v>572</x:v>
      </x:c>
      <x:c r="P468" s="16" t="n">
        <x:f>K468*N468</x:f>
        <x:v>277.42</x:v>
      </x:c>
      <x:c r="Q468" s="16" t="n">
        <x:f>O468-P468</x:f>
        <x:v>294.58</x:v>
      </x:c>
      <x:c r="R468" s="2" t="n">
        <x:v>140</x:v>
      </x:c>
      <x:c r="S468" s="2" t="n">
        <x:v>0</x:v>
      </x:c>
      <x:c r="T468" s="2" t="n">
        <x:f>R468+S468+J468-I468</x:f>
        <x:v>114</x:v>
      </x:c>
      <x:c r="U468" s="2" t="n">
        <x:v>0</x:v>
      </x:c>
      <x:c r="V468" s="2" t="n">
        <x:v>4</x:v>
      </x:c>
      <x:c r="W468" s="2" t="n">
        <x:v>25</x:v>
      </x:c>
      <x:c r="X468" s="14" t="b">
        <x:v>0</x:v>
      </x:c>
      <x:c r="Y468" s="14" t="b">
        <x:v>0</x:v>
      </x:c>
      <x:c r="Z468" s="2" t="n">
        <x:f>ABS(T468-AA468)</x:f>
        <x:v>0</x:v>
      </x:c>
      <x:c r="AA468" s="2" t="n">
        <x:v>114</x:v>
      </x:c>
      <x:c r="AB468" s="2" t="n">
        <x:f>ABS(K468-W468)</x:f>
        <x:v>1</x:v>
      </x:c>
      <x:c r="AC468" s="2" t="n">
        <x:f>COUNTIF($A$2:$A$1921,A468)-1</x:f>
        <x:v>0</x:v>
      </x:c>
      <x:c r="AD468" s="2" t="n">
        <x:f>IF(AND(D468=D467,H468=H467,C468=C467+1),ABS(R468-T467),0)</x:f>
        <x:v>0</x:v>
      </x:c>
    </x:row>
    <x:row r="469" ht="23" customHeight="1">
      <x:c r="A469" s="2" t="str">
        <x:v>DEMO-106-3-8</x:v>
      </x:c>
      <x:c r="B469" s="15" t="d">
        <x:v>2026-06-22T00:00:00.000Z</x:v>
      </x:c>
      <x:c r="C469" s="2" t="n">
        <x:v>8</x:v>
      </x:c>
      <x:c r="D469" s="2" t="str">
        <x:v>DEMO-106</x:v>
      </x:c>
      <x:c r="E469" s="2" t="str">
        <x:v>Sketch Folio</x:v>
      </x:c>
      <x:c r="F469" s="2" t="str">
        <x:v>Stationery</x:v>
      </x:c>
      <x:c r="G469" s="2" t="str">
        <x:v>Online</x:v>
      </x:c>
      <x:c r="H469" s="2" t="str">
        <x:v>Online</x:v>
      </x:c>
      <x:c r="I469" s="2" t="n">
        <x:v>21</x:v>
      </x:c>
      <x:c r="J469" s="2" t="n">
        <x:v>1</x:v>
      </x:c>
      <x:c r="K469" s="2" t="n">
        <x:f>I469-J469</x:f>
        <x:v>20</x:v>
      </x:c>
      <x:c r="L469" s="16" t="n">
        <x:v>22</x:v>
      </x:c>
      <x:c r="M469" s="16" t="n">
        <x:v>22</x:v>
      </x:c>
      <x:c r="N469" s="16" t="n">
        <x:v>10.67</x:v>
      </x:c>
      <x:c r="O469" s="16" t="n">
        <x:f>K469*M469</x:f>
        <x:v>440</x:v>
      </x:c>
      <x:c r="P469" s="16" t="n">
        <x:f>K469*N469</x:f>
        <x:v>213.4</x:v>
      </x:c>
      <x:c r="Q469" s="16" t="n">
        <x:f>O469-P469</x:f>
        <x:v>226.6</x:v>
      </x:c>
      <x:c r="R469" s="2" t="n">
        <x:v>114</x:v>
      </x:c>
      <x:c r="S469" s="2" t="n">
        <x:v>0</x:v>
      </x:c>
      <x:c r="T469" s="2" t="n">
        <x:f>R469+S469+J469-I469</x:f>
        <x:v>94</x:v>
      </x:c>
      <x:c r="U469" s="2" t="n">
        <x:v>0</x:v>
      </x:c>
      <x:c r="V469" s="2" t="n">
        <x:v>4</x:v>
      </x:c>
      <x:c r="W469" s="2" t="n">
        <x:v>25</x:v>
      </x:c>
      <x:c r="X469" s="14" t="b">
        <x:v>0</x:v>
      </x:c>
      <x:c r="Y469" s="14" t="b">
        <x:v>0</x:v>
      </x:c>
      <x:c r="Z469" s="2" t="n">
        <x:f>ABS(T469-AA469)</x:f>
        <x:v>0</x:v>
      </x:c>
      <x:c r="AA469" s="2" t="n">
        <x:v>94</x:v>
      </x:c>
      <x:c r="AB469" s="2" t="n">
        <x:f>ABS(K469-W469)</x:f>
        <x:v>5</x:v>
      </x:c>
      <x:c r="AC469" s="2" t="n">
        <x:f>COUNTIF($A$2:$A$1921,A469)-1</x:f>
        <x:v>0</x:v>
      </x:c>
      <x:c r="AD469" s="2" t="n">
        <x:f>IF(AND(D469=D468,H469=H468,C469=C468+1),ABS(R469-T468),0)</x:f>
        <x:v>0</x:v>
      </x:c>
    </x:row>
    <x:row r="470" ht="23" customHeight="1">
      <x:c r="A470" s="2" t="str">
        <x:v>DEMO-106-3-9</x:v>
      </x:c>
      <x:c r="B470" s="15" t="d">
        <x:v>2026-06-29T00:00:00.000Z</x:v>
      </x:c>
      <x:c r="C470" s="2" t="n">
        <x:v>9</x:v>
      </x:c>
      <x:c r="D470" s="2" t="str">
        <x:v>DEMO-106</x:v>
      </x:c>
      <x:c r="E470" s="2" t="str">
        <x:v>Sketch Folio</x:v>
      </x:c>
      <x:c r="F470" s="2" t="str">
        <x:v>Stationery</x:v>
      </x:c>
      <x:c r="G470" s="2" t="str">
        <x:v>Online</x:v>
      </x:c>
      <x:c r="H470" s="2" t="str">
        <x:v>Online</x:v>
      </x:c>
      <x:c r="I470" s="2" t="n">
        <x:v>24</x:v>
      </x:c>
      <x:c r="J470" s="2" t="n">
        <x:v>0</x:v>
      </x:c>
      <x:c r="K470" s="2" t="n">
        <x:f>I470-J470</x:f>
        <x:v>24</x:v>
      </x:c>
      <x:c r="L470" s="16" t="n">
        <x:v>22</x:v>
      </x:c>
      <x:c r="M470" s="16" t="n">
        <x:v>22</x:v>
      </x:c>
      <x:c r="N470" s="16" t="n">
        <x:v>10.67</x:v>
      </x:c>
      <x:c r="O470" s="16" t="n">
        <x:f>K470*M470</x:f>
        <x:v>528</x:v>
      </x:c>
      <x:c r="P470" s="16" t="n">
        <x:f>K470*N470</x:f>
        <x:v>256.08</x:v>
      </x:c>
      <x:c r="Q470" s="16" t="n">
        <x:f>O470-P470</x:f>
        <x:v>271.92</x:v>
      </x:c>
      <x:c r="R470" s="2" t="n">
        <x:v>94</x:v>
      </x:c>
      <x:c r="S470" s="2" t="n">
        <x:v>100</x:v>
      </x:c>
      <x:c r="T470" s="2" t="n">
        <x:f>R470+S470+J470-I470</x:f>
        <x:v>170</x:v>
      </x:c>
      <x:c r="U470" s="2" t="n">
        <x:v>0</x:v>
      </x:c>
      <x:c r="V470" s="2" t="n">
        <x:v>4</x:v>
      </x:c>
      <x:c r="W470" s="2" t="n">
        <x:v>24</x:v>
      </x:c>
      <x:c r="X470" s="14" t="b">
        <x:v>0</x:v>
      </x:c>
      <x:c r="Y470" s="14" t="b">
        <x:v>0</x:v>
      </x:c>
      <x:c r="Z470" s="2" t="n">
        <x:f>ABS(T470-AA470)</x:f>
        <x:v>0</x:v>
      </x:c>
      <x:c r="AA470" s="2" t="n">
        <x:v>170</x:v>
      </x:c>
      <x:c r="AB470" s="2" t="n">
        <x:f>ABS(K470-W470)</x:f>
        <x:v>0</x:v>
      </x:c>
      <x:c r="AC470" s="2" t="n">
        <x:f>COUNTIF($A$2:$A$1921,A470)-1</x:f>
        <x:v>0</x:v>
      </x:c>
      <x:c r="AD470" s="2" t="n">
        <x:f>IF(AND(D470=D469,H470=H469,C470=C469+1),ABS(R470-T469),0)</x:f>
        <x:v>0</x:v>
      </x:c>
    </x:row>
    <x:row r="471" ht="23" customHeight="1">
      <x:c r="A471" s="2" t="str">
        <x:v>DEMO-106-3-10</x:v>
      </x:c>
      <x:c r="B471" s="15" t="d">
        <x:v>2026-07-06T00:00:00.000Z</x:v>
      </x:c>
      <x:c r="C471" s="2" t="n">
        <x:v>10</x:v>
      </x:c>
      <x:c r="D471" s="2" t="str">
        <x:v>DEMO-106</x:v>
      </x:c>
      <x:c r="E471" s="2" t="str">
        <x:v>Sketch Folio</x:v>
      </x:c>
      <x:c r="F471" s="2" t="str">
        <x:v>Stationery</x:v>
      </x:c>
      <x:c r="G471" s="2" t="str">
        <x:v>Online</x:v>
      </x:c>
      <x:c r="H471" s="2" t="str">
        <x:v>Online</x:v>
      </x:c>
      <x:c r="I471" s="2" t="n">
        <x:v>24</x:v>
      </x:c>
      <x:c r="J471" s="2" t="n">
        <x:v>0</x:v>
      </x:c>
      <x:c r="K471" s="2" t="n">
        <x:f>I471-J471</x:f>
        <x:v>24</x:v>
      </x:c>
      <x:c r="L471" s="16" t="n">
        <x:v>22</x:v>
      </x:c>
      <x:c r="M471" s="16" t="n">
        <x:v>22</x:v>
      </x:c>
      <x:c r="N471" s="16" t="n">
        <x:v>10.67</x:v>
      </x:c>
      <x:c r="O471" s="16" t="n">
        <x:f>K471*M471</x:f>
        <x:v>528</x:v>
      </x:c>
      <x:c r="P471" s="16" t="n">
        <x:f>K471*N471</x:f>
        <x:v>256.08</x:v>
      </x:c>
      <x:c r="Q471" s="16" t="n">
        <x:f>O471-P471</x:f>
        <x:v>271.92</x:v>
      </x:c>
      <x:c r="R471" s="2" t="n">
        <x:v>170</x:v>
      </x:c>
      <x:c r="S471" s="2" t="n">
        <x:v>0</x:v>
      </x:c>
      <x:c r="T471" s="2" t="n">
        <x:f>R471+S471+J471-I471</x:f>
        <x:v>146</x:v>
      </x:c>
      <x:c r="U471" s="2" t="n">
        <x:v>0</x:v>
      </x:c>
      <x:c r="V471" s="2" t="n">
        <x:v>4</x:v>
      </x:c>
      <x:c r="W471" s="2" t="n">
        <x:v>24</x:v>
      </x:c>
      <x:c r="X471" s="14" t="b">
        <x:v>0</x:v>
      </x:c>
      <x:c r="Y471" s="14" t="b">
        <x:v>0</x:v>
      </x:c>
      <x:c r="Z471" s="2" t="n">
        <x:f>ABS(T471-AA471)</x:f>
        <x:v>0</x:v>
      </x:c>
      <x:c r="AA471" s="2" t="n">
        <x:v>146</x:v>
      </x:c>
      <x:c r="AB471" s="2" t="n">
        <x:f>ABS(K471-W471)</x:f>
        <x:v>0</x:v>
      </x:c>
      <x:c r="AC471" s="2" t="n">
        <x:f>COUNTIF($A$2:$A$1921,A471)-1</x:f>
        <x:v>0</x:v>
      </x:c>
      <x:c r="AD471" s="2" t="n">
        <x:f>IF(AND(D471=D470,H471=H470,C471=C470+1),ABS(R471-T470),0)</x:f>
        <x:v>0</x:v>
      </x:c>
    </x:row>
    <x:row r="472" ht="23" customHeight="1">
      <x:c r="A472" s="2" t="str">
        <x:v>DEMO-106-3-11</x:v>
      </x:c>
      <x:c r="B472" s="15" t="d">
        <x:v>2026-07-13T00:00:00.000Z</x:v>
      </x:c>
      <x:c r="C472" s="2" t="n">
        <x:v>11</x:v>
      </x:c>
      <x:c r="D472" s="2" t="str">
        <x:v>DEMO-106</x:v>
      </x:c>
      <x:c r="E472" s="2" t="str">
        <x:v>Sketch Folio</x:v>
      </x:c>
      <x:c r="F472" s="2" t="str">
        <x:v>Stationery</x:v>
      </x:c>
      <x:c r="G472" s="2" t="str">
        <x:v>Online</x:v>
      </x:c>
      <x:c r="H472" s="2" t="str">
        <x:v>Online</x:v>
      </x:c>
      <x:c r="I472" s="2" t="n">
        <x:v>24</x:v>
      </x:c>
      <x:c r="J472" s="2" t="n">
        <x:v>0</x:v>
      </x:c>
      <x:c r="K472" s="2" t="n">
        <x:f>I472-J472</x:f>
        <x:v>24</x:v>
      </x:c>
      <x:c r="L472" s="16" t="n">
        <x:v>22</x:v>
      </x:c>
      <x:c r="M472" s="16" t="n">
        <x:v>22</x:v>
      </x:c>
      <x:c r="N472" s="16" t="n">
        <x:v>10.67</x:v>
      </x:c>
      <x:c r="O472" s="16" t="n">
        <x:f>K472*M472</x:f>
        <x:v>528</x:v>
      </x:c>
      <x:c r="P472" s="16" t="n">
        <x:f>K472*N472</x:f>
        <x:v>256.08</x:v>
      </x:c>
      <x:c r="Q472" s="16" t="n">
        <x:f>O472-P472</x:f>
        <x:v>271.92</x:v>
      </x:c>
      <x:c r="R472" s="2" t="n">
        <x:v>146</x:v>
      </x:c>
      <x:c r="S472" s="2" t="n">
        <x:v>0</x:v>
      </x:c>
      <x:c r="T472" s="2" t="n">
        <x:f>R472+S472+J472-I472</x:f>
        <x:v>122</x:v>
      </x:c>
      <x:c r="U472" s="2" t="n">
        <x:v>0</x:v>
      </x:c>
      <x:c r="V472" s="2" t="n">
        <x:v>4</x:v>
      </x:c>
      <x:c r="W472" s="2" t="n">
        <x:v>24</x:v>
      </x:c>
      <x:c r="X472" s="14" t="b">
        <x:v>0</x:v>
      </x:c>
      <x:c r="Y472" s="14" t="b">
        <x:v>0</x:v>
      </x:c>
      <x:c r="Z472" s="2" t="n">
        <x:f>ABS(T472-AA472)</x:f>
        <x:v>0</x:v>
      </x:c>
      <x:c r="AA472" s="2" t="n">
        <x:v>122</x:v>
      </x:c>
      <x:c r="AB472" s="2" t="n">
        <x:f>ABS(K472-W472)</x:f>
        <x:v>0</x:v>
      </x:c>
      <x:c r="AC472" s="2" t="n">
        <x:f>COUNTIF($A$2:$A$1921,A472)-1</x:f>
        <x:v>0</x:v>
      </x:c>
      <x:c r="AD472" s="2" t="n">
        <x:f>IF(AND(D472=D471,H472=H471,C472=C471+1),ABS(R472-T471),0)</x:f>
        <x:v>0</x:v>
      </x:c>
    </x:row>
    <x:row r="473" ht="23" customHeight="1">
      <x:c r="A473" s="2" t="str">
        <x:v>DEMO-106-3-12</x:v>
      </x:c>
      <x:c r="B473" s="15" t="d">
        <x:v>2026-07-20T00:00:00.000Z</x:v>
      </x:c>
      <x:c r="C473" s="2" t="n">
        <x:v>12</x:v>
      </x:c>
      <x:c r="D473" s="2" t="str">
        <x:v>DEMO-106</x:v>
      </x:c>
      <x:c r="E473" s="2" t="str">
        <x:v>Sketch Folio</x:v>
      </x:c>
      <x:c r="F473" s="2" t="str">
        <x:v>Stationery</x:v>
      </x:c>
      <x:c r="G473" s="2" t="str">
        <x:v>Online</x:v>
      </x:c>
      <x:c r="H473" s="2" t="str">
        <x:v>Online</x:v>
      </x:c>
      <x:c r="I473" s="2" t="n">
        <x:v>20</x:v>
      </x:c>
      <x:c r="J473" s="2" t="n">
        <x:v>0</x:v>
      </x:c>
      <x:c r="K473" s="2" t="n">
        <x:f>I473-J473</x:f>
        <x:v>20</x:v>
      </x:c>
      <x:c r="L473" s="16" t="n">
        <x:v>22</x:v>
      </x:c>
      <x:c r="M473" s="16" t="n">
        <x:v>22</x:v>
      </x:c>
      <x:c r="N473" s="16" t="n">
        <x:v>10.67</x:v>
      </x:c>
      <x:c r="O473" s="16" t="n">
        <x:f>K473*M473</x:f>
        <x:v>440</x:v>
      </x:c>
      <x:c r="P473" s="16" t="n">
        <x:f>K473*N473</x:f>
        <x:v>213.4</x:v>
      </x:c>
      <x:c r="Q473" s="16" t="n">
        <x:f>O473-P473</x:f>
        <x:v>226.6</x:v>
      </x:c>
      <x:c r="R473" s="2" t="n">
        <x:v>122</x:v>
      </x:c>
      <x:c r="S473" s="2" t="n">
        <x:v>0</x:v>
      </x:c>
      <x:c r="T473" s="2" t="n">
        <x:f>R473+S473+J473-I473</x:f>
        <x:v>102</x:v>
      </x:c>
      <x:c r="U473" s="2" t="n">
        <x:v>0</x:v>
      </x:c>
      <x:c r="V473" s="2" t="n">
        <x:v>4</x:v>
      </x:c>
      <x:c r="W473" s="2" t="n">
        <x:v>23</x:v>
      </x:c>
      <x:c r="X473" s="14" t="b">
        <x:v>0</x:v>
      </x:c>
      <x:c r="Y473" s="14" t="b">
        <x:v>0</x:v>
      </x:c>
      <x:c r="Z473" s="2" t="n">
        <x:f>ABS(T473-AA473)</x:f>
        <x:v>0</x:v>
      </x:c>
      <x:c r="AA473" s="2" t="n">
        <x:v>102</x:v>
      </x:c>
      <x:c r="AB473" s="2" t="n">
        <x:f>ABS(K473-W473)</x:f>
        <x:v>3</x:v>
      </x:c>
      <x:c r="AC473" s="2" t="n">
        <x:f>COUNTIF($A$2:$A$1921,A473)-1</x:f>
        <x:v>0</x:v>
      </x:c>
      <x:c r="AD473" s="2" t="n">
        <x:f>IF(AND(D473=D472,H473=H472,C473=C472+1),ABS(R473-T472),0)</x:f>
        <x:v>0</x:v>
      </x:c>
    </x:row>
    <x:row r="474" ht="23" customHeight="1">
      <x:c r="A474" s="2" t="str">
        <x:v>DEMO-106-3-13</x:v>
      </x:c>
      <x:c r="B474" s="15" t="d">
        <x:v>2026-07-27T00:00:00.000Z</x:v>
      </x:c>
      <x:c r="C474" s="2" t="n">
        <x:v>13</x:v>
      </x:c>
      <x:c r="D474" s="2" t="str">
        <x:v>DEMO-106</x:v>
      </x:c>
      <x:c r="E474" s="2" t="str">
        <x:v>Sketch Folio</x:v>
      </x:c>
      <x:c r="F474" s="2" t="str">
        <x:v>Stationery</x:v>
      </x:c>
      <x:c r="G474" s="2" t="str">
        <x:v>Online</x:v>
      </x:c>
      <x:c r="H474" s="2" t="str">
        <x:v>Online</x:v>
      </x:c>
      <x:c r="I474" s="2" t="n">
        <x:v>21</x:v>
      </x:c>
      <x:c r="J474" s="2" t="n">
        <x:v>1</x:v>
      </x:c>
      <x:c r="K474" s="2" t="n">
        <x:f>I474-J474</x:f>
        <x:v>20</x:v>
      </x:c>
      <x:c r="L474" s="16" t="n">
        <x:v>22</x:v>
      </x:c>
      <x:c r="M474" s="16" t="n">
        <x:v>22</x:v>
      </x:c>
      <x:c r="N474" s="16" t="n">
        <x:v>10.67</x:v>
      </x:c>
      <x:c r="O474" s="16" t="n">
        <x:f>K474*M474</x:f>
        <x:v>440</x:v>
      </x:c>
      <x:c r="P474" s="16" t="n">
        <x:f>K474*N474</x:f>
        <x:v>213.4</x:v>
      </x:c>
      <x:c r="Q474" s="16" t="n">
        <x:f>O474-P474</x:f>
        <x:v>226.6</x:v>
      </x:c>
      <x:c r="R474" s="2" t="n">
        <x:v>102</x:v>
      </x:c>
      <x:c r="S474" s="2" t="n">
        <x:v>100</x:v>
      </x:c>
      <x:c r="T474" s="2" t="n">
        <x:f>R474+S474+J474-I474</x:f>
        <x:v>182</x:v>
      </x:c>
      <x:c r="U474" s="2" t="n">
        <x:v>0</x:v>
      </x:c>
      <x:c r="V474" s="2" t="n">
        <x:v>4</x:v>
      </x:c>
      <x:c r="W474" s="2" t="n">
        <x:v>23</x:v>
      </x:c>
      <x:c r="X474" s="14" t="b">
        <x:v>0</x:v>
      </x:c>
      <x:c r="Y474" s="14" t="b">
        <x:v>0</x:v>
      </x:c>
      <x:c r="Z474" s="2" t="n">
        <x:f>ABS(T474-AA474)</x:f>
        <x:v>0</x:v>
      </x:c>
      <x:c r="AA474" s="2" t="n">
        <x:v>182</x:v>
      </x:c>
      <x:c r="AB474" s="2" t="n">
        <x:f>ABS(K474-W474)</x:f>
        <x:v>3</x:v>
      </x:c>
      <x:c r="AC474" s="2" t="n">
        <x:f>COUNTIF($A$2:$A$1921,A474)-1</x:f>
        <x:v>0</x:v>
      </x:c>
      <x:c r="AD474" s="2" t="n">
        <x:f>IF(AND(D474=D473,H474=H473,C474=C473+1),ABS(R474-T473),0)</x:f>
        <x:v>0</x:v>
      </x:c>
    </x:row>
    <x:row r="475" ht="23" customHeight="1">
      <x:c r="A475" s="2" t="str">
        <x:v>DEMO-106-3-14</x:v>
      </x:c>
      <x:c r="B475" s="15" t="d">
        <x:v>2026-08-03T00:00:00.000Z</x:v>
      </x:c>
      <x:c r="C475" s="2" t="n">
        <x:v>14</x:v>
      </x:c>
      <x:c r="D475" s="2" t="str">
        <x:v>DEMO-106</x:v>
      </x:c>
      <x:c r="E475" s="2" t="str">
        <x:v>Sketch Folio</x:v>
      </x:c>
      <x:c r="F475" s="2" t="str">
        <x:v>Stationery</x:v>
      </x:c>
      <x:c r="G475" s="2" t="str">
        <x:v>Online</x:v>
      </x:c>
      <x:c r="H475" s="2" t="str">
        <x:v>Online</x:v>
      </x:c>
      <x:c r="I475" s="2" t="n">
        <x:v>27</x:v>
      </x:c>
      <x:c r="J475" s="2" t="n">
        <x:v>0</x:v>
      </x:c>
      <x:c r="K475" s="2" t="n">
        <x:f>I475-J475</x:f>
        <x:v>27</x:v>
      </x:c>
      <x:c r="L475" s="16" t="n">
        <x:v>22</x:v>
      </x:c>
      <x:c r="M475" s="16" t="n">
        <x:v>22</x:v>
      </x:c>
      <x:c r="N475" s="16" t="n">
        <x:v>10.67</x:v>
      </x:c>
      <x:c r="O475" s="16" t="n">
        <x:f>K475*M475</x:f>
        <x:v>594</x:v>
      </x:c>
      <x:c r="P475" s="16" t="n">
        <x:f>K475*N475</x:f>
        <x:v>288.09</x:v>
      </x:c>
      <x:c r="Q475" s="16" t="n">
        <x:f>O475-P475</x:f>
        <x:v>305.91</x:v>
      </x:c>
      <x:c r="R475" s="2" t="n">
        <x:v>182</x:v>
      </x:c>
      <x:c r="S475" s="2" t="n">
        <x:v>0</x:v>
      </x:c>
      <x:c r="T475" s="2" t="n">
        <x:f>R475+S475+J475-I475</x:f>
        <x:v>155</x:v>
      </x:c>
      <x:c r="U475" s="2" t="n">
        <x:v>0</x:v>
      </x:c>
      <x:c r="V475" s="2" t="n">
        <x:v>4</x:v>
      </x:c>
      <x:c r="W475" s="2" t="n">
        <x:v>22</x:v>
      </x:c>
      <x:c r="X475" s="14" t="b">
        <x:v>0</x:v>
      </x:c>
      <x:c r="Y475" s="14" t="b">
        <x:v>0</x:v>
      </x:c>
      <x:c r="Z475" s="2" t="n">
        <x:f>ABS(T475-AA475)</x:f>
        <x:v>0</x:v>
      </x:c>
      <x:c r="AA475" s="2" t="n">
        <x:v>155</x:v>
      </x:c>
      <x:c r="AB475" s="2" t="n">
        <x:f>ABS(K475-W475)</x:f>
        <x:v>5</x:v>
      </x:c>
      <x:c r="AC475" s="2" t="n">
        <x:f>COUNTIF($A$2:$A$1921,A475)-1</x:f>
        <x:v>0</x:v>
      </x:c>
      <x:c r="AD475" s="2" t="n">
        <x:f>IF(AND(D475=D474,H475=H474,C475=C474+1),ABS(R475-T474),0)</x:f>
        <x:v>0</x:v>
      </x:c>
    </x:row>
    <x:row r="476" ht="23" customHeight="1">
      <x:c r="A476" s="2" t="str">
        <x:v>DEMO-106-3-15</x:v>
      </x:c>
      <x:c r="B476" s="15" t="d">
        <x:v>2026-08-10T00:00:00.000Z</x:v>
      </x:c>
      <x:c r="C476" s="2" t="n">
        <x:v>15</x:v>
      </x:c>
      <x:c r="D476" s="2" t="str">
        <x:v>DEMO-106</x:v>
      </x:c>
      <x:c r="E476" s="2" t="str">
        <x:v>Sketch Folio</x:v>
      </x:c>
      <x:c r="F476" s="2" t="str">
        <x:v>Stationery</x:v>
      </x:c>
      <x:c r="G476" s="2" t="str">
        <x:v>Online</x:v>
      </x:c>
      <x:c r="H476" s="2" t="str">
        <x:v>Online</x:v>
      </x:c>
      <x:c r="I476" s="2" t="n">
        <x:v>20</x:v>
      </x:c>
      <x:c r="J476" s="2" t="n">
        <x:v>0</x:v>
      </x:c>
      <x:c r="K476" s="2" t="n">
        <x:f>I476-J476</x:f>
        <x:v>20</x:v>
      </x:c>
      <x:c r="L476" s="16" t="n">
        <x:v>22</x:v>
      </x:c>
      <x:c r="M476" s="16" t="n">
        <x:v>22</x:v>
      </x:c>
      <x:c r="N476" s="16" t="n">
        <x:v>10.67</x:v>
      </x:c>
      <x:c r="O476" s="16" t="n">
        <x:f>K476*M476</x:f>
        <x:v>440</x:v>
      </x:c>
      <x:c r="P476" s="16" t="n">
        <x:f>K476*N476</x:f>
        <x:v>213.4</x:v>
      </x:c>
      <x:c r="Q476" s="16" t="n">
        <x:f>O476-P476</x:f>
        <x:v>226.6</x:v>
      </x:c>
      <x:c r="R476" s="2" t="n">
        <x:v>155</x:v>
      </x:c>
      <x:c r="S476" s="2" t="n">
        <x:v>0</x:v>
      </x:c>
      <x:c r="T476" s="2" t="n">
        <x:f>R476+S476+J476-I476</x:f>
        <x:v>135</x:v>
      </x:c>
      <x:c r="U476" s="2" t="n">
        <x:v>0</x:v>
      </x:c>
      <x:c r="V476" s="2" t="n">
        <x:v>4</x:v>
      </x:c>
      <x:c r="W476" s="2" t="n">
        <x:v>23</x:v>
      </x:c>
      <x:c r="X476" s="14" t="b">
        <x:v>0</x:v>
      </x:c>
      <x:c r="Y476" s="14" t="b">
        <x:v>0</x:v>
      </x:c>
      <x:c r="Z476" s="2" t="n">
        <x:f>ABS(T476-AA476)</x:f>
        <x:v>0</x:v>
      </x:c>
      <x:c r="AA476" s="2" t="n">
        <x:v>135</x:v>
      </x:c>
      <x:c r="AB476" s="2" t="n">
        <x:f>ABS(K476-W476)</x:f>
        <x:v>3</x:v>
      </x:c>
      <x:c r="AC476" s="2" t="n">
        <x:f>COUNTIF($A$2:$A$1921,A476)-1</x:f>
        <x:v>0</x:v>
      </x:c>
      <x:c r="AD476" s="2" t="n">
        <x:f>IF(AND(D476=D475,H476=H475,C476=C475+1),ABS(R476-T475),0)</x:f>
        <x:v>0</x:v>
      </x:c>
    </x:row>
    <x:row r="477" ht="23" customHeight="1">
      <x:c r="A477" s="2" t="str">
        <x:v>DEMO-106-3-16</x:v>
      </x:c>
      <x:c r="B477" s="15" t="d">
        <x:v>2026-08-17T00:00:00.000Z</x:v>
      </x:c>
      <x:c r="C477" s="2" t="n">
        <x:v>16</x:v>
      </x:c>
      <x:c r="D477" s="2" t="str">
        <x:v>DEMO-106</x:v>
      </x:c>
      <x:c r="E477" s="2" t="str">
        <x:v>Sketch Folio</x:v>
      </x:c>
      <x:c r="F477" s="2" t="str">
        <x:v>Stationery</x:v>
      </x:c>
      <x:c r="G477" s="2" t="str">
        <x:v>Online</x:v>
      </x:c>
      <x:c r="H477" s="2" t="str">
        <x:v>Online</x:v>
      </x:c>
      <x:c r="I477" s="2" t="n">
        <x:v>22</x:v>
      </x:c>
      <x:c r="J477" s="2" t="n">
        <x:v>1</x:v>
      </x:c>
      <x:c r="K477" s="2" t="n">
        <x:f>I477-J477</x:f>
        <x:v>21</x:v>
      </x:c>
      <x:c r="L477" s="16" t="n">
        <x:v>22</x:v>
      </x:c>
      <x:c r="M477" s="16" t="n">
        <x:v>22</x:v>
      </x:c>
      <x:c r="N477" s="16" t="n">
        <x:v>10.67</x:v>
      </x:c>
      <x:c r="O477" s="16" t="n">
        <x:f>K477*M477</x:f>
        <x:v>462</x:v>
      </x:c>
      <x:c r="P477" s="16" t="n">
        <x:f>K477*N477</x:f>
        <x:v>224.07</x:v>
      </x:c>
      <x:c r="Q477" s="16" t="n">
        <x:f>O477-P477</x:f>
        <x:v>237.93</x:v>
      </x:c>
      <x:c r="R477" s="2" t="n">
        <x:v>135</x:v>
      </x:c>
      <x:c r="S477" s="2" t="n">
        <x:v>0</x:v>
      </x:c>
      <x:c r="T477" s="2" t="n">
        <x:f>R477+S477+J477-I477</x:f>
        <x:v>114</x:v>
      </x:c>
      <x:c r="U477" s="2" t="n">
        <x:v>0</x:v>
      </x:c>
      <x:c r="V477" s="2" t="n">
        <x:v>4</x:v>
      </x:c>
      <x:c r="W477" s="2" t="n">
        <x:v>22</x:v>
      </x:c>
      <x:c r="X477" s="14" t="b">
        <x:v>0</x:v>
      </x:c>
      <x:c r="Y477" s="14" t="b">
        <x:v>0</x:v>
      </x:c>
      <x:c r="Z477" s="2" t="n">
        <x:f>ABS(T477-AA477)</x:f>
        <x:v>0</x:v>
      </x:c>
      <x:c r="AA477" s="2" t="n">
        <x:v>114</x:v>
      </x:c>
      <x:c r="AB477" s="2" t="n">
        <x:f>ABS(K477-W477)</x:f>
        <x:v>1</x:v>
      </x:c>
      <x:c r="AC477" s="2" t="n">
        <x:f>COUNTIF($A$2:$A$1921,A477)-1</x:f>
        <x:v>0</x:v>
      </x:c>
      <x:c r="AD477" s="2" t="n">
        <x:f>IF(AND(D477=D476,H477=H476,C477=C476+1),ABS(R477-T476),0)</x:f>
        <x:v>0</x:v>
      </x:c>
    </x:row>
    <x:row r="478" ht="23" customHeight="1">
      <x:c r="A478" s="2" t="str">
        <x:v>DEMO-106-3-17</x:v>
      </x:c>
      <x:c r="B478" s="15" t="d">
        <x:v>2026-08-24T00:00:00.000Z</x:v>
      </x:c>
      <x:c r="C478" s="2" t="n">
        <x:v>17</x:v>
      </x:c>
      <x:c r="D478" s="2" t="str">
        <x:v>DEMO-106</x:v>
      </x:c>
      <x:c r="E478" s="2" t="str">
        <x:v>Sketch Folio</x:v>
      </x:c>
      <x:c r="F478" s="2" t="str">
        <x:v>Stationery</x:v>
      </x:c>
      <x:c r="G478" s="2" t="str">
        <x:v>Online</x:v>
      </x:c>
      <x:c r="H478" s="2" t="str">
        <x:v>Online</x:v>
      </x:c>
      <x:c r="I478" s="2" t="n">
        <x:v>24</x:v>
      </x:c>
      <x:c r="J478" s="2" t="n">
        <x:v>0</x:v>
      </x:c>
      <x:c r="K478" s="2" t="n">
        <x:f>I478-J478</x:f>
        <x:v>24</x:v>
      </x:c>
      <x:c r="L478" s="16" t="n">
        <x:v>22</x:v>
      </x:c>
      <x:c r="M478" s="16" t="n">
        <x:v>22</x:v>
      </x:c>
      <x:c r="N478" s="16" t="n">
        <x:v>10.67</x:v>
      </x:c>
      <x:c r="O478" s="16" t="n">
        <x:f>K478*M478</x:f>
        <x:v>528</x:v>
      </x:c>
      <x:c r="P478" s="16" t="n">
        <x:f>K478*N478</x:f>
        <x:v>256.08</x:v>
      </x:c>
      <x:c r="Q478" s="16" t="n">
        <x:f>O478-P478</x:f>
        <x:v>271.92</x:v>
      </x:c>
      <x:c r="R478" s="2" t="n">
        <x:v>114</x:v>
      </x:c>
      <x:c r="S478" s="2" t="n">
        <x:v>100</x:v>
      </x:c>
      <x:c r="T478" s="2" t="n">
        <x:f>R478+S478+J478-I478</x:f>
        <x:v>190</x:v>
      </x:c>
      <x:c r="U478" s="2" t="n">
        <x:v>0</x:v>
      </x:c>
      <x:c r="V478" s="2" t="n">
        <x:v>4</x:v>
      </x:c>
      <x:c r="W478" s="2" t="n">
        <x:v>22</x:v>
      </x:c>
      <x:c r="X478" s="14" t="b">
        <x:v>0</x:v>
      </x:c>
      <x:c r="Y478" s="14" t="b">
        <x:v>0</x:v>
      </x:c>
      <x:c r="Z478" s="2" t="n">
        <x:f>ABS(T478-AA478)</x:f>
        <x:v>0</x:v>
      </x:c>
      <x:c r="AA478" s="2" t="n">
        <x:v>190</x:v>
      </x:c>
      <x:c r="AB478" s="2" t="n">
        <x:f>ABS(K478-W478)</x:f>
        <x:v>2</x:v>
      </x:c>
      <x:c r="AC478" s="2" t="n">
        <x:f>COUNTIF($A$2:$A$1921,A478)-1</x:f>
        <x:v>0</x:v>
      </x:c>
      <x:c r="AD478" s="2" t="n">
        <x:f>IF(AND(D478=D477,H478=H477,C478=C477+1),ABS(R478-T477),0)</x:f>
        <x:v>0</x:v>
      </x:c>
    </x:row>
    <x:row r="479" ht="23" customHeight="1">
      <x:c r="A479" s="2" t="str">
        <x:v>DEMO-106-3-18</x:v>
      </x:c>
      <x:c r="B479" s="15" t="d">
        <x:v>2026-08-31T00:00:00.000Z</x:v>
      </x:c>
      <x:c r="C479" s="2" t="n">
        <x:v>18</x:v>
      </x:c>
      <x:c r="D479" s="2" t="str">
        <x:v>DEMO-106</x:v>
      </x:c>
      <x:c r="E479" s="2" t="str">
        <x:v>Sketch Folio</x:v>
      </x:c>
      <x:c r="F479" s="2" t="str">
        <x:v>Stationery</x:v>
      </x:c>
      <x:c r="G479" s="2" t="str">
        <x:v>Online</x:v>
      </x:c>
      <x:c r="H479" s="2" t="str">
        <x:v>Online</x:v>
      </x:c>
      <x:c r="I479" s="2" t="n">
        <x:v>21</x:v>
      </x:c>
      <x:c r="J479" s="2" t="n">
        <x:v>0</x:v>
      </x:c>
      <x:c r="K479" s="2" t="n">
        <x:f>I479-J479</x:f>
        <x:v>21</x:v>
      </x:c>
      <x:c r="L479" s="16" t="n">
        <x:v>22</x:v>
      </x:c>
      <x:c r="M479" s="16" t="n">
        <x:v>22</x:v>
      </x:c>
      <x:c r="N479" s="16" t="n">
        <x:v>10.67</x:v>
      </x:c>
      <x:c r="O479" s="16" t="n">
        <x:f>K479*M479</x:f>
        <x:v>462</x:v>
      </x:c>
      <x:c r="P479" s="16" t="n">
        <x:f>K479*N479</x:f>
        <x:v>224.07</x:v>
      </x:c>
      <x:c r="Q479" s="16" t="n">
        <x:f>O479-P479</x:f>
        <x:v>237.93</x:v>
      </x:c>
      <x:c r="R479" s="2" t="n">
        <x:v>190</x:v>
      </x:c>
      <x:c r="S479" s="2" t="n">
        <x:v>0</x:v>
      </x:c>
      <x:c r="T479" s="2" t="n">
        <x:f>R479+S479+J479-I479</x:f>
        <x:v>169</x:v>
      </x:c>
      <x:c r="U479" s="2" t="n">
        <x:v>0</x:v>
      </x:c>
      <x:c r="V479" s="2" t="n">
        <x:v>4</x:v>
      </x:c>
      <x:c r="W479" s="2" t="n">
        <x:v>23</x:v>
      </x:c>
      <x:c r="X479" s="14" t="b">
        <x:v>0</x:v>
      </x:c>
      <x:c r="Y479" s="14" t="b">
        <x:v>0</x:v>
      </x:c>
      <x:c r="Z479" s="2" t="n">
        <x:f>ABS(T479-AA479)</x:f>
        <x:v>0</x:v>
      </x:c>
      <x:c r="AA479" s="2" t="n">
        <x:v>169</x:v>
      </x:c>
      <x:c r="AB479" s="2" t="n">
        <x:f>ABS(K479-W479)</x:f>
        <x:v>2</x:v>
      </x:c>
      <x:c r="AC479" s="2" t="n">
        <x:f>COUNTIF($A$2:$A$1921,A479)-1</x:f>
        <x:v>0</x:v>
      </x:c>
      <x:c r="AD479" s="2" t="n">
        <x:f>IF(AND(D479=D478,H479=H478,C479=C478+1),ABS(R479-T478),0)</x:f>
        <x:v>0</x:v>
      </x:c>
    </x:row>
    <x:row r="480" ht="23" customHeight="1">
      <x:c r="A480" s="2" t="str">
        <x:v>DEMO-106-3-19</x:v>
      </x:c>
      <x:c r="B480" s="15" t="d">
        <x:v>2026-09-07T00:00:00.000Z</x:v>
      </x:c>
      <x:c r="C480" s="2" t="n">
        <x:v>19</x:v>
      </x:c>
      <x:c r="D480" s="2" t="str">
        <x:v>DEMO-106</x:v>
      </x:c>
      <x:c r="E480" s="2" t="str">
        <x:v>Sketch Folio</x:v>
      </x:c>
      <x:c r="F480" s="2" t="str">
        <x:v>Stationery</x:v>
      </x:c>
      <x:c r="G480" s="2" t="str">
        <x:v>Online</x:v>
      </x:c>
      <x:c r="H480" s="2" t="str">
        <x:v>Online</x:v>
      </x:c>
      <x:c r="I480" s="2" t="n">
        <x:v>20</x:v>
      </x:c>
      <x:c r="J480" s="2" t="n">
        <x:v>0</x:v>
      </x:c>
      <x:c r="K480" s="2" t="n">
        <x:f>I480-J480</x:f>
        <x:v>20</x:v>
      </x:c>
      <x:c r="L480" s="16" t="n">
        <x:v>22</x:v>
      </x:c>
      <x:c r="M480" s="16" t="n">
        <x:v>22</x:v>
      </x:c>
      <x:c r="N480" s="16" t="n">
        <x:v>10.67</x:v>
      </x:c>
      <x:c r="O480" s="16" t="n">
        <x:f>K480*M480</x:f>
        <x:v>440</x:v>
      </x:c>
      <x:c r="P480" s="16" t="n">
        <x:f>K480*N480</x:f>
        <x:v>213.4</x:v>
      </x:c>
      <x:c r="Q480" s="16" t="n">
        <x:f>O480-P480</x:f>
        <x:v>226.6</x:v>
      </x:c>
      <x:c r="R480" s="2" t="n">
        <x:v>169</x:v>
      </x:c>
      <x:c r="S480" s="2" t="n">
        <x:v>0</x:v>
      </x:c>
      <x:c r="T480" s="2" t="n">
        <x:f>R480+S480+J480-I480</x:f>
        <x:v>149</x:v>
      </x:c>
      <x:c r="U480" s="2" t="n">
        <x:v>0</x:v>
      </x:c>
      <x:c r="V480" s="2" t="n">
        <x:v>4</x:v>
      </x:c>
      <x:c r="W480" s="2" t="n">
        <x:v>22</x:v>
      </x:c>
      <x:c r="X480" s="14" t="b">
        <x:v>0</x:v>
      </x:c>
      <x:c r="Y480" s="14" t="b">
        <x:v>0</x:v>
      </x:c>
      <x:c r="Z480" s="2" t="n">
        <x:f>ABS(T480-AA480)</x:f>
        <x:v>0</x:v>
      </x:c>
      <x:c r="AA480" s="2" t="n">
        <x:v>149</x:v>
      </x:c>
      <x:c r="AB480" s="2" t="n">
        <x:f>ABS(K480-W480)</x:f>
        <x:v>2</x:v>
      </x:c>
      <x:c r="AC480" s="2" t="n">
        <x:f>COUNTIF($A$2:$A$1921,A480)-1</x:f>
        <x:v>0</x:v>
      </x:c>
      <x:c r="AD480" s="2" t="n">
        <x:f>IF(AND(D480=D479,H480=H479,C480=C479+1),ABS(R480-T479),0)</x:f>
        <x:v>0</x:v>
      </x:c>
    </x:row>
    <x:row r="481" ht="23" customHeight="1">
      <x:c r="A481" s="2" t="str">
        <x:v>DEMO-106-3-20</x:v>
      </x:c>
      <x:c r="B481" s="15" t="d">
        <x:v>2026-09-14T00:00:00.000Z</x:v>
      </x:c>
      <x:c r="C481" s="2" t="n">
        <x:v>20</x:v>
      </x:c>
      <x:c r="D481" s="2" t="str">
        <x:v>DEMO-106</x:v>
      </x:c>
      <x:c r="E481" s="2" t="str">
        <x:v>Sketch Folio</x:v>
      </x:c>
      <x:c r="F481" s="2" t="str">
        <x:v>Stationery</x:v>
      </x:c>
      <x:c r="G481" s="2" t="str">
        <x:v>Online</x:v>
      </x:c>
      <x:c r="H481" s="2" t="str">
        <x:v>Online</x:v>
      </x:c>
      <x:c r="I481" s="2" t="n">
        <x:v>26</x:v>
      </x:c>
      <x:c r="J481" s="2" t="n">
        <x:v>0</x:v>
      </x:c>
      <x:c r="K481" s="2" t="n">
        <x:f>I481-J481</x:f>
        <x:v>26</x:v>
      </x:c>
      <x:c r="L481" s="16" t="n">
        <x:v>22</x:v>
      </x:c>
      <x:c r="M481" s="16" t="n">
        <x:v>22</x:v>
      </x:c>
      <x:c r="N481" s="16" t="n">
        <x:v>10.67</x:v>
      </x:c>
      <x:c r="O481" s="16" t="n">
        <x:f>K481*M481</x:f>
        <x:v>572</x:v>
      </x:c>
      <x:c r="P481" s="16" t="n">
        <x:f>K481*N481</x:f>
        <x:v>277.42</x:v>
      </x:c>
      <x:c r="Q481" s="16" t="n">
        <x:f>O481-P481</x:f>
        <x:v>294.58</x:v>
      </x:c>
      <x:c r="R481" s="2" t="n">
        <x:v>149</x:v>
      </x:c>
      <x:c r="S481" s="2" t="n">
        <x:v>0</x:v>
      </x:c>
      <x:c r="T481" s="2" t="n">
        <x:f>R481+S481+J481-I481</x:f>
        <x:v>123</x:v>
      </x:c>
      <x:c r="U481" s="2" t="n">
        <x:v>18</x:v>
      </x:c>
      <x:c r="V481" s="2" t="n">
        <x:v>4</x:v>
      </x:c>
      <x:c r="W481" s="2" t="n">
        <x:v>22</x:v>
      </x:c>
      <x:c r="X481" s="14" t="b">
        <x:v>0</x:v>
      </x:c>
      <x:c r="Y481" s="14" t="b">
        <x:v>0</x:v>
      </x:c>
      <x:c r="Z481" s="2" t="n">
        <x:f>ABS(T481-AA481)</x:f>
        <x:v>0</x:v>
      </x:c>
      <x:c r="AA481" s="2" t="n">
        <x:v>123</x:v>
      </x:c>
      <x:c r="AB481" s="2" t="n">
        <x:f>ABS(K481-W481)</x:f>
        <x:v>4</x:v>
      </x:c>
      <x:c r="AC481" s="2" t="n">
        <x:f>COUNTIF($A$2:$A$1921,A481)-1</x:f>
        <x:v>0</x:v>
      </x:c>
      <x:c r="AD481" s="2" t="n">
        <x:f>IF(AND(D481=D480,H481=H480,C481=C480+1),ABS(R481-T480),0)</x:f>
        <x:v>0</x:v>
      </x:c>
    </x:row>
    <x:row r="482" ht="23" customHeight="1">
      <x:c r="A482" s="2" t="str">
        <x:v>DEMO-201-0-1</x:v>
      </x:c>
      <x:c r="B482" s="15" t="d">
        <x:v>2026-05-04T00:00:00.000Z</x:v>
      </x:c>
      <x:c r="C482" s="2" t="n">
        <x:v>1</x:v>
      </x:c>
      <x:c r="D482" s="2" t="str">
        <x:v>DEMO-201</x:v>
      </x:c>
      <x:c r="E482" s="2" t="str">
        <x:v>Celebration Box</x:v>
      </x:c>
      <x:c r="F482" s="2" t="str">
        <x:v>Gifting</x:v>
      </x:c>
      <x:c r="G482" s="2" t="str">
        <x:v>Stores</x:v>
      </x:c>
      <x:c r="H482" s="2" t="str">
        <x:v>North Arcade</x:v>
      </x:c>
      <x:c r="I482" s="2" t="n">
        <x:v>9</x:v>
      </x:c>
      <x:c r="J482" s="2" t="n">
        <x:v>0</x:v>
      </x:c>
      <x:c r="K482" s="2" t="n">
        <x:f>I482-J482</x:f>
        <x:v>9</x:v>
      </x:c>
      <x:c r="L482" s="16" t="n">
        <x:v>18</x:v>
      </x:c>
      <x:c r="M482" s="16" t="n">
        <x:v>18</x:v>
      </x:c>
      <x:c r="N482" s="16" t="n">
        <x:v>6.48</x:v>
      </x:c>
      <x:c r="O482" s="16" t="n">
        <x:f>K482*M482</x:f>
        <x:v>162</x:v>
      </x:c>
      <x:c r="P482" s="16" t="n">
        <x:f>K482*N482</x:f>
        <x:v>58.32000000000001</x:v>
      </x:c>
      <x:c r="Q482" s="16" t="n">
        <x:f>O482-P482</x:f>
        <x:v>103.67999999999999</x:v>
      </x:c>
      <x:c r="R482" s="2" t="n">
        <x:v>90</x:v>
      </x:c>
      <x:c r="S482" s="2" t="n">
        <x:v>46</x:v>
      </x:c>
      <x:c r="T482" s="2" t="n">
        <x:f>R482+S482+J482-I482</x:f>
        <x:v>127</x:v>
      </x:c>
      <x:c r="U482" s="2" t="n">
        <x:v>0</x:v>
      </x:c>
      <x:c r="V482" s="2" t="n">
        <x:v>2</x:v>
      </x:c>
      <x:c r="W482" s="2" t="n">
        <x:v>11</x:v>
      </x:c>
      <x:c r="X482" s="14" t="b">
        <x:v>0</x:v>
      </x:c>
      <x:c r="Y482" s="14" t="b">
        <x:v>0</x:v>
      </x:c>
      <x:c r="Z482" s="2" t="n">
        <x:f>ABS(T482-AA482)</x:f>
        <x:v>0</x:v>
      </x:c>
      <x:c r="AA482" s="2" t="n">
        <x:v>127</x:v>
      </x:c>
      <x:c r="AB482" s="2" t="n">
        <x:f>ABS(K482-W482)</x:f>
        <x:v>2</x:v>
      </x:c>
      <x:c r="AC482" s="2" t="n">
        <x:f>COUNTIF($A$2:$A$1921,A482)-1</x:f>
        <x:v>0</x:v>
      </x:c>
      <x:c r="AD482" s="2" t="n">
        <x:f>IF(AND(D482=D481,H482=H481,C482=C481+1),ABS(R482-T481),0)</x:f>
        <x:v>0</x:v>
      </x:c>
    </x:row>
    <x:row r="483" ht="23" customHeight="1">
      <x:c r="A483" s="2" t="str">
        <x:v>DEMO-201-0-2</x:v>
      </x:c>
      <x:c r="B483" s="15" t="d">
        <x:v>2026-05-11T00:00:00.000Z</x:v>
      </x:c>
      <x:c r="C483" s="2" t="n">
        <x:v>2</x:v>
      </x:c>
      <x:c r="D483" s="2" t="str">
        <x:v>DEMO-201</x:v>
      </x:c>
      <x:c r="E483" s="2" t="str">
        <x:v>Celebration Box</x:v>
      </x:c>
      <x:c r="F483" s="2" t="str">
        <x:v>Gifting</x:v>
      </x:c>
      <x:c r="G483" s="2" t="str">
        <x:v>Stores</x:v>
      </x:c>
      <x:c r="H483" s="2" t="str">
        <x:v>North Arcade</x:v>
      </x:c>
      <x:c r="I483" s="2" t="n">
        <x:v>9</x:v>
      </x:c>
      <x:c r="J483" s="2" t="n">
        <x:v>0</x:v>
      </x:c>
      <x:c r="K483" s="2" t="n">
        <x:f>I483-J483</x:f>
        <x:v>9</x:v>
      </x:c>
      <x:c r="L483" s="16" t="n">
        <x:v>18</x:v>
      </x:c>
      <x:c r="M483" s="16" t="n">
        <x:v>18</x:v>
      </x:c>
      <x:c r="N483" s="16" t="n">
        <x:v>6.48</x:v>
      </x:c>
      <x:c r="O483" s="16" t="n">
        <x:f>K483*M483</x:f>
        <x:v>162</x:v>
      </x:c>
      <x:c r="P483" s="16" t="n">
        <x:f>K483*N483</x:f>
        <x:v>58.32000000000001</x:v>
      </x:c>
      <x:c r="Q483" s="16" t="n">
        <x:f>O483-P483</x:f>
        <x:v>103.67999999999999</x:v>
      </x:c>
      <x:c r="R483" s="2" t="n">
        <x:v>127</x:v>
      </x:c>
      <x:c r="S483" s="2" t="n">
        <x:v>0</x:v>
      </x:c>
      <x:c r="T483" s="2" t="n">
        <x:f>R483+S483+J483-I483</x:f>
        <x:v>118</x:v>
      </x:c>
      <x:c r="U483" s="2" t="n">
        <x:v>0</x:v>
      </x:c>
      <x:c r="V483" s="2" t="n">
        <x:v>2</x:v>
      </x:c>
      <x:c r="W483" s="2" t="n">
        <x:v>9</x:v>
      </x:c>
      <x:c r="X483" s="14" t="b">
        <x:v>0</x:v>
      </x:c>
      <x:c r="Y483" s="14" t="b">
        <x:v>0</x:v>
      </x:c>
      <x:c r="Z483" s="2" t="n">
        <x:f>ABS(T483-AA483)</x:f>
        <x:v>0</x:v>
      </x:c>
      <x:c r="AA483" s="2" t="n">
        <x:v>118</x:v>
      </x:c>
      <x:c r="AB483" s="2" t="n">
        <x:f>ABS(K483-W483)</x:f>
        <x:v>0</x:v>
      </x:c>
      <x:c r="AC483" s="2" t="n">
        <x:f>COUNTIF($A$2:$A$1921,A483)-1</x:f>
        <x:v>0</x:v>
      </x:c>
      <x:c r="AD483" s="2" t="n">
        <x:f>IF(AND(D483=D482,H483=H482,C483=C482+1),ABS(R483-T482),0)</x:f>
        <x:v>0</x:v>
      </x:c>
    </x:row>
    <x:row r="484" ht="23" customHeight="1">
      <x:c r="A484" s="2" t="str">
        <x:v>DEMO-201-0-3</x:v>
      </x:c>
      <x:c r="B484" s="15" t="d">
        <x:v>2026-05-18T00:00:00.000Z</x:v>
      </x:c>
      <x:c r="C484" s="2" t="n">
        <x:v>3</x:v>
      </x:c>
      <x:c r="D484" s="2" t="str">
        <x:v>DEMO-201</x:v>
      </x:c>
      <x:c r="E484" s="2" t="str">
        <x:v>Celebration Box</x:v>
      </x:c>
      <x:c r="F484" s="2" t="str">
        <x:v>Gifting</x:v>
      </x:c>
      <x:c r="G484" s="2" t="str">
        <x:v>Stores</x:v>
      </x:c>
      <x:c r="H484" s="2" t="str">
        <x:v>North Arcade</x:v>
      </x:c>
      <x:c r="I484" s="2" t="n">
        <x:v>9</x:v>
      </x:c>
      <x:c r="J484" s="2" t="n">
        <x:v>0</x:v>
      </x:c>
      <x:c r="K484" s="2" t="n">
        <x:f>I484-J484</x:f>
        <x:v>9</x:v>
      </x:c>
      <x:c r="L484" s="16" t="n">
        <x:v>18</x:v>
      </x:c>
      <x:c r="M484" s="16" t="n">
        <x:v>18</x:v>
      </x:c>
      <x:c r="N484" s="16" t="n">
        <x:v>6.48</x:v>
      </x:c>
      <x:c r="O484" s="16" t="n">
        <x:f>K484*M484</x:f>
        <x:v>162</x:v>
      </x:c>
      <x:c r="P484" s="16" t="n">
        <x:f>K484*N484</x:f>
        <x:v>58.32000000000001</x:v>
      </x:c>
      <x:c r="Q484" s="16" t="n">
        <x:f>O484-P484</x:f>
        <x:v>103.67999999999999</x:v>
      </x:c>
      <x:c r="R484" s="2" t="n">
        <x:v>118</x:v>
      </x:c>
      <x:c r="S484" s="2" t="n">
        <x:v>0</x:v>
      </x:c>
      <x:c r="T484" s="2" t="n">
        <x:f>R484+S484+J484-I484</x:f>
        <x:v>109</x:v>
      </x:c>
      <x:c r="U484" s="2" t="n">
        <x:v>0</x:v>
      </x:c>
      <x:c r="V484" s="2" t="n">
        <x:v>2</x:v>
      </x:c>
      <x:c r="W484" s="2" t="n">
        <x:v>9</x:v>
      </x:c>
      <x:c r="X484" s="14" t="b">
        <x:v>0</x:v>
      </x:c>
      <x:c r="Y484" s="14" t="b">
        <x:v>0</x:v>
      </x:c>
      <x:c r="Z484" s="2" t="n">
        <x:f>ABS(T484-AA484)</x:f>
        <x:v>0</x:v>
      </x:c>
      <x:c r="AA484" s="2" t="n">
        <x:v>109</x:v>
      </x:c>
      <x:c r="AB484" s="2" t="n">
        <x:f>ABS(K484-W484)</x:f>
        <x:v>0</x:v>
      </x:c>
      <x:c r="AC484" s="2" t="n">
        <x:f>COUNTIF($A$2:$A$1921,A484)-1</x:f>
        <x:v>0</x:v>
      </x:c>
      <x:c r="AD484" s="2" t="n">
        <x:f>IF(AND(D484=D483,H484=H483,C484=C483+1),ABS(R484-T483),0)</x:f>
        <x:v>0</x:v>
      </x:c>
    </x:row>
    <x:row r="485" ht="23" customHeight="1">
      <x:c r="A485" s="2" t="str">
        <x:v>DEMO-201-0-4</x:v>
      </x:c>
      <x:c r="B485" s="15" t="d">
        <x:v>2026-05-25T00:00:00.000Z</x:v>
      </x:c>
      <x:c r="C485" s="2" t="n">
        <x:v>4</x:v>
      </x:c>
      <x:c r="D485" s="2" t="str">
        <x:v>DEMO-201</x:v>
      </x:c>
      <x:c r="E485" s="2" t="str">
        <x:v>Celebration Box</x:v>
      </x:c>
      <x:c r="F485" s="2" t="str">
        <x:v>Gifting</x:v>
      </x:c>
      <x:c r="G485" s="2" t="str">
        <x:v>Stores</x:v>
      </x:c>
      <x:c r="H485" s="2" t="str">
        <x:v>North Arcade</x:v>
      </x:c>
      <x:c r="I485" s="2" t="n">
        <x:v>12</x:v>
      </x:c>
      <x:c r="J485" s="2" t="n">
        <x:v>0</x:v>
      </x:c>
      <x:c r="K485" s="2" t="n">
        <x:f>I485-J485</x:f>
        <x:v>12</x:v>
      </x:c>
      <x:c r="L485" s="16" t="n">
        <x:v>18</x:v>
      </x:c>
      <x:c r="M485" s="16" t="n">
        <x:v>18</x:v>
      </x:c>
      <x:c r="N485" s="16" t="n">
        <x:v>6.48</x:v>
      </x:c>
      <x:c r="O485" s="16" t="n">
        <x:f>K485*M485</x:f>
        <x:v>216</x:v>
      </x:c>
      <x:c r="P485" s="16" t="n">
        <x:f>K485*N485</x:f>
        <x:v>77.76</x:v>
      </x:c>
      <x:c r="Q485" s="16" t="n">
        <x:f>O485-P485</x:f>
        <x:v>138.24</x:v>
      </x:c>
      <x:c r="R485" s="2" t="n">
        <x:v>109</x:v>
      </x:c>
      <x:c r="S485" s="2" t="n">
        <x:v>0</x:v>
      </x:c>
      <x:c r="T485" s="2" t="n">
        <x:f>R485+S485+J485-I485</x:f>
        <x:v>97</x:v>
      </x:c>
      <x:c r="U485" s="2" t="n">
        <x:v>0</x:v>
      </x:c>
      <x:c r="V485" s="2" t="n">
        <x:v>2</x:v>
      </x:c>
      <x:c r="W485" s="2" t="n">
        <x:v>9</x:v>
      </x:c>
      <x:c r="X485" s="14" t="b">
        <x:v>0</x:v>
      </x:c>
      <x:c r="Y485" s="14" t="b">
        <x:v>0</x:v>
      </x:c>
      <x:c r="Z485" s="2" t="n">
        <x:f>ABS(T485-AA485)</x:f>
        <x:v>0</x:v>
      </x:c>
      <x:c r="AA485" s="2" t="n">
        <x:v>97</x:v>
      </x:c>
      <x:c r="AB485" s="2" t="n">
        <x:f>ABS(K485-W485)</x:f>
        <x:v>3</x:v>
      </x:c>
      <x:c r="AC485" s="2" t="n">
        <x:f>COUNTIF($A$2:$A$1921,A485)-1</x:f>
        <x:v>0</x:v>
      </x:c>
      <x:c r="AD485" s="2" t="n">
        <x:f>IF(AND(D485=D484,H485=H484,C485=C484+1),ABS(R485-T484),0)</x:f>
        <x:v>0</x:v>
      </x:c>
    </x:row>
    <x:row r="486" ht="23" customHeight="1">
      <x:c r="A486" s="2" t="str">
        <x:v>DEMO-201-0-5</x:v>
      </x:c>
      <x:c r="B486" s="15" t="d">
        <x:v>2026-06-01T00:00:00.000Z</x:v>
      </x:c>
      <x:c r="C486" s="2" t="n">
        <x:v>5</x:v>
      </x:c>
      <x:c r="D486" s="2" t="str">
        <x:v>DEMO-201</x:v>
      </x:c>
      <x:c r="E486" s="2" t="str">
        <x:v>Celebration Box</x:v>
      </x:c>
      <x:c r="F486" s="2" t="str">
        <x:v>Gifting</x:v>
      </x:c>
      <x:c r="G486" s="2" t="str">
        <x:v>Stores</x:v>
      </x:c>
      <x:c r="H486" s="2" t="str">
        <x:v>North Arcade</x:v>
      </x:c>
      <x:c r="I486" s="2" t="n">
        <x:v>12</x:v>
      </x:c>
      <x:c r="J486" s="2" t="n">
        <x:v>0</x:v>
      </x:c>
      <x:c r="K486" s="2" t="n">
        <x:f>I486-J486</x:f>
        <x:v>12</x:v>
      </x:c>
      <x:c r="L486" s="16" t="n">
        <x:v>18</x:v>
      </x:c>
      <x:c r="M486" s="16" t="n">
        <x:v>18</x:v>
      </x:c>
      <x:c r="N486" s="16" t="n">
        <x:v>6.48</x:v>
      </x:c>
      <x:c r="O486" s="16" t="n">
        <x:f>K486*M486</x:f>
        <x:v>216</x:v>
      </x:c>
      <x:c r="P486" s="16" t="n">
        <x:f>K486*N486</x:f>
        <x:v>77.76</x:v>
      </x:c>
      <x:c r="Q486" s="16" t="n">
        <x:f>O486-P486</x:f>
        <x:v>138.24</x:v>
      </x:c>
      <x:c r="R486" s="2" t="n">
        <x:v>97</x:v>
      </x:c>
      <x:c r="S486" s="2" t="n">
        <x:v>46</x:v>
      </x:c>
      <x:c r="T486" s="2" t="n">
        <x:f>R486+S486+J486-I486</x:f>
        <x:v>131</x:v>
      </x:c>
      <x:c r="U486" s="2" t="n">
        <x:v>0</x:v>
      </x:c>
      <x:c r="V486" s="2" t="n">
        <x:v>2</x:v>
      </x:c>
      <x:c r="W486" s="2" t="n">
        <x:v>10</x:v>
      </x:c>
      <x:c r="X486" s="14" t="b">
        <x:v>0</x:v>
      </x:c>
      <x:c r="Y486" s="14" t="b">
        <x:v>0</x:v>
      </x:c>
      <x:c r="Z486" s="2" t="n">
        <x:f>ABS(T486-AA486)</x:f>
        <x:v>0</x:v>
      </x:c>
      <x:c r="AA486" s="2" t="n">
        <x:v>131</x:v>
      </x:c>
      <x:c r="AB486" s="2" t="n">
        <x:f>ABS(K486-W486)</x:f>
        <x:v>2</x:v>
      </x:c>
      <x:c r="AC486" s="2" t="n">
        <x:f>COUNTIF($A$2:$A$1921,A486)-1</x:f>
        <x:v>0</x:v>
      </x:c>
      <x:c r="AD486" s="2" t="n">
        <x:f>IF(AND(D486=D485,H486=H485,C486=C485+1),ABS(R486-T485),0)</x:f>
        <x:v>0</x:v>
      </x:c>
    </x:row>
    <x:row r="487" ht="23" customHeight="1">
      <x:c r="A487" s="2" t="str">
        <x:v>DEMO-201-0-6</x:v>
      </x:c>
      <x:c r="B487" s="15" t="d">
        <x:v>2026-06-08T00:00:00.000Z</x:v>
      </x:c>
      <x:c r="C487" s="2" t="n">
        <x:v>6</x:v>
      </x:c>
      <x:c r="D487" s="2" t="str">
        <x:v>DEMO-201</x:v>
      </x:c>
      <x:c r="E487" s="2" t="str">
        <x:v>Celebration Box</x:v>
      </x:c>
      <x:c r="F487" s="2" t="str">
        <x:v>Gifting</x:v>
      </x:c>
      <x:c r="G487" s="2" t="str">
        <x:v>Stores</x:v>
      </x:c>
      <x:c r="H487" s="2" t="str">
        <x:v>North Arcade</x:v>
      </x:c>
      <x:c r="I487" s="2" t="n">
        <x:v>11</x:v>
      </x:c>
      <x:c r="J487" s="2" t="n">
        <x:v>0</x:v>
      </x:c>
      <x:c r="K487" s="2" t="n">
        <x:f>I487-J487</x:f>
        <x:v>11</x:v>
      </x:c>
      <x:c r="L487" s="16" t="n">
        <x:v>18</x:v>
      </x:c>
      <x:c r="M487" s="16" t="n">
        <x:v>18</x:v>
      </x:c>
      <x:c r="N487" s="16" t="n">
        <x:v>6.48</x:v>
      </x:c>
      <x:c r="O487" s="16" t="n">
        <x:f>K487*M487</x:f>
        <x:v>198</x:v>
      </x:c>
      <x:c r="P487" s="16" t="n">
        <x:f>K487*N487</x:f>
        <x:v>71.28</x:v>
      </x:c>
      <x:c r="Q487" s="16" t="n">
        <x:f>O487-P487</x:f>
        <x:v>126.72</x:v>
      </x:c>
      <x:c r="R487" s="2" t="n">
        <x:v>131</x:v>
      </x:c>
      <x:c r="S487" s="2" t="n">
        <x:v>0</x:v>
      </x:c>
      <x:c r="T487" s="2" t="n">
        <x:f>R487+S487+J487-I487</x:f>
        <x:v>120</x:v>
      </x:c>
      <x:c r="U487" s="2" t="n">
        <x:v>0</x:v>
      </x:c>
      <x:c r="V487" s="2" t="n">
        <x:v>2</x:v>
      </x:c>
      <x:c r="W487" s="2" t="n">
        <x:v>11</x:v>
      </x:c>
      <x:c r="X487" s="14" t="b">
        <x:v>0</x:v>
      </x:c>
      <x:c r="Y487" s="14" t="b">
        <x:v>0</x:v>
      </x:c>
      <x:c r="Z487" s="2" t="n">
        <x:f>ABS(T487-AA487)</x:f>
        <x:v>0</x:v>
      </x:c>
      <x:c r="AA487" s="2" t="n">
        <x:v>120</x:v>
      </x:c>
      <x:c r="AB487" s="2" t="n">
        <x:f>ABS(K487-W487)</x:f>
        <x:v>0</x:v>
      </x:c>
      <x:c r="AC487" s="2" t="n">
        <x:f>COUNTIF($A$2:$A$1921,A487)-1</x:f>
        <x:v>0</x:v>
      </x:c>
      <x:c r="AD487" s="2" t="n">
        <x:f>IF(AND(D487=D486,H487=H486,C487=C486+1),ABS(R487-T486),0)</x:f>
        <x:v>0</x:v>
      </x:c>
    </x:row>
    <x:row r="488" ht="23" customHeight="1">
      <x:c r="A488" s="2" t="str">
        <x:v>DEMO-201-0-7</x:v>
      </x:c>
      <x:c r="B488" s="15" t="d">
        <x:v>2026-06-15T00:00:00.000Z</x:v>
      </x:c>
      <x:c r="C488" s="2" t="n">
        <x:v>7</x:v>
      </x:c>
      <x:c r="D488" s="2" t="str">
        <x:v>DEMO-201</x:v>
      </x:c>
      <x:c r="E488" s="2" t="str">
        <x:v>Celebration Box</x:v>
      </x:c>
      <x:c r="F488" s="2" t="str">
        <x:v>Gifting</x:v>
      </x:c>
      <x:c r="G488" s="2" t="str">
        <x:v>Stores</x:v>
      </x:c>
      <x:c r="H488" s="2" t="str">
        <x:v>North Arcade</x:v>
      </x:c>
      <x:c r="I488" s="2" t="n">
        <x:v>11</x:v>
      </x:c>
      <x:c r="J488" s="2" t="n">
        <x:v>1</x:v>
      </x:c>
      <x:c r="K488" s="2" t="n">
        <x:f>I488-J488</x:f>
        <x:v>10</x:v>
      </x:c>
      <x:c r="L488" s="16" t="n">
        <x:v>18</x:v>
      </x:c>
      <x:c r="M488" s="16" t="n">
        <x:v>18</x:v>
      </x:c>
      <x:c r="N488" s="16" t="n">
        <x:v>6.48</x:v>
      </x:c>
      <x:c r="O488" s="16" t="n">
        <x:f>K488*M488</x:f>
        <x:v>180</x:v>
      </x:c>
      <x:c r="P488" s="16" t="n">
        <x:f>K488*N488</x:f>
        <x:v>64.80000000000001</x:v>
      </x:c>
      <x:c r="Q488" s="16" t="n">
        <x:f>O488-P488</x:f>
        <x:v>115.19999999999999</x:v>
      </x:c>
      <x:c r="R488" s="2" t="n">
        <x:v>120</x:v>
      </x:c>
      <x:c r="S488" s="2" t="n">
        <x:v>0</x:v>
      </x:c>
      <x:c r="T488" s="2" t="n">
        <x:f>R488+S488+J488-I488</x:f>
        <x:v>110</x:v>
      </x:c>
      <x:c r="U488" s="2" t="n">
        <x:v>0</x:v>
      </x:c>
      <x:c r="V488" s="2" t="n">
        <x:v>2</x:v>
      </x:c>
      <x:c r="W488" s="2" t="n">
        <x:v>11</x:v>
      </x:c>
      <x:c r="X488" s="14" t="b">
        <x:v>0</x:v>
      </x:c>
      <x:c r="Y488" s="14" t="b">
        <x:v>0</x:v>
      </x:c>
      <x:c r="Z488" s="2" t="n">
        <x:f>ABS(T488-AA488)</x:f>
        <x:v>0</x:v>
      </x:c>
      <x:c r="AA488" s="2" t="n">
        <x:v>110</x:v>
      </x:c>
      <x:c r="AB488" s="2" t="n">
        <x:f>ABS(K488-W488)</x:f>
        <x:v>1</x:v>
      </x:c>
      <x:c r="AC488" s="2" t="n">
        <x:f>COUNTIF($A$2:$A$1921,A488)-1</x:f>
        <x:v>0</x:v>
      </x:c>
      <x:c r="AD488" s="2" t="n">
        <x:f>IF(AND(D488=D487,H488=H487,C488=C487+1),ABS(R488-T487),0)</x:f>
        <x:v>0</x:v>
      </x:c>
    </x:row>
    <x:row r="489" ht="23" customHeight="1">
      <x:c r="A489" s="2" t="str">
        <x:v>DEMO-201-0-8</x:v>
      </x:c>
      <x:c r="B489" s="15" t="d">
        <x:v>2026-06-22T00:00:00.000Z</x:v>
      </x:c>
      <x:c r="C489" s="2" t="n">
        <x:v>8</x:v>
      </x:c>
      <x:c r="D489" s="2" t="str">
        <x:v>DEMO-201</x:v>
      </x:c>
      <x:c r="E489" s="2" t="str">
        <x:v>Celebration Box</x:v>
      </x:c>
      <x:c r="F489" s="2" t="str">
        <x:v>Gifting</x:v>
      </x:c>
      <x:c r="G489" s="2" t="str">
        <x:v>Stores</x:v>
      </x:c>
      <x:c r="H489" s="2" t="str">
        <x:v>North Arcade</x:v>
      </x:c>
      <x:c r="I489" s="2" t="n">
        <x:v>9</x:v>
      </x:c>
      <x:c r="J489" s="2" t="n">
        <x:v>0</x:v>
      </x:c>
      <x:c r="K489" s="2" t="n">
        <x:f>I489-J489</x:f>
        <x:v>9</x:v>
      </x:c>
      <x:c r="L489" s="16" t="n">
        <x:v>18</x:v>
      </x:c>
      <x:c r="M489" s="16" t="n">
        <x:v>18</x:v>
      </x:c>
      <x:c r="N489" s="16" t="n">
        <x:v>6.48</x:v>
      </x:c>
      <x:c r="O489" s="16" t="n">
        <x:f>K489*M489</x:f>
        <x:v>162</x:v>
      </x:c>
      <x:c r="P489" s="16" t="n">
        <x:f>K489*N489</x:f>
        <x:v>58.32000000000001</x:v>
      </x:c>
      <x:c r="Q489" s="16" t="n">
        <x:f>O489-P489</x:f>
        <x:v>103.67999999999999</x:v>
      </x:c>
      <x:c r="R489" s="2" t="n">
        <x:v>110</x:v>
      </x:c>
      <x:c r="S489" s="2" t="n">
        <x:v>0</x:v>
      </x:c>
      <x:c r="T489" s="2" t="n">
        <x:f>R489+S489+J489-I489</x:f>
        <x:v>101</x:v>
      </x:c>
      <x:c r="U489" s="2" t="n">
        <x:v>0</x:v>
      </x:c>
      <x:c r="V489" s="2" t="n">
        <x:v>2</x:v>
      </x:c>
      <x:c r="W489" s="2" t="n">
        <x:v>11</x:v>
      </x:c>
      <x:c r="X489" s="14" t="b">
        <x:v>0</x:v>
      </x:c>
      <x:c r="Y489" s="14" t="b">
        <x:v>0</x:v>
      </x:c>
      <x:c r="Z489" s="2" t="n">
        <x:f>ABS(T489-AA489)</x:f>
        <x:v>0</x:v>
      </x:c>
      <x:c r="AA489" s="2" t="n">
        <x:v>101</x:v>
      </x:c>
      <x:c r="AB489" s="2" t="n">
        <x:f>ABS(K489-W489)</x:f>
        <x:v>2</x:v>
      </x:c>
      <x:c r="AC489" s="2" t="n">
        <x:f>COUNTIF($A$2:$A$1921,A489)-1</x:f>
        <x:v>0</x:v>
      </x:c>
      <x:c r="AD489" s="2" t="n">
        <x:f>IF(AND(D489=D488,H489=H488,C489=C488+1),ABS(R489-T488),0)</x:f>
        <x:v>0</x:v>
      </x:c>
    </x:row>
    <x:row r="490" ht="23" customHeight="1">
      <x:c r="A490" s="2" t="str">
        <x:v>DEMO-201-0-9</x:v>
      </x:c>
      <x:c r="B490" s="15" t="d">
        <x:v>2026-06-29T00:00:00.000Z</x:v>
      </x:c>
      <x:c r="C490" s="2" t="n">
        <x:v>9</x:v>
      </x:c>
      <x:c r="D490" s="2" t="str">
        <x:v>DEMO-201</x:v>
      </x:c>
      <x:c r="E490" s="2" t="str">
        <x:v>Celebration Box</x:v>
      </x:c>
      <x:c r="F490" s="2" t="str">
        <x:v>Gifting</x:v>
      </x:c>
      <x:c r="G490" s="2" t="str">
        <x:v>Stores</x:v>
      </x:c>
      <x:c r="H490" s="2" t="str">
        <x:v>North Arcade</x:v>
      </x:c>
      <x:c r="I490" s="2" t="n">
        <x:v>12</x:v>
      </x:c>
      <x:c r="J490" s="2" t="n">
        <x:v>0</x:v>
      </x:c>
      <x:c r="K490" s="2" t="n">
        <x:f>I490-J490</x:f>
        <x:v>12</x:v>
      </x:c>
      <x:c r="L490" s="16" t="n">
        <x:v>18</x:v>
      </x:c>
      <x:c r="M490" s="16" t="n">
        <x:v>18</x:v>
      </x:c>
      <x:c r="N490" s="16" t="n">
        <x:v>6.48</x:v>
      </x:c>
      <x:c r="O490" s="16" t="n">
        <x:f>K490*M490</x:f>
        <x:v>216</x:v>
      </x:c>
      <x:c r="P490" s="16" t="n">
        <x:f>K490*N490</x:f>
        <x:v>77.76</x:v>
      </x:c>
      <x:c r="Q490" s="16" t="n">
        <x:f>O490-P490</x:f>
        <x:v>138.24</x:v>
      </x:c>
      <x:c r="R490" s="2" t="n">
        <x:v>101</x:v>
      </x:c>
      <x:c r="S490" s="2" t="n">
        <x:v>46</x:v>
      </x:c>
      <x:c r="T490" s="2" t="n">
        <x:f>R490+S490+J490-I490</x:f>
        <x:v>135</x:v>
      </x:c>
      <x:c r="U490" s="2" t="n">
        <x:v>0</x:v>
      </x:c>
      <x:c r="V490" s="2" t="n">
        <x:v>2</x:v>
      </x:c>
      <x:c r="W490" s="2" t="n">
        <x:v>11</x:v>
      </x:c>
      <x:c r="X490" s="14" t="b">
        <x:v>0</x:v>
      </x:c>
      <x:c r="Y490" s="14" t="b">
        <x:v>0</x:v>
      </x:c>
      <x:c r="Z490" s="2" t="n">
        <x:f>ABS(T490-AA490)</x:f>
        <x:v>0</x:v>
      </x:c>
      <x:c r="AA490" s="2" t="n">
        <x:v>135</x:v>
      </x:c>
      <x:c r="AB490" s="2" t="n">
        <x:f>ABS(K490-W490)</x:f>
        <x:v>1</x:v>
      </x:c>
      <x:c r="AC490" s="2" t="n">
        <x:f>COUNTIF($A$2:$A$1921,A490)-1</x:f>
        <x:v>0</x:v>
      </x:c>
      <x:c r="AD490" s="2" t="n">
        <x:f>IF(AND(D490=D489,H490=H489,C490=C489+1),ABS(R490-T489),0)</x:f>
        <x:v>0</x:v>
      </x:c>
    </x:row>
    <x:row r="491" ht="23" customHeight="1">
      <x:c r="A491" s="2" t="str">
        <x:v>DEMO-201-0-10</x:v>
      </x:c>
      <x:c r="B491" s="15" t="d">
        <x:v>2026-07-06T00:00:00.000Z</x:v>
      </x:c>
      <x:c r="C491" s="2" t="n">
        <x:v>10</x:v>
      </x:c>
      <x:c r="D491" s="2" t="str">
        <x:v>DEMO-201</x:v>
      </x:c>
      <x:c r="E491" s="2" t="str">
        <x:v>Celebration Box</x:v>
      </x:c>
      <x:c r="F491" s="2" t="str">
        <x:v>Gifting</x:v>
      </x:c>
      <x:c r="G491" s="2" t="str">
        <x:v>Stores</x:v>
      </x:c>
      <x:c r="H491" s="2" t="str">
        <x:v>North Arcade</x:v>
      </x:c>
      <x:c r="I491" s="2" t="n">
        <x:v>13</x:v>
      </x:c>
      <x:c r="J491" s="2" t="n">
        <x:v>0</x:v>
      </x:c>
      <x:c r="K491" s="2" t="n">
        <x:f>I491-J491</x:f>
        <x:v>13</x:v>
      </x:c>
      <x:c r="L491" s="16" t="n">
        <x:v>18</x:v>
      </x:c>
      <x:c r="M491" s="16" t="n">
        <x:v>18</x:v>
      </x:c>
      <x:c r="N491" s="16" t="n">
        <x:v>6.48</x:v>
      </x:c>
      <x:c r="O491" s="16" t="n">
        <x:f>K491*M491</x:f>
        <x:v>234</x:v>
      </x:c>
      <x:c r="P491" s="16" t="n">
        <x:f>K491*N491</x:f>
        <x:v>84.24000000000001</x:v>
      </x:c>
      <x:c r="Q491" s="16" t="n">
        <x:f>O491-P491</x:f>
        <x:v>149.76</x:v>
      </x:c>
      <x:c r="R491" s="2" t="n">
        <x:v>135</x:v>
      </x:c>
      <x:c r="S491" s="2" t="n">
        <x:v>0</x:v>
      </x:c>
      <x:c r="T491" s="2" t="n">
        <x:f>R491+S491+J491-I491</x:f>
        <x:v>122</x:v>
      </x:c>
      <x:c r="U491" s="2" t="n">
        <x:v>0</x:v>
      </x:c>
      <x:c r="V491" s="2" t="n">
        <x:v>2</x:v>
      </x:c>
      <x:c r="W491" s="2" t="n">
        <x:v>11</x:v>
      </x:c>
      <x:c r="X491" s="14" t="b">
        <x:v>0</x:v>
      </x:c>
      <x:c r="Y491" s="14" t="b">
        <x:v>0</x:v>
      </x:c>
      <x:c r="Z491" s="2" t="n">
        <x:f>ABS(T491-AA491)</x:f>
        <x:v>0</x:v>
      </x:c>
      <x:c r="AA491" s="2" t="n">
        <x:v>122</x:v>
      </x:c>
      <x:c r="AB491" s="2" t="n">
        <x:f>ABS(K491-W491)</x:f>
        <x:v>2</x:v>
      </x:c>
      <x:c r="AC491" s="2" t="n">
        <x:f>COUNTIF($A$2:$A$1921,A491)-1</x:f>
        <x:v>0</x:v>
      </x:c>
      <x:c r="AD491" s="2" t="n">
        <x:f>IF(AND(D491=D490,H491=H490,C491=C490+1),ABS(R491-T490),0)</x:f>
        <x:v>0</x:v>
      </x:c>
    </x:row>
    <x:row r="492" ht="23" customHeight="1">
      <x:c r="A492" s="2" t="str">
        <x:v>DEMO-201-0-11</x:v>
      </x:c>
      <x:c r="B492" s="15" t="d">
        <x:v>2026-07-13T00:00:00.000Z</x:v>
      </x:c>
      <x:c r="C492" s="2" t="n">
        <x:v>11</x:v>
      </x:c>
      <x:c r="D492" s="2" t="str">
        <x:v>DEMO-201</x:v>
      </x:c>
      <x:c r="E492" s="2" t="str">
        <x:v>Celebration Box</x:v>
      </x:c>
      <x:c r="F492" s="2" t="str">
        <x:v>Gifting</x:v>
      </x:c>
      <x:c r="G492" s="2" t="str">
        <x:v>Stores</x:v>
      </x:c>
      <x:c r="H492" s="2" t="str">
        <x:v>North Arcade</x:v>
      </x:c>
      <x:c r="I492" s="2" t="n">
        <x:v>10</x:v>
      </x:c>
      <x:c r="J492" s="2" t="n">
        <x:v>0</x:v>
      </x:c>
      <x:c r="K492" s="2" t="n">
        <x:f>I492-J492</x:f>
        <x:v>10</x:v>
      </x:c>
      <x:c r="L492" s="16" t="n">
        <x:v>18</x:v>
      </x:c>
      <x:c r="M492" s="16" t="n">
        <x:v>18</x:v>
      </x:c>
      <x:c r="N492" s="16" t="n">
        <x:v>6.48</x:v>
      </x:c>
      <x:c r="O492" s="16" t="n">
        <x:f>K492*M492</x:f>
        <x:v>180</x:v>
      </x:c>
      <x:c r="P492" s="16" t="n">
        <x:f>K492*N492</x:f>
        <x:v>64.80000000000001</x:v>
      </x:c>
      <x:c r="Q492" s="16" t="n">
        <x:f>O492-P492</x:f>
        <x:v>115.19999999999999</x:v>
      </x:c>
      <x:c r="R492" s="2" t="n">
        <x:v>122</x:v>
      </x:c>
      <x:c r="S492" s="2" t="n">
        <x:v>0</x:v>
      </x:c>
      <x:c r="T492" s="2" t="n">
        <x:f>R492+S492+J492-I492</x:f>
        <x:v>112</x:v>
      </x:c>
      <x:c r="U492" s="2" t="n">
        <x:v>0</x:v>
      </x:c>
      <x:c r="V492" s="2" t="n">
        <x:v>2</x:v>
      </x:c>
      <x:c r="W492" s="2" t="n">
        <x:v>11</x:v>
      </x:c>
      <x:c r="X492" s="14" t="b">
        <x:v>0</x:v>
      </x:c>
      <x:c r="Y492" s="14" t="b">
        <x:v>0</x:v>
      </x:c>
      <x:c r="Z492" s="2" t="n">
        <x:f>ABS(T492-AA492)</x:f>
        <x:v>0</x:v>
      </x:c>
      <x:c r="AA492" s="2" t="n">
        <x:v>112</x:v>
      </x:c>
      <x:c r="AB492" s="2" t="n">
        <x:f>ABS(K492-W492)</x:f>
        <x:v>1</x:v>
      </x:c>
      <x:c r="AC492" s="2" t="n">
        <x:f>COUNTIF($A$2:$A$1921,A492)-1</x:f>
        <x:v>0</x:v>
      </x:c>
      <x:c r="AD492" s="2" t="n">
        <x:f>IF(AND(D492=D491,H492=H491,C492=C491+1),ABS(R492-T491),0)</x:f>
        <x:v>0</x:v>
      </x:c>
    </x:row>
    <x:row r="493" ht="23" customHeight="1">
      <x:c r="A493" s="2" t="str">
        <x:v>DEMO-201-0-12</x:v>
      </x:c>
      <x:c r="B493" s="15" t="d">
        <x:v>2026-07-20T00:00:00.000Z</x:v>
      </x:c>
      <x:c r="C493" s="2" t="n">
        <x:v>12</x:v>
      </x:c>
      <x:c r="D493" s="2" t="str">
        <x:v>DEMO-201</x:v>
      </x:c>
      <x:c r="E493" s="2" t="str">
        <x:v>Celebration Box</x:v>
      </x:c>
      <x:c r="F493" s="2" t="str">
        <x:v>Gifting</x:v>
      </x:c>
      <x:c r="G493" s="2" t="str">
        <x:v>Stores</x:v>
      </x:c>
      <x:c r="H493" s="2" t="str">
        <x:v>North Arcade</x:v>
      </x:c>
      <x:c r="I493" s="2" t="n">
        <x:v>24</x:v>
      </x:c>
      <x:c r="J493" s="2" t="n">
        <x:v>1</x:v>
      </x:c>
      <x:c r="K493" s="2" t="n">
        <x:f>I493-J493</x:f>
        <x:v>23</x:v>
      </x:c>
      <x:c r="L493" s="16" t="n">
        <x:v>18</x:v>
      </x:c>
      <x:c r="M493" s="16" t="n">
        <x:v>16.2</x:v>
      </x:c>
      <x:c r="N493" s="16" t="n">
        <x:v>6.48</x:v>
      </x:c>
      <x:c r="O493" s="16" t="n">
        <x:f>K493*M493</x:f>
        <x:v>372.59999999999997</x:v>
      </x:c>
      <x:c r="P493" s="16" t="n">
        <x:f>K493*N493</x:f>
        <x:v>149.04000000000002</x:v>
      </x:c>
      <x:c r="Q493" s="16" t="n">
        <x:f>O493-P493</x:f>
        <x:v>223.55999999999995</x:v>
      </x:c>
      <x:c r="R493" s="2" t="n">
        <x:v>112</x:v>
      </x:c>
      <x:c r="S493" s="2" t="n">
        <x:v>0</x:v>
      </x:c>
      <x:c r="T493" s="2" t="n">
        <x:f>R493+S493+J493-I493</x:f>
        <x:v>89</x:v>
      </x:c>
      <x:c r="U493" s="2" t="n">
        <x:v>0</x:v>
      </x:c>
      <x:c r="V493" s="2" t="n">
        <x:v>2</x:v>
      </x:c>
      <x:c r="W493" s="2" t="n">
        <x:v>11</x:v>
      </x:c>
      <x:c r="X493" s="14" t="b">
        <x:v>1</x:v>
      </x:c>
      <x:c r="Y493" s="14" t="b">
        <x:v>0</x:v>
      </x:c>
      <x:c r="Z493" s="2" t="n">
        <x:f>ABS(T493-AA493)</x:f>
        <x:v>0</x:v>
      </x:c>
      <x:c r="AA493" s="2" t="n">
        <x:v>89</x:v>
      </x:c>
      <x:c r="AB493" s="2" t="n">
        <x:f>ABS(K493-W493)</x:f>
        <x:v>12</x:v>
      </x:c>
      <x:c r="AC493" s="2" t="n">
        <x:f>COUNTIF($A$2:$A$1921,A493)-1</x:f>
        <x:v>0</x:v>
      </x:c>
      <x:c r="AD493" s="2" t="n">
        <x:f>IF(AND(D493=D492,H493=H492,C493=C492+1),ABS(R493-T492),0)</x:f>
        <x:v>0</x:v>
      </x:c>
    </x:row>
    <x:row r="494" ht="23" customHeight="1">
      <x:c r="A494" s="2" t="str">
        <x:v>DEMO-201-0-13</x:v>
      </x:c>
      <x:c r="B494" s="15" t="d">
        <x:v>2026-07-27T00:00:00.000Z</x:v>
      </x:c>
      <x:c r="C494" s="2" t="n">
        <x:v>13</x:v>
      </x:c>
      <x:c r="D494" s="2" t="str">
        <x:v>DEMO-201</x:v>
      </x:c>
      <x:c r="E494" s="2" t="str">
        <x:v>Celebration Box</x:v>
      </x:c>
      <x:c r="F494" s="2" t="str">
        <x:v>Gifting</x:v>
      </x:c>
      <x:c r="G494" s="2" t="str">
        <x:v>Stores</x:v>
      </x:c>
      <x:c r="H494" s="2" t="str">
        <x:v>North Arcade</x:v>
      </x:c>
      <x:c r="I494" s="2" t="n">
        <x:v>27</x:v>
      </x:c>
      <x:c r="J494" s="2" t="n">
        <x:v>0</x:v>
      </x:c>
      <x:c r="K494" s="2" t="n">
        <x:f>I494-J494</x:f>
        <x:v>27</x:v>
      </x:c>
      <x:c r="L494" s="16" t="n">
        <x:v>18</x:v>
      </x:c>
      <x:c r="M494" s="16" t="n">
        <x:v>16.2</x:v>
      </x:c>
      <x:c r="N494" s="16" t="n">
        <x:v>6.48</x:v>
      </x:c>
      <x:c r="O494" s="16" t="n">
        <x:f>K494*M494</x:f>
        <x:v>437.4</x:v>
      </x:c>
      <x:c r="P494" s="16" t="n">
        <x:f>K494*N494</x:f>
        <x:v>174.96</x:v>
      </x:c>
      <x:c r="Q494" s="16" t="n">
        <x:f>O494-P494</x:f>
        <x:v>262.43999999999994</x:v>
      </x:c>
      <x:c r="R494" s="2" t="n">
        <x:v>89</x:v>
      </x:c>
      <x:c r="S494" s="2" t="n">
        <x:v>46</x:v>
      </x:c>
      <x:c r="T494" s="2" t="n">
        <x:f>R494+S494+J494-I494</x:f>
        <x:v>108</x:v>
      </x:c>
      <x:c r="U494" s="2" t="n">
        <x:v>0</x:v>
      </x:c>
      <x:c r="V494" s="2" t="n">
        <x:v>2</x:v>
      </x:c>
      <x:c r="W494" s="2" t="n">
        <x:v>15</x:v>
      </x:c>
      <x:c r="X494" s="14" t="b">
        <x:v>1</x:v>
      </x:c>
      <x:c r="Y494" s="14" t="b">
        <x:v>0</x:v>
      </x:c>
      <x:c r="Z494" s="2" t="n">
        <x:f>ABS(T494-AA494)</x:f>
        <x:v>0</x:v>
      </x:c>
      <x:c r="AA494" s="2" t="n">
        <x:v>108</x:v>
      </x:c>
      <x:c r="AB494" s="2" t="n">
        <x:f>ABS(K494-W494)</x:f>
        <x:v>12</x:v>
      </x:c>
      <x:c r="AC494" s="2" t="n">
        <x:f>COUNTIF($A$2:$A$1921,A494)-1</x:f>
        <x:v>0</x:v>
      </x:c>
      <x:c r="AD494" s="2" t="n">
        <x:f>IF(AND(D494=D493,H494=H493,C494=C493+1),ABS(R494-T493),0)</x:f>
        <x:v>0</x:v>
      </x:c>
    </x:row>
    <x:row r="495" ht="23" customHeight="1">
      <x:c r="A495" s="2" t="str">
        <x:v>DEMO-201-0-14</x:v>
      </x:c>
      <x:c r="B495" s="15" t="d">
        <x:v>2026-08-03T00:00:00.000Z</x:v>
      </x:c>
      <x:c r="C495" s="2" t="n">
        <x:v>14</x:v>
      </x:c>
      <x:c r="D495" s="2" t="str">
        <x:v>DEMO-201</x:v>
      </x:c>
      <x:c r="E495" s="2" t="str">
        <x:v>Celebration Box</x:v>
      </x:c>
      <x:c r="F495" s="2" t="str">
        <x:v>Gifting</x:v>
      </x:c>
      <x:c r="G495" s="2" t="str">
        <x:v>Stores</x:v>
      </x:c>
      <x:c r="H495" s="2" t="str">
        <x:v>North Arcade</x:v>
      </x:c>
      <x:c r="I495" s="2" t="n">
        <x:v>24</x:v>
      </x:c>
      <x:c r="J495" s="2" t="n">
        <x:v>1</x:v>
      </x:c>
      <x:c r="K495" s="2" t="n">
        <x:f>I495-J495</x:f>
        <x:v>23</x:v>
      </x:c>
      <x:c r="L495" s="16" t="n">
        <x:v>18</x:v>
      </x:c>
      <x:c r="M495" s="16" t="n">
        <x:v>16.2</x:v>
      </x:c>
      <x:c r="N495" s="16" t="n">
        <x:v>6.48</x:v>
      </x:c>
      <x:c r="O495" s="16" t="n">
        <x:f>K495*M495</x:f>
        <x:v>372.59999999999997</x:v>
      </x:c>
      <x:c r="P495" s="16" t="n">
        <x:f>K495*N495</x:f>
        <x:v>149.04000000000002</x:v>
      </x:c>
      <x:c r="Q495" s="16" t="n">
        <x:f>O495-P495</x:f>
        <x:v>223.55999999999995</x:v>
      </x:c>
      <x:c r="R495" s="2" t="n">
        <x:v>108</x:v>
      </x:c>
      <x:c r="S495" s="2" t="n">
        <x:v>0</x:v>
      </x:c>
      <x:c r="T495" s="2" t="n">
        <x:f>R495+S495+J495-I495</x:f>
        <x:v>85</x:v>
      </x:c>
      <x:c r="U495" s="2" t="n">
        <x:v>0</x:v>
      </x:c>
      <x:c r="V495" s="2" t="n">
        <x:v>2</x:v>
      </x:c>
      <x:c r="W495" s="2" t="n">
        <x:v>18</x:v>
      </x:c>
      <x:c r="X495" s="14" t="b">
        <x:v>1</x:v>
      </x:c>
      <x:c r="Y495" s="14" t="b">
        <x:v>0</x:v>
      </x:c>
      <x:c r="Z495" s="2" t="n">
        <x:f>ABS(T495-AA495)</x:f>
        <x:v>0</x:v>
      </x:c>
      <x:c r="AA495" s="2" t="n">
        <x:v>85</x:v>
      </x:c>
      <x:c r="AB495" s="2" t="n">
        <x:f>ABS(K495-W495)</x:f>
        <x:v>5</x:v>
      </x:c>
      <x:c r="AC495" s="2" t="n">
        <x:f>COUNTIF($A$2:$A$1921,A495)-1</x:f>
        <x:v>0</x:v>
      </x:c>
      <x:c r="AD495" s="2" t="n">
        <x:f>IF(AND(D495=D494,H495=H494,C495=C494+1),ABS(R495-T494),0)</x:f>
        <x:v>0</x:v>
      </x:c>
    </x:row>
    <x:row r="496" ht="23" customHeight="1">
      <x:c r="A496" s="2" t="str">
        <x:v>DEMO-201-0-15</x:v>
      </x:c>
      <x:c r="B496" s="15" t="d">
        <x:v>2026-08-10T00:00:00.000Z</x:v>
      </x:c>
      <x:c r="C496" s="2" t="n">
        <x:v>15</x:v>
      </x:c>
      <x:c r="D496" s="2" t="str">
        <x:v>DEMO-201</x:v>
      </x:c>
      <x:c r="E496" s="2" t="str">
        <x:v>Celebration Box</x:v>
      </x:c>
      <x:c r="F496" s="2" t="str">
        <x:v>Gifting</x:v>
      </x:c>
      <x:c r="G496" s="2" t="str">
        <x:v>Stores</x:v>
      </x:c>
      <x:c r="H496" s="2" t="str">
        <x:v>North Arcade</x:v>
      </x:c>
      <x:c r="I496" s="2" t="n">
        <x:v>10</x:v>
      </x:c>
      <x:c r="J496" s="2" t="n">
        <x:v>0</x:v>
      </x:c>
      <x:c r="K496" s="2" t="n">
        <x:f>I496-J496</x:f>
        <x:v>10</x:v>
      </x:c>
      <x:c r="L496" s="16" t="n">
        <x:v>18</x:v>
      </x:c>
      <x:c r="M496" s="16" t="n">
        <x:v>18</x:v>
      </x:c>
      <x:c r="N496" s="16" t="n">
        <x:v>6.48</x:v>
      </x:c>
      <x:c r="O496" s="16" t="n">
        <x:f>K496*M496</x:f>
        <x:v>180</x:v>
      </x:c>
      <x:c r="P496" s="16" t="n">
        <x:f>K496*N496</x:f>
        <x:v>64.80000000000001</x:v>
      </x:c>
      <x:c r="Q496" s="16" t="n">
        <x:f>O496-P496</x:f>
        <x:v>115.19999999999999</x:v>
      </x:c>
      <x:c r="R496" s="2" t="n">
        <x:v>85</x:v>
      </x:c>
      <x:c r="S496" s="2" t="n">
        <x:v>0</x:v>
      </x:c>
      <x:c r="T496" s="2" t="n">
        <x:f>R496+S496+J496-I496</x:f>
        <x:v>75</x:v>
      </x:c>
      <x:c r="U496" s="2" t="n">
        <x:v>0</x:v>
      </x:c>
      <x:c r="V496" s="2" t="n">
        <x:v>2</x:v>
      </x:c>
      <x:c r="W496" s="2" t="n">
        <x:v>21</x:v>
      </x:c>
      <x:c r="X496" s="14" t="b">
        <x:v>0</x:v>
      </x:c>
      <x:c r="Y496" s="14" t="b">
        <x:v>0</x:v>
      </x:c>
      <x:c r="Z496" s="2" t="n">
        <x:f>ABS(T496-AA496)</x:f>
        <x:v>0</x:v>
      </x:c>
      <x:c r="AA496" s="2" t="n">
        <x:v>75</x:v>
      </x:c>
      <x:c r="AB496" s="2" t="n">
        <x:f>ABS(K496-W496)</x:f>
        <x:v>11</x:v>
      </x:c>
      <x:c r="AC496" s="2" t="n">
        <x:f>COUNTIF($A$2:$A$1921,A496)-1</x:f>
        <x:v>0</x:v>
      </x:c>
      <x:c r="AD496" s="2" t="n">
        <x:f>IF(AND(D496=D495,H496=H495,C496=C495+1),ABS(R496-T495),0)</x:f>
        <x:v>0</x:v>
      </x:c>
    </x:row>
    <x:row r="497" ht="23" customHeight="1">
      <x:c r="A497" s="2" t="str">
        <x:v>DEMO-201-0-16</x:v>
      </x:c>
      <x:c r="B497" s="15" t="d">
        <x:v>2026-08-17T00:00:00.000Z</x:v>
      </x:c>
      <x:c r="C497" s="2" t="n">
        <x:v>16</x:v>
      </x:c>
      <x:c r="D497" s="2" t="str">
        <x:v>DEMO-201</x:v>
      </x:c>
      <x:c r="E497" s="2" t="str">
        <x:v>Celebration Box</x:v>
      </x:c>
      <x:c r="F497" s="2" t="str">
        <x:v>Gifting</x:v>
      </x:c>
      <x:c r="G497" s="2" t="str">
        <x:v>Stores</x:v>
      </x:c>
      <x:c r="H497" s="2" t="str">
        <x:v>North Arcade</x:v>
      </x:c>
      <x:c r="I497" s="2" t="n">
        <x:v>12</x:v>
      </x:c>
      <x:c r="J497" s="2" t="n">
        <x:v>0</x:v>
      </x:c>
      <x:c r="K497" s="2" t="n">
        <x:f>I497-J497</x:f>
        <x:v>12</x:v>
      </x:c>
      <x:c r="L497" s="16" t="n">
        <x:v>18</x:v>
      </x:c>
      <x:c r="M497" s="16" t="n">
        <x:v>18</x:v>
      </x:c>
      <x:c r="N497" s="16" t="n">
        <x:v>6.48</x:v>
      </x:c>
      <x:c r="O497" s="16" t="n">
        <x:f>K497*M497</x:f>
        <x:v>216</x:v>
      </x:c>
      <x:c r="P497" s="16" t="n">
        <x:f>K497*N497</x:f>
        <x:v>77.76</x:v>
      </x:c>
      <x:c r="Q497" s="16" t="n">
        <x:f>O497-P497</x:f>
        <x:v>138.24</x:v>
      </x:c>
      <x:c r="R497" s="2" t="n">
        <x:v>75</x:v>
      </x:c>
      <x:c r="S497" s="2" t="n">
        <x:v>0</x:v>
      </x:c>
      <x:c r="T497" s="2" t="n">
        <x:f>R497+S497+J497-I497</x:f>
        <x:v>63</x:v>
      </x:c>
      <x:c r="U497" s="2" t="n">
        <x:v>0</x:v>
      </x:c>
      <x:c r="V497" s="2" t="n">
        <x:v>2</x:v>
      </x:c>
      <x:c r="W497" s="2" t="n">
        <x:v>21</x:v>
      </x:c>
      <x:c r="X497" s="14" t="b">
        <x:v>0</x:v>
      </x:c>
      <x:c r="Y497" s="14" t="b">
        <x:v>0</x:v>
      </x:c>
      <x:c r="Z497" s="2" t="n">
        <x:f>ABS(T497-AA497)</x:f>
        <x:v>0</x:v>
      </x:c>
      <x:c r="AA497" s="2" t="n">
        <x:v>63</x:v>
      </x:c>
      <x:c r="AB497" s="2" t="n">
        <x:f>ABS(K497-W497)</x:f>
        <x:v>9</x:v>
      </x:c>
      <x:c r="AC497" s="2" t="n">
        <x:f>COUNTIF($A$2:$A$1921,A497)-1</x:f>
        <x:v>0</x:v>
      </x:c>
      <x:c r="AD497" s="2" t="n">
        <x:f>IF(AND(D497=D496,H497=H496,C497=C496+1),ABS(R497-T496),0)</x:f>
        <x:v>0</x:v>
      </x:c>
    </x:row>
    <x:row r="498" ht="23" customHeight="1">
      <x:c r="A498" s="2" t="str">
        <x:v>DEMO-201-0-17</x:v>
      </x:c>
      <x:c r="B498" s="15" t="d">
        <x:v>2026-08-24T00:00:00.000Z</x:v>
      </x:c>
      <x:c r="C498" s="2" t="n">
        <x:v>17</x:v>
      </x:c>
      <x:c r="D498" s="2" t="str">
        <x:v>DEMO-201</x:v>
      </x:c>
      <x:c r="E498" s="2" t="str">
        <x:v>Celebration Box</x:v>
      </x:c>
      <x:c r="F498" s="2" t="str">
        <x:v>Gifting</x:v>
      </x:c>
      <x:c r="G498" s="2" t="str">
        <x:v>Stores</x:v>
      </x:c>
      <x:c r="H498" s="2" t="str">
        <x:v>North Arcade</x:v>
      </x:c>
      <x:c r="I498" s="2" t="n">
        <x:v>11</x:v>
      </x:c>
      <x:c r="J498" s="2" t="n">
        <x:v>0</x:v>
      </x:c>
      <x:c r="K498" s="2" t="n">
        <x:f>I498-J498</x:f>
        <x:v>11</x:v>
      </x:c>
      <x:c r="L498" s="16" t="n">
        <x:v>18</x:v>
      </x:c>
      <x:c r="M498" s="16" t="n">
        <x:v>18</x:v>
      </x:c>
      <x:c r="N498" s="16" t="n">
        <x:v>6.48</x:v>
      </x:c>
      <x:c r="O498" s="16" t="n">
        <x:f>K498*M498</x:f>
        <x:v>198</x:v>
      </x:c>
      <x:c r="P498" s="16" t="n">
        <x:f>K498*N498</x:f>
        <x:v>71.28</x:v>
      </x:c>
      <x:c r="Q498" s="16" t="n">
        <x:f>O498-P498</x:f>
        <x:v>126.72</x:v>
      </x:c>
      <x:c r="R498" s="2" t="n">
        <x:v>63</x:v>
      </x:c>
      <x:c r="S498" s="2" t="n">
        <x:v>46</x:v>
      </x:c>
      <x:c r="T498" s="2" t="n">
        <x:f>R498+S498+J498-I498</x:f>
        <x:v>98</x:v>
      </x:c>
      <x:c r="U498" s="2" t="n">
        <x:v>0</x:v>
      </x:c>
      <x:c r="V498" s="2" t="n">
        <x:v>2</x:v>
      </x:c>
      <x:c r="W498" s="2" t="n">
        <x:v>18</x:v>
      </x:c>
      <x:c r="X498" s="14" t="b">
        <x:v>0</x:v>
      </x:c>
      <x:c r="Y498" s="14" t="b">
        <x:v>0</x:v>
      </x:c>
      <x:c r="Z498" s="2" t="n">
        <x:f>ABS(T498-AA498)</x:f>
        <x:v>0</x:v>
      </x:c>
      <x:c r="AA498" s="2" t="n">
        <x:v>98</x:v>
      </x:c>
      <x:c r="AB498" s="2" t="n">
        <x:f>ABS(K498-W498)</x:f>
        <x:v>7</x:v>
      </x:c>
      <x:c r="AC498" s="2" t="n">
        <x:f>COUNTIF($A$2:$A$1921,A498)-1</x:f>
        <x:v>0</x:v>
      </x:c>
      <x:c r="AD498" s="2" t="n">
        <x:f>IF(AND(D498=D497,H498=H497,C498=C497+1),ABS(R498-T497),0)</x:f>
        <x:v>0</x:v>
      </x:c>
    </x:row>
    <x:row r="499" ht="23" customHeight="1">
      <x:c r="A499" s="2" t="str">
        <x:v>DEMO-201-0-18</x:v>
      </x:c>
      <x:c r="B499" s="15" t="d">
        <x:v>2026-08-31T00:00:00.000Z</x:v>
      </x:c>
      <x:c r="C499" s="2" t="n">
        <x:v>18</x:v>
      </x:c>
      <x:c r="D499" s="2" t="str">
        <x:v>DEMO-201</x:v>
      </x:c>
      <x:c r="E499" s="2" t="str">
        <x:v>Celebration Box</x:v>
      </x:c>
      <x:c r="F499" s="2" t="str">
        <x:v>Gifting</x:v>
      </x:c>
      <x:c r="G499" s="2" t="str">
        <x:v>Stores</x:v>
      </x:c>
      <x:c r="H499" s="2" t="str">
        <x:v>North Arcade</x:v>
      </x:c>
      <x:c r="I499" s="2" t="n">
        <x:v>10</x:v>
      </x:c>
      <x:c r="J499" s="2" t="n">
        <x:v>0</x:v>
      </x:c>
      <x:c r="K499" s="2" t="n">
        <x:f>I499-J499</x:f>
        <x:v>10</x:v>
      </x:c>
      <x:c r="L499" s="16" t="n">
        <x:v>18</x:v>
      </x:c>
      <x:c r="M499" s="16" t="n">
        <x:v>18</x:v>
      </x:c>
      <x:c r="N499" s="16" t="n">
        <x:v>6.48</x:v>
      </x:c>
      <x:c r="O499" s="16" t="n">
        <x:f>K499*M499</x:f>
        <x:v>180</x:v>
      </x:c>
      <x:c r="P499" s="16" t="n">
        <x:f>K499*N499</x:f>
        <x:v>64.80000000000001</x:v>
      </x:c>
      <x:c r="Q499" s="16" t="n">
        <x:f>O499-P499</x:f>
        <x:v>115.19999999999999</x:v>
      </x:c>
      <x:c r="R499" s="2" t="n">
        <x:v>98</x:v>
      </x:c>
      <x:c r="S499" s="2" t="n">
        <x:v>0</x:v>
      </x:c>
      <x:c r="T499" s="2" t="n">
        <x:f>R499+S499+J499-I499</x:f>
        <x:v>88</x:v>
      </x:c>
      <x:c r="U499" s="2" t="n">
        <x:v>0</x:v>
      </x:c>
      <x:c r="V499" s="2" t="n">
        <x:v>2</x:v>
      </x:c>
      <x:c r="W499" s="2" t="n">
        <x:v>14</x:v>
      </x:c>
      <x:c r="X499" s="14" t="b">
        <x:v>0</x:v>
      </x:c>
      <x:c r="Y499" s="14" t="b">
        <x:v>0</x:v>
      </x:c>
      <x:c r="Z499" s="2" t="n">
        <x:f>ABS(T499-AA499)</x:f>
        <x:v>0</x:v>
      </x:c>
      <x:c r="AA499" s="2" t="n">
        <x:v>88</x:v>
      </x:c>
      <x:c r="AB499" s="2" t="n">
        <x:f>ABS(K499-W499)</x:f>
        <x:v>4</x:v>
      </x:c>
      <x:c r="AC499" s="2" t="n">
        <x:f>COUNTIF($A$2:$A$1921,A499)-1</x:f>
        <x:v>0</x:v>
      </x:c>
      <x:c r="AD499" s="2" t="n">
        <x:f>IF(AND(D499=D498,H499=H498,C499=C498+1),ABS(R499-T498),0)</x:f>
        <x:v>0</x:v>
      </x:c>
    </x:row>
    <x:row r="500" ht="23" customHeight="1">
      <x:c r="A500" s="2" t="str">
        <x:v>DEMO-201-0-19</x:v>
      </x:c>
      <x:c r="B500" s="15" t="d">
        <x:v>2026-09-07T00:00:00.000Z</x:v>
      </x:c>
      <x:c r="C500" s="2" t="n">
        <x:v>19</x:v>
      </x:c>
      <x:c r="D500" s="2" t="str">
        <x:v>DEMO-201</x:v>
      </x:c>
      <x:c r="E500" s="2" t="str">
        <x:v>Celebration Box</x:v>
      </x:c>
      <x:c r="F500" s="2" t="str">
        <x:v>Gifting</x:v>
      </x:c>
      <x:c r="G500" s="2" t="str">
        <x:v>Stores</x:v>
      </x:c>
      <x:c r="H500" s="2" t="str">
        <x:v>North Arcade</x:v>
      </x:c>
      <x:c r="I500" s="2" t="n">
        <x:v>11</x:v>
      </x:c>
      <x:c r="J500" s="2" t="n">
        <x:v>0</x:v>
      </x:c>
      <x:c r="K500" s="2" t="n">
        <x:f>I500-J500</x:f>
        <x:v>11</x:v>
      </x:c>
      <x:c r="L500" s="16" t="n">
        <x:v>18</x:v>
      </x:c>
      <x:c r="M500" s="16" t="n">
        <x:v>18</x:v>
      </x:c>
      <x:c r="N500" s="16" t="n">
        <x:v>6.48</x:v>
      </x:c>
      <x:c r="O500" s="16" t="n">
        <x:f>K500*M500</x:f>
        <x:v>198</x:v>
      </x:c>
      <x:c r="P500" s="16" t="n">
        <x:f>K500*N500</x:f>
        <x:v>71.28</x:v>
      </x:c>
      <x:c r="Q500" s="16" t="n">
        <x:f>O500-P500</x:f>
        <x:v>126.72</x:v>
      </x:c>
      <x:c r="R500" s="2" t="n">
        <x:v>88</x:v>
      </x:c>
      <x:c r="S500" s="2" t="n">
        <x:v>0</x:v>
      </x:c>
      <x:c r="T500" s="2" t="n">
        <x:f>R500+S500+J500-I500</x:f>
        <x:v>77</x:v>
      </x:c>
      <x:c r="U500" s="2" t="n">
        <x:v>0</x:v>
      </x:c>
      <x:c r="V500" s="2" t="n">
        <x:v>2</x:v>
      </x:c>
      <x:c r="W500" s="2" t="n">
        <x:v>11</x:v>
      </x:c>
      <x:c r="X500" s="14" t="b">
        <x:v>0</x:v>
      </x:c>
      <x:c r="Y500" s="14" t="b">
        <x:v>0</x:v>
      </x:c>
      <x:c r="Z500" s="2" t="n">
        <x:f>ABS(T500-AA500)</x:f>
        <x:v>0</x:v>
      </x:c>
      <x:c r="AA500" s="2" t="n">
        <x:v>77</x:v>
      </x:c>
      <x:c r="AB500" s="2" t="n">
        <x:f>ABS(K500-W500)</x:f>
        <x:v>0</x:v>
      </x:c>
      <x:c r="AC500" s="2" t="n">
        <x:f>COUNTIF($A$2:$A$1921,A500)-1</x:f>
        <x:v>0</x:v>
      </x:c>
      <x:c r="AD500" s="2" t="n">
        <x:f>IF(AND(D500=D499,H500=H499,C500=C499+1),ABS(R500-T499),0)</x:f>
        <x:v>0</x:v>
      </x:c>
    </x:row>
    <x:row r="501" ht="23" customHeight="1">
      <x:c r="A501" s="2" t="str">
        <x:v>DEMO-201-0-20</x:v>
      </x:c>
      <x:c r="B501" s="15" t="d">
        <x:v>2026-09-14T00:00:00.000Z</x:v>
      </x:c>
      <x:c r="C501" s="2" t="n">
        <x:v>20</x:v>
      </x:c>
      <x:c r="D501" s="2" t="str">
        <x:v>DEMO-201</x:v>
      </x:c>
      <x:c r="E501" s="2" t="str">
        <x:v>Celebration Box</x:v>
      </x:c>
      <x:c r="F501" s="2" t="str">
        <x:v>Gifting</x:v>
      </x:c>
      <x:c r="G501" s="2" t="str">
        <x:v>Stores</x:v>
      </x:c>
      <x:c r="H501" s="2" t="str">
        <x:v>North Arcade</x:v>
      </x:c>
      <x:c r="I501" s="2" t="n">
        <x:v>12</x:v>
      </x:c>
      <x:c r="J501" s="2" t="n">
        <x:v>0</x:v>
      </x:c>
      <x:c r="K501" s="2" t="n">
        <x:f>I501-J501</x:f>
        <x:v>12</x:v>
      </x:c>
      <x:c r="L501" s="16" t="n">
        <x:v>18</x:v>
      </x:c>
      <x:c r="M501" s="16" t="n">
        <x:v>18</x:v>
      </x:c>
      <x:c r="N501" s="16" t="n">
        <x:v>6.48</x:v>
      </x:c>
      <x:c r="O501" s="16" t="n">
        <x:f>K501*M501</x:f>
        <x:v>216</x:v>
      </x:c>
      <x:c r="P501" s="16" t="n">
        <x:f>K501*N501</x:f>
        <x:v>77.76</x:v>
      </x:c>
      <x:c r="Q501" s="16" t="n">
        <x:f>O501-P501</x:f>
        <x:v>138.24</x:v>
      </x:c>
      <x:c r="R501" s="2" t="n">
        <x:v>77</x:v>
      </x:c>
      <x:c r="S501" s="2" t="n">
        <x:v>0</x:v>
      </x:c>
      <x:c r="T501" s="2" t="n">
        <x:f>R501+S501+J501-I501</x:f>
        <x:v>65</x:v>
      </x:c>
      <x:c r="U501" s="2" t="n">
        <x:v>18</x:v>
      </x:c>
      <x:c r="V501" s="2" t="n">
        <x:v>2</x:v>
      </x:c>
      <x:c r="W501" s="2" t="n">
        <x:v>11</x:v>
      </x:c>
      <x:c r="X501" s="14" t="b">
        <x:v>0</x:v>
      </x:c>
      <x:c r="Y501" s="14" t="b">
        <x:v>0</x:v>
      </x:c>
      <x:c r="Z501" s="2" t="n">
        <x:f>ABS(T501-AA501)</x:f>
        <x:v>0</x:v>
      </x:c>
      <x:c r="AA501" s="2" t="n">
        <x:v>65</x:v>
      </x:c>
      <x:c r="AB501" s="2" t="n">
        <x:f>ABS(K501-W501)</x:f>
        <x:v>1</x:v>
      </x:c>
      <x:c r="AC501" s="2" t="n">
        <x:f>COUNTIF($A$2:$A$1921,A501)-1</x:f>
        <x:v>0</x:v>
      </x:c>
      <x:c r="AD501" s="2" t="n">
        <x:f>IF(AND(D501=D500,H501=H500,C501=C500+1),ABS(R501-T500),0)</x:f>
        <x:v>0</x:v>
      </x:c>
    </x:row>
    <x:row r="502" ht="23" customHeight="1">
      <x:c r="A502" s="2" t="str">
        <x:v>DEMO-201-1-1</x:v>
      </x:c>
      <x:c r="B502" s="15" t="d">
        <x:v>2026-05-04T00:00:00.000Z</x:v>
      </x:c>
      <x:c r="C502" s="2" t="n">
        <x:v>1</x:v>
      </x:c>
      <x:c r="D502" s="2" t="str">
        <x:v>DEMO-201</x:v>
      </x:c>
      <x:c r="E502" s="2" t="str">
        <x:v>Celebration Box</x:v>
      </x:c>
      <x:c r="F502" s="2" t="str">
        <x:v>Gifting</x:v>
      </x:c>
      <x:c r="G502" s="2" t="str">
        <x:v>Stores</x:v>
      </x:c>
      <x:c r="H502" s="2" t="str">
        <x:v>Riverside</x:v>
      </x:c>
      <x:c r="I502" s="2" t="n">
        <x:v>10</x:v>
      </x:c>
      <x:c r="J502" s="2" t="n">
        <x:v>0</x:v>
      </x:c>
      <x:c r="K502" s="2" t="n">
        <x:f>I502-J502</x:f>
        <x:v>10</x:v>
      </x:c>
      <x:c r="L502" s="16" t="n">
        <x:v>18</x:v>
      </x:c>
      <x:c r="M502" s="16" t="n">
        <x:v>18</x:v>
      </x:c>
      <x:c r="N502" s="16" t="n">
        <x:v>6.48</x:v>
      </x:c>
      <x:c r="O502" s="16" t="n">
        <x:f>K502*M502</x:f>
        <x:v>180</x:v>
      </x:c>
      <x:c r="P502" s="16" t="n">
        <x:f>K502*N502</x:f>
        <x:v>64.80000000000001</x:v>
      </x:c>
      <x:c r="Q502" s="16" t="n">
        <x:f>O502-P502</x:f>
        <x:v>115.19999999999999</x:v>
      </x:c>
      <x:c r="R502" s="2" t="n">
        <x:v>90</x:v>
      </x:c>
      <x:c r="S502" s="2" t="n">
        <x:v>46</x:v>
      </x:c>
      <x:c r="T502" s="2" t="n">
        <x:f>R502+S502+J502-I502</x:f>
        <x:v>126</x:v>
      </x:c>
      <x:c r="U502" s="2" t="n">
        <x:v>0</x:v>
      </x:c>
      <x:c r="V502" s="2" t="n">
        <x:v>2</x:v>
      </x:c>
      <x:c r="W502" s="2" t="n">
        <x:v>11</x:v>
      </x:c>
      <x:c r="X502" s="14" t="b">
        <x:v>0</x:v>
      </x:c>
      <x:c r="Y502" s="14" t="b">
        <x:v>0</x:v>
      </x:c>
      <x:c r="Z502" s="2" t="n">
        <x:f>ABS(T502-AA502)</x:f>
        <x:v>0</x:v>
      </x:c>
      <x:c r="AA502" s="2" t="n">
        <x:v>126</x:v>
      </x:c>
      <x:c r="AB502" s="2" t="n">
        <x:f>ABS(K502-W502)</x:f>
        <x:v>1</x:v>
      </x:c>
      <x:c r="AC502" s="2" t="n">
        <x:f>COUNTIF($A$2:$A$1921,A502)-1</x:f>
        <x:v>0</x:v>
      </x:c>
      <x:c r="AD502" s="2" t="n">
        <x:f>IF(AND(D502=D501,H502=H501,C502=C501+1),ABS(R502-T501),0)</x:f>
        <x:v>0</x:v>
      </x:c>
    </x:row>
    <x:row r="503" ht="23" customHeight="1">
      <x:c r="A503" s="2" t="str">
        <x:v>DEMO-201-1-2</x:v>
      </x:c>
      <x:c r="B503" s="15" t="d">
        <x:v>2026-05-11T00:00:00.000Z</x:v>
      </x:c>
      <x:c r="C503" s="2" t="n">
        <x:v>2</x:v>
      </x:c>
      <x:c r="D503" s="2" t="str">
        <x:v>DEMO-201</x:v>
      </x:c>
      <x:c r="E503" s="2" t="str">
        <x:v>Celebration Box</x:v>
      </x:c>
      <x:c r="F503" s="2" t="str">
        <x:v>Gifting</x:v>
      </x:c>
      <x:c r="G503" s="2" t="str">
        <x:v>Stores</x:v>
      </x:c>
      <x:c r="H503" s="2" t="str">
        <x:v>Riverside</x:v>
      </x:c>
      <x:c r="I503" s="2" t="n">
        <x:v>10</x:v>
      </x:c>
      <x:c r="J503" s="2" t="n">
        <x:v>1</x:v>
      </x:c>
      <x:c r="K503" s="2" t="n">
        <x:f>I503-J503</x:f>
        <x:v>9</x:v>
      </x:c>
      <x:c r="L503" s="16" t="n">
        <x:v>18</x:v>
      </x:c>
      <x:c r="M503" s="16" t="n">
        <x:v>18</x:v>
      </x:c>
      <x:c r="N503" s="16" t="n">
        <x:v>6.48</x:v>
      </x:c>
      <x:c r="O503" s="16" t="n">
        <x:f>K503*M503</x:f>
        <x:v>162</x:v>
      </x:c>
      <x:c r="P503" s="16" t="n">
        <x:f>K503*N503</x:f>
        <x:v>58.32000000000001</x:v>
      </x:c>
      <x:c r="Q503" s="16" t="n">
        <x:f>O503-P503</x:f>
        <x:v>103.67999999999999</x:v>
      </x:c>
      <x:c r="R503" s="2" t="n">
        <x:v>126</x:v>
      </x:c>
      <x:c r="S503" s="2" t="n">
        <x:v>0</x:v>
      </x:c>
      <x:c r="T503" s="2" t="n">
        <x:f>R503+S503+J503-I503</x:f>
        <x:v>117</x:v>
      </x:c>
      <x:c r="U503" s="2" t="n">
        <x:v>0</x:v>
      </x:c>
      <x:c r="V503" s="2" t="n">
        <x:v>2</x:v>
      </x:c>
      <x:c r="W503" s="2" t="n">
        <x:v>10</x:v>
      </x:c>
      <x:c r="X503" s="14" t="b">
        <x:v>0</x:v>
      </x:c>
      <x:c r="Y503" s="14" t="b">
        <x:v>0</x:v>
      </x:c>
      <x:c r="Z503" s="2" t="n">
        <x:f>ABS(T503-AA503)</x:f>
        <x:v>0</x:v>
      </x:c>
      <x:c r="AA503" s="2" t="n">
        <x:v>117</x:v>
      </x:c>
      <x:c r="AB503" s="2" t="n">
        <x:f>ABS(K503-W503)</x:f>
        <x:v>1</x:v>
      </x:c>
      <x:c r="AC503" s="2" t="n">
        <x:f>COUNTIF($A$2:$A$1921,A503)-1</x:f>
        <x:v>0</x:v>
      </x:c>
      <x:c r="AD503" s="2" t="n">
        <x:f>IF(AND(D503=D502,H503=H502,C503=C502+1),ABS(R503-T502),0)</x:f>
        <x:v>0</x:v>
      </x:c>
    </x:row>
    <x:row r="504" ht="23" customHeight="1">
      <x:c r="A504" s="2" t="str">
        <x:v>DEMO-201-1-3</x:v>
      </x:c>
      <x:c r="B504" s="15" t="d">
        <x:v>2026-05-18T00:00:00.000Z</x:v>
      </x:c>
      <x:c r="C504" s="2" t="n">
        <x:v>3</x:v>
      </x:c>
      <x:c r="D504" s="2" t="str">
        <x:v>DEMO-201</x:v>
      </x:c>
      <x:c r="E504" s="2" t="str">
        <x:v>Celebration Box</x:v>
      </x:c>
      <x:c r="F504" s="2" t="str">
        <x:v>Gifting</x:v>
      </x:c>
      <x:c r="G504" s="2" t="str">
        <x:v>Stores</x:v>
      </x:c>
      <x:c r="H504" s="2" t="str">
        <x:v>Riverside</x:v>
      </x:c>
      <x:c r="I504" s="2" t="n">
        <x:v>12</x:v>
      </x:c>
      <x:c r="J504" s="2" t="n">
        <x:v>1</x:v>
      </x:c>
      <x:c r="K504" s="2" t="n">
        <x:f>I504-J504</x:f>
        <x:v>11</x:v>
      </x:c>
      <x:c r="L504" s="16" t="n">
        <x:v>18</x:v>
      </x:c>
      <x:c r="M504" s="16" t="n">
        <x:v>18</x:v>
      </x:c>
      <x:c r="N504" s="16" t="n">
        <x:v>6.48</x:v>
      </x:c>
      <x:c r="O504" s="16" t="n">
        <x:f>K504*M504</x:f>
        <x:v>198</x:v>
      </x:c>
      <x:c r="P504" s="16" t="n">
        <x:f>K504*N504</x:f>
        <x:v>71.28</x:v>
      </x:c>
      <x:c r="Q504" s="16" t="n">
        <x:f>O504-P504</x:f>
        <x:v>126.72</x:v>
      </x:c>
      <x:c r="R504" s="2" t="n">
        <x:v>117</x:v>
      </x:c>
      <x:c r="S504" s="2" t="n">
        <x:v>0</x:v>
      </x:c>
      <x:c r="T504" s="2" t="n">
        <x:f>R504+S504+J504-I504</x:f>
        <x:v>106</x:v>
      </x:c>
      <x:c r="U504" s="2" t="n">
        <x:v>0</x:v>
      </x:c>
      <x:c r="V504" s="2" t="n">
        <x:v>2</x:v>
      </x:c>
      <x:c r="W504" s="2" t="n">
        <x:v>10</x:v>
      </x:c>
      <x:c r="X504" s="14" t="b">
        <x:v>0</x:v>
      </x:c>
      <x:c r="Y504" s="14" t="b">
        <x:v>0</x:v>
      </x:c>
      <x:c r="Z504" s="2" t="n">
        <x:f>ABS(T504-AA504)</x:f>
        <x:v>0</x:v>
      </x:c>
      <x:c r="AA504" s="2" t="n">
        <x:v>106</x:v>
      </x:c>
      <x:c r="AB504" s="2" t="n">
        <x:f>ABS(K504-W504)</x:f>
        <x:v>1</x:v>
      </x:c>
      <x:c r="AC504" s="2" t="n">
        <x:f>COUNTIF($A$2:$A$1921,A504)-1</x:f>
        <x:v>0</x:v>
      </x:c>
      <x:c r="AD504" s="2" t="n">
        <x:f>IF(AND(D504=D503,H504=H503,C504=C503+1),ABS(R504-T503),0)</x:f>
        <x:v>0</x:v>
      </x:c>
    </x:row>
    <x:row r="505" ht="23" customHeight="1">
      <x:c r="A505" s="2" t="str">
        <x:v>DEMO-201-1-4</x:v>
      </x:c>
      <x:c r="B505" s="15" t="d">
        <x:v>2026-05-25T00:00:00.000Z</x:v>
      </x:c>
      <x:c r="C505" s="2" t="n">
        <x:v>4</x:v>
      </x:c>
      <x:c r="D505" s="2" t="str">
        <x:v>DEMO-201</x:v>
      </x:c>
      <x:c r="E505" s="2" t="str">
        <x:v>Celebration Box</x:v>
      </x:c>
      <x:c r="F505" s="2" t="str">
        <x:v>Gifting</x:v>
      </x:c>
      <x:c r="G505" s="2" t="str">
        <x:v>Stores</x:v>
      </x:c>
      <x:c r="H505" s="2" t="str">
        <x:v>Riverside</x:v>
      </x:c>
      <x:c r="I505" s="2" t="n">
        <x:v>12</x:v>
      </x:c>
      <x:c r="J505" s="2" t="n">
        <x:v>0</x:v>
      </x:c>
      <x:c r="K505" s="2" t="n">
        <x:f>I505-J505</x:f>
        <x:v>12</x:v>
      </x:c>
      <x:c r="L505" s="16" t="n">
        <x:v>18</x:v>
      </x:c>
      <x:c r="M505" s="16" t="n">
        <x:v>18</x:v>
      </x:c>
      <x:c r="N505" s="16" t="n">
        <x:v>6.48</x:v>
      </x:c>
      <x:c r="O505" s="16" t="n">
        <x:f>K505*M505</x:f>
        <x:v>216</x:v>
      </x:c>
      <x:c r="P505" s="16" t="n">
        <x:f>K505*N505</x:f>
        <x:v>77.76</x:v>
      </x:c>
      <x:c r="Q505" s="16" t="n">
        <x:f>O505-P505</x:f>
        <x:v>138.24</x:v>
      </x:c>
      <x:c r="R505" s="2" t="n">
        <x:v>106</x:v>
      </x:c>
      <x:c r="S505" s="2" t="n">
        <x:v>0</x:v>
      </x:c>
      <x:c r="T505" s="2" t="n">
        <x:f>R505+S505+J505-I505</x:f>
        <x:v>94</x:v>
      </x:c>
      <x:c r="U505" s="2" t="n">
        <x:v>0</x:v>
      </x:c>
      <x:c r="V505" s="2" t="n">
        <x:v>2</x:v>
      </x:c>
      <x:c r="W505" s="2" t="n">
        <x:v>10</x:v>
      </x:c>
      <x:c r="X505" s="14" t="b">
        <x:v>0</x:v>
      </x:c>
      <x:c r="Y505" s="14" t="b">
        <x:v>0</x:v>
      </x:c>
      <x:c r="Z505" s="2" t="n">
        <x:f>ABS(T505-AA505)</x:f>
        <x:v>0</x:v>
      </x:c>
      <x:c r="AA505" s="2" t="n">
        <x:v>94</x:v>
      </x:c>
      <x:c r="AB505" s="2" t="n">
        <x:f>ABS(K505-W505)</x:f>
        <x:v>2</x:v>
      </x:c>
      <x:c r="AC505" s="2" t="n">
        <x:f>COUNTIF($A$2:$A$1921,A505)-1</x:f>
        <x:v>0</x:v>
      </x:c>
      <x:c r="AD505" s="2" t="n">
        <x:f>IF(AND(D505=D504,H505=H504,C505=C504+1),ABS(R505-T504),0)</x:f>
        <x:v>0</x:v>
      </x:c>
    </x:row>
    <x:row r="506" ht="23" customHeight="1">
      <x:c r="A506" s="2" t="str">
        <x:v>DEMO-201-1-5</x:v>
      </x:c>
      <x:c r="B506" s="15" t="d">
        <x:v>2026-06-01T00:00:00.000Z</x:v>
      </x:c>
      <x:c r="C506" s="2" t="n">
        <x:v>5</x:v>
      </x:c>
      <x:c r="D506" s="2" t="str">
        <x:v>DEMO-201</x:v>
      </x:c>
      <x:c r="E506" s="2" t="str">
        <x:v>Celebration Box</x:v>
      </x:c>
      <x:c r="F506" s="2" t="str">
        <x:v>Gifting</x:v>
      </x:c>
      <x:c r="G506" s="2" t="str">
        <x:v>Stores</x:v>
      </x:c>
      <x:c r="H506" s="2" t="str">
        <x:v>Riverside</x:v>
      </x:c>
      <x:c r="I506" s="2" t="n">
        <x:v>10</x:v>
      </x:c>
      <x:c r="J506" s="2" t="n">
        <x:v>0</x:v>
      </x:c>
      <x:c r="K506" s="2" t="n">
        <x:f>I506-J506</x:f>
        <x:v>10</x:v>
      </x:c>
      <x:c r="L506" s="16" t="n">
        <x:v>18</x:v>
      </x:c>
      <x:c r="M506" s="16" t="n">
        <x:v>18</x:v>
      </x:c>
      <x:c r="N506" s="16" t="n">
        <x:v>6.48</x:v>
      </x:c>
      <x:c r="O506" s="16" t="n">
        <x:f>K506*M506</x:f>
        <x:v>180</x:v>
      </x:c>
      <x:c r="P506" s="16" t="n">
        <x:f>K506*N506</x:f>
        <x:v>64.80000000000001</x:v>
      </x:c>
      <x:c r="Q506" s="16" t="n">
        <x:f>O506-P506</x:f>
        <x:v>115.19999999999999</x:v>
      </x:c>
      <x:c r="R506" s="2" t="n">
        <x:v>94</x:v>
      </x:c>
      <x:c r="S506" s="2" t="n">
        <x:v>46</x:v>
      </x:c>
      <x:c r="T506" s="2" t="n">
        <x:f>R506+S506+J506-I506</x:f>
        <x:v>130</x:v>
      </x:c>
      <x:c r="U506" s="2" t="n">
        <x:v>0</x:v>
      </x:c>
      <x:c r="V506" s="2" t="n">
        <x:v>2</x:v>
      </x:c>
      <x:c r="W506" s="2" t="n">
        <x:v>11</x:v>
      </x:c>
      <x:c r="X506" s="14" t="b">
        <x:v>0</x:v>
      </x:c>
      <x:c r="Y506" s="14" t="b">
        <x:v>0</x:v>
      </x:c>
      <x:c r="Z506" s="2" t="n">
        <x:f>ABS(T506-AA506)</x:f>
        <x:v>0</x:v>
      </x:c>
      <x:c r="AA506" s="2" t="n">
        <x:v>130</x:v>
      </x:c>
      <x:c r="AB506" s="2" t="n">
        <x:f>ABS(K506-W506)</x:f>
        <x:v>1</x:v>
      </x:c>
      <x:c r="AC506" s="2" t="n">
        <x:f>COUNTIF($A$2:$A$1921,A506)-1</x:f>
        <x:v>0</x:v>
      </x:c>
      <x:c r="AD506" s="2" t="n">
        <x:f>IF(AND(D506=D505,H506=H505,C506=C505+1),ABS(R506-T505),0)</x:f>
        <x:v>0</x:v>
      </x:c>
    </x:row>
    <x:row r="507" ht="23" customHeight="1">
      <x:c r="A507" s="2" t="str">
        <x:v>DEMO-201-1-6</x:v>
      </x:c>
      <x:c r="B507" s="15" t="d">
        <x:v>2026-06-08T00:00:00.000Z</x:v>
      </x:c>
      <x:c r="C507" s="2" t="n">
        <x:v>6</x:v>
      </x:c>
      <x:c r="D507" s="2" t="str">
        <x:v>DEMO-201</x:v>
      </x:c>
      <x:c r="E507" s="2" t="str">
        <x:v>Celebration Box</x:v>
      </x:c>
      <x:c r="F507" s="2" t="str">
        <x:v>Gifting</x:v>
      </x:c>
      <x:c r="G507" s="2" t="str">
        <x:v>Stores</x:v>
      </x:c>
      <x:c r="H507" s="2" t="str">
        <x:v>Riverside</x:v>
      </x:c>
      <x:c r="I507" s="2" t="n">
        <x:v>13</x:v>
      </x:c>
      <x:c r="J507" s="2" t="n">
        <x:v>1</x:v>
      </x:c>
      <x:c r="K507" s="2" t="n">
        <x:f>I507-J507</x:f>
        <x:v>12</x:v>
      </x:c>
      <x:c r="L507" s="16" t="n">
        <x:v>18</x:v>
      </x:c>
      <x:c r="M507" s="16" t="n">
        <x:v>18</x:v>
      </x:c>
      <x:c r="N507" s="16" t="n">
        <x:v>6.48</x:v>
      </x:c>
      <x:c r="O507" s="16" t="n">
        <x:f>K507*M507</x:f>
        <x:v>216</x:v>
      </x:c>
      <x:c r="P507" s="16" t="n">
        <x:f>K507*N507</x:f>
        <x:v>77.76</x:v>
      </x:c>
      <x:c r="Q507" s="16" t="n">
        <x:f>O507-P507</x:f>
        <x:v>138.24</x:v>
      </x:c>
      <x:c r="R507" s="2" t="n">
        <x:v>130</x:v>
      </x:c>
      <x:c r="S507" s="2" t="n">
        <x:v>0</x:v>
      </x:c>
      <x:c r="T507" s="2" t="n">
        <x:f>R507+S507+J507-I507</x:f>
        <x:v>118</x:v>
      </x:c>
      <x:c r="U507" s="2" t="n">
        <x:v>0</x:v>
      </x:c>
      <x:c r="V507" s="2" t="n">
        <x:v>2</x:v>
      </x:c>
      <x:c r="W507" s="2" t="n">
        <x:v>11</x:v>
      </x:c>
      <x:c r="X507" s="14" t="b">
        <x:v>0</x:v>
      </x:c>
      <x:c r="Y507" s="14" t="b">
        <x:v>0</x:v>
      </x:c>
      <x:c r="Z507" s="2" t="n">
        <x:f>ABS(T507-AA507)</x:f>
        <x:v>0</x:v>
      </x:c>
      <x:c r="AA507" s="2" t="n">
        <x:v>118</x:v>
      </x:c>
      <x:c r="AB507" s="2" t="n">
        <x:f>ABS(K507-W507)</x:f>
        <x:v>1</x:v>
      </x:c>
      <x:c r="AC507" s="2" t="n">
        <x:f>COUNTIF($A$2:$A$1921,A507)-1</x:f>
        <x:v>0</x:v>
      </x:c>
      <x:c r="AD507" s="2" t="n">
        <x:f>IF(AND(D507=D506,H507=H506,C507=C506+1),ABS(R507-T506),0)</x:f>
        <x:v>0</x:v>
      </x:c>
    </x:row>
    <x:row r="508" ht="23" customHeight="1">
      <x:c r="A508" s="2" t="str">
        <x:v>DEMO-201-1-7</x:v>
      </x:c>
      <x:c r="B508" s="15" t="d">
        <x:v>2026-06-15T00:00:00.000Z</x:v>
      </x:c>
      <x:c r="C508" s="2" t="n">
        <x:v>7</x:v>
      </x:c>
      <x:c r="D508" s="2" t="str">
        <x:v>DEMO-201</x:v>
      </x:c>
      <x:c r="E508" s="2" t="str">
        <x:v>Celebration Box</x:v>
      </x:c>
      <x:c r="F508" s="2" t="str">
        <x:v>Gifting</x:v>
      </x:c>
      <x:c r="G508" s="2" t="str">
        <x:v>Stores</x:v>
      </x:c>
      <x:c r="H508" s="2" t="str">
        <x:v>Riverside</x:v>
      </x:c>
      <x:c r="I508" s="2" t="n">
        <x:v>12</x:v>
      </x:c>
      <x:c r="J508" s="2" t="n">
        <x:v>0</x:v>
      </x:c>
      <x:c r="K508" s="2" t="n">
        <x:f>I508-J508</x:f>
        <x:v>12</x:v>
      </x:c>
      <x:c r="L508" s="16" t="n">
        <x:v>18</x:v>
      </x:c>
      <x:c r="M508" s="16" t="n">
        <x:v>18</x:v>
      </x:c>
      <x:c r="N508" s="16" t="n">
        <x:v>6.48</x:v>
      </x:c>
      <x:c r="O508" s="16" t="n">
        <x:f>K508*M508</x:f>
        <x:v>216</x:v>
      </x:c>
      <x:c r="P508" s="16" t="n">
        <x:f>K508*N508</x:f>
        <x:v>77.76</x:v>
      </x:c>
      <x:c r="Q508" s="16" t="n">
        <x:f>O508-P508</x:f>
        <x:v>138.24</x:v>
      </x:c>
      <x:c r="R508" s="2" t="n">
        <x:v>118</x:v>
      </x:c>
      <x:c r="S508" s="2" t="n">
        <x:v>0</x:v>
      </x:c>
      <x:c r="T508" s="2" t="n">
        <x:f>R508+S508+J508-I508</x:f>
        <x:v>106</x:v>
      </x:c>
      <x:c r="U508" s="2" t="n">
        <x:v>0</x:v>
      </x:c>
      <x:c r="V508" s="2" t="n">
        <x:v>2</x:v>
      </x:c>
      <x:c r="W508" s="2" t="n">
        <x:v>11</x:v>
      </x:c>
      <x:c r="X508" s="14" t="b">
        <x:v>0</x:v>
      </x:c>
      <x:c r="Y508" s="14" t="b">
        <x:v>0</x:v>
      </x:c>
      <x:c r="Z508" s="2" t="n">
        <x:f>ABS(T508-AA508)</x:f>
        <x:v>0</x:v>
      </x:c>
      <x:c r="AA508" s="2" t="n">
        <x:v>106</x:v>
      </x:c>
      <x:c r="AB508" s="2" t="n">
        <x:f>ABS(K508-W508)</x:f>
        <x:v>1</x:v>
      </x:c>
      <x:c r="AC508" s="2" t="n">
        <x:f>COUNTIF($A$2:$A$1921,A508)-1</x:f>
        <x:v>0</x:v>
      </x:c>
      <x:c r="AD508" s="2" t="n">
        <x:f>IF(AND(D508=D507,H508=H507,C508=C507+1),ABS(R508-T507),0)</x:f>
        <x:v>0</x:v>
      </x:c>
    </x:row>
    <x:row r="509" ht="23" customHeight="1">
      <x:c r="A509" s="2" t="str">
        <x:v>DEMO-201-1-8</x:v>
      </x:c>
      <x:c r="B509" s="15" t="d">
        <x:v>2026-06-22T00:00:00.000Z</x:v>
      </x:c>
      <x:c r="C509" s="2" t="n">
        <x:v>8</x:v>
      </x:c>
      <x:c r="D509" s="2" t="str">
        <x:v>DEMO-201</x:v>
      </x:c>
      <x:c r="E509" s="2" t="str">
        <x:v>Celebration Box</x:v>
      </x:c>
      <x:c r="F509" s="2" t="str">
        <x:v>Gifting</x:v>
      </x:c>
      <x:c r="G509" s="2" t="str">
        <x:v>Stores</x:v>
      </x:c>
      <x:c r="H509" s="2" t="str">
        <x:v>Riverside</x:v>
      </x:c>
      <x:c r="I509" s="2" t="n">
        <x:v>11</x:v>
      </x:c>
      <x:c r="J509" s="2" t="n">
        <x:v>1</x:v>
      </x:c>
      <x:c r="K509" s="2" t="n">
        <x:f>I509-J509</x:f>
        <x:v>10</x:v>
      </x:c>
      <x:c r="L509" s="16" t="n">
        <x:v>18</x:v>
      </x:c>
      <x:c r="M509" s="16" t="n">
        <x:v>18</x:v>
      </x:c>
      <x:c r="N509" s="16" t="n">
        <x:v>6.48</x:v>
      </x:c>
      <x:c r="O509" s="16" t="n">
        <x:f>K509*M509</x:f>
        <x:v>180</x:v>
      </x:c>
      <x:c r="P509" s="16" t="n">
        <x:f>K509*N509</x:f>
        <x:v>64.80000000000001</x:v>
      </x:c>
      <x:c r="Q509" s="16" t="n">
        <x:f>O509-P509</x:f>
        <x:v>115.19999999999999</x:v>
      </x:c>
      <x:c r="R509" s="2" t="n">
        <x:v>106</x:v>
      </x:c>
      <x:c r="S509" s="2" t="n">
        <x:v>0</x:v>
      </x:c>
      <x:c r="T509" s="2" t="n">
        <x:f>R509+S509+J509-I509</x:f>
        <x:v>96</x:v>
      </x:c>
      <x:c r="U509" s="2" t="n">
        <x:v>0</x:v>
      </x:c>
      <x:c r="V509" s="2" t="n">
        <x:v>2</x:v>
      </x:c>
      <x:c r="W509" s="2" t="n">
        <x:v>12</x:v>
      </x:c>
      <x:c r="X509" s="14" t="b">
        <x:v>0</x:v>
      </x:c>
      <x:c r="Y509" s="14" t="b">
        <x:v>0</x:v>
      </x:c>
      <x:c r="Z509" s="2" t="n">
        <x:f>ABS(T509-AA509)</x:f>
        <x:v>0</x:v>
      </x:c>
      <x:c r="AA509" s="2" t="n">
        <x:v>96</x:v>
      </x:c>
      <x:c r="AB509" s="2" t="n">
        <x:f>ABS(K509-W509)</x:f>
        <x:v>2</x:v>
      </x:c>
      <x:c r="AC509" s="2" t="n">
        <x:f>COUNTIF($A$2:$A$1921,A509)-1</x:f>
        <x:v>0</x:v>
      </x:c>
      <x:c r="AD509" s="2" t="n">
        <x:f>IF(AND(D509=D508,H509=H508,C509=C508+1),ABS(R509-T508),0)</x:f>
        <x:v>0</x:v>
      </x:c>
    </x:row>
    <x:row r="510" ht="23" customHeight="1">
      <x:c r="A510" s="2" t="str">
        <x:v>DEMO-201-1-9</x:v>
      </x:c>
      <x:c r="B510" s="15" t="d">
        <x:v>2026-06-29T00:00:00.000Z</x:v>
      </x:c>
      <x:c r="C510" s="2" t="n">
        <x:v>9</x:v>
      </x:c>
      <x:c r="D510" s="2" t="str">
        <x:v>DEMO-201</x:v>
      </x:c>
      <x:c r="E510" s="2" t="str">
        <x:v>Celebration Box</x:v>
      </x:c>
      <x:c r="F510" s="2" t="str">
        <x:v>Gifting</x:v>
      </x:c>
      <x:c r="G510" s="2" t="str">
        <x:v>Stores</x:v>
      </x:c>
      <x:c r="H510" s="2" t="str">
        <x:v>Riverside</x:v>
      </x:c>
      <x:c r="I510" s="2" t="n">
        <x:v>11</x:v>
      </x:c>
      <x:c r="J510" s="2" t="n">
        <x:v>0</x:v>
      </x:c>
      <x:c r="K510" s="2" t="n">
        <x:f>I510-J510</x:f>
        <x:v>11</x:v>
      </x:c>
      <x:c r="L510" s="16" t="n">
        <x:v>18</x:v>
      </x:c>
      <x:c r="M510" s="16" t="n">
        <x:v>18</x:v>
      </x:c>
      <x:c r="N510" s="16" t="n">
        <x:v>6.48</x:v>
      </x:c>
      <x:c r="O510" s="16" t="n">
        <x:f>K510*M510</x:f>
        <x:v>198</x:v>
      </x:c>
      <x:c r="P510" s="16" t="n">
        <x:f>K510*N510</x:f>
        <x:v>71.28</x:v>
      </x:c>
      <x:c r="Q510" s="16" t="n">
        <x:f>O510-P510</x:f>
        <x:v>126.72</x:v>
      </x:c>
      <x:c r="R510" s="2" t="n">
        <x:v>96</x:v>
      </x:c>
      <x:c r="S510" s="2" t="n">
        <x:v>46</x:v>
      </x:c>
      <x:c r="T510" s="2" t="n">
        <x:f>R510+S510+J510-I510</x:f>
        <x:v>131</x:v>
      </x:c>
      <x:c r="U510" s="2" t="n">
        <x:v>0</x:v>
      </x:c>
      <x:c r="V510" s="2" t="n">
        <x:v>2</x:v>
      </x:c>
      <x:c r="W510" s="2" t="n">
        <x:v>11</x:v>
      </x:c>
      <x:c r="X510" s="14" t="b">
        <x:v>0</x:v>
      </x:c>
      <x:c r="Y510" s="14" t="b">
        <x:v>0</x:v>
      </x:c>
      <x:c r="Z510" s="2" t="n">
        <x:f>ABS(T510-AA510)</x:f>
        <x:v>0</x:v>
      </x:c>
      <x:c r="AA510" s="2" t="n">
        <x:v>131</x:v>
      </x:c>
      <x:c r="AB510" s="2" t="n">
        <x:f>ABS(K510-W510)</x:f>
        <x:v>0</x:v>
      </x:c>
      <x:c r="AC510" s="2" t="n">
        <x:f>COUNTIF($A$2:$A$1921,A510)-1</x:f>
        <x:v>0</x:v>
      </x:c>
      <x:c r="AD510" s="2" t="n">
        <x:f>IF(AND(D510=D509,H510=H509,C510=C509+1),ABS(R510-T509),0)</x:f>
        <x:v>0</x:v>
      </x:c>
    </x:row>
    <x:row r="511" ht="23" customHeight="1">
      <x:c r="A511" s="2" t="str">
        <x:v>DEMO-201-1-10</x:v>
      </x:c>
      <x:c r="B511" s="15" t="d">
        <x:v>2026-07-06T00:00:00.000Z</x:v>
      </x:c>
      <x:c r="C511" s="2" t="n">
        <x:v>10</x:v>
      </x:c>
      <x:c r="D511" s="2" t="str">
        <x:v>DEMO-201</x:v>
      </x:c>
      <x:c r="E511" s="2" t="str">
        <x:v>Celebration Box</x:v>
      </x:c>
      <x:c r="F511" s="2" t="str">
        <x:v>Gifting</x:v>
      </x:c>
      <x:c r="G511" s="2" t="str">
        <x:v>Stores</x:v>
      </x:c>
      <x:c r="H511" s="2" t="str">
        <x:v>Riverside</x:v>
      </x:c>
      <x:c r="I511" s="2" t="n">
        <x:v>11</x:v>
      </x:c>
      <x:c r="J511" s="2" t="n">
        <x:v>0</x:v>
      </x:c>
      <x:c r="K511" s="2" t="n">
        <x:f>I511-J511</x:f>
        <x:v>11</x:v>
      </x:c>
      <x:c r="L511" s="16" t="n">
        <x:v>18</x:v>
      </x:c>
      <x:c r="M511" s="16" t="n">
        <x:v>18</x:v>
      </x:c>
      <x:c r="N511" s="16" t="n">
        <x:v>6.48</x:v>
      </x:c>
      <x:c r="O511" s="16" t="n">
        <x:f>K511*M511</x:f>
        <x:v>198</x:v>
      </x:c>
      <x:c r="P511" s="16" t="n">
        <x:f>K511*N511</x:f>
        <x:v>71.28</x:v>
      </x:c>
      <x:c r="Q511" s="16" t="n">
        <x:f>O511-P511</x:f>
        <x:v>126.72</x:v>
      </x:c>
      <x:c r="R511" s="2" t="n">
        <x:v>131</x:v>
      </x:c>
      <x:c r="S511" s="2" t="n">
        <x:v>0</x:v>
      </x:c>
      <x:c r="T511" s="2" t="n">
        <x:f>R511+S511+J511-I511</x:f>
        <x:v>120</x:v>
      </x:c>
      <x:c r="U511" s="2" t="n">
        <x:v>0</x:v>
      </x:c>
      <x:c r="V511" s="2" t="n">
        <x:v>2</x:v>
      </x:c>
      <x:c r="W511" s="2" t="n">
        <x:v>11</x:v>
      </x:c>
      <x:c r="X511" s="14" t="b">
        <x:v>0</x:v>
      </x:c>
      <x:c r="Y511" s="14" t="b">
        <x:v>0</x:v>
      </x:c>
      <x:c r="Z511" s="2" t="n">
        <x:f>ABS(T511-AA511)</x:f>
        <x:v>0</x:v>
      </x:c>
      <x:c r="AA511" s="2" t="n">
        <x:v>120</x:v>
      </x:c>
      <x:c r="AB511" s="2" t="n">
        <x:f>ABS(K511-W511)</x:f>
        <x:v>0</x:v>
      </x:c>
      <x:c r="AC511" s="2" t="n">
        <x:f>COUNTIF($A$2:$A$1921,A511)-1</x:f>
        <x:v>0</x:v>
      </x:c>
      <x:c r="AD511" s="2" t="n">
        <x:f>IF(AND(D511=D510,H511=H510,C511=C510+1),ABS(R511-T510),0)</x:f>
        <x:v>0</x:v>
      </x:c>
    </x:row>
    <x:row r="512" ht="23" customHeight="1">
      <x:c r="A512" s="2" t="str">
        <x:v>DEMO-201-1-11</x:v>
      </x:c>
      <x:c r="B512" s="15" t="d">
        <x:v>2026-07-13T00:00:00.000Z</x:v>
      </x:c>
      <x:c r="C512" s="2" t="n">
        <x:v>11</x:v>
      </x:c>
      <x:c r="D512" s="2" t="str">
        <x:v>DEMO-201</x:v>
      </x:c>
      <x:c r="E512" s="2" t="str">
        <x:v>Celebration Box</x:v>
      </x:c>
      <x:c r="F512" s="2" t="str">
        <x:v>Gifting</x:v>
      </x:c>
      <x:c r="G512" s="2" t="str">
        <x:v>Stores</x:v>
      </x:c>
      <x:c r="H512" s="2" t="str">
        <x:v>Riverside</x:v>
      </x:c>
      <x:c r="I512" s="2" t="n">
        <x:v>12</x:v>
      </x:c>
      <x:c r="J512" s="2" t="n">
        <x:v>0</x:v>
      </x:c>
      <x:c r="K512" s="2" t="n">
        <x:f>I512-J512</x:f>
        <x:v>12</x:v>
      </x:c>
      <x:c r="L512" s="16" t="n">
        <x:v>18</x:v>
      </x:c>
      <x:c r="M512" s="16" t="n">
        <x:v>18</x:v>
      </x:c>
      <x:c r="N512" s="16" t="n">
        <x:v>6.48</x:v>
      </x:c>
      <x:c r="O512" s="16" t="n">
        <x:f>K512*M512</x:f>
        <x:v>216</x:v>
      </x:c>
      <x:c r="P512" s="16" t="n">
        <x:f>K512*N512</x:f>
        <x:v>77.76</x:v>
      </x:c>
      <x:c r="Q512" s="16" t="n">
        <x:f>O512-P512</x:f>
        <x:v>138.24</x:v>
      </x:c>
      <x:c r="R512" s="2" t="n">
        <x:v>120</x:v>
      </x:c>
      <x:c r="S512" s="2" t="n">
        <x:v>0</x:v>
      </x:c>
      <x:c r="T512" s="2" t="n">
        <x:f>R512+S512+J512-I512</x:f>
        <x:v>108</x:v>
      </x:c>
      <x:c r="U512" s="2" t="n">
        <x:v>0</x:v>
      </x:c>
      <x:c r="V512" s="2" t="n">
        <x:v>2</x:v>
      </x:c>
      <x:c r="W512" s="2" t="n">
        <x:v>11</x:v>
      </x:c>
      <x:c r="X512" s="14" t="b">
        <x:v>0</x:v>
      </x:c>
      <x:c r="Y512" s="14" t="b">
        <x:v>0</x:v>
      </x:c>
      <x:c r="Z512" s="2" t="n">
        <x:f>ABS(T512-AA512)</x:f>
        <x:v>0</x:v>
      </x:c>
      <x:c r="AA512" s="2" t="n">
        <x:v>108</x:v>
      </x:c>
      <x:c r="AB512" s="2" t="n">
        <x:f>ABS(K512-W512)</x:f>
        <x:v>1</x:v>
      </x:c>
      <x:c r="AC512" s="2" t="n">
        <x:f>COUNTIF($A$2:$A$1921,A512)-1</x:f>
        <x:v>0</x:v>
      </x:c>
      <x:c r="AD512" s="2" t="n">
        <x:f>IF(AND(D512=D511,H512=H511,C512=C511+1),ABS(R512-T511),0)</x:f>
        <x:v>0</x:v>
      </x:c>
    </x:row>
    <x:row r="513" ht="23" customHeight="1">
      <x:c r="A513" s="2" t="str">
        <x:v>DEMO-201-1-12</x:v>
      </x:c>
      <x:c r="B513" s="15" t="d">
        <x:v>2026-07-20T00:00:00.000Z</x:v>
      </x:c>
      <x:c r="C513" s="2" t="n">
        <x:v>12</x:v>
      </x:c>
      <x:c r="D513" s="2" t="str">
        <x:v>DEMO-201</x:v>
      </x:c>
      <x:c r="E513" s="2" t="str">
        <x:v>Celebration Box</x:v>
      </x:c>
      <x:c r="F513" s="2" t="str">
        <x:v>Gifting</x:v>
      </x:c>
      <x:c r="G513" s="2" t="str">
        <x:v>Stores</x:v>
      </x:c>
      <x:c r="H513" s="2" t="str">
        <x:v>Riverside</x:v>
      </x:c>
      <x:c r="I513" s="2" t="n">
        <x:v>25</x:v>
      </x:c>
      <x:c r="J513" s="2" t="n">
        <x:v>0</x:v>
      </x:c>
      <x:c r="K513" s="2" t="n">
        <x:f>I513-J513</x:f>
        <x:v>25</x:v>
      </x:c>
      <x:c r="L513" s="16" t="n">
        <x:v>18</x:v>
      </x:c>
      <x:c r="M513" s="16" t="n">
        <x:v>16.2</x:v>
      </x:c>
      <x:c r="N513" s="16" t="n">
        <x:v>6.48</x:v>
      </x:c>
      <x:c r="O513" s="16" t="n">
        <x:f>K513*M513</x:f>
        <x:v>405</x:v>
      </x:c>
      <x:c r="P513" s="16" t="n">
        <x:f>K513*N513</x:f>
        <x:v>162</x:v>
      </x:c>
      <x:c r="Q513" s="16" t="n">
        <x:f>O513-P513</x:f>
        <x:v>243</x:v>
      </x:c>
      <x:c r="R513" s="2" t="n">
        <x:v>108</x:v>
      </x:c>
      <x:c r="S513" s="2" t="n">
        <x:v>0</x:v>
      </x:c>
      <x:c r="T513" s="2" t="n">
        <x:f>R513+S513+J513-I513</x:f>
        <x:v>83</x:v>
      </x:c>
      <x:c r="U513" s="2" t="n">
        <x:v>0</x:v>
      </x:c>
      <x:c r="V513" s="2" t="n">
        <x:v>2</x:v>
      </x:c>
      <x:c r="W513" s="2" t="n">
        <x:v>11</x:v>
      </x:c>
      <x:c r="X513" s="14" t="b">
        <x:v>1</x:v>
      </x:c>
      <x:c r="Y513" s="14" t="b">
        <x:v>0</x:v>
      </x:c>
      <x:c r="Z513" s="2" t="n">
        <x:f>ABS(T513-AA513)</x:f>
        <x:v>0</x:v>
      </x:c>
      <x:c r="AA513" s="2" t="n">
        <x:v>83</x:v>
      </x:c>
      <x:c r="AB513" s="2" t="n">
        <x:f>ABS(K513-W513)</x:f>
        <x:v>14</x:v>
      </x:c>
      <x:c r="AC513" s="2" t="n">
        <x:f>COUNTIF($A$2:$A$1921,A513)-1</x:f>
        <x:v>0</x:v>
      </x:c>
      <x:c r="AD513" s="2" t="n">
        <x:f>IF(AND(D513=D512,H513=H512,C513=C512+1),ABS(R513-T512),0)</x:f>
        <x:v>0</x:v>
      </x:c>
    </x:row>
    <x:row r="514" ht="23" customHeight="1">
      <x:c r="A514" s="2" t="str">
        <x:v>DEMO-201-1-13</x:v>
      </x:c>
      <x:c r="B514" s="15" t="d">
        <x:v>2026-07-27T00:00:00.000Z</x:v>
      </x:c>
      <x:c r="C514" s="2" t="n">
        <x:v>13</x:v>
      </x:c>
      <x:c r="D514" s="2" t="str">
        <x:v>DEMO-201</x:v>
      </x:c>
      <x:c r="E514" s="2" t="str">
        <x:v>Celebration Box</x:v>
      </x:c>
      <x:c r="F514" s="2" t="str">
        <x:v>Gifting</x:v>
      </x:c>
      <x:c r="G514" s="2" t="str">
        <x:v>Stores</x:v>
      </x:c>
      <x:c r="H514" s="2" t="str">
        <x:v>Riverside</x:v>
      </x:c>
      <x:c r="I514" s="2" t="n">
        <x:v>21</x:v>
      </x:c>
      <x:c r="J514" s="2" t="n">
        <x:v>0</x:v>
      </x:c>
      <x:c r="K514" s="2" t="n">
        <x:f>I514-J514</x:f>
        <x:v>21</x:v>
      </x:c>
      <x:c r="L514" s="16" t="n">
        <x:v>18</x:v>
      </x:c>
      <x:c r="M514" s="16" t="n">
        <x:v>16.2</x:v>
      </x:c>
      <x:c r="N514" s="16" t="n">
        <x:v>6.48</x:v>
      </x:c>
      <x:c r="O514" s="16" t="n">
        <x:f>K514*M514</x:f>
        <x:v>340.2</x:v>
      </x:c>
      <x:c r="P514" s="16" t="n">
        <x:f>K514*N514</x:f>
        <x:v>136.08</x:v>
      </x:c>
      <x:c r="Q514" s="16" t="n">
        <x:f>O514-P514</x:f>
        <x:v>204.11999999999998</x:v>
      </x:c>
      <x:c r="R514" s="2" t="n">
        <x:v>83</x:v>
      </x:c>
      <x:c r="S514" s="2" t="n">
        <x:v>46</x:v>
      </x:c>
      <x:c r="T514" s="2" t="n">
        <x:f>R514+S514+J514-I514</x:f>
        <x:v>108</x:v>
      </x:c>
      <x:c r="U514" s="2" t="n">
        <x:v>0</x:v>
      </x:c>
      <x:c r="V514" s="2" t="n">
        <x:v>2</x:v>
      </x:c>
      <x:c r="W514" s="2" t="n">
        <x:v>15</x:v>
      </x:c>
      <x:c r="X514" s="14" t="b">
        <x:v>1</x:v>
      </x:c>
      <x:c r="Y514" s="14" t="b">
        <x:v>0</x:v>
      </x:c>
      <x:c r="Z514" s="2" t="n">
        <x:f>ABS(T514-AA514)</x:f>
        <x:v>0</x:v>
      </x:c>
      <x:c r="AA514" s="2" t="n">
        <x:v>108</x:v>
      </x:c>
      <x:c r="AB514" s="2" t="n">
        <x:f>ABS(K514-W514)</x:f>
        <x:v>6</x:v>
      </x:c>
      <x:c r="AC514" s="2" t="n">
        <x:f>COUNTIF($A$2:$A$1921,A514)-1</x:f>
        <x:v>0</x:v>
      </x:c>
      <x:c r="AD514" s="2" t="n">
        <x:f>IF(AND(D514=D513,H514=H513,C514=C513+1),ABS(R514-T513),0)</x:f>
        <x:v>0</x:v>
      </x:c>
    </x:row>
    <x:row r="515" ht="23" customHeight="1">
      <x:c r="A515" s="2" t="str">
        <x:v>DEMO-201-1-14</x:v>
      </x:c>
      <x:c r="B515" s="15" t="d">
        <x:v>2026-08-03T00:00:00.000Z</x:v>
      </x:c>
      <x:c r="C515" s="2" t="n">
        <x:v>14</x:v>
      </x:c>
      <x:c r="D515" s="2" t="str">
        <x:v>DEMO-201</x:v>
      </x:c>
      <x:c r="E515" s="2" t="str">
        <x:v>Celebration Box</x:v>
      </x:c>
      <x:c r="F515" s="2" t="str">
        <x:v>Gifting</x:v>
      </x:c>
      <x:c r="G515" s="2" t="str">
        <x:v>Stores</x:v>
      </x:c>
      <x:c r="H515" s="2" t="str">
        <x:v>Riverside</x:v>
      </x:c>
      <x:c r="I515" s="2" t="n">
        <x:v>26</x:v>
      </x:c>
      <x:c r="J515" s="2" t="n">
        <x:v>0</x:v>
      </x:c>
      <x:c r="K515" s="2" t="n">
        <x:f>I515-J515</x:f>
        <x:v>26</x:v>
      </x:c>
      <x:c r="L515" s="16" t="n">
        <x:v>18</x:v>
      </x:c>
      <x:c r="M515" s="16" t="n">
        <x:v>16.2</x:v>
      </x:c>
      <x:c r="N515" s="16" t="n">
        <x:v>6.48</x:v>
      </x:c>
      <x:c r="O515" s="16" t="n">
        <x:f>K515*M515</x:f>
        <x:v>421.2</x:v>
      </x:c>
      <x:c r="P515" s="16" t="n">
        <x:f>K515*N515</x:f>
        <x:v>168.48000000000002</x:v>
      </x:c>
      <x:c r="Q515" s="16" t="n">
        <x:f>O515-P515</x:f>
        <x:v>252.71999999999997</x:v>
      </x:c>
      <x:c r="R515" s="2" t="n">
        <x:v>108</x:v>
      </x:c>
      <x:c r="S515" s="2" t="n">
        <x:v>0</x:v>
      </x:c>
      <x:c r="T515" s="2" t="n">
        <x:f>R515+S515+J515-I515</x:f>
        <x:v>82</x:v>
      </x:c>
      <x:c r="U515" s="2" t="n">
        <x:v>0</x:v>
      </x:c>
      <x:c r="V515" s="2" t="n">
        <x:v>2</x:v>
      </x:c>
      <x:c r="W515" s="2" t="n">
        <x:v>17</x:v>
      </x:c>
      <x:c r="X515" s="14" t="b">
        <x:v>1</x:v>
      </x:c>
      <x:c r="Y515" s="14" t="b">
        <x:v>0</x:v>
      </x:c>
      <x:c r="Z515" s="2" t="n">
        <x:f>ABS(T515-AA515)</x:f>
        <x:v>0</x:v>
      </x:c>
      <x:c r="AA515" s="2" t="n">
        <x:v>82</x:v>
      </x:c>
      <x:c r="AB515" s="2" t="n">
        <x:f>ABS(K515-W515)</x:f>
        <x:v>9</x:v>
      </x:c>
      <x:c r="AC515" s="2" t="n">
        <x:f>COUNTIF($A$2:$A$1921,A515)-1</x:f>
        <x:v>0</x:v>
      </x:c>
      <x:c r="AD515" s="2" t="n">
        <x:f>IF(AND(D515=D514,H515=H514,C515=C514+1),ABS(R515-T514),0)</x:f>
        <x:v>0</x:v>
      </x:c>
    </x:row>
    <x:row r="516" ht="23" customHeight="1">
      <x:c r="A516" s="2" t="str">
        <x:v>DEMO-201-1-15</x:v>
      </x:c>
      <x:c r="B516" s="15" t="d">
        <x:v>2026-08-10T00:00:00.000Z</x:v>
      </x:c>
      <x:c r="C516" s="2" t="n">
        <x:v>15</x:v>
      </x:c>
      <x:c r="D516" s="2" t="str">
        <x:v>DEMO-201</x:v>
      </x:c>
      <x:c r="E516" s="2" t="str">
        <x:v>Celebration Box</x:v>
      </x:c>
      <x:c r="F516" s="2" t="str">
        <x:v>Gifting</x:v>
      </x:c>
      <x:c r="G516" s="2" t="str">
        <x:v>Stores</x:v>
      </x:c>
      <x:c r="H516" s="2" t="str">
        <x:v>Riverside</x:v>
      </x:c>
      <x:c r="I516" s="2" t="n">
        <x:v>12</x:v>
      </x:c>
      <x:c r="J516" s="2" t="n">
        <x:v>0</x:v>
      </x:c>
      <x:c r="K516" s="2" t="n">
        <x:f>I516-J516</x:f>
        <x:v>12</x:v>
      </x:c>
      <x:c r="L516" s="16" t="n">
        <x:v>18</x:v>
      </x:c>
      <x:c r="M516" s="16" t="n">
        <x:v>18</x:v>
      </x:c>
      <x:c r="N516" s="16" t="n">
        <x:v>6.48</x:v>
      </x:c>
      <x:c r="O516" s="16" t="n">
        <x:f>K516*M516</x:f>
        <x:v>216</x:v>
      </x:c>
      <x:c r="P516" s="16" t="n">
        <x:f>K516*N516</x:f>
        <x:v>77.76</x:v>
      </x:c>
      <x:c r="Q516" s="16" t="n">
        <x:f>O516-P516</x:f>
        <x:v>138.24</x:v>
      </x:c>
      <x:c r="R516" s="2" t="n">
        <x:v>82</x:v>
      </x:c>
      <x:c r="S516" s="2" t="n">
        <x:v>0</x:v>
      </x:c>
      <x:c r="T516" s="2" t="n">
        <x:f>R516+S516+J516-I516</x:f>
        <x:v>70</x:v>
      </x:c>
      <x:c r="U516" s="2" t="n">
        <x:v>0</x:v>
      </x:c>
      <x:c r="V516" s="2" t="n">
        <x:v>2</x:v>
      </x:c>
      <x:c r="W516" s="2" t="n">
        <x:v>21</x:v>
      </x:c>
      <x:c r="X516" s="14" t="b">
        <x:v>0</x:v>
      </x:c>
      <x:c r="Y516" s="14" t="b">
        <x:v>0</x:v>
      </x:c>
      <x:c r="Z516" s="2" t="n">
        <x:f>ABS(T516-AA516)</x:f>
        <x:v>0</x:v>
      </x:c>
      <x:c r="AA516" s="2" t="n">
        <x:v>70</x:v>
      </x:c>
      <x:c r="AB516" s="2" t="n">
        <x:f>ABS(K516-W516)</x:f>
        <x:v>9</x:v>
      </x:c>
      <x:c r="AC516" s="2" t="n">
        <x:f>COUNTIF($A$2:$A$1921,A516)-1</x:f>
        <x:v>0</x:v>
      </x:c>
      <x:c r="AD516" s="2" t="n">
        <x:f>IF(AND(D516=D515,H516=H515,C516=C515+1),ABS(R516-T515),0)</x:f>
        <x:v>0</x:v>
      </x:c>
    </x:row>
    <x:row r="517" ht="23" customHeight="1">
      <x:c r="A517" s="2" t="str">
        <x:v>DEMO-201-1-16</x:v>
      </x:c>
      <x:c r="B517" s="15" t="d">
        <x:v>2026-08-17T00:00:00.000Z</x:v>
      </x:c>
      <x:c r="C517" s="2" t="n">
        <x:v>16</x:v>
      </x:c>
      <x:c r="D517" s="2" t="str">
        <x:v>DEMO-201</x:v>
      </x:c>
      <x:c r="E517" s="2" t="str">
        <x:v>Celebration Box</x:v>
      </x:c>
      <x:c r="F517" s="2" t="str">
        <x:v>Gifting</x:v>
      </x:c>
      <x:c r="G517" s="2" t="str">
        <x:v>Stores</x:v>
      </x:c>
      <x:c r="H517" s="2" t="str">
        <x:v>Riverside</x:v>
      </x:c>
      <x:c r="I517" s="2" t="n">
        <x:v>13</x:v>
      </x:c>
      <x:c r="J517" s="2" t="n">
        <x:v>0</x:v>
      </x:c>
      <x:c r="K517" s="2" t="n">
        <x:f>I517-J517</x:f>
        <x:v>13</x:v>
      </x:c>
      <x:c r="L517" s="16" t="n">
        <x:v>18</x:v>
      </x:c>
      <x:c r="M517" s="16" t="n">
        <x:v>18</x:v>
      </x:c>
      <x:c r="N517" s="16" t="n">
        <x:v>6.48</x:v>
      </x:c>
      <x:c r="O517" s="16" t="n">
        <x:f>K517*M517</x:f>
        <x:v>234</x:v>
      </x:c>
      <x:c r="P517" s="16" t="n">
        <x:f>K517*N517</x:f>
        <x:v>84.24000000000001</x:v>
      </x:c>
      <x:c r="Q517" s="16" t="n">
        <x:f>O517-P517</x:f>
        <x:v>149.76</x:v>
      </x:c>
      <x:c r="R517" s="2" t="n">
        <x:v>70</x:v>
      </x:c>
      <x:c r="S517" s="2" t="n">
        <x:v>0</x:v>
      </x:c>
      <x:c r="T517" s="2" t="n">
        <x:f>R517+S517+J517-I517</x:f>
        <x:v>57</x:v>
      </x:c>
      <x:c r="U517" s="2" t="n">
        <x:v>0</x:v>
      </x:c>
      <x:c r="V517" s="2" t="n">
        <x:v>2</x:v>
      </x:c>
      <x:c r="W517" s="2" t="n">
        <x:v>21</x:v>
      </x:c>
      <x:c r="X517" s="14" t="b">
        <x:v>0</x:v>
      </x:c>
      <x:c r="Y517" s="14" t="b">
        <x:v>0</x:v>
      </x:c>
      <x:c r="Z517" s="2" t="n">
        <x:f>ABS(T517-AA517)</x:f>
        <x:v>0</x:v>
      </x:c>
      <x:c r="AA517" s="2" t="n">
        <x:v>57</x:v>
      </x:c>
      <x:c r="AB517" s="2" t="n">
        <x:f>ABS(K517-W517)</x:f>
        <x:v>8</x:v>
      </x:c>
      <x:c r="AC517" s="2" t="n">
        <x:f>COUNTIF($A$2:$A$1921,A517)-1</x:f>
        <x:v>0</x:v>
      </x:c>
      <x:c r="AD517" s="2" t="n">
        <x:f>IF(AND(D517=D516,H517=H516,C517=C516+1),ABS(R517-T516),0)</x:f>
        <x:v>0</x:v>
      </x:c>
    </x:row>
    <x:row r="518" ht="23" customHeight="1">
      <x:c r="A518" s="2" t="str">
        <x:v>DEMO-201-1-17</x:v>
      </x:c>
      <x:c r="B518" s="15" t="d">
        <x:v>2026-08-24T00:00:00.000Z</x:v>
      </x:c>
      <x:c r="C518" s="2" t="n">
        <x:v>17</x:v>
      </x:c>
      <x:c r="D518" s="2" t="str">
        <x:v>DEMO-201</x:v>
      </x:c>
      <x:c r="E518" s="2" t="str">
        <x:v>Celebration Box</x:v>
      </x:c>
      <x:c r="F518" s="2" t="str">
        <x:v>Gifting</x:v>
      </x:c>
      <x:c r="G518" s="2" t="str">
        <x:v>Stores</x:v>
      </x:c>
      <x:c r="H518" s="2" t="str">
        <x:v>Riverside</x:v>
      </x:c>
      <x:c r="I518" s="2" t="n">
        <x:v>11</x:v>
      </x:c>
      <x:c r="J518" s="2" t="n">
        <x:v>1</x:v>
      </x:c>
      <x:c r="K518" s="2" t="n">
        <x:f>I518-J518</x:f>
        <x:v>10</x:v>
      </x:c>
      <x:c r="L518" s="16" t="n">
        <x:v>18</x:v>
      </x:c>
      <x:c r="M518" s="16" t="n">
        <x:v>18</x:v>
      </x:c>
      <x:c r="N518" s="16" t="n">
        <x:v>6.48</x:v>
      </x:c>
      <x:c r="O518" s="16" t="n">
        <x:f>K518*M518</x:f>
        <x:v>180</x:v>
      </x:c>
      <x:c r="P518" s="16" t="n">
        <x:f>K518*N518</x:f>
        <x:v>64.80000000000001</x:v>
      </x:c>
      <x:c r="Q518" s="16" t="n">
        <x:f>O518-P518</x:f>
        <x:v>115.19999999999999</x:v>
      </x:c>
      <x:c r="R518" s="2" t="n">
        <x:v>57</x:v>
      </x:c>
      <x:c r="S518" s="2" t="n">
        <x:v>46</x:v>
      </x:c>
      <x:c r="T518" s="2" t="n">
        <x:f>R518+S518+J518-I518</x:f>
        <x:v>93</x:v>
      </x:c>
      <x:c r="U518" s="2" t="n">
        <x:v>0</x:v>
      </x:c>
      <x:c r="V518" s="2" t="n">
        <x:v>2</x:v>
      </x:c>
      <x:c r="W518" s="2" t="n">
        <x:v>18</x:v>
      </x:c>
      <x:c r="X518" s="14" t="b">
        <x:v>0</x:v>
      </x:c>
      <x:c r="Y518" s="14" t="b">
        <x:v>0</x:v>
      </x:c>
      <x:c r="Z518" s="2" t="n">
        <x:f>ABS(T518-AA518)</x:f>
        <x:v>0</x:v>
      </x:c>
      <x:c r="AA518" s="2" t="n">
        <x:v>93</x:v>
      </x:c>
      <x:c r="AB518" s="2" t="n">
        <x:f>ABS(K518-W518)</x:f>
        <x:v>8</x:v>
      </x:c>
      <x:c r="AC518" s="2" t="n">
        <x:f>COUNTIF($A$2:$A$1921,A518)-1</x:f>
        <x:v>0</x:v>
      </x:c>
      <x:c r="AD518" s="2" t="n">
        <x:f>IF(AND(D518=D517,H518=H517,C518=C517+1),ABS(R518-T517),0)</x:f>
        <x:v>0</x:v>
      </x:c>
    </x:row>
    <x:row r="519" ht="23" customHeight="1">
      <x:c r="A519" s="2" t="str">
        <x:v>DEMO-201-1-18</x:v>
      </x:c>
      <x:c r="B519" s="15" t="d">
        <x:v>2026-08-31T00:00:00.000Z</x:v>
      </x:c>
      <x:c r="C519" s="2" t="n">
        <x:v>18</x:v>
      </x:c>
      <x:c r="D519" s="2" t="str">
        <x:v>DEMO-201</x:v>
      </x:c>
      <x:c r="E519" s="2" t="str">
        <x:v>Celebration Box</x:v>
      </x:c>
      <x:c r="F519" s="2" t="str">
        <x:v>Gifting</x:v>
      </x:c>
      <x:c r="G519" s="2" t="str">
        <x:v>Stores</x:v>
      </x:c>
      <x:c r="H519" s="2" t="str">
        <x:v>Riverside</x:v>
      </x:c>
      <x:c r="I519" s="2" t="n">
        <x:v>10</x:v>
      </x:c>
      <x:c r="J519" s="2" t="n">
        <x:v>0</x:v>
      </x:c>
      <x:c r="K519" s="2" t="n">
        <x:f>I519-J519</x:f>
        <x:v>10</x:v>
      </x:c>
      <x:c r="L519" s="16" t="n">
        <x:v>18</x:v>
      </x:c>
      <x:c r="M519" s="16" t="n">
        <x:v>18</x:v>
      </x:c>
      <x:c r="N519" s="16" t="n">
        <x:v>6.48</x:v>
      </x:c>
      <x:c r="O519" s="16" t="n">
        <x:f>K519*M519</x:f>
        <x:v>180</x:v>
      </x:c>
      <x:c r="P519" s="16" t="n">
        <x:f>K519*N519</x:f>
        <x:v>64.80000000000001</x:v>
      </x:c>
      <x:c r="Q519" s="16" t="n">
        <x:f>O519-P519</x:f>
        <x:v>115.19999999999999</x:v>
      </x:c>
      <x:c r="R519" s="2" t="n">
        <x:v>93</x:v>
      </x:c>
      <x:c r="S519" s="2" t="n">
        <x:v>0</x:v>
      </x:c>
      <x:c r="T519" s="2" t="n">
        <x:f>R519+S519+J519-I519</x:f>
        <x:v>83</x:v>
      </x:c>
      <x:c r="U519" s="2" t="n">
        <x:v>0</x:v>
      </x:c>
      <x:c r="V519" s="2" t="n">
        <x:v>2</x:v>
      </x:c>
      <x:c r="W519" s="2" t="n">
        <x:v>15</x:v>
      </x:c>
      <x:c r="X519" s="14" t="b">
        <x:v>0</x:v>
      </x:c>
      <x:c r="Y519" s="14" t="b">
        <x:v>0</x:v>
      </x:c>
      <x:c r="Z519" s="2" t="n">
        <x:f>ABS(T519-AA519)</x:f>
        <x:v>0</x:v>
      </x:c>
      <x:c r="AA519" s="2" t="n">
        <x:v>83</x:v>
      </x:c>
      <x:c r="AB519" s="2" t="n">
        <x:f>ABS(K519-W519)</x:f>
        <x:v>5</x:v>
      </x:c>
      <x:c r="AC519" s="2" t="n">
        <x:f>COUNTIF($A$2:$A$1921,A519)-1</x:f>
        <x:v>0</x:v>
      </x:c>
      <x:c r="AD519" s="2" t="n">
        <x:f>IF(AND(D519=D518,H519=H518,C519=C518+1),ABS(R519-T518),0)</x:f>
        <x:v>0</x:v>
      </x:c>
    </x:row>
    <x:row r="520" ht="23" customHeight="1">
      <x:c r="A520" s="2" t="str">
        <x:v>DEMO-201-1-19</x:v>
      </x:c>
      <x:c r="B520" s="15" t="d">
        <x:v>2026-09-07T00:00:00.000Z</x:v>
      </x:c>
      <x:c r="C520" s="2" t="n">
        <x:v>19</x:v>
      </x:c>
      <x:c r="D520" s="2" t="str">
        <x:v>DEMO-201</x:v>
      </x:c>
      <x:c r="E520" s="2" t="str">
        <x:v>Celebration Box</x:v>
      </x:c>
      <x:c r="F520" s="2" t="str">
        <x:v>Gifting</x:v>
      </x:c>
      <x:c r="G520" s="2" t="str">
        <x:v>Stores</x:v>
      </x:c>
      <x:c r="H520" s="2" t="str">
        <x:v>Riverside</x:v>
      </x:c>
      <x:c r="I520" s="2" t="n">
        <x:v>11</x:v>
      </x:c>
      <x:c r="J520" s="2" t="n">
        <x:v>0</x:v>
      </x:c>
      <x:c r="K520" s="2" t="n">
        <x:f>I520-J520</x:f>
        <x:v>11</x:v>
      </x:c>
      <x:c r="L520" s="16" t="n">
        <x:v>18</x:v>
      </x:c>
      <x:c r="M520" s="16" t="n">
        <x:v>18</x:v>
      </x:c>
      <x:c r="N520" s="16" t="n">
        <x:v>6.48</x:v>
      </x:c>
      <x:c r="O520" s="16" t="n">
        <x:f>K520*M520</x:f>
        <x:v>198</x:v>
      </x:c>
      <x:c r="P520" s="16" t="n">
        <x:f>K520*N520</x:f>
        <x:v>71.28</x:v>
      </x:c>
      <x:c r="Q520" s="16" t="n">
        <x:f>O520-P520</x:f>
        <x:v>126.72</x:v>
      </x:c>
      <x:c r="R520" s="2" t="n">
        <x:v>83</x:v>
      </x:c>
      <x:c r="S520" s="2" t="n">
        <x:v>0</x:v>
      </x:c>
      <x:c r="T520" s="2" t="n">
        <x:f>R520+S520+J520-I520</x:f>
        <x:v>72</x:v>
      </x:c>
      <x:c r="U520" s="2" t="n">
        <x:v>0</x:v>
      </x:c>
      <x:c r="V520" s="2" t="n">
        <x:v>2</x:v>
      </x:c>
      <x:c r="W520" s="2" t="n">
        <x:v>11</x:v>
      </x:c>
      <x:c r="X520" s="14" t="b">
        <x:v>0</x:v>
      </x:c>
      <x:c r="Y520" s="14" t="b">
        <x:v>0</x:v>
      </x:c>
      <x:c r="Z520" s="2" t="n">
        <x:f>ABS(T520-AA520)</x:f>
        <x:v>0</x:v>
      </x:c>
      <x:c r="AA520" s="2" t="n">
        <x:v>72</x:v>
      </x:c>
      <x:c r="AB520" s="2" t="n">
        <x:f>ABS(K520-W520)</x:f>
        <x:v>0</x:v>
      </x:c>
      <x:c r="AC520" s="2" t="n">
        <x:f>COUNTIF($A$2:$A$1921,A520)-1</x:f>
        <x:v>0</x:v>
      </x:c>
      <x:c r="AD520" s="2" t="n">
        <x:f>IF(AND(D520=D519,H520=H519,C520=C519+1),ABS(R520-T519),0)</x:f>
        <x:v>0</x:v>
      </x:c>
    </x:row>
    <x:row r="521" ht="23" customHeight="1">
      <x:c r="A521" s="2" t="str">
        <x:v>DEMO-201-1-20</x:v>
      </x:c>
      <x:c r="B521" s="15" t="d">
        <x:v>2026-09-14T00:00:00.000Z</x:v>
      </x:c>
      <x:c r="C521" s="2" t="n">
        <x:v>20</x:v>
      </x:c>
      <x:c r="D521" s="2" t="str">
        <x:v>DEMO-201</x:v>
      </x:c>
      <x:c r="E521" s="2" t="str">
        <x:v>Celebration Box</x:v>
      </x:c>
      <x:c r="F521" s="2" t="str">
        <x:v>Gifting</x:v>
      </x:c>
      <x:c r="G521" s="2" t="str">
        <x:v>Stores</x:v>
      </x:c>
      <x:c r="H521" s="2" t="str">
        <x:v>Riverside</x:v>
      </x:c>
      <x:c r="I521" s="2" t="n">
        <x:v>10</x:v>
      </x:c>
      <x:c r="J521" s="2" t="n">
        <x:v>0</x:v>
      </x:c>
      <x:c r="K521" s="2" t="n">
        <x:f>I521-J521</x:f>
        <x:v>10</x:v>
      </x:c>
      <x:c r="L521" s="16" t="n">
        <x:v>18</x:v>
      </x:c>
      <x:c r="M521" s="16" t="n">
        <x:v>18</x:v>
      </x:c>
      <x:c r="N521" s="16" t="n">
        <x:v>6.48</x:v>
      </x:c>
      <x:c r="O521" s="16" t="n">
        <x:f>K521*M521</x:f>
        <x:v>180</x:v>
      </x:c>
      <x:c r="P521" s="16" t="n">
        <x:f>K521*N521</x:f>
        <x:v>64.80000000000001</x:v>
      </x:c>
      <x:c r="Q521" s="16" t="n">
        <x:f>O521-P521</x:f>
        <x:v>115.19999999999999</x:v>
      </x:c>
      <x:c r="R521" s="2" t="n">
        <x:v>72</x:v>
      </x:c>
      <x:c r="S521" s="2" t="n">
        <x:v>0</x:v>
      </x:c>
      <x:c r="T521" s="2" t="n">
        <x:f>R521+S521+J521-I521</x:f>
        <x:v>62</x:v>
      </x:c>
      <x:c r="U521" s="2" t="n">
        <x:v>18</x:v>
      </x:c>
      <x:c r="V521" s="2" t="n">
        <x:v>2</x:v>
      </x:c>
      <x:c r="W521" s="2" t="n">
        <x:v>11</x:v>
      </x:c>
      <x:c r="X521" s="14" t="b">
        <x:v>0</x:v>
      </x:c>
      <x:c r="Y521" s="14" t="b">
        <x:v>0</x:v>
      </x:c>
      <x:c r="Z521" s="2" t="n">
        <x:f>ABS(T521-AA521)</x:f>
        <x:v>0</x:v>
      </x:c>
      <x:c r="AA521" s="2" t="n">
        <x:v>62</x:v>
      </x:c>
      <x:c r="AB521" s="2" t="n">
        <x:f>ABS(K521-W521)</x:f>
        <x:v>1</x:v>
      </x:c>
      <x:c r="AC521" s="2" t="n">
        <x:f>COUNTIF($A$2:$A$1921,A521)-1</x:f>
        <x:v>0</x:v>
      </x:c>
      <x:c r="AD521" s="2" t="n">
        <x:f>IF(AND(D521=D520,H521=H520,C521=C520+1),ABS(R521-T520),0)</x:f>
        <x:v>0</x:v>
      </x:c>
    </x:row>
    <x:row r="522" ht="23" customHeight="1">
      <x:c r="A522" s="2" t="str">
        <x:v>DEMO-201-2-1</x:v>
      </x:c>
      <x:c r="B522" s="15" t="d">
        <x:v>2026-05-04T00:00:00.000Z</x:v>
      </x:c>
      <x:c r="C522" s="2" t="n">
        <x:v>1</x:v>
      </x:c>
      <x:c r="D522" s="2" t="str">
        <x:v>DEMO-201</x:v>
      </x:c>
      <x:c r="E522" s="2" t="str">
        <x:v>Celebration Box</x:v>
      </x:c>
      <x:c r="F522" s="2" t="str">
        <x:v>Gifting</x:v>
      </x:c>
      <x:c r="G522" s="2" t="str">
        <x:v>Stores</x:v>
      </x:c>
      <x:c r="H522" s="2" t="str">
        <x:v>Central Market</x:v>
      </x:c>
      <x:c r="I522" s="2" t="n">
        <x:v>11</x:v>
      </x:c>
      <x:c r="J522" s="2" t="n">
        <x:v>0</x:v>
      </x:c>
      <x:c r="K522" s="2" t="n">
        <x:f>I522-J522</x:f>
        <x:v>11</x:v>
      </x:c>
      <x:c r="L522" s="16" t="n">
        <x:v>18</x:v>
      </x:c>
      <x:c r="M522" s="16" t="n">
        <x:v>18</x:v>
      </x:c>
      <x:c r="N522" s="16" t="n">
        <x:v>6.48</x:v>
      </x:c>
      <x:c r="O522" s="16" t="n">
        <x:f>K522*M522</x:f>
        <x:v>198</x:v>
      </x:c>
      <x:c r="P522" s="16" t="n">
        <x:f>K522*N522</x:f>
        <x:v>71.28</x:v>
      </x:c>
      <x:c r="Q522" s="16" t="n">
        <x:f>O522-P522</x:f>
        <x:v>126.72</x:v>
      </x:c>
      <x:c r="R522" s="2" t="n">
        <x:v>90</x:v>
      </x:c>
      <x:c r="S522" s="2" t="n">
        <x:v>46</x:v>
      </x:c>
      <x:c r="T522" s="2" t="n">
        <x:f>R522+S522+J522-I522</x:f>
        <x:v>125</x:v>
      </x:c>
      <x:c r="U522" s="2" t="n">
        <x:v>0</x:v>
      </x:c>
      <x:c r="V522" s="2" t="n">
        <x:v>2</x:v>
      </x:c>
      <x:c r="W522" s="2" t="n">
        <x:v>11</x:v>
      </x:c>
      <x:c r="X522" s="14" t="b">
        <x:v>0</x:v>
      </x:c>
      <x:c r="Y522" s="14" t="b">
        <x:v>0</x:v>
      </x:c>
      <x:c r="Z522" s="2" t="n">
        <x:f>ABS(T522-AA522)</x:f>
        <x:v>0</x:v>
      </x:c>
      <x:c r="AA522" s="2" t="n">
        <x:v>125</x:v>
      </x:c>
      <x:c r="AB522" s="2" t="n">
        <x:f>ABS(K522-W522)</x:f>
        <x:v>0</x:v>
      </x:c>
      <x:c r="AC522" s="2" t="n">
        <x:f>COUNTIF($A$2:$A$1921,A522)-1</x:f>
        <x:v>0</x:v>
      </x:c>
      <x:c r="AD522" s="2" t="n">
        <x:f>IF(AND(D522=D521,H522=H521,C522=C521+1),ABS(R522-T521),0)</x:f>
        <x:v>0</x:v>
      </x:c>
    </x:row>
    <x:row r="523" ht="23" customHeight="1">
      <x:c r="A523" s="2" t="str">
        <x:v>DEMO-201-2-2</x:v>
      </x:c>
      <x:c r="B523" s="15" t="d">
        <x:v>2026-05-11T00:00:00.000Z</x:v>
      </x:c>
      <x:c r="C523" s="2" t="n">
        <x:v>2</x:v>
      </x:c>
      <x:c r="D523" s="2" t="str">
        <x:v>DEMO-201</x:v>
      </x:c>
      <x:c r="E523" s="2" t="str">
        <x:v>Celebration Box</x:v>
      </x:c>
      <x:c r="F523" s="2" t="str">
        <x:v>Gifting</x:v>
      </x:c>
      <x:c r="G523" s="2" t="str">
        <x:v>Stores</x:v>
      </x:c>
      <x:c r="H523" s="2" t="str">
        <x:v>Central Market</x:v>
      </x:c>
      <x:c r="I523" s="2" t="n">
        <x:v>11</x:v>
      </x:c>
      <x:c r="J523" s="2" t="n">
        <x:v>0</x:v>
      </x:c>
      <x:c r="K523" s="2" t="n">
        <x:f>I523-J523</x:f>
        <x:v>11</x:v>
      </x:c>
      <x:c r="L523" s="16" t="n">
        <x:v>18</x:v>
      </x:c>
      <x:c r="M523" s="16" t="n">
        <x:v>18</x:v>
      </x:c>
      <x:c r="N523" s="16" t="n">
        <x:v>6.48</x:v>
      </x:c>
      <x:c r="O523" s="16" t="n">
        <x:f>K523*M523</x:f>
        <x:v>198</x:v>
      </x:c>
      <x:c r="P523" s="16" t="n">
        <x:f>K523*N523</x:f>
        <x:v>71.28</x:v>
      </x:c>
      <x:c r="Q523" s="16" t="n">
        <x:f>O523-P523</x:f>
        <x:v>126.72</x:v>
      </x:c>
      <x:c r="R523" s="2" t="n">
        <x:v>125</x:v>
      </x:c>
      <x:c r="S523" s="2" t="n">
        <x:v>0</x:v>
      </x:c>
      <x:c r="T523" s="2" t="n">
        <x:f>R523+S523+J523-I523</x:f>
        <x:v>114</x:v>
      </x:c>
      <x:c r="U523" s="2" t="n">
        <x:v>0</x:v>
      </x:c>
      <x:c r="V523" s="2" t="n">
        <x:v>2</x:v>
      </x:c>
      <x:c r="W523" s="2" t="n">
        <x:v>11</x:v>
      </x:c>
      <x:c r="X523" s="14" t="b">
        <x:v>0</x:v>
      </x:c>
      <x:c r="Y523" s="14" t="b">
        <x:v>0</x:v>
      </x:c>
      <x:c r="Z523" s="2" t="n">
        <x:f>ABS(T523-AA523)</x:f>
        <x:v>0</x:v>
      </x:c>
      <x:c r="AA523" s="2" t="n">
        <x:v>114</x:v>
      </x:c>
      <x:c r="AB523" s="2" t="n">
        <x:f>ABS(K523-W523)</x:f>
        <x:v>0</x:v>
      </x:c>
      <x:c r="AC523" s="2" t="n">
        <x:f>COUNTIF($A$2:$A$1921,A523)-1</x:f>
        <x:v>0</x:v>
      </x:c>
      <x:c r="AD523" s="2" t="n">
        <x:f>IF(AND(D523=D522,H523=H522,C523=C522+1),ABS(R523-T522),0)</x:f>
        <x:v>0</x:v>
      </x:c>
    </x:row>
    <x:row r="524" ht="23" customHeight="1">
      <x:c r="A524" s="2" t="str">
        <x:v>DEMO-201-2-3</x:v>
      </x:c>
      <x:c r="B524" s="15" t="d">
        <x:v>2026-05-18T00:00:00.000Z</x:v>
      </x:c>
      <x:c r="C524" s="2" t="n">
        <x:v>3</x:v>
      </x:c>
      <x:c r="D524" s="2" t="str">
        <x:v>DEMO-201</x:v>
      </x:c>
      <x:c r="E524" s="2" t="str">
        <x:v>Celebration Box</x:v>
      </x:c>
      <x:c r="F524" s="2" t="str">
        <x:v>Gifting</x:v>
      </x:c>
      <x:c r="G524" s="2" t="str">
        <x:v>Stores</x:v>
      </x:c>
      <x:c r="H524" s="2" t="str">
        <x:v>Central Market</x:v>
      </x:c>
      <x:c r="I524" s="2" t="n">
        <x:v>13</x:v>
      </x:c>
      <x:c r="J524" s="2" t="n">
        <x:v>0</x:v>
      </x:c>
      <x:c r="K524" s="2" t="n">
        <x:f>I524-J524</x:f>
        <x:v>13</x:v>
      </x:c>
      <x:c r="L524" s="16" t="n">
        <x:v>18</x:v>
      </x:c>
      <x:c r="M524" s="16" t="n">
        <x:v>18</x:v>
      </x:c>
      <x:c r="N524" s="16" t="n">
        <x:v>6.48</x:v>
      </x:c>
      <x:c r="O524" s="16" t="n">
        <x:f>K524*M524</x:f>
        <x:v>234</x:v>
      </x:c>
      <x:c r="P524" s="16" t="n">
        <x:f>K524*N524</x:f>
        <x:v>84.24000000000001</x:v>
      </x:c>
      <x:c r="Q524" s="16" t="n">
        <x:f>O524-P524</x:f>
        <x:v>149.76</x:v>
      </x:c>
      <x:c r="R524" s="2" t="n">
        <x:v>114</x:v>
      </x:c>
      <x:c r="S524" s="2" t="n">
        <x:v>0</x:v>
      </x:c>
      <x:c r="T524" s="2" t="n">
        <x:f>R524+S524+J524-I524</x:f>
        <x:v>101</x:v>
      </x:c>
      <x:c r="U524" s="2" t="n">
        <x:v>0</x:v>
      </x:c>
      <x:c r="V524" s="2" t="n">
        <x:v>2</x:v>
      </x:c>
      <x:c r="W524" s="2" t="n">
        <x:v>11</x:v>
      </x:c>
      <x:c r="X524" s="14" t="b">
        <x:v>0</x:v>
      </x:c>
      <x:c r="Y524" s="14" t="b">
        <x:v>0</x:v>
      </x:c>
      <x:c r="Z524" s="2" t="n">
        <x:f>ABS(T524-AA524)</x:f>
        <x:v>0</x:v>
      </x:c>
      <x:c r="AA524" s="2" t="n">
        <x:v>101</x:v>
      </x:c>
      <x:c r="AB524" s="2" t="n">
        <x:f>ABS(K524-W524)</x:f>
        <x:v>2</x:v>
      </x:c>
      <x:c r="AC524" s="2" t="n">
        <x:f>COUNTIF($A$2:$A$1921,A524)-1</x:f>
        <x:v>0</x:v>
      </x:c>
      <x:c r="AD524" s="2" t="n">
        <x:f>IF(AND(D524=D523,H524=H523,C524=C523+1),ABS(R524-T523),0)</x:f>
        <x:v>0</x:v>
      </x:c>
    </x:row>
    <x:row r="525" ht="23" customHeight="1">
      <x:c r="A525" s="2" t="str">
        <x:v>DEMO-201-2-4</x:v>
      </x:c>
      <x:c r="B525" s="15" t="d">
        <x:v>2026-05-25T00:00:00.000Z</x:v>
      </x:c>
      <x:c r="C525" s="2" t="n">
        <x:v>4</x:v>
      </x:c>
      <x:c r="D525" s="2" t="str">
        <x:v>DEMO-201</x:v>
      </x:c>
      <x:c r="E525" s="2" t="str">
        <x:v>Celebration Box</x:v>
      </x:c>
      <x:c r="F525" s="2" t="str">
        <x:v>Gifting</x:v>
      </x:c>
      <x:c r="G525" s="2" t="str">
        <x:v>Stores</x:v>
      </x:c>
      <x:c r="H525" s="2" t="str">
        <x:v>Central Market</x:v>
      </x:c>
      <x:c r="I525" s="2" t="n">
        <x:v>11</x:v>
      </x:c>
      <x:c r="J525" s="2" t="n">
        <x:v>0</x:v>
      </x:c>
      <x:c r="K525" s="2" t="n">
        <x:f>I525-J525</x:f>
        <x:v>11</x:v>
      </x:c>
      <x:c r="L525" s="16" t="n">
        <x:v>18</x:v>
      </x:c>
      <x:c r="M525" s="16" t="n">
        <x:v>18</x:v>
      </x:c>
      <x:c r="N525" s="16" t="n">
        <x:v>6.48</x:v>
      </x:c>
      <x:c r="O525" s="16" t="n">
        <x:f>K525*M525</x:f>
        <x:v>198</x:v>
      </x:c>
      <x:c r="P525" s="16" t="n">
        <x:f>K525*N525</x:f>
        <x:v>71.28</x:v>
      </x:c>
      <x:c r="Q525" s="16" t="n">
        <x:f>O525-P525</x:f>
        <x:v>126.72</x:v>
      </x:c>
      <x:c r="R525" s="2" t="n">
        <x:v>101</x:v>
      </x:c>
      <x:c r="S525" s="2" t="n">
        <x:v>0</x:v>
      </x:c>
      <x:c r="T525" s="2" t="n">
        <x:f>R525+S525+J525-I525</x:f>
        <x:v>90</x:v>
      </x:c>
      <x:c r="U525" s="2" t="n">
        <x:v>0</x:v>
      </x:c>
      <x:c r="V525" s="2" t="n">
        <x:v>2</x:v>
      </x:c>
      <x:c r="W525" s="2" t="n">
        <x:v>12</x:v>
      </x:c>
      <x:c r="X525" s="14" t="b">
        <x:v>0</x:v>
      </x:c>
      <x:c r="Y525" s="14" t="b">
        <x:v>0</x:v>
      </x:c>
      <x:c r="Z525" s="2" t="n">
        <x:f>ABS(T525-AA525)</x:f>
        <x:v>0</x:v>
      </x:c>
      <x:c r="AA525" s="2" t="n">
        <x:v>90</x:v>
      </x:c>
      <x:c r="AB525" s="2" t="n">
        <x:f>ABS(K525-W525)</x:f>
        <x:v>1</x:v>
      </x:c>
      <x:c r="AC525" s="2" t="n">
        <x:f>COUNTIF($A$2:$A$1921,A525)-1</x:f>
        <x:v>0</x:v>
      </x:c>
      <x:c r="AD525" s="2" t="n">
        <x:f>IF(AND(D525=D524,H525=H524,C525=C524+1),ABS(R525-T524),0)</x:f>
        <x:v>0</x:v>
      </x:c>
    </x:row>
    <x:row r="526" ht="23" customHeight="1">
      <x:c r="A526" s="2" t="str">
        <x:v>DEMO-201-2-5</x:v>
      </x:c>
      <x:c r="B526" s="15" t="d">
        <x:v>2026-06-01T00:00:00.000Z</x:v>
      </x:c>
      <x:c r="C526" s="2" t="n">
        <x:v>5</x:v>
      </x:c>
      <x:c r="D526" s="2" t="str">
        <x:v>DEMO-201</x:v>
      </x:c>
      <x:c r="E526" s="2" t="str">
        <x:v>Celebration Box</x:v>
      </x:c>
      <x:c r="F526" s="2" t="str">
        <x:v>Gifting</x:v>
      </x:c>
      <x:c r="G526" s="2" t="str">
        <x:v>Stores</x:v>
      </x:c>
      <x:c r="H526" s="2" t="str">
        <x:v>Central Market</x:v>
      </x:c>
      <x:c r="I526" s="2" t="n">
        <x:v>10</x:v>
      </x:c>
      <x:c r="J526" s="2" t="n">
        <x:v>1</x:v>
      </x:c>
      <x:c r="K526" s="2" t="n">
        <x:f>I526-J526</x:f>
        <x:v>9</x:v>
      </x:c>
      <x:c r="L526" s="16" t="n">
        <x:v>18</x:v>
      </x:c>
      <x:c r="M526" s="16" t="n">
        <x:v>18</x:v>
      </x:c>
      <x:c r="N526" s="16" t="n">
        <x:v>6.48</x:v>
      </x:c>
      <x:c r="O526" s="16" t="n">
        <x:f>K526*M526</x:f>
        <x:v>162</x:v>
      </x:c>
      <x:c r="P526" s="16" t="n">
        <x:f>K526*N526</x:f>
        <x:v>58.32000000000001</x:v>
      </x:c>
      <x:c r="Q526" s="16" t="n">
        <x:f>O526-P526</x:f>
        <x:v>103.67999999999999</x:v>
      </x:c>
      <x:c r="R526" s="2" t="n">
        <x:v>90</x:v>
      </x:c>
      <x:c r="S526" s="2" t="n">
        <x:v>46</x:v>
      </x:c>
      <x:c r="T526" s="2" t="n">
        <x:f>R526+S526+J526-I526</x:f>
        <x:v>127</x:v>
      </x:c>
      <x:c r="U526" s="2" t="n">
        <x:v>0</x:v>
      </x:c>
      <x:c r="V526" s="2" t="n">
        <x:v>2</x:v>
      </x:c>
      <x:c r="W526" s="2" t="n">
        <x:v>12</x:v>
      </x:c>
      <x:c r="X526" s="14" t="b">
        <x:v>0</x:v>
      </x:c>
      <x:c r="Y526" s="14" t="b">
        <x:v>0</x:v>
      </x:c>
      <x:c r="Z526" s="2" t="n">
        <x:f>ABS(T526-AA526)</x:f>
        <x:v>0</x:v>
      </x:c>
      <x:c r="AA526" s="2" t="n">
        <x:v>127</x:v>
      </x:c>
      <x:c r="AB526" s="2" t="n">
        <x:f>ABS(K526-W526)</x:f>
        <x:v>3</x:v>
      </x:c>
      <x:c r="AC526" s="2" t="n">
        <x:f>COUNTIF($A$2:$A$1921,A526)-1</x:f>
        <x:v>0</x:v>
      </x:c>
      <x:c r="AD526" s="2" t="n">
        <x:f>IF(AND(D526=D525,H526=H525,C526=C525+1),ABS(R526-T525),0)</x:f>
        <x:v>0</x:v>
      </x:c>
    </x:row>
    <x:row r="527" ht="23" customHeight="1">
      <x:c r="A527" s="2" t="str">
        <x:v>DEMO-201-2-6</x:v>
      </x:c>
      <x:c r="B527" s="15" t="d">
        <x:v>2026-06-08T00:00:00.000Z</x:v>
      </x:c>
      <x:c r="C527" s="2" t="n">
        <x:v>6</x:v>
      </x:c>
      <x:c r="D527" s="2" t="str">
        <x:v>DEMO-201</x:v>
      </x:c>
      <x:c r="E527" s="2" t="str">
        <x:v>Celebration Box</x:v>
      </x:c>
      <x:c r="F527" s="2" t="str">
        <x:v>Gifting</x:v>
      </x:c>
      <x:c r="G527" s="2" t="str">
        <x:v>Stores</x:v>
      </x:c>
      <x:c r="H527" s="2" t="str">
        <x:v>Central Market</x:v>
      </x:c>
      <x:c r="I527" s="2" t="n">
        <x:v>12</x:v>
      </x:c>
      <x:c r="J527" s="2" t="n">
        <x:v>1</x:v>
      </x:c>
      <x:c r="K527" s="2" t="n">
        <x:f>I527-J527</x:f>
        <x:v>11</x:v>
      </x:c>
      <x:c r="L527" s="16" t="n">
        <x:v>18</x:v>
      </x:c>
      <x:c r="M527" s="16" t="n">
        <x:v>18</x:v>
      </x:c>
      <x:c r="N527" s="16" t="n">
        <x:v>6.48</x:v>
      </x:c>
      <x:c r="O527" s="16" t="n">
        <x:f>K527*M527</x:f>
        <x:v>198</x:v>
      </x:c>
      <x:c r="P527" s="16" t="n">
        <x:f>K527*N527</x:f>
        <x:v>71.28</x:v>
      </x:c>
      <x:c r="Q527" s="16" t="n">
        <x:f>O527-P527</x:f>
        <x:v>126.72</x:v>
      </x:c>
      <x:c r="R527" s="2" t="n">
        <x:v>127</x:v>
      </x:c>
      <x:c r="S527" s="2" t="n">
        <x:v>0</x:v>
      </x:c>
      <x:c r="T527" s="2" t="n">
        <x:f>R527+S527+J527-I527</x:f>
        <x:v>116</x:v>
      </x:c>
      <x:c r="U527" s="2" t="n">
        <x:v>0</x:v>
      </x:c>
      <x:c r="V527" s="2" t="n">
        <x:v>2</x:v>
      </x:c>
      <x:c r="W527" s="2" t="n">
        <x:v>11</x:v>
      </x:c>
      <x:c r="X527" s="14" t="b">
        <x:v>0</x:v>
      </x:c>
      <x:c r="Y527" s="14" t="b">
        <x:v>0</x:v>
      </x:c>
      <x:c r="Z527" s="2" t="n">
        <x:f>ABS(T527-AA527)</x:f>
        <x:v>0</x:v>
      </x:c>
      <x:c r="AA527" s="2" t="n">
        <x:v>116</x:v>
      </x:c>
      <x:c r="AB527" s="2" t="n">
        <x:f>ABS(K527-W527)</x:f>
        <x:v>0</x:v>
      </x:c>
      <x:c r="AC527" s="2" t="n">
        <x:f>COUNTIF($A$2:$A$1921,A527)-1</x:f>
        <x:v>0</x:v>
      </x:c>
      <x:c r="AD527" s="2" t="n">
        <x:f>IF(AND(D527=D526,H527=H526,C527=C526+1),ABS(R527-T526),0)</x:f>
        <x:v>0</x:v>
      </x:c>
    </x:row>
    <x:row r="528" ht="23" customHeight="1">
      <x:c r="A528" s="2" t="str">
        <x:v>DEMO-201-2-7</x:v>
      </x:c>
      <x:c r="B528" s="15" t="d">
        <x:v>2026-06-15T00:00:00.000Z</x:v>
      </x:c>
      <x:c r="C528" s="2" t="n">
        <x:v>7</x:v>
      </x:c>
      <x:c r="D528" s="2" t="str">
        <x:v>DEMO-201</x:v>
      </x:c>
      <x:c r="E528" s="2" t="str">
        <x:v>Celebration Box</x:v>
      </x:c>
      <x:c r="F528" s="2" t="str">
        <x:v>Gifting</x:v>
      </x:c>
      <x:c r="G528" s="2" t="str">
        <x:v>Stores</x:v>
      </x:c>
      <x:c r="H528" s="2" t="str">
        <x:v>Central Market</x:v>
      </x:c>
      <x:c r="I528" s="2" t="n">
        <x:v>11</x:v>
      </x:c>
      <x:c r="J528" s="2" t="n">
        <x:v>0</x:v>
      </x:c>
      <x:c r="K528" s="2" t="n">
        <x:f>I528-J528</x:f>
        <x:v>11</x:v>
      </x:c>
      <x:c r="L528" s="16" t="n">
        <x:v>18</x:v>
      </x:c>
      <x:c r="M528" s="16" t="n">
        <x:v>18</x:v>
      </x:c>
      <x:c r="N528" s="16" t="n">
        <x:v>6.48</x:v>
      </x:c>
      <x:c r="O528" s="16" t="n">
        <x:f>K528*M528</x:f>
        <x:v>198</x:v>
      </x:c>
      <x:c r="P528" s="16" t="n">
        <x:f>K528*N528</x:f>
        <x:v>71.28</x:v>
      </x:c>
      <x:c r="Q528" s="16" t="n">
        <x:f>O528-P528</x:f>
        <x:v>126.72</x:v>
      </x:c>
      <x:c r="R528" s="2" t="n">
        <x:v>116</x:v>
      </x:c>
      <x:c r="S528" s="2" t="n">
        <x:v>0</x:v>
      </x:c>
      <x:c r="T528" s="2" t="n">
        <x:f>R528+S528+J528-I528</x:f>
        <x:v>105</x:v>
      </x:c>
      <x:c r="U528" s="2" t="n">
        <x:v>0</x:v>
      </x:c>
      <x:c r="V528" s="2" t="n">
        <x:v>2</x:v>
      </x:c>
      <x:c r="W528" s="2" t="n">
        <x:v>11</x:v>
      </x:c>
      <x:c r="X528" s="14" t="b">
        <x:v>0</x:v>
      </x:c>
      <x:c r="Y528" s="14" t="b">
        <x:v>0</x:v>
      </x:c>
      <x:c r="Z528" s="2" t="n">
        <x:f>ABS(T528-AA528)</x:f>
        <x:v>0</x:v>
      </x:c>
      <x:c r="AA528" s="2" t="n">
        <x:v>105</x:v>
      </x:c>
      <x:c r="AB528" s="2" t="n">
        <x:f>ABS(K528-W528)</x:f>
        <x:v>0</x:v>
      </x:c>
      <x:c r="AC528" s="2" t="n">
        <x:f>COUNTIF($A$2:$A$1921,A528)-1</x:f>
        <x:v>0</x:v>
      </x:c>
      <x:c r="AD528" s="2" t="n">
        <x:f>IF(AND(D528=D527,H528=H527,C528=C527+1),ABS(R528-T527),0)</x:f>
        <x:v>0</x:v>
      </x:c>
    </x:row>
    <x:row r="529" ht="23" customHeight="1">
      <x:c r="A529" s="2" t="str">
        <x:v>DEMO-201-2-8</x:v>
      </x:c>
      <x:c r="B529" s="15" t="d">
        <x:v>2026-06-22T00:00:00.000Z</x:v>
      </x:c>
      <x:c r="C529" s="2" t="n">
        <x:v>8</x:v>
      </x:c>
      <x:c r="D529" s="2" t="str">
        <x:v>DEMO-201</x:v>
      </x:c>
      <x:c r="E529" s="2" t="str">
        <x:v>Celebration Box</x:v>
      </x:c>
      <x:c r="F529" s="2" t="str">
        <x:v>Gifting</x:v>
      </x:c>
      <x:c r="G529" s="2" t="str">
        <x:v>Stores</x:v>
      </x:c>
      <x:c r="H529" s="2" t="str">
        <x:v>Central Market</x:v>
      </x:c>
      <x:c r="I529" s="2" t="n">
        <x:v>13</x:v>
      </x:c>
      <x:c r="J529" s="2" t="n">
        <x:v>0</x:v>
      </x:c>
      <x:c r="K529" s="2" t="n">
        <x:f>I529-J529</x:f>
        <x:v>13</x:v>
      </x:c>
      <x:c r="L529" s="16" t="n">
        <x:v>18</x:v>
      </x:c>
      <x:c r="M529" s="16" t="n">
        <x:v>18</x:v>
      </x:c>
      <x:c r="N529" s="16" t="n">
        <x:v>6.48</x:v>
      </x:c>
      <x:c r="O529" s="16" t="n">
        <x:f>K529*M529</x:f>
        <x:v>234</x:v>
      </x:c>
      <x:c r="P529" s="16" t="n">
        <x:f>K529*N529</x:f>
        <x:v>84.24000000000001</x:v>
      </x:c>
      <x:c r="Q529" s="16" t="n">
        <x:f>O529-P529</x:f>
        <x:v>149.76</x:v>
      </x:c>
      <x:c r="R529" s="2" t="n">
        <x:v>105</x:v>
      </x:c>
      <x:c r="S529" s="2" t="n">
        <x:v>0</x:v>
      </x:c>
      <x:c r="T529" s="2" t="n">
        <x:f>R529+S529+J529-I529</x:f>
        <x:v>92</x:v>
      </x:c>
      <x:c r="U529" s="2" t="n">
        <x:v>0</x:v>
      </x:c>
      <x:c r="V529" s="2" t="n">
        <x:v>2</x:v>
      </x:c>
      <x:c r="W529" s="2" t="n">
        <x:v>11</x:v>
      </x:c>
      <x:c r="X529" s="14" t="b">
        <x:v>0</x:v>
      </x:c>
      <x:c r="Y529" s="14" t="b">
        <x:v>0</x:v>
      </x:c>
      <x:c r="Z529" s="2" t="n">
        <x:f>ABS(T529-AA529)</x:f>
        <x:v>0</x:v>
      </x:c>
      <x:c r="AA529" s="2" t="n">
        <x:v>92</x:v>
      </x:c>
      <x:c r="AB529" s="2" t="n">
        <x:f>ABS(K529-W529)</x:f>
        <x:v>2</x:v>
      </x:c>
      <x:c r="AC529" s="2" t="n">
        <x:f>COUNTIF($A$2:$A$1921,A529)-1</x:f>
        <x:v>0</x:v>
      </x:c>
      <x:c r="AD529" s="2" t="n">
        <x:f>IF(AND(D529=D528,H529=H528,C529=C528+1),ABS(R529-T528),0)</x:f>
        <x:v>0</x:v>
      </x:c>
    </x:row>
    <x:row r="530" ht="23" customHeight="1">
      <x:c r="A530" s="2" t="str">
        <x:v>DEMO-201-2-9</x:v>
      </x:c>
      <x:c r="B530" s="15" t="d">
        <x:v>2026-06-29T00:00:00.000Z</x:v>
      </x:c>
      <x:c r="C530" s="2" t="n">
        <x:v>9</x:v>
      </x:c>
      <x:c r="D530" s="2" t="str">
        <x:v>DEMO-201</x:v>
      </x:c>
      <x:c r="E530" s="2" t="str">
        <x:v>Celebration Box</x:v>
      </x:c>
      <x:c r="F530" s="2" t="str">
        <x:v>Gifting</x:v>
      </x:c>
      <x:c r="G530" s="2" t="str">
        <x:v>Stores</x:v>
      </x:c>
      <x:c r="H530" s="2" t="str">
        <x:v>Central Market</x:v>
      </x:c>
      <x:c r="I530" s="2" t="n">
        <x:v>9</x:v>
      </x:c>
      <x:c r="J530" s="2" t="n">
        <x:v>0</x:v>
      </x:c>
      <x:c r="K530" s="2" t="n">
        <x:f>I530-J530</x:f>
        <x:v>9</x:v>
      </x:c>
      <x:c r="L530" s="16" t="n">
        <x:v>18</x:v>
      </x:c>
      <x:c r="M530" s="16" t="n">
        <x:v>18</x:v>
      </x:c>
      <x:c r="N530" s="16" t="n">
        <x:v>6.48</x:v>
      </x:c>
      <x:c r="O530" s="16" t="n">
        <x:f>K530*M530</x:f>
        <x:v>162</x:v>
      </x:c>
      <x:c r="P530" s="16" t="n">
        <x:f>K530*N530</x:f>
        <x:v>58.32000000000001</x:v>
      </x:c>
      <x:c r="Q530" s="16" t="n">
        <x:f>O530-P530</x:f>
        <x:v>103.67999999999999</x:v>
      </x:c>
      <x:c r="R530" s="2" t="n">
        <x:v>92</x:v>
      </x:c>
      <x:c r="S530" s="2" t="n">
        <x:v>46</x:v>
      </x:c>
      <x:c r="T530" s="2" t="n">
        <x:f>R530+S530+J530-I530</x:f>
        <x:v>129</x:v>
      </x:c>
      <x:c r="U530" s="2" t="n">
        <x:v>0</x:v>
      </x:c>
      <x:c r="V530" s="2" t="n">
        <x:v>2</x:v>
      </x:c>
      <x:c r="W530" s="2" t="n">
        <x:v>11</x:v>
      </x:c>
      <x:c r="X530" s="14" t="b">
        <x:v>0</x:v>
      </x:c>
      <x:c r="Y530" s="14" t="b">
        <x:v>0</x:v>
      </x:c>
      <x:c r="Z530" s="2" t="n">
        <x:f>ABS(T530-AA530)</x:f>
        <x:v>0</x:v>
      </x:c>
      <x:c r="AA530" s="2" t="n">
        <x:v>129</x:v>
      </x:c>
      <x:c r="AB530" s="2" t="n">
        <x:f>ABS(K530-W530)</x:f>
        <x:v>2</x:v>
      </x:c>
      <x:c r="AC530" s="2" t="n">
        <x:f>COUNTIF($A$2:$A$1921,A530)-1</x:f>
        <x:v>0</x:v>
      </x:c>
      <x:c r="AD530" s="2" t="n">
        <x:f>IF(AND(D530=D529,H530=H529,C530=C529+1),ABS(R530-T529),0)</x:f>
        <x:v>0</x:v>
      </x:c>
    </x:row>
    <x:row r="531" ht="23" customHeight="1">
      <x:c r="A531" s="2" t="str">
        <x:v>DEMO-201-2-10</x:v>
      </x:c>
      <x:c r="B531" s="15" t="d">
        <x:v>2026-07-06T00:00:00.000Z</x:v>
      </x:c>
      <x:c r="C531" s="2" t="n">
        <x:v>10</x:v>
      </x:c>
      <x:c r="D531" s="2" t="str">
        <x:v>DEMO-201</x:v>
      </x:c>
      <x:c r="E531" s="2" t="str">
        <x:v>Celebration Box</x:v>
      </x:c>
      <x:c r="F531" s="2" t="str">
        <x:v>Gifting</x:v>
      </x:c>
      <x:c r="G531" s="2" t="str">
        <x:v>Stores</x:v>
      </x:c>
      <x:c r="H531" s="2" t="str">
        <x:v>Central Market</x:v>
      </x:c>
      <x:c r="I531" s="2" t="n">
        <x:v>11</x:v>
      </x:c>
      <x:c r="J531" s="2" t="n">
        <x:v>0</x:v>
      </x:c>
      <x:c r="K531" s="2" t="n">
        <x:f>I531-J531</x:f>
        <x:v>11</x:v>
      </x:c>
      <x:c r="L531" s="16" t="n">
        <x:v>18</x:v>
      </x:c>
      <x:c r="M531" s="16" t="n">
        <x:v>18</x:v>
      </x:c>
      <x:c r="N531" s="16" t="n">
        <x:v>6.48</x:v>
      </x:c>
      <x:c r="O531" s="16" t="n">
        <x:f>K531*M531</x:f>
        <x:v>198</x:v>
      </x:c>
      <x:c r="P531" s="16" t="n">
        <x:f>K531*N531</x:f>
        <x:v>71.28</x:v>
      </x:c>
      <x:c r="Q531" s="16" t="n">
        <x:f>O531-P531</x:f>
        <x:v>126.72</x:v>
      </x:c>
      <x:c r="R531" s="2" t="n">
        <x:v>129</x:v>
      </x:c>
      <x:c r="S531" s="2" t="n">
        <x:v>0</x:v>
      </x:c>
      <x:c r="T531" s="2" t="n">
        <x:f>R531+S531+J531-I531</x:f>
        <x:v>118</x:v>
      </x:c>
      <x:c r="U531" s="2" t="n">
        <x:v>0</x:v>
      </x:c>
      <x:c r="V531" s="2" t="n">
        <x:v>2</x:v>
      </x:c>
      <x:c r="W531" s="2" t="n">
        <x:v>11</x:v>
      </x:c>
      <x:c r="X531" s="14" t="b">
        <x:v>0</x:v>
      </x:c>
      <x:c r="Y531" s="14" t="b">
        <x:v>0</x:v>
      </x:c>
      <x:c r="Z531" s="2" t="n">
        <x:f>ABS(T531-AA531)</x:f>
        <x:v>0</x:v>
      </x:c>
      <x:c r="AA531" s="2" t="n">
        <x:v>118</x:v>
      </x:c>
      <x:c r="AB531" s="2" t="n">
        <x:f>ABS(K531-W531)</x:f>
        <x:v>0</x:v>
      </x:c>
      <x:c r="AC531" s="2" t="n">
        <x:f>COUNTIF($A$2:$A$1921,A531)-1</x:f>
        <x:v>0</x:v>
      </x:c>
      <x:c r="AD531" s="2" t="n">
        <x:f>IF(AND(D531=D530,H531=H530,C531=C530+1),ABS(R531-T530),0)</x:f>
        <x:v>0</x:v>
      </x:c>
    </x:row>
    <x:row r="532" ht="23" customHeight="1">
      <x:c r="A532" s="2" t="str">
        <x:v>DEMO-201-2-11</x:v>
      </x:c>
      <x:c r="B532" s="15" t="d">
        <x:v>2026-07-13T00:00:00.000Z</x:v>
      </x:c>
      <x:c r="C532" s="2" t="n">
        <x:v>11</x:v>
      </x:c>
      <x:c r="D532" s="2" t="str">
        <x:v>DEMO-201</x:v>
      </x:c>
      <x:c r="E532" s="2" t="str">
        <x:v>Celebration Box</x:v>
      </x:c>
      <x:c r="F532" s="2" t="str">
        <x:v>Gifting</x:v>
      </x:c>
      <x:c r="G532" s="2" t="str">
        <x:v>Stores</x:v>
      </x:c>
      <x:c r="H532" s="2" t="str">
        <x:v>Central Market</x:v>
      </x:c>
      <x:c r="I532" s="2" t="n">
        <x:v>13</x:v>
      </x:c>
      <x:c r="J532" s="2" t="n">
        <x:v>0</x:v>
      </x:c>
      <x:c r="K532" s="2" t="n">
        <x:f>I532-J532</x:f>
        <x:v>13</x:v>
      </x:c>
      <x:c r="L532" s="16" t="n">
        <x:v>18</x:v>
      </x:c>
      <x:c r="M532" s="16" t="n">
        <x:v>18</x:v>
      </x:c>
      <x:c r="N532" s="16" t="n">
        <x:v>6.48</x:v>
      </x:c>
      <x:c r="O532" s="16" t="n">
        <x:f>K532*M532</x:f>
        <x:v>234</x:v>
      </x:c>
      <x:c r="P532" s="16" t="n">
        <x:f>K532*N532</x:f>
        <x:v>84.24000000000001</x:v>
      </x:c>
      <x:c r="Q532" s="16" t="n">
        <x:f>O532-P532</x:f>
        <x:v>149.76</x:v>
      </x:c>
      <x:c r="R532" s="2" t="n">
        <x:v>118</x:v>
      </x:c>
      <x:c r="S532" s="2" t="n">
        <x:v>0</x:v>
      </x:c>
      <x:c r="T532" s="2" t="n">
        <x:f>R532+S532+J532-I532</x:f>
        <x:v>105</x:v>
      </x:c>
      <x:c r="U532" s="2" t="n">
        <x:v>0</x:v>
      </x:c>
      <x:c r="V532" s="2" t="n">
        <x:v>2</x:v>
      </x:c>
      <x:c r="W532" s="2" t="n">
        <x:v>11</x:v>
      </x:c>
      <x:c r="X532" s="14" t="b">
        <x:v>0</x:v>
      </x:c>
      <x:c r="Y532" s="14" t="b">
        <x:v>0</x:v>
      </x:c>
      <x:c r="Z532" s="2" t="n">
        <x:f>ABS(T532-AA532)</x:f>
        <x:v>0</x:v>
      </x:c>
      <x:c r="AA532" s="2" t="n">
        <x:v>105</x:v>
      </x:c>
      <x:c r="AB532" s="2" t="n">
        <x:f>ABS(K532-W532)</x:f>
        <x:v>2</x:v>
      </x:c>
      <x:c r="AC532" s="2" t="n">
        <x:f>COUNTIF($A$2:$A$1921,A532)-1</x:f>
        <x:v>0</x:v>
      </x:c>
      <x:c r="AD532" s="2" t="n">
        <x:f>IF(AND(D532=D531,H532=H531,C532=C531+1),ABS(R532-T531),0)</x:f>
        <x:v>0</x:v>
      </x:c>
    </x:row>
    <x:row r="533" ht="23" customHeight="1">
      <x:c r="A533" s="2" t="str">
        <x:v>DEMO-201-2-12</x:v>
      </x:c>
      <x:c r="B533" s="15" t="d">
        <x:v>2026-07-20T00:00:00.000Z</x:v>
      </x:c>
      <x:c r="C533" s="2" t="n">
        <x:v>12</x:v>
      </x:c>
      <x:c r="D533" s="2" t="str">
        <x:v>DEMO-201</x:v>
      </x:c>
      <x:c r="E533" s="2" t="str">
        <x:v>Celebration Box</x:v>
      </x:c>
      <x:c r="F533" s="2" t="str">
        <x:v>Gifting</x:v>
      </x:c>
      <x:c r="G533" s="2" t="str">
        <x:v>Stores</x:v>
      </x:c>
      <x:c r="H533" s="2" t="str">
        <x:v>Central Market</x:v>
      </x:c>
      <x:c r="I533" s="2" t="n">
        <x:v>26</x:v>
      </x:c>
      <x:c r="J533" s="2" t="n">
        <x:v>0</x:v>
      </x:c>
      <x:c r="K533" s="2" t="n">
        <x:f>I533-J533</x:f>
        <x:v>26</x:v>
      </x:c>
      <x:c r="L533" s="16" t="n">
        <x:v>18</x:v>
      </x:c>
      <x:c r="M533" s="16" t="n">
        <x:v>16.2</x:v>
      </x:c>
      <x:c r="N533" s="16" t="n">
        <x:v>6.48</x:v>
      </x:c>
      <x:c r="O533" s="16" t="n">
        <x:f>K533*M533</x:f>
        <x:v>421.2</x:v>
      </x:c>
      <x:c r="P533" s="16" t="n">
        <x:f>K533*N533</x:f>
        <x:v>168.48000000000002</x:v>
      </x:c>
      <x:c r="Q533" s="16" t="n">
        <x:f>O533-P533</x:f>
        <x:v>252.71999999999997</x:v>
      </x:c>
      <x:c r="R533" s="2" t="n">
        <x:v>105</x:v>
      </x:c>
      <x:c r="S533" s="2" t="n">
        <x:v>0</x:v>
      </x:c>
      <x:c r="T533" s="2" t="n">
        <x:f>R533+S533+J533-I533</x:f>
        <x:v>79</x:v>
      </x:c>
      <x:c r="U533" s="2" t="n">
        <x:v>0</x:v>
      </x:c>
      <x:c r="V533" s="2" t="n">
        <x:v>2</x:v>
      </x:c>
      <x:c r="W533" s="2" t="n">
        <x:v>12</x:v>
      </x:c>
      <x:c r="X533" s="14" t="b">
        <x:v>1</x:v>
      </x:c>
      <x:c r="Y533" s="14" t="b">
        <x:v>0</x:v>
      </x:c>
      <x:c r="Z533" s="2" t="n">
        <x:f>ABS(T533-AA533)</x:f>
        <x:v>0</x:v>
      </x:c>
      <x:c r="AA533" s="2" t="n">
        <x:v>79</x:v>
      </x:c>
      <x:c r="AB533" s="2" t="n">
        <x:f>ABS(K533-W533)</x:f>
        <x:v>14</x:v>
      </x:c>
      <x:c r="AC533" s="2" t="n">
        <x:f>COUNTIF($A$2:$A$1921,A533)-1</x:f>
        <x:v>0</x:v>
      </x:c>
      <x:c r="AD533" s="2" t="n">
        <x:f>IF(AND(D533=D532,H533=H532,C533=C532+1),ABS(R533-T532),0)</x:f>
        <x:v>0</x:v>
      </x:c>
    </x:row>
    <x:row r="534" ht="23" customHeight="1">
      <x:c r="A534" s="2" t="str">
        <x:v>DEMO-201-2-13</x:v>
      </x:c>
      <x:c r="B534" s="15" t="d">
        <x:v>2026-07-27T00:00:00.000Z</x:v>
      </x:c>
      <x:c r="C534" s="2" t="n">
        <x:v>13</x:v>
      </x:c>
      <x:c r="D534" s="2" t="str">
        <x:v>DEMO-201</x:v>
      </x:c>
      <x:c r="E534" s="2" t="str">
        <x:v>Celebration Box</x:v>
      </x:c>
      <x:c r="F534" s="2" t="str">
        <x:v>Gifting</x:v>
      </x:c>
      <x:c r="G534" s="2" t="str">
        <x:v>Stores</x:v>
      </x:c>
      <x:c r="H534" s="2" t="str">
        <x:v>Central Market</x:v>
      </x:c>
      <x:c r="I534" s="2" t="n">
        <x:v>22</x:v>
      </x:c>
      <x:c r="J534" s="2" t="n">
        <x:v>0</x:v>
      </x:c>
      <x:c r="K534" s="2" t="n">
        <x:f>I534-J534</x:f>
        <x:v>22</x:v>
      </x:c>
      <x:c r="L534" s="16" t="n">
        <x:v>18</x:v>
      </x:c>
      <x:c r="M534" s="16" t="n">
        <x:v>16.2</x:v>
      </x:c>
      <x:c r="N534" s="16" t="n">
        <x:v>6.48</x:v>
      </x:c>
      <x:c r="O534" s="16" t="n">
        <x:f>K534*M534</x:f>
        <x:v>356.4</x:v>
      </x:c>
      <x:c r="P534" s="16" t="n">
        <x:f>K534*N534</x:f>
        <x:v>142.56</x:v>
      </x:c>
      <x:c r="Q534" s="16" t="n">
        <x:f>O534-P534</x:f>
        <x:v>213.83999999999997</x:v>
      </x:c>
      <x:c r="R534" s="2" t="n">
        <x:v>79</x:v>
      </x:c>
      <x:c r="S534" s="2" t="n">
        <x:v>46</x:v>
      </x:c>
      <x:c r="T534" s="2" t="n">
        <x:f>R534+S534+J534-I534</x:f>
        <x:v>103</x:v>
      </x:c>
      <x:c r="U534" s="2" t="n">
        <x:v>0</x:v>
      </x:c>
      <x:c r="V534" s="2" t="n">
        <x:v>2</x:v>
      </x:c>
      <x:c r="W534" s="2" t="n">
        <x:v>15</x:v>
      </x:c>
      <x:c r="X534" s="14" t="b">
        <x:v>1</x:v>
      </x:c>
      <x:c r="Y534" s="14" t="b">
        <x:v>0</x:v>
      </x:c>
      <x:c r="Z534" s="2" t="n">
        <x:f>ABS(T534-AA534)</x:f>
        <x:v>0</x:v>
      </x:c>
      <x:c r="AA534" s="2" t="n">
        <x:v>103</x:v>
      </x:c>
      <x:c r="AB534" s="2" t="n">
        <x:f>ABS(K534-W534)</x:f>
        <x:v>7</x:v>
      </x:c>
      <x:c r="AC534" s="2" t="n">
        <x:f>COUNTIF($A$2:$A$1921,A534)-1</x:f>
        <x:v>0</x:v>
      </x:c>
      <x:c r="AD534" s="2" t="n">
        <x:f>IF(AND(D534=D533,H534=H533,C534=C533+1),ABS(R534-T533),0)</x:f>
        <x:v>0</x:v>
      </x:c>
    </x:row>
    <x:row r="535" ht="23" customHeight="1">
      <x:c r="A535" s="2" t="str">
        <x:v>DEMO-201-2-14</x:v>
      </x:c>
      <x:c r="B535" s="15" t="d">
        <x:v>2026-08-03T00:00:00.000Z</x:v>
      </x:c>
      <x:c r="C535" s="2" t="n">
        <x:v>14</x:v>
      </x:c>
      <x:c r="D535" s="2" t="str">
        <x:v>DEMO-201</x:v>
      </x:c>
      <x:c r="E535" s="2" t="str">
        <x:v>Celebration Box</x:v>
      </x:c>
      <x:c r="F535" s="2" t="str">
        <x:v>Gifting</x:v>
      </x:c>
      <x:c r="G535" s="2" t="str">
        <x:v>Stores</x:v>
      </x:c>
      <x:c r="H535" s="2" t="str">
        <x:v>Central Market</x:v>
      </x:c>
      <x:c r="I535" s="2" t="n">
        <x:v>26</x:v>
      </x:c>
      <x:c r="J535" s="2" t="n">
        <x:v>0</x:v>
      </x:c>
      <x:c r="K535" s="2" t="n">
        <x:f>I535-J535</x:f>
        <x:v>26</x:v>
      </x:c>
      <x:c r="L535" s="16" t="n">
        <x:v>18</x:v>
      </x:c>
      <x:c r="M535" s="16" t="n">
        <x:v>16.2</x:v>
      </x:c>
      <x:c r="N535" s="16" t="n">
        <x:v>6.48</x:v>
      </x:c>
      <x:c r="O535" s="16" t="n">
        <x:f>K535*M535</x:f>
        <x:v>421.2</x:v>
      </x:c>
      <x:c r="P535" s="16" t="n">
        <x:f>K535*N535</x:f>
        <x:v>168.48000000000002</x:v>
      </x:c>
      <x:c r="Q535" s="16" t="n">
        <x:f>O535-P535</x:f>
        <x:v>252.71999999999997</x:v>
      </x:c>
      <x:c r="R535" s="2" t="n">
        <x:v>103</x:v>
      </x:c>
      <x:c r="S535" s="2" t="n">
        <x:v>0</x:v>
      </x:c>
      <x:c r="T535" s="2" t="n">
        <x:f>R535+S535+J535-I535</x:f>
        <x:v>77</x:v>
      </x:c>
      <x:c r="U535" s="2" t="n">
        <x:v>0</x:v>
      </x:c>
      <x:c r="V535" s="2" t="n">
        <x:v>2</x:v>
      </x:c>
      <x:c r="W535" s="2" t="n">
        <x:v>18</x:v>
      </x:c>
      <x:c r="X535" s="14" t="b">
        <x:v>1</x:v>
      </x:c>
      <x:c r="Y535" s="14" t="b">
        <x:v>0</x:v>
      </x:c>
      <x:c r="Z535" s="2" t="n">
        <x:f>ABS(T535-AA535)</x:f>
        <x:v>0</x:v>
      </x:c>
      <x:c r="AA535" s="2" t="n">
        <x:v>77</x:v>
      </x:c>
      <x:c r="AB535" s="2" t="n">
        <x:f>ABS(K535-W535)</x:f>
        <x:v>8</x:v>
      </x:c>
      <x:c r="AC535" s="2" t="n">
        <x:f>COUNTIF($A$2:$A$1921,A535)-1</x:f>
        <x:v>0</x:v>
      </x:c>
      <x:c r="AD535" s="2" t="n">
        <x:f>IF(AND(D535=D534,H535=H534,C535=C534+1),ABS(R535-T534),0)</x:f>
        <x:v>0</x:v>
      </x:c>
    </x:row>
    <x:row r="536" ht="23" customHeight="1">
      <x:c r="A536" s="2" t="str">
        <x:v>DEMO-201-2-15</x:v>
      </x:c>
      <x:c r="B536" s="15" t="d">
        <x:v>2026-08-10T00:00:00.000Z</x:v>
      </x:c>
      <x:c r="C536" s="2" t="n">
        <x:v>15</x:v>
      </x:c>
      <x:c r="D536" s="2" t="str">
        <x:v>DEMO-201</x:v>
      </x:c>
      <x:c r="E536" s="2" t="str">
        <x:v>Celebration Box</x:v>
      </x:c>
      <x:c r="F536" s="2" t="str">
        <x:v>Gifting</x:v>
      </x:c>
      <x:c r="G536" s="2" t="str">
        <x:v>Stores</x:v>
      </x:c>
      <x:c r="H536" s="2" t="str">
        <x:v>Central Market</x:v>
      </x:c>
      <x:c r="I536" s="2" t="n">
        <x:v>9</x:v>
      </x:c>
      <x:c r="J536" s="2" t="n">
        <x:v>0</x:v>
      </x:c>
      <x:c r="K536" s="2" t="n">
        <x:f>I536-J536</x:f>
        <x:v>9</x:v>
      </x:c>
      <x:c r="L536" s="16" t="n">
        <x:v>18</x:v>
      </x:c>
      <x:c r="M536" s="16" t="n">
        <x:v>18</x:v>
      </x:c>
      <x:c r="N536" s="16" t="n">
        <x:v>6.48</x:v>
      </x:c>
      <x:c r="O536" s="16" t="n">
        <x:f>K536*M536</x:f>
        <x:v>162</x:v>
      </x:c>
      <x:c r="P536" s="16" t="n">
        <x:f>K536*N536</x:f>
        <x:v>58.32000000000001</x:v>
      </x:c>
      <x:c r="Q536" s="16" t="n">
        <x:f>O536-P536</x:f>
        <x:v>103.67999999999999</x:v>
      </x:c>
      <x:c r="R536" s="2" t="n">
        <x:v>77</x:v>
      </x:c>
      <x:c r="S536" s="2" t="n">
        <x:v>0</x:v>
      </x:c>
      <x:c r="T536" s="2" t="n">
        <x:f>R536+S536+J536-I536</x:f>
        <x:v>68</x:v>
      </x:c>
      <x:c r="U536" s="2" t="n">
        <x:v>0</x:v>
      </x:c>
      <x:c r="V536" s="2" t="n">
        <x:v>2</x:v>
      </x:c>
      <x:c r="W536" s="2" t="n">
        <x:v>22</x:v>
      </x:c>
      <x:c r="X536" s="14" t="b">
        <x:v>0</x:v>
      </x:c>
      <x:c r="Y536" s="14" t="b">
        <x:v>0</x:v>
      </x:c>
      <x:c r="Z536" s="2" t="n">
        <x:f>ABS(T536-AA536)</x:f>
        <x:v>0</x:v>
      </x:c>
      <x:c r="AA536" s="2" t="n">
        <x:v>68</x:v>
      </x:c>
      <x:c r="AB536" s="2" t="n">
        <x:f>ABS(K536-W536)</x:f>
        <x:v>13</x:v>
      </x:c>
      <x:c r="AC536" s="2" t="n">
        <x:f>COUNTIF($A$2:$A$1921,A536)-1</x:f>
        <x:v>0</x:v>
      </x:c>
      <x:c r="AD536" s="2" t="n">
        <x:f>IF(AND(D536=D535,H536=H535,C536=C535+1),ABS(R536-T535),0)</x:f>
        <x:v>0</x:v>
      </x:c>
    </x:row>
    <x:row r="537" ht="23" customHeight="1">
      <x:c r="A537" s="2" t="str">
        <x:v>DEMO-201-2-16</x:v>
      </x:c>
      <x:c r="B537" s="15" t="d">
        <x:v>2026-08-17T00:00:00.000Z</x:v>
      </x:c>
      <x:c r="C537" s="2" t="n">
        <x:v>16</x:v>
      </x:c>
      <x:c r="D537" s="2" t="str">
        <x:v>DEMO-201</x:v>
      </x:c>
      <x:c r="E537" s="2" t="str">
        <x:v>Celebration Box</x:v>
      </x:c>
      <x:c r="F537" s="2" t="str">
        <x:v>Gifting</x:v>
      </x:c>
      <x:c r="G537" s="2" t="str">
        <x:v>Stores</x:v>
      </x:c>
      <x:c r="H537" s="2" t="str">
        <x:v>Central Market</x:v>
      </x:c>
      <x:c r="I537" s="2" t="n">
        <x:v>11</x:v>
      </x:c>
      <x:c r="J537" s="2" t="n">
        <x:v>1</x:v>
      </x:c>
      <x:c r="K537" s="2" t="n">
        <x:f>I537-J537</x:f>
        <x:v>10</x:v>
      </x:c>
      <x:c r="L537" s="16" t="n">
        <x:v>18</x:v>
      </x:c>
      <x:c r="M537" s="16" t="n">
        <x:v>18</x:v>
      </x:c>
      <x:c r="N537" s="16" t="n">
        <x:v>6.48</x:v>
      </x:c>
      <x:c r="O537" s="16" t="n">
        <x:f>K537*M537</x:f>
        <x:v>180</x:v>
      </x:c>
      <x:c r="P537" s="16" t="n">
        <x:f>K537*N537</x:f>
        <x:v>64.80000000000001</x:v>
      </x:c>
      <x:c r="Q537" s="16" t="n">
        <x:f>O537-P537</x:f>
        <x:v>115.19999999999999</x:v>
      </x:c>
      <x:c r="R537" s="2" t="n">
        <x:v>68</x:v>
      </x:c>
      <x:c r="S537" s="2" t="n">
        <x:v>0</x:v>
      </x:c>
      <x:c r="T537" s="2" t="n">
        <x:f>R537+S537+J537-I537</x:f>
        <x:v>58</x:v>
      </x:c>
      <x:c r="U537" s="2" t="n">
        <x:v>0</x:v>
      </x:c>
      <x:c r="V537" s="2" t="n">
        <x:v>2</x:v>
      </x:c>
      <x:c r="W537" s="2" t="n">
        <x:v>21</x:v>
      </x:c>
      <x:c r="X537" s="14" t="b">
        <x:v>0</x:v>
      </x:c>
      <x:c r="Y537" s="14" t="b">
        <x:v>0</x:v>
      </x:c>
      <x:c r="Z537" s="2" t="n">
        <x:f>ABS(T537-AA537)</x:f>
        <x:v>0</x:v>
      </x:c>
      <x:c r="AA537" s="2" t="n">
        <x:v>58</x:v>
      </x:c>
      <x:c r="AB537" s="2" t="n">
        <x:f>ABS(K537-W537)</x:f>
        <x:v>11</x:v>
      </x:c>
      <x:c r="AC537" s="2" t="n">
        <x:f>COUNTIF($A$2:$A$1921,A537)-1</x:f>
        <x:v>0</x:v>
      </x:c>
      <x:c r="AD537" s="2" t="n">
        <x:f>IF(AND(D537=D536,H537=H536,C537=C536+1),ABS(R537-T536),0)</x:f>
        <x:v>0</x:v>
      </x:c>
    </x:row>
    <x:row r="538" ht="23" customHeight="1">
      <x:c r="A538" s="2" t="str">
        <x:v>DEMO-201-2-17</x:v>
      </x:c>
      <x:c r="B538" s="15" t="d">
        <x:v>2026-08-24T00:00:00.000Z</x:v>
      </x:c>
      <x:c r="C538" s="2" t="n">
        <x:v>17</x:v>
      </x:c>
      <x:c r="D538" s="2" t="str">
        <x:v>DEMO-201</x:v>
      </x:c>
      <x:c r="E538" s="2" t="str">
        <x:v>Celebration Box</x:v>
      </x:c>
      <x:c r="F538" s="2" t="str">
        <x:v>Gifting</x:v>
      </x:c>
      <x:c r="G538" s="2" t="str">
        <x:v>Stores</x:v>
      </x:c>
      <x:c r="H538" s="2" t="str">
        <x:v>Central Market</x:v>
      </x:c>
      <x:c r="I538" s="2" t="n">
        <x:v>9</x:v>
      </x:c>
      <x:c r="J538" s="2" t="n">
        <x:v>0</x:v>
      </x:c>
      <x:c r="K538" s="2" t="n">
        <x:f>I538-J538</x:f>
        <x:v>9</x:v>
      </x:c>
      <x:c r="L538" s="16" t="n">
        <x:v>18</x:v>
      </x:c>
      <x:c r="M538" s="16" t="n">
        <x:v>18</x:v>
      </x:c>
      <x:c r="N538" s="16" t="n">
        <x:v>6.48</x:v>
      </x:c>
      <x:c r="O538" s="16" t="n">
        <x:f>K538*M538</x:f>
        <x:v>162</x:v>
      </x:c>
      <x:c r="P538" s="16" t="n">
        <x:f>K538*N538</x:f>
        <x:v>58.32000000000001</x:v>
      </x:c>
      <x:c r="Q538" s="16" t="n">
        <x:f>O538-P538</x:f>
        <x:v>103.67999999999999</x:v>
      </x:c>
      <x:c r="R538" s="2" t="n">
        <x:v>58</x:v>
      </x:c>
      <x:c r="S538" s="2" t="n">
        <x:v>46</x:v>
      </x:c>
      <x:c r="T538" s="2" t="n">
        <x:f>R538+S538+J538-I538</x:f>
        <x:v>95</x:v>
      </x:c>
      <x:c r="U538" s="2" t="n">
        <x:v>0</x:v>
      </x:c>
      <x:c r="V538" s="2" t="n">
        <x:v>2</x:v>
      </x:c>
      <x:c r="W538" s="2" t="n">
        <x:v>17</x:v>
      </x:c>
      <x:c r="X538" s="14" t="b">
        <x:v>0</x:v>
      </x:c>
      <x:c r="Y538" s="14" t="b">
        <x:v>0</x:v>
      </x:c>
      <x:c r="Z538" s="2" t="n">
        <x:f>ABS(T538-AA538)</x:f>
        <x:v>0</x:v>
      </x:c>
      <x:c r="AA538" s="2" t="n">
        <x:v>95</x:v>
      </x:c>
      <x:c r="AB538" s="2" t="n">
        <x:f>ABS(K538-W538)</x:f>
        <x:v>8</x:v>
      </x:c>
      <x:c r="AC538" s="2" t="n">
        <x:f>COUNTIF($A$2:$A$1921,A538)-1</x:f>
        <x:v>0</x:v>
      </x:c>
      <x:c r="AD538" s="2" t="n">
        <x:f>IF(AND(D538=D537,H538=H537,C538=C537+1),ABS(R538-T537),0)</x:f>
        <x:v>0</x:v>
      </x:c>
    </x:row>
    <x:row r="539" ht="23" customHeight="1">
      <x:c r="A539" s="2" t="str">
        <x:v>DEMO-201-2-18</x:v>
      </x:c>
      <x:c r="B539" s="15" t="d">
        <x:v>2026-08-31T00:00:00.000Z</x:v>
      </x:c>
      <x:c r="C539" s="2" t="n">
        <x:v>18</x:v>
      </x:c>
      <x:c r="D539" s="2" t="str">
        <x:v>DEMO-201</x:v>
      </x:c>
      <x:c r="E539" s="2" t="str">
        <x:v>Celebration Box</x:v>
      </x:c>
      <x:c r="F539" s="2" t="str">
        <x:v>Gifting</x:v>
      </x:c>
      <x:c r="G539" s="2" t="str">
        <x:v>Stores</x:v>
      </x:c>
      <x:c r="H539" s="2" t="str">
        <x:v>Central Market</x:v>
      </x:c>
      <x:c r="I539" s="2" t="n">
        <x:v>11</x:v>
      </x:c>
      <x:c r="J539" s="2" t="n">
        <x:v>0</x:v>
      </x:c>
      <x:c r="K539" s="2" t="n">
        <x:f>I539-J539</x:f>
        <x:v>11</x:v>
      </x:c>
      <x:c r="L539" s="16" t="n">
        <x:v>18</x:v>
      </x:c>
      <x:c r="M539" s="16" t="n">
        <x:v>18</x:v>
      </x:c>
      <x:c r="N539" s="16" t="n">
        <x:v>6.48</x:v>
      </x:c>
      <x:c r="O539" s="16" t="n">
        <x:f>K539*M539</x:f>
        <x:v>198</x:v>
      </x:c>
      <x:c r="P539" s="16" t="n">
        <x:f>K539*N539</x:f>
        <x:v>71.28</x:v>
      </x:c>
      <x:c r="Q539" s="16" t="n">
        <x:f>O539-P539</x:f>
        <x:v>126.72</x:v>
      </x:c>
      <x:c r="R539" s="2" t="n">
        <x:v>95</x:v>
      </x:c>
      <x:c r="S539" s="2" t="n">
        <x:v>0</x:v>
      </x:c>
      <x:c r="T539" s="2" t="n">
        <x:f>R539+S539+J539-I539</x:f>
        <x:v>84</x:v>
      </x:c>
      <x:c r="U539" s="2" t="n">
        <x:v>0</x:v>
      </x:c>
      <x:c r="V539" s="2" t="n">
        <x:v>2</x:v>
      </x:c>
      <x:c r="W539" s="2" t="n">
        <x:v>14</x:v>
      </x:c>
      <x:c r="X539" s="14" t="b">
        <x:v>0</x:v>
      </x:c>
      <x:c r="Y539" s="14" t="b">
        <x:v>0</x:v>
      </x:c>
      <x:c r="Z539" s="2" t="n">
        <x:f>ABS(T539-AA539)</x:f>
        <x:v>0</x:v>
      </x:c>
      <x:c r="AA539" s="2" t="n">
        <x:v>84</x:v>
      </x:c>
      <x:c r="AB539" s="2" t="n">
        <x:f>ABS(K539-W539)</x:f>
        <x:v>3</x:v>
      </x:c>
      <x:c r="AC539" s="2" t="n">
        <x:f>COUNTIF($A$2:$A$1921,A539)-1</x:f>
        <x:v>0</x:v>
      </x:c>
      <x:c r="AD539" s="2" t="n">
        <x:f>IF(AND(D539=D538,H539=H538,C539=C538+1),ABS(R539-T538),0)</x:f>
        <x:v>0</x:v>
      </x:c>
    </x:row>
    <x:row r="540" ht="23" customHeight="1">
      <x:c r="A540" s="2" t="str">
        <x:v>DEMO-201-2-19</x:v>
      </x:c>
      <x:c r="B540" s="15" t="d">
        <x:v>2026-09-07T00:00:00.000Z</x:v>
      </x:c>
      <x:c r="C540" s="2" t="n">
        <x:v>19</x:v>
      </x:c>
      <x:c r="D540" s="2" t="str">
        <x:v>DEMO-201</x:v>
      </x:c>
      <x:c r="E540" s="2" t="str">
        <x:v>Celebration Box</x:v>
      </x:c>
      <x:c r="F540" s="2" t="str">
        <x:v>Gifting</x:v>
      </x:c>
      <x:c r="G540" s="2" t="str">
        <x:v>Stores</x:v>
      </x:c>
      <x:c r="H540" s="2" t="str">
        <x:v>Central Market</x:v>
      </x:c>
      <x:c r="I540" s="2" t="n">
        <x:v>11</x:v>
      </x:c>
      <x:c r="J540" s="2" t="n">
        <x:v>0</x:v>
      </x:c>
      <x:c r="K540" s="2" t="n">
        <x:f>I540-J540</x:f>
        <x:v>11</x:v>
      </x:c>
      <x:c r="L540" s="16" t="n">
        <x:v>18</x:v>
      </x:c>
      <x:c r="M540" s="16" t="n">
        <x:v>18</x:v>
      </x:c>
      <x:c r="N540" s="16" t="n">
        <x:v>6.48</x:v>
      </x:c>
      <x:c r="O540" s="16" t="n">
        <x:f>K540*M540</x:f>
        <x:v>198</x:v>
      </x:c>
      <x:c r="P540" s="16" t="n">
        <x:f>K540*N540</x:f>
        <x:v>71.28</x:v>
      </x:c>
      <x:c r="Q540" s="16" t="n">
        <x:f>O540-P540</x:f>
        <x:v>126.72</x:v>
      </x:c>
      <x:c r="R540" s="2" t="n">
        <x:v>84</x:v>
      </x:c>
      <x:c r="S540" s="2" t="n">
        <x:v>0</x:v>
      </x:c>
      <x:c r="T540" s="2" t="n">
        <x:f>R540+S540+J540-I540</x:f>
        <x:v>73</x:v>
      </x:c>
      <x:c r="U540" s="2" t="n">
        <x:v>0</x:v>
      </x:c>
      <x:c r="V540" s="2" t="n">
        <x:v>2</x:v>
      </x:c>
      <x:c r="W540" s="2" t="n">
        <x:v>10</x:v>
      </x:c>
      <x:c r="X540" s="14" t="b">
        <x:v>0</x:v>
      </x:c>
      <x:c r="Y540" s="14" t="b">
        <x:v>0</x:v>
      </x:c>
      <x:c r="Z540" s="2" t="n">
        <x:f>ABS(T540-AA540)</x:f>
        <x:v>0</x:v>
      </x:c>
      <x:c r="AA540" s="2" t="n">
        <x:v>73</x:v>
      </x:c>
      <x:c r="AB540" s="2" t="n">
        <x:f>ABS(K540-W540)</x:f>
        <x:v>1</x:v>
      </x:c>
      <x:c r="AC540" s="2" t="n">
        <x:f>COUNTIF($A$2:$A$1921,A540)-1</x:f>
        <x:v>0</x:v>
      </x:c>
      <x:c r="AD540" s="2" t="n">
        <x:f>IF(AND(D540=D539,H540=H539,C540=C539+1),ABS(R540-T539),0)</x:f>
        <x:v>0</x:v>
      </x:c>
    </x:row>
    <x:row r="541" ht="23" customHeight="1">
      <x:c r="A541" s="2" t="str">
        <x:v>DEMO-201-2-20</x:v>
      </x:c>
      <x:c r="B541" s="15" t="d">
        <x:v>2026-09-14T00:00:00.000Z</x:v>
      </x:c>
      <x:c r="C541" s="2" t="n">
        <x:v>20</x:v>
      </x:c>
      <x:c r="D541" s="2" t="str">
        <x:v>DEMO-201</x:v>
      </x:c>
      <x:c r="E541" s="2" t="str">
        <x:v>Celebration Box</x:v>
      </x:c>
      <x:c r="F541" s="2" t="str">
        <x:v>Gifting</x:v>
      </x:c>
      <x:c r="G541" s="2" t="str">
        <x:v>Stores</x:v>
      </x:c>
      <x:c r="H541" s="2" t="str">
        <x:v>Central Market</x:v>
      </x:c>
      <x:c r="I541" s="2" t="n">
        <x:v>12</x:v>
      </x:c>
      <x:c r="J541" s="2" t="n">
        <x:v>0</x:v>
      </x:c>
      <x:c r="K541" s="2" t="n">
        <x:f>I541-J541</x:f>
        <x:v>12</x:v>
      </x:c>
      <x:c r="L541" s="16" t="n">
        <x:v>18</x:v>
      </x:c>
      <x:c r="M541" s="16" t="n">
        <x:v>18</x:v>
      </x:c>
      <x:c r="N541" s="16" t="n">
        <x:v>6.48</x:v>
      </x:c>
      <x:c r="O541" s="16" t="n">
        <x:f>K541*M541</x:f>
        <x:v>216</x:v>
      </x:c>
      <x:c r="P541" s="16" t="n">
        <x:f>K541*N541</x:f>
        <x:v>77.76</x:v>
      </x:c>
      <x:c r="Q541" s="16" t="n">
        <x:f>O541-P541</x:f>
        <x:v>138.24</x:v>
      </x:c>
      <x:c r="R541" s="2" t="n">
        <x:v>73</x:v>
      </x:c>
      <x:c r="S541" s="2" t="n">
        <x:v>0</x:v>
      </x:c>
      <x:c r="T541" s="2" t="n">
        <x:f>R541+S541+J541-I541</x:f>
        <x:v>61</x:v>
      </x:c>
      <x:c r="U541" s="2" t="n">
        <x:v>18</x:v>
      </x:c>
      <x:c r="V541" s="2" t="n">
        <x:v>2</x:v>
      </x:c>
      <x:c r="W541" s="2" t="n">
        <x:v>10</x:v>
      </x:c>
      <x:c r="X541" s="14" t="b">
        <x:v>0</x:v>
      </x:c>
      <x:c r="Y541" s="14" t="b">
        <x:v>0</x:v>
      </x:c>
      <x:c r="Z541" s="2" t="n">
        <x:f>ABS(T541-AA541)</x:f>
        <x:v>0</x:v>
      </x:c>
      <x:c r="AA541" s="2" t="n">
        <x:v>61</x:v>
      </x:c>
      <x:c r="AB541" s="2" t="n">
        <x:f>ABS(K541-W541)</x:f>
        <x:v>2</x:v>
      </x:c>
      <x:c r="AC541" s="2" t="n">
        <x:f>COUNTIF($A$2:$A$1921,A541)-1</x:f>
        <x:v>0</x:v>
      </x:c>
      <x:c r="AD541" s="2" t="n">
        <x:f>IF(AND(D541=D540,H541=H540,C541=C540+1),ABS(R541-T540),0)</x:f>
        <x:v>0</x:v>
      </x:c>
    </x:row>
    <x:row r="542" ht="23" customHeight="1">
      <x:c r="A542" s="2" t="str">
        <x:v>DEMO-201-3-1</x:v>
      </x:c>
      <x:c r="B542" s="15" t="d">
        <x:v>2026-05-04T00:00:00.000Z</x:v>
      </x:c>
      <x:c r="C542" s="2" t="n">
        <x:v>1</x:v>
      </x:c>
      <x:c r="D542" s="2" t="str">
        <x:v>DEMO-201</x:v>
      </x:c>
      <x:c r="E542" s="2" t="str">
        <x:v>Celebration Box</x:v>
      </x:c>
      <x:c r="F542" s="2" t="str">
        <x:v>Gifting</x:v>
      </x:c>
      <x:c r="G542" s="2" t="str">
        <x:v>Online</x:v>
      </x:c>
      <x:c r="H542" s="2" t="str">
        <x:v>Online</x:v>
      </x:c>
      <x:c r="I542" s="2" t="n">
        <x:v>20</x:v>
      </x:c>
      <x:c r="J542" s="2" t="n">
        <x:v>0</x:v>
      </x:c>
      <x:c r="K542" s="2" t="n">
        <x:f>I542-J542</x:f>
        <x:v>20</x:v>
      </x:c>
      <x:c r="L542" s="16" t="n">
        <x:v>18</x:v>
      </x:c>
      <x:c r="M542" s="16" t="n">
        <x:v>18</x:v>
      </x:c>
      <x:c r="N542" s="16" t="n">
        <x:v>6.48</x:v>
      </x:c>
      <x:c r="O542" s="16" t="n">
        <x:f>K542*M542</x:f>
        <x:v>360</x:v>
      </x:c>
      <x:c r="P542" s="16" t="n">
        <x:f>K542*N542</x:f>
        <x:v>129.60000000000002</x:v>
      </x:c>
      <x:c r="Q542" s="16" t="n">
        <x:f>O542-P542</x:f>
        <x:v>230.39999999999998</x:v>
      </x:c>
      <x:c r="R542" s="2" t="n">
        <x:v>90</x:v>
      </x:c>
      <x:c r="S542" s="2" t="n">
        <x:v>79</x:v>
      </x:c>
      <x:c r="T542" s="2" t="n">
        <x:f>R542+S542+J542-I542</x:f>
        <x:v>149</x:v>
      </x:c>
      <x:c r="U542" s="2" t="n">
        <x:v>0</x:v>
      </x:c>
      <x:c r="V542" s="2" t="n">
        <x:v>2</x:v>
      </x:c>
      <x:c r="W542" s="2" t="n">
        <x:v>19</x:v>
      </x:c>
      <x:c r="X542" s="14" t="b">
        <x:v>0</x:v>
      </x:c>
      <x:c r="Y542" s="14" t="b">
        <x:v>0</x:v>
      </x:c>
      <x:c r="Z542" s="2" t="n">
        <x:f>ABS(T542-AA542)</x:f>
        <x:v>0</x:v>
      </x:c>
      <x:c r="AA542" s="2" t="n">
        <x:v>149</x:v>
      </x:c>
      <x:c r="AB542" s="2" t="n">
        <x:f>ABS(K542-W542)</x:f>
        <x:v>1</x:v>
      </x:c>
      <x:c r="AC542" s="2" t="n">
        <x:f>COUNTIF($A$2:$A$1921,A542)-1</x:f>
        <x:v>0</x:v>
      </x:c>
      <x:c r="AD542" s="2" t="n">
        <x:f>IF(AND(D542=D541,H542=H541,C542=C541+1),ABS(R542-T541),0)</x:f>
        <x:v>0</x:v>
      </x:c>
    </x:row>
    <x:row r="543" ht="23" customHeight="1">
      <x:c r="A543" s="2" t="str">
        <x:v>DEMO-201-3-2</x:v>
      </x:c>
      <x:c r="B543" s="15" t="d">
        <x:v>2026-05-11T00:00:00.000Z</x:v>
      </x:c>
      <x:c r="C543" s="2" t="n">
        <x:v>2</x:v>
      </x:c>
      <x:c r="D543" s="2" t="str">
        <x:v>DEMO-201</x:v>
      </x:c>
      <x:c r="E543" s="2" t="str">
        <x:v>Celebration Box</x:v>
      </x:c>
      <x:c r="F543" s="2" t="str">
        <x:v>Gifting</x:v>
      </x:c>
      <x:c r="G543" s="2" t="str">
        <x:v>Online</x:v>
      </x:c>
      <x:c r="H543" s="2" t="str">
        <x:v>Online</x:v>
      </x:c>
      <x:c r="I543" s="2" t="n">
        <x:v>18</x:v>
      </x:c>
      <x:c r="J543" s="2" t="n">
        <x:v>0</x:v>
      </x:c>
      <x:c r="K543" s="2" t="n">
        <x:f>I543-J543</x:f>
        <x:v>18</x:v>
      </x:c>
      <x:c r="L543" s="16" t="n">
        <x:v>18</x:v>
      </x:c>
      <x:c r="M543" s="16" t="n">
        <x:v>18</x:v>
      </x:c>
      <x:c r="N543" s="16" t="n">
        <x:v>6.48</x:v>
      </x:c>
      <x:c r="O543" s="16" t="n">
        <x:f>K543*M543</x:f>
        <x:v>324</x:v>
      </x:c>
      <x:c r="P543" s="16" t="n">
        <x:f>K543*N543</x:f>
        <x:v>116.64000000000001</x:v>
      </x:c>
      <x:c r="Q543" s="16" t="n">
        <x:f>O543-P543</x:f>
        <x:v>207.35999999999999</x:v>
      </x:c>
      <x:c r="R543" s="2" t="n">
        <x:v>149</x:v>
      </x:c>
      <x:c r="S543" s="2" t="n">
        <x:v>0</x:v>
      </x:c>
      <x:c r="T543" s="2" t="n">
        <x:f>R543+S543+J543-I543</x:f>
        <x:v>131</x:v>
      </x:c>
      <x:c r="U543" s="2" t="n">
        <x:v>0</x:v>
      </x:c>
      <x:c r="V543" s="2" t="n">
        <x:v>2</x:v>
      </x:c>
      <x:c r="W543" s="2" t="n">
        <x:v>20</x:v>
      </x:c>
      <x:c r="X543" s="14" t="b">
        <x:v>0</x:v>
      </x:c>
      <x:c r="Y543" s="14" t="b">
        <x:v>0</x:v>
      </x:c>
      <x:c r="Z543" s="2" t="n">
        <x:f>ABS(T543-AA543)</x:f>
        <x:v>0</x:v>
      </x:c>
      <x:c r="AA543" s="2" t="n">
        <x:v>131</x:v>
      </x:c>
      <x:c r="AB543" s="2" t="n">
        <x:f>ABS(K543-W543)</x:f>
        <x:v>2</x:v>
      </x:c>
      <x:c r="AC543" s="2" t="n">
        <x:f>COUNTIF($A$2:$A$1921,A543)-1</x:f>
        <x:v>0</x:v>
      </x:c>
      <x:c r="AD543" s="2" t="n">
        <x:f>IF(AND(D543=D542,H543=H542,C543=C542+1),ABS(R543-T542),0)</x:f>
        <x:v>0</x:v>
      </x:c>
    </x:row>
    <x:row r="544" ht="23" customHeight="1">
      <x:c r="A544" s="2" t="str">
        <x:v>DEMO-201-3-3</x:v>
      </x:c>
      <x:c r="B544" s="15" t="d">
        <x:v>2026-05-18T00:00:00.000Z</x:v>
      </x:c>
      <x:c r="C544" s="2" t="n">
        <x:v>3</x:v>
      </x:c>
      <x:c r="D544" s="2" t="str">
        <x:v>DEMO-201</x:v>
      </x:c>
      <x:c r="E544" s="2" t="str">
        <x:v>Celebration Box</x:v>
      </x:c>
      <x:c r="F544" s="2" t="str">
        <x:v>Gifting</x:v>
      </x:c>
      <x:c r="G544" s="2" t="str">
        <x:v>Online</x:v>
      </x:c>
      <x:c r="H544" s="2" t="str">
        <x:v>Online</x:v>
      </x:c>
      <x:c r="I544" s="2" t="n">
        <x:v>19</x:v>
      </x:c>
      <x:c r="J544" s="2" t="n">
        <x:v>0</x:v>
      </x:c>
      <x:c r="K544" s="2" t="n">
        <x:f>I544-J544</x:f>
        <x:v>19</x:v>
      </x:c>
      <x:c r="L544" s="16" t="n">
        <x:v>18</x:v>
      </x:c>
      <x:c r="M544" s="16" t="n">
        <x:v>18</x:v>
      </x:c>
      <x:c r="N544" s="16" t="n">
        <x:v>6.48</x:v>
      </x:c>
      <x:c r="O544" s="16" t="n">
        <x:f>K544*M544</x:f>
        <x:v>342</x:v>
      </x:c>
      <x:c r="P544" s="16" t="n">
        <x:f>K544*N544</x:f>
        <x:v>123.12</x:v>
      </x:c>
      <x:c r="Q544" s="16" t="n">
        <x:f>O544-P544</x:f>
        <x:v>218.88</x:v>
      </x:c>
      <x:c r="R544" s="2" t="n">
        <x:v>131</x:v>
      </x:c>
      <x:c r="S544" s="2" t="n">
        <x:v>0</x:v>
      </x:c>
      <x:c r="T544" s="2" t="n">
        <x:f>R544+S544+J544-I544</x:f>
        <x:v>112</x:v>
      </x:c>
      <x:c r="U544" s="2" t="n">
        <x:v>0</x:v>
      </x:c>
      <x:c r="V544" s="2" t="n">
        <x:v>2</x:v>
      </x:c>
      <x:c r="W544" s="2" t="n">
        <x:v>19</x:v>
      </x:c>
      <x:c r="X544" s="14" t="b">
        <x:v>0</x:v>
      </x:c>
      <x:c r="Y544" s="14" t="b">
        <x:v>0</x:v>
      </x:c>
      <x:c r="Z544" s="2" t="n">
        <x:f>ABS(T544-AA544)</x:f>
        <x:v>0</x:v>
      </x:c>
      <x:c r="AA544" s="2" t="n">
        <x:v>112</x:v>
      </x:c>
      <x:c r="AB544" s="2" t="n">
        <x:f>ABS(K544-W544)</x:f>
        <x:v>0</x:v>
      </x:c>
      <x:c r="AC544" s="2" t="n">
        <x:f>COUNTIF($A$2:$A$1921,A544)-1</x:f>
        <x:v>0</x:v>
      </x:c>
      <x:c r="AD544" s="2" t="n">
        <x:f>IF(AND(D544=D543,H544=H543,C544=C543+1),ABS(R544-T543),0)</x:f>
        <x:v>0</x:v>
      </x:c>
    </x:row>
    <x:row r="545" ht="23" customHeight="1">
      <x:c r="A545" s="2" t="str">
        <x:v>DEMO-201-3-4</x:v>
      </x:c>
      <x:c r="B545" s="15" t="d">
        <x:v>2026-05-25T00:00:00.000Z</x:v>
      </x:c>
      <x:c r="C545" s="2" t="n">
        <x:v>4</x:v>
      </x:c>
      <x:c r="D545" s="2" t="str">
        <x:v>DEMO-201</x:v>
      </x:c>
      <x:c r="E545" s="2" t="str">
        <x:v>Celebration Box</x:v>
      </x:c>
      <x:c r="F545" s="2" t="str">
        <x:v>Gifting</x:v>
      </x:c>
      <x:c r="G545" s="2" t="str">
        <x:v>Online</x:v>
      </x:c>
      <x:c r="H545" s="2" t="str">
        <x:v>Online</x:v>
      </x:c>
      <x:c r="I545" s="2" t="n">
        <x:v>21</x:v>
      </x:c>
      <x:c r="J545" s="2" t="n">
        <x:v>0</x:v>
      </x:c>
      <x:c r="K545" s="2" t="n">
        <x:f>I545-J545</x:f>
        <x:v>21</x:v>
      </x:c>
      <x:c r="L545" s="16" t="n">
        <x:v>18</x:v>
      </x:c>
      <x:c r="M545" s="16" t="n">
        <x:v>18</x:v>
      </x:c>
      <x:c r="N545" s="16" t="n">
        <x:v>6.48</x:v>
      </x:c>
      <x:c r="O545" s="16" t="n">
        <x:f>K545*M545</x:f>
        <x:v>378</x:v>
      </x:c>
      <x:c r="P545" s="16" t="n">
        <x:f>K545*N545</x:f>
        <x:v>136.08</x:v>
      </x:c>
      <x:c r="Q545" s="16" t="n">
        <x:f>O545-P545</x:f>
        <x:v>241.92</x:v>
      </x:c>
      <x:c r="R545" s="2" t="n">
        <x:v>112</x:v>
      </x:c>
      <x:c r="S545" s="2" t="n">
        <x:v>0</x:v>
      </x:c>
      <x:c r="T545" s="2" t="n">
        <x:f>R545+S545+J545-I545</x:f>
        <x:v>91</x:v>
      </x:c>
      <x:c r="U545" s="2" t="n">
        <x:v>0</x:v>
      </x:c>
      <x:c r="V545" s="2" t="n">
        <x:v>2</x:v>
      </x:c>
      <x:c r="W545" s="2" t="n">
        <x:v>19</x:v>
      </x:c>
      <x:c r="X545" s="14" t="b">
        <x:v>0</x:v>
      </x:c>
      <x:c r="Y545" s="14" t="b">
        <x:v>0</x:v>
      </x:c>
      <x:c r="Z545" s="2" t="n">
        <x:f>ABS(T545-AA545)</x:f>
        <x:v>0</x:v>
      </x:c>
      <x:c r="AA545" s="2" t="n">
        <x:v>91</x:v>
      </x:c>
      <x:c r="AB545" s="2" t="n">
        <x:f>ABS(K545-W545)</x:f>
        <x:v>2</x:v>
      </x:c>
      <x:c r="AC545" s="2" t="n">
        <x:f>COUNTIF($A$2:$A$1921,A545)-1</x:f>
        <x:v>0</x:v>
      </x:c>
      <x:c r="AD545" s="2" t="n">
        <x:f>IF(AND(D545=D544,H545=H544,C545=C544+1),ABS(R545-T544),0)</x:f>
        <x:v>0</x:v>
      </x:c>
    </x:row>
    <x:row r="546" ht="23" customHeight="1">
      <x:c r="A546" s="2" t="str">
        <x:v>DEMO-201-3-5</x:v>
      </x:c>
      <x:c r="B546" s="15" t="d">
        <x:v>2026-06-01T00:00:00.000Z</x:v>
      </x:c>
      <x:c r="C546" s="2" t="n">
        <x:v>5</x:v>
      </x:c>
      <x:c r="D546" s="2" t="str">
        <x:v>DEMO-201</x:v>
      </x:c>
      <x:c r="E546" s="2" t="str">
        <x:v>Celebration Box</x:v>
      </x:c>
      <x:c r="F546" s="2" t="str">
        <x:v>Gifting</x:v>
      </x:c>
      <x:c r="G546" s="2" t="str">
        <x:v>Online</x:v>
      </x:c>
      <x:c r="H546" s="2" t="str">
        <x:v>Online</x:v>
      </x:c>
      <x:c r="I546" s="2" t="n">
        <x:v>16</x:v>
      </x:c>
      <x:c r="J546" s="2" t="n">
        <x:v>0</x:v>
      </x:c>
      <x:c r="K546" s="2" t="n">
        <x:f>I546-J546</x:f>
        <x:v>16</x:v>
      </x:c>
      <x:c r="L546" s="16" t="n">
        <x:v>18</x:v>
      </x:c>
      <x:c r="M546" s="16" t="n">
        <x:v>18</x:v>
      </x:c>
      <x:c r="N546" s="16" t="n">
        <x:v>6.48</x:v>
      </x:c>
      <x:c r="O546" s="16" t="n">
        <x:f>K546*M546</x:f>
        <x:v>288</x:v>
      </x:c>
      <x:c r="P546" s="16" t="n">
        <x:f>K546*N546</x:f>
        <x:v>103.68</x:v>
      </x:c>
      <x:c r="Q546" s="16" t="n">
        <x:f>O546-P546</x:f>
        <x:v>184.32</x:v>
      </x:c>
      <x:c r="R546" s="2" t="n">
        <x:v>91</x:v>
      </x:c>
      <x:c r="S546" s="2" t="n">
        <x:v>79</x:v>
      </x:c>
      <x:c r="T546" s="2" t="n">
        <x:f>R546+S546+J546-I546</x:f>
        <x:v>154</x:v>
      </x:c>
      <x:c r="U546" s="2" t="n">
        <x:v>0</x:v>
      </x:c>
      <x:c r="V546" s="2" t="n">
        <x:v>2</x:v>
      </x:c>
      <x:c r="W546" s="2" t="n">
        <x:v>20</x:v>
      </x:c>
      <x:c r="X546" s="14" t="b">
        <x:v>0</x:v>
      </x:c>
      <x:c r="Y546" s="14" t="b">
        <x:v>0</x:v>
      </x:c>
      <x:c r="Z546" s="2" t="n">
        <x:f>ABS(T546-AA546)</x:f>
        <x:v>0</x:v>
      </x:c>
      <x:c r="AA546" s="2" t="n">
        <x:v>154</x:v>
      </x:c>
      <x:c r="AB546" s="2" t="n">
        <x:f>ABS(K546-W546)</x:f>
        <x:v>4</x:v>
      </x:c>
      <x:c r="AC546" s="2" t="n">
        <x:f>COUNTIF($A$2:$A$1921,A546)-1</x:f>
        <x:v>0</x:v>
      </x:c>
      <x:c r="AD546" s="2" t="n">
        <x:f>IF(AND(D546=D545,H546=H545,C546=C545+1),ABS(R546-T545),0)</x:f>
        <x:v>0</x:v>
      </x:c>
    </x:row>
    <x:row r="547" ht="23" customHeight="1">
      <x:c r="A547" s="2" t="str">
        <x:v>DEMO-201-3-6</x:v>
      </x:c>
      <x:c r="B547" s="15" t="d">
        <x:v>2026-06-08T00:00:00.000Z</x:v>
      </x:c>
      <x:c r="C547" s="2" t="n">
        <x:v>6</x:v>
      </x:c>
      <x:c r="D547" s="2" t="str">
        <x:v>DEMO-201</x:v>
      </x:c>
      <x:c r="E547" s="2" t="str">
        <x:v>Celebration Box</x:v>
      </x:c>
      <x:c r="F547" s="2" t="str">
        <x:v>Gifting</x:v>
      </x:c>
      <x:c r="G547" s="2" t="str">
        <x:v>Online</x:v>
      </x:c>
      <x:c r="H547" s="2" t="str">
        <x:v>Online</x:v>
      </x:c>
      <x:c r="I547" s="2" t="n">
        <x:v>19</x:v>
      </x:c>
      <x:c r="J547" s="2" t="n">
        <x:v>0</x:v>
      </x:c>
      <x:c r="K547" s="2" t="n">
        <x:f>I547-J547</x:f>
        <x:v>19</x:v>
      </x:c>
      <x:c r="L547" s="16" t="n">
        <x:v>18</x:v>
      </x:c>
      <x:c r="M547" s="16" t="n">
        <x:v>18</x:v>
      </x:c>
      <x:c r="N547" s="16" t="n">
        <x:v>6.48</x:v>
      </x:c>
      <x:c r="O547" s="16" t="n">
        <x:f>K547*M547</x:f>
        <x:v>342</x:v>
      </x:c>
      <x:c r="P547" s="16" t="n">
        <x:f>K547*N547</x:f>
        <x:v>123.12</x:v>
      </x:c>
      <x:c r="Q547" s="16" t="n">
        <x:f>O547-P547</x:f>
        <x:v>218.88</x:v>
      </x:c>
      <x:c r="R547" s="2" t="n">
        <x:v>154</x:v>
      </x:c>
      <x:c r="S547" s="2" t="n">
        <x:v>0</x:v>
      </x:c>
      <x:c r="T547" s="2" t="n">
        <x:f>R547+S547+J547-I547</x:f>
        <x:v>135</x:v>
      </x:c>
      <x:c r="U547" s="2" t="n">
        <x:v>0</x:v>
      </x:c>
      <x:c r="V547" s="2" t="n">
        <x:v>2</x:v>
      </x:c>
      <x:c r="W547" s="2" t="n">
        <x:v>19</x:v>
      </x:c>
      <x:c r="X547" s="14" t="b">
        <x:v>0</x:v>
      </x:c>
      <x:c r="Y547" s="14" t="b">
        <x:v>0</x:v>
      </x:c>
      <x:c r="Z547" s="2" t="n">
        <x:f>ABS(T547-AA547)</x:f>
        <x:v>0</x:v>
      </x:c>
      <x:c r="AA547" s="2" t="n">
        <x:v>135</x:v>
      </x:c>
      <x:c r="AB547" s="2" t="n">
        <x:f>ABS(K547-W547)</x:f>
        <x:v>0</x:v>
      </x:c>
      <x:c r="AC547" s="2" t="n">
        <x:f>COUNTIF($A$2:$A$1921,A547)-1</x:f>
        <x:v>0</x:v>
      </x:c>
      <x:c r="AD547" s="2" t="n">
        <x:f>IF(AND(D547=D546,H547=H546,C547=C546+1),ABS(R547-T546),0)</x:f>
        <x:v>0</x:v>
      </x:c>
    </x:row>
    <x:row r="548" ht="23" customHeight="1">
      <x:c r="A548" s="2" t="str">
        <x:v>DEMO-201-3-7</x:v>
      </x:c>
      <x:c r="B548" s="15" t="d">
        <x:v>2026-06-15T00:00:00.000Z</x:v>
      </x:c>
      <x:c r="C548" s="2" t="n">
        <x:v>7</x:v>
      </x:c>
      <x:c r="D548" s="2" t="str">
        <x:v>DEMO-201</x:v>
      </x:c>
      <x:c r="E548" s="2" t="str">
        <x:v>Celebration Box</x:v>
      </x:c>
      <x:c r="F548" s="2" t="str">
        <x:v>Gifting</x:v>
      </x:c>
      <x:c r="G548" s="2" t="str">
        <x:v>Online</x:v>
      </x:c>
      <x:c r="H548" s="2" t="str">
        <x:v>Online</x:v>
      </x:c>
      <x:c r="I548" s="2" t="n">
        <x:v>18</x:v>
      </x:c>
      <x:c r="J548" s="2" t="n">
        <x:v>0</x:v>
      </x:c>
      <x:c r="K548" s="2" t="n">
        <x:f>I548-J548</x:f>
        <x:v>18</x:v>
      </x:c>
      <x:c r="L548" s="16" t="n">
        <x:v>18</x:v>
      </x:c>
      <x:c r="M548" s="16" t="n">
        <x:v>18</x:v>
      </x:c>
      <x:c r="N548" s="16" t="n">
        <x:v>6.48</x:v>
      </x:c>
      <x:c r="O548" s="16" t="n">
        <x:f>K548*M548</x:f>
        <x:v>324</x:v>
      </x:c>
      <x:c r="P548" s="16" t="n">
        <x:f>K548*N548</x:f>
        <x:v>116.64000000000001</x:v>
      </x:c>
      <x:c r="Q548" s="16" t="n">
        <x:f>O548-P548</x:f>
        <x:v>207.35999999999999</x:v>
      </x:c>
      <x:c r="R548" s="2" t="n">
        <x:v>135</x:v>
      </x:c>
      <x:c r="S548" s="2" t="n">
        <x:v>0</x:v>
      </x:c>
      <x:c r="T548" s="2" t="n">
        <x:f>R548+S548+J548-I548</x:f>
        <x:v>117</x:v>
      </x:c>
      <x:c r="U548" s="2" t="n">
        <x:v>0</x:v>
      </x:c>
      <x:c r="V548" s="2" t="n">
        <x:v>2</x:v>
      </x:c>
      <x:c r="W548" s="2" t="n">
        <x:v>19</x:v>
      </x:c>
      <x:c r="X548" s="14" t="b">
        <x:v>0</x:v>
      </x:c>
      <x:c r="Y548" s="14" t="b">
        <x:v>0</x:v>
      </x:c>
      <x:c r="Z548" s="2" t="n">
        <x:f>ABS(T548-AA548)</x:f>
        <x:v>0</x:v>
      </x:c>
      <x:c r="AA548" s="2" t="n">
        <x:v>117</x:v>
      </x:c>
      <x:c r="AB548" s="2" t="n">
        <x:f>ABS(K548-W548)</x:f>
        <x:v>1</x:v>
      </x:c>
      <x:c r="AC548" s="2" t="n">
        <x:f>COUNTIF($A$2:$A$1921,A548)-1</x:f>
        <x:v>0</x:v>
      </x:c>
      <x:c r="AD548" s="2" t="n">
        <x:f>IF(AND(D548=D547,H548=H547,C548=C547+1),ABS(R548-T547),0)</x:f>
        <x:v>0</x:v>
      </x:c>
    </x:row>
    <x:row r="549" ht="23" customHeight="1">
      <x:c r="A549" s="2" t="str">
        <x:v>DEMO-201-3-8</x:v>
      </x:c>
      <x:c r="B549" s="15" t="d">
        <x:v>2026-06-22T00:00:00.000Z</x:v>
      </x:c>
      <x:c r="C549" s="2" t="n">
        <x:v>8</x:v>
      </x:c>
      <x:c r="D549" s="2" t="str">
        <x:v>DEMO-201</x:v>
      </x:c>
      <x:c r="E549" s="2" t="str">
        <x:v>Celebration Box</x:v>
      </x:c>
      <x:c r="F549" s="2" t="str">
        <x:v>Gifting</x:v>
      </x:c>
      <x:c r="G549" s="2" t="str">
        <x:v>Online</x:v>
      </x:c>
      <x:c r="H549" s="2" t="str">
        <x:v>Online</x:v>
      </x:c>
      <x:c r="I549" s="2" t="n">
        <x:v>16</x:v>
      </x:c>
      <x:c r="J549" s="2" t="n">
        <x:v>0</x:v>
      </x:c>
      <x:c r="K549" s="2" t="n">
        <x:f>I549-J549</x:f>
        <x:v>16</x:v>
      </x:c>
      <x:c r="L549" s="16" t="n">
        <x:v>18</x:v>
      </x:c>
      <x:c r="M549" s="16" t="n">
        <x:v>18</x:v>
      </x:c>
      <x:c r="N549" s="16" t="n">
        <x:v>6.48</x:v>
      </x:c>
      <x:c r="O549" s="16" t="n">
        <x:f>K549*M549</x:f>
        <x:v>288</x:v>
      </x:c>
      <x:c r="P549" s="16" t="n">
        <x:f>K549*N549</x:f>
        <x:v>103.68</x:v>
      </x:c>
      <x:c r="Q549" s="16" t="n">
        <x:f>O549-P549</x:f>
        <x:v>184.32</x:v>
      </x:c>
      <x:c r="R549" s="2" t="n">
        <x:v>117</x:v>
      </x:c>
      <x:c r="S549" s="2" t="n">
        <x:v>0</x:v>
      </x:c>
      <x:c r="T549" s="2" t="n">
        <x:f>R549+S549+J549-I549</x:f>
        <x:v>101</x:v>
      </x:c>
      <x:c r="U549" s="2" t="n">
        <x:v>0</x:v>
      </x:c>
      <x:c r="V549" s="2" t="n">
        <x:v>2</x:v>
      </x:c>
      <x:c r="W549" s="2" t="n">
        <x:v>19</x:v>
      </x:c>
      <x:c r="X549" s="14" t="b">
        <x:v>0</x:v>
      </x:c>
      <x:c r="Y549" s="14" t="b">
        <x:v>0</x:v>
      </x:c>
      <x:c r="Z549" s="2" t="n">
        <x:f>ABS(T549-AA549)</x:f>
        <x:v>0</x:v>
      </x:c>
      <x:c r="AA549" s="2" t="n">
        <x:v>101</x:v>
      </x:c>
      <x:c r="AB549" s="2" t="n">
        <x:f>ABS(K549-W549)</x:f>
        <x:v>3</x:v>
      </x:c>
      <x:c r="AC549" s="2" t="n">
        <x:f>COUNTIF($A$2:$A$1921,A549)-1</x:f>
        <x:v>0</x:v>
      </x:c>
      <x:c r="AD549" s="2" t="n">
        <x:f>IF(AND(D549=D548,H549=H548,C549=C548+1),ABS(R549-T548),0)</x:f>
        <x:v>0</x:v>
      </x:c>
    </x:row>
    <x:row r="550" ht="23" customHeight="1">
      <x:c r="A550" s="2" t="str">
        <x:v>DEMO-201-3-9</x:v>
      </x:c>
      <x:c r="B550" s="15" t="d">
        <x:v>2026-06-29T00:00:00.000Z</x:v>
      </x:c>
      <x:c r="C550" s="2" t="n">
        <x:v>9</x:v>
      </x:c>
      <x:c r="D550" s="2" t="str">
        <x:v>DEMO-201</x:v>
      </x:c>
      <x:c r="E550" s="2" t="str">
        <x:v>Celebration Box</x:v>
      </x:c>
      <x:c r="F550" s="2" t="str">
        <x:v>Gifting</x:v>
      </x:c>
      <x:c r="G550" s="2" t="str">
        <x:v>Online</x:v>
      </x:c>
      <x:c r="H550" s="2" t="str">
        <x:v>Online</x:v>
      </x:c>
      <x:c r="I550" s="2" t="n">
        <x:v>18</x:v>
      </x:c>
      <x:c r="J550" s="2" t="n">
        <x:v>0</x:v>
      </x:c>
      <x:c r="K550" s="2" t="n">
        <x:f>I550-J550</x:f>
        <x:v>18</x:v>
      </x:c>
      <x:c r="L550" s="16" t="n">
        <x:v>18</x:v>
      </x:c>
      <x:c r="M550" s="16" t="n">
        <x:v>18</x:v>
      </x:c>
      <x:c r="N550" s="16" t="n">
        <x:v>6.48</x:v>
      </x:c>
      <x:c r="O550" s="16" t="n">
        <x:f>K550*M550</x:f>
        <x:v>324</x:v>
      </x:c>
      <x:c r="P550" s="16" t="n">
        <x:f>K550*N550</x:f>
        <x:v>116.64000000000001</x:v>
      </x:c>
      <x:c r="Q550" s="16" t="n">
        <x:f>O550-P550</x:f>
        <x:v>207.35999999999999</x:v>
      </x:c>
      <x:c r="R550" s="2" t="n">
        <x:v>101</x:v>
      </x:c>
      <x:c r="S550" s="2" t="n">
        <x:v>79</x:v>
      </x:c>
      <x:c r="T550" s="2" t="n">
        <x:f>R550+S550+J550-I550</x:f>
        <x:v>162</x:v>
      </x:c>
      <x:c r="U550" s="2" t="n">
        <x:v>0</x:v>
      </x:c>
      <x:c r="V550" s="2" t="n">
        <x:v>2</x:v>
      </x:c>
      <x:c r="W550" s="2" t="n">
        <x:v>17</x:v>
      </x:c>
      <x:c r="X550" s="14" t="b">
        <x:v>0</x:v>
      </x:c>
      <x:c r="Y550" s="14" t="b">
        <x:v>0</x:v>
      </x:c>
      <x:c r="Z550" s="2" t="n">
        <x:f>ABS(T550-AA550)</x:f>
        <x:v>0</x:v>
      </x:c>
      <x:c r="AA550" s="2" t="n">
        <x:v>162</x:v>
      </x:c>
      <x:c r="AB550" s="2" t="n">
        <x:f>ABS(K550-W550)</x:f>
        <x:v>1</x:v>
      </x:c>
      <x:c r="AC550" s="2" t="n">
        <x:f>COUNTIF($A$2:$A$1921,A550)-1</x:f>
        <x:v>0</x:v>
      </x:c>
      <x:c r="AD550" s="2" t="n">
        <x:f>IF(AND(D550=D549,H550=H549,C550=C549+1),ABS(R550-T549),0)</x:f>
        <x:v>0</x:v>
      </x:c>
    </x:row>
    <x:row r="551" ht="23" customHeight="1">
      <x:c r="A551" s="2" t="str">
        <x:v>DEMO-201-3-10</x:v>
      </x:c>
      <x:c r="B551" s="15" t="d">
        <x:v>2026-07-06T00:00:00.000Z</x:v>
      </x:c>
      <x:c r="C551" s="2" t="n">
        <x:v>10</x:v>
      </x:c>
      <x:c r="D551" s="2" t="str">
        <x:v>DEMO-201</x:v>
      </x:c>
      <x:c r="E551" s="2" t="str">
        <x:v>Celebration Box</x:v>
      </x:c>
      <x:c r="F551" s="2" t="str">
        <x:v>Gifting</x:v>
      </x:c>
      <x:c r="G551" s="2" t="str">
        <x:v>Online</x:v>
      </x:c>
      <x:c r="H551" s="2" t="str">
        <x:v>Online</x:v>
      </x:c>
      <x:c r="I551" s="2" t="n">
        <x:v>17</x:v>
      </x:c>
      <x:c r="J551" s="2" t="n">
        <x:v>0</x:v>
      </x:c>
      <x:c r="K551" s="2" t="n">
        <x:f>I551-J551</x:f>
        <x:v>17</x:v>
      </x:c>
      <x:c r="L551" s="16" t="n">
        <x:v>18</x:v>
      </x:c>
      <x:c r="M551" s="16" t="n">
        <x:v>18</x:v>
      </x:c>
      <x:c r="N551" s="16" t="n">
        <x:v>6.48</x:v>
      </x:c>
      <x:c r="O551" s="16" t="n">
        <x:f>K551*M551</x:f>
        <x:v>306</x:v>
      </x:c>
      <x:c r="P551" s="16" t="n">
        <x:f>K551*N551</x:f>
        <x:v>110.16000000000001</x:v>
      </x:c>
      <x:c r="Q551" s="16" t="n">
        <x:f>O551-P551</x:f>
        <x:v>195.83999999999997</x:v>
      </x:c>
      <x:c r="R551" s="2" t="n">
        <x:v>162</x:v>
      </x:c>
      <x:c r="S551" s="2" t="n">
        <x:v>0</x:v>
      </x:c>
      <x:c r="T551" s="2" t="n">
        <x:f>R551+S551+J551-I551</x:f>
        <x:v>145</x:v>
      </x:c>
      <x:c r="U551" s="2" t="n">
        <x:v>0</x:v>
      </x:c>
      <x:c r="V551" s="2" t="n">
        <x:v>2</x:v>
      </x:c>
      <x:c r="W551" s="2" t="n">
        <x:v>18</x:v>
      </x:c>
      <x:c r="X551" s="14" t="b">
        <x:v>0</x:v>
      </x:c>
      <x:c r="Y551" s="14" t="b">
        <x:v>0</x:v>
      </x:c>
      <x:c r="Z551" s="2" t="n">
        <x:f>ABS(T551-AA551)</x:f>
        <x:v>0</x:v>
      </x:c>
      <x:c r="AA551" s="2" t="n">
        <x:v>145</x:v>
      </x:c>
      <x:c r="AB551" s="2" t="n">
        <x:f>ABS(K551-W551)</x:f>
        <x:v>1</x:v>
      </x:c>
      <x:c r="AC551" s="2" t="n">
        <x:f>COUNTIF($A$2:$A$1921,A551)-1</x:f>
        <x:v>0</x:v>
      </x:c>
      <x:c r="AD551" s="2" t="n">
        <x:f>IF(AND(D551=D550,H551=H550,C551=C550+1),ABS(R551-T550),0)</x:f>
        <x:v>0</x:v>
      </x:c>
    </x:row>
    <x:row r="552" ht="23" customHeight="1">
      <x:c r="A552" s="2" t="str">
        <x:v>DEMO-201-3-11</x:v>
      </x:c>
      <x:c r="B552" s="15" t="d">
        <x:v>2026-07-13T00:00:00.000Z</x:v>
      </x:c>
      <x:c r="C552" s="2" t="n">
        <x:v>11</x:v>
      </x:c>
      <x:c r="D552" s="2" t="str">
        <x:v>DEMO-201</x:v>
      </x:c>
      <x:c r="E552" s="2" t="str">
        <x:v>Celebration Box</x:v>
      </x:c>
      <x:c r="F552" s="2" t="str">
        <x:v>Gifting</x:v>
      </x:c>
      <x:c r="G552" s="2" t="str">
        <x:v>Online</x:v>
      </x:c>
      <x:c r="H552" s="2" t="str">
        <x:v>Online</x:v>
      </x:c>
      <x:c r="I552" s="2" t="n">
        <x:v>22</x:v>
      </x:c>
      <x:c r="J552" s="2" t="n">
        <x:v>1</x:v>
      </x:c>
      <x:c r="K552" s="2" t="n">
        <x:f>I552-J552</x:f>
        <x:v>21</x:v>
      </x:c>
      <x:c r="L552" s="16" t="n">
        <x:v>18</x:v>
      </x:c>
      <x:c r="M552" s="16" t="n">
        <x:v>18</x:v>
      </x:c>
      <x:c r="N552" s="16" t="n">
        <x:v>6.48</x:v>
      </x:c>
      <x:c r="O552" s="16" t="n">
        <x:f>K552*M552</x:f>
        <x:v>378</x:v>
      </x:c>
      <x:c r="P552" s="16" t="n">
        <x:f>K552*N552</x:f>
        <x:v>136.08</x:v>
      </x:c>
      <x:c r="Q552" s="16" t="n">
        <x:f>O552-P552</x:f>
        <x:v>241.92</x:v>
      </x:c>
      <x:c r="R552" s="2" t="n">
        <x:v>145</x:v>
      </x:c>
      <x:c r="S552" s="2" t="n">
        <x:v>0</x:v>
      </x:c>
      <x:c r="T552" s="2" t="n">
        <x:f>R552+S552+J552-I552</x:f>
        <x:v>124</x:v>
      </x:c>
      <x:c r="U552" s="2" t="n">
        <x:v>0</x:v>
      </x:c>
      <x:c r="V552" s="2" t="n">
        <x:v>2</x:v>
      </x:c>
      <x:c r="W552" s="2" t="n">
        <x:v>17</x:v>
      </x:c>
      <x:c r="X552" s="14" t="b">
        <x:v>0</x:v>
      </x:c>
      <x:c r="Y552" s="14" t="b">
        <x:v>0</x:v>
      </x:c>
      <x:c r="Z552" s="2" t="n">
        <x:f>ABS(T552-AA552)</x:f>
        <x:v>0</x:v>
      </x:c>
      <x:c r="AA552" s="2" t="n">
        <x:v>124</x:v>
      </x:c>
      <x:c r="AB552" s="2" t="n">
        <x:f>ABS(K552-W552)</x:f>
        <x:v>4</x:v>
      </x:c>
      <x:c r="AC552" s="2" t="n">
        <x:f>COUNTIF($A$2:$A$1921,A552)-1</x:f>
        <x:v>0</x:v>
      </x:c>
      <x:c r="AD552" s="2" t="n">
        <x:f>IF(AND(D552=D551,H552=H551,C552=C551+1),ABS(R552-T551),0)</x:f>
        <x:v>0</x:v>
      </x:c>
    </x:row>
    <x:row r="553" ht="23" customHeight="1">
      <x:c r="A553" s="2" t="str">
        <x:v>DEMO-201-3-12</x:v>
      </x:c>
      <x:c r="B553" s="15" t="d">
        <x:v>2026-07-20T00:00:00.000Z</x:v>
      </x:c>
      <x:c r="C553" s="2" t="n">
        <x:v>12</x:v>
      </x:c>
      <x:c r="D553" s="2" t="str">
        <x:v>DEMO-201</x:v>
      </x:c>
      <x:c r="E553" s="2" t="str">
        <x:v>Celebration Box</x:v>
      </x:c>
      <x:c r="F553" s="2" t="str">
        <x:v>Gifting</x:v>
      </x:c>
      <x:c r="G553" s="2" t="str">
        <x:v>Online</x:v>
      </x:c>
      <x:c r="H553" s="2" t="str">
        <x:v>Online</x:v>
      </x:c>
      <x:c r="I553" s="2" t="n">
        <x:v>47</x:v>
      </x:c>
      <x:c r="J553" s="2" t="n">
        <x:v>0</x:v>
      </x:c>
      <x:c r="K553" s="2" t="n">
        <x:f>I553-J553</x:f>
        <x:v>47</x:v>
      </x:c>
      <x:c r="L553" s="16" t="n">
        <x:v>18</x:v>
      </x:c>
      <x:c r="M553" s="16" t="n">
        <x:v>16.2</x:v>
      </x:c>
      <x:c r="N553" s="16" t="n">
        <x:v>6.48</x:v>
      </x:c>
      <x:c r="O553" s="16" t="n">
        <x:f>K553*M553</x:f>
        <x:v>761.4</x:v>
      </x:c>
      <x:c r="P553" s="16" t="n">
        <x:f>K553*N553</x:f>
        <x:v>304.56</x:v>
      </x:c>
      <x:c r="Q553" s="16" t="n">
        <x:f>O553-P553</x:f>
        <x:v>456.84</x:v>
      </x:c>
      <x:c r="R553" s="2" t="n">
        <x:v>124</x:v>
      </x:c>
      <x:c r="S553" s="2" t="n">
        <x:v>0</x:v>
      </x:c>
      <x:c r="T553" s="2" t="n">
        <x:f>R553+S553+J553-I553</x:f>
        <x:v>77</x:v>
      </x:c>
      <x:c r="U553" s="2" t="n">
        <x:v>0</x:v>
      </x:c>
      <x:c r="V553" s="2" t="n">
        <x:v>2</x:v>
      </x:c>
      <x:c r="W553" s="2" t="n">
        <x:v>18</x:v>
      </x:c>
      <x:c r="X553" s="14" t="b">
        <x:v>1</x:v>
      </x:c>
      <x:c r="Y553" s="14" t="b">
        <x:v>0</x:v>
      </x:c>
      <x:c r="Z553" s="2" t="n">
        <x:f>ABS(T553-AA553)</x:f>
        <x:v>0</x:v>
      </x:c>
      <x:c r="AA553" s="2" t="n">
        <x:v>77</x:v>
      </x:c>
      <x:c r="AB553" s="2" t="n">
        <x:f>ABS(K553-W553)</x:f>
        <x:v>29</x:v>
      </x:c>
      <x:c r="AC553" s="2" t="n">
        <x:f>COUNTIF($A$2:$A$1921,A553)-1</x:f>
        <x:v>0</x:v>
      </x:c>
      <x:c r="AD553" s="2" t="n">
        <x:f>IF(AND(D553=D552,H553=H552,C553=C552+1),ABS(R553-T552),0)</x:f>
        <x:v>0</x:v>
      </x:c>
    </x:row>
    <x:row r="554" ht="23" customHeight="1">
      <x:c r="A554" s="2" t="str">
        <x:v>DEMO-201-3-13</x:v>
      </x:c>
      <x:c r="B554" s="15" t="d">
        <x:v>2026-07-27T00:00:00.000Z</x:v>
      </x:c>
      <x:c r="C554" s="2" t="n">
        <x:v>13</x:v>
      </x:c>
      <x:c r="D554" s="2" t="str">
        <x:v>DEMO-201</x:v>
      </x:c>
      <x:c r="E554" s="2" t="str">
        <x:v>Celebration Box</x:v>
      </x:c>
      <x:c r="F554" s="2" t="str">
        <x:v>Gifting</x:v>
      </x:c>
      <x:c r="G554" s="2" t="str">
        <x:v>Online</x:v>
      </x:c>
      <x:c r="H554" s="2" t="str">
        <x:v>Online</x:v>
      </x:c>
      <x:c r="I554" s="2" t="n">
        <x:v>43</x:v>
      </x:c>
      <x:c r="J554" s="2" t="n">
        <x:v>0</x:v>
      </x:c>
      <x:c r="K554" s="2" t="n">
        <x:f>I554-J554</x:f>
        <x:v>43</x:v>
      </x:c>
      <x:c r="L554" s="16" t="n">
        <x:v>18</x:v>
      </x:c>
      <x:c r="M554" s="16" t="n">
        <x:v>16.2</x:v>
      </x:c>
      <x:c r="N554" s="16" t="n">
        <x:v>6.48</x:v>
      </x:c>
      <x:c r="O554" s="16" t="n">
        <x:f>K554*M554</x:f>
        <x:v>696.6</x:v>
      </x:c>
      <x:c r="P554" s="16" t="n">
        <x:f>K554*N554</x:f>
        <x:v>278.64000000000004</x:v>
      </x:c>
      <x:c r="Q554" s="16" t="n">
        <x:f>O554-P554</x:f>
        <x:v>417.96</x:v>
      </x:c>
      <x:c r="R554" s="2" t="n">
        <x:v>77</x:v>
      </x:c>
      <x:c r="S554" s="2" t="n">
        <x:v>79</x:v>
      </x:c>
      <x:c r="T554" s="2" t="n">
        <x:f>R554+S554+J554-I554</x:f>
        <x:v>113</x:v>
      </x:c>
      <x:c r="U554" s="2" t="n">
        <x:v>0</x:v>
      </x:c>
      <x:c r="V554" s="2" t="n">
        <x:v>2</x:v>
      </x:c>
      <x:c r="W554" s="2" t="n">
        <x:v>26</x:v>
      </x:c>
      <x:c r="X554" s="14" t="b">
        <x:v>1</x:v>
      </x:c>
      <x:c r="Y554" s="14" t="b">
        <x:v>0</x:v>
      </x:c>
      <x:c r="Z554" s="2" t="n">
        <x:f>ABS(T554-AA554)</x:f>
        <x:v>0</x:v>
      </x:c>
      <x:c r="AA554" s="2" t="n">
        <x:v>113</x:v>
      </x:c>
      <x:c r="AB554" s="2" t="n">
        <x:f>ABS(K554-W554)</x:f>
        <x:v>17</x:v>
      </x:c>
      <x:c r="AC554" s="2" t="n">
        <x:f>COUNTIF($A$2:$A$1921,A554)-1</x:f>
        <x:v>0</x:v>
      </x:c>
      <x:c r="AD554" s="2" t="n">
        <x:f>IF(AND(D554=D553,H554=H553,C554=C553+1),ABS(R554-T553),0)</x:f>
        <x:v>0</x:v>
      </x:c>
    </x:row>
    <x:row r="555" ht="23" customHeight="1">
      <x:c r="A555" s="2" t="str">
        <x:v>DEMO-201-3-14</x:v>
      </x:c>
      <x:c r="B555" s="15" t="d">
        <x:v>2026-08-03T00:00:00.000Z</x:v>
      </x:c>
      <x:c r="C555" s="2" t="n">
        <x:v>14</x:v>
      </x:c>
      <x:c r="D555" s="2" t="str">
        <x:v>DEMO-201</x:v>
      </x:c>
      <x:c r="E555" s="2" t="str">
        <x:v>Celebration Box</x:v>
      </x:c>
      <x:c r="F555" s="2" t="str">
        <x:v>Gifting</x:v>
      </x:c>
      <x:c r="G555" s="2" t="str">
        <x:v>Online</x:v>
      </x:c>
      <x:c r="H555" s="2" t="str">
        <x:v>Online</x:v>
      </x:c>
      <x:c r="I555" s="2" t="n">
        <x:v>36</x:v>
      </x:c>
      <x:c r="J555" s="2" t="n">
        <x:v>0</x:v>
      </x:c>
      <x:c r="K555" s="2" t="n">
        <x:f>I555-J555</x:f>
        <x:v>36</x:v>
      </x:c>
      <x:c r="L555" s="16" t="n">
        <x:v>18</x:v>
      </x:c>
      <x:c r="M555" s="16" t="n">
        <x:v>16.2</x:v>
      </x:c>
      <x:c r="N555" s="16" t="n">
        <x:v>6.48</x:v>
      </x:c>
      <x:c r="O555" s="16" t="n">
        <x:f>K555*M555</x:f>
        <x:v>583.1999999999999</x:v>
      </x:c>
      <x:c r="P555" s="16" t="n">
        <x:f>K555*N555</x:f>
        <x:v>233.28000000000003</x:v>
      </x:c>
      <x:c r="Q555" s="16" t="n">
        <x:f>O555-P555</x:f>
        <x:v>349.9199999999999</x:v>
      </x:c>
      <x:c r="R555" s="2" t="n">
        <x:v>113</x:v>
      </x:c>
      <x:c r="S555" s="2" t="n">
        <x:v>0</x:v>
      </x:c>
      <x:c r="T555" s="2" t="n">
        <x:f>R555+S555+J555-I555</x:f>
        <x:v>77</x:v>
      </x:c>
      <x:c r="U555" s="2" t="n">
        <x:v>0</x:v>
      </x:c>
      <x:c r="V555" s="2" t="n">
        <x:v>2</x:v>
      </x:c>
      <x:c r="W555" s="2" t="n">
        <x:v>32</x:v>
      </x:c>
      <x:c r="X555" s="14" t="b">
        <x:v>1</x:v>
      </x:c>
      <x:c r="Y555" s="14" t="b">
        <x:v>0</x:v>
      </x:c>
      <x:c r="Z555" s="2" t="n">
        <x:f>ABS(T555-AA555)</x:f>
        <x:v>0</x:v>
      </x:c>
      <x:c r="AA555" s="2" t="n">
        <x:v>77</x:v>
      </x:c>
      <x:c r="AB555" s="2" t="n">
        <x:f>ABS(K555-W555)</x:f>
        <x:v>4</x:v>
      </x:c>
      <x:c r="AC555" s="2" t="n">
        <x:f>COUNTIF($A$2:$A$1921,A555)-1</x:f>
        <x:v>0</x:v>
      </x:c>
      <x:c r="AD555" s="2" t="n">
        <x:f>IF(AND(D555=D554,H555=H554,C555=C554+1),ABS(R555-T554),0)</x:f>
        <x:v>0</x:v>
      </x:c>
    </x:row>
    <x:row r="556" ht="23" customHeight="1">
      <x:c r="A556" s="2" t="str">
        <x:v>DEMO-201-3-15</x:v>
      </x:c>
      <x:c r="B556" s="15" t="d">
        <x:v>2026-08-10T00:00:00.000Z</x:v>
      </x:c>
      <x:c r="C556" s="2" t="n">
        <x:v>15</x:v>
      </x:c>
      <x:c r="D556" s="2" t="str">
        <x:v>DEMO-201</x:v>
      </x:c>
      <x:c r="E556" s="2" t="str">
        <x:v>Celebration Box</x:v>
      </x:c>
      <x:c r="F556" s="2" t="str">
        <x:v>Gifting</x:v>
      </x:c>
      <x:c r="G556" s="2" t="str">
        <x:v>Online</x:v>
      </x:c>
      <x:c r="H556" s="2" t="str">
        <x:v>Online</x:v>
      </x:c>
      <x:c r="I556" s="2" t="n">
        <x:v>19</x:v>
      </x:c>
      <x:c r="J556" s="2" t="n">
        <x:v>0</x:v>
      </x:c>
      <x:c r="K556" s="2" t="n">
        <x:f>I556-J556</x:f>
        <x:v>19</x:v>
      </x:c>
      <x:c r="L556" s="16" t="n">
        <x:v>18</x:v>
      </x:c>
      <x:c r="M556" s="16" t="n">
        <x:v>18</x:v>
      </x:c>
      <x:c r="N556" s="16" t="n">
        <x:v>6.48</x:v>
      </x:c>
      <x:c r="O556" s="16" t="n">
        <x:f>K556*M556</x:f>
        <x:v>342</x:v>
      </x:c>
      <x:c r="P556" s="16" t="n">
        <x:f>K556*N556</x:f>
        <x:v>123.12</x:v>
      </x:c>
      <x:c r="Q556" s="16" t="n">
        <x:f>O556-P556</x:f>
        <x:v>218.88</x:v>
      </x:c>
      <x:c r="R556" s="2" t="n">
        <x:v>77</x:v>
      </x:c>
      <x:c r="S556" s="2" t="n">
        <x:v>0</x:v>
      </x:c>
      <x:c r="T556" s="2" t="n">
        <x:f>R556+S556+J556-I556</x:f>
        <x:v>58</x:v>
      </x:c>
      <x:c r="U556" s="2" t="n">
        <x:v>0</x:v>
      </x:c>
      <x:c r="V556" s="2" t="n">
        <x:v>2</x:v>
      </x:c>
      <x:c r="W556" s="2" t="n">
        <x:v>37</x:v>
      </x:c>
      <x:c r="X556" s="14" t="b">
        <x:v>0</x:v>
      </x:c>
      <x:c r="Y556" s="14" t="b">
        <x:v>0</x:v>
      </x:c>
      <x:c r="Z556" s="2" t="n">
        <x:f>ABS(T556-AA556)</x:f>
        <x:v>0</x:v>
      </x:c>
      <x:c r="AA556" s="2" t="n">
        <x:v>58</x:v>
      </x:c>
      <x:c r="AB556" s="2" t="n">
        <x:f>ABS(K556-W556)</x:f>
        <x:v>18</x:v>
      </x:c>
      <x:c r="AC556" s="2" t="n">
        <x:f>COUNTIF($A$2:$A$1921,A556)-1</x:f>
        <x:v>0</x:v>
      </x:c>
      <x:c r="AD556" s="2" t="n">
        <x:f>IF(AND(D556=D555,H556=H555,C556=C555+1),ABS(R556-T555),0)</x:f>
        <x:v>0</x:v>
      </x:c>
    </x:row>
    <x:row r="557" ht="23" customHeight="1">
      <x:c r="A557" s="2" t="str">
        <x:v>DEMO-201-3-16</x:v>
      </x:c>
      <x:c r="B557" s="15" t="d">
        <x:v>2026-08-17T00:00:00.000Z</x:v>
      </x:c>
      <x:c r="C557" s="2" t="n">
        <x:v>16</x:v>
      </x:c>
      <x:c r="D557" s="2" t="str">
        <x:v>DEMO-201</x:v>
      </x:c>
      <x:c r="E557" s="2" t="str">
        <x:v>Celebration Box</x:v>
      </x:c>
      <x:c r="F557" s="2" t="str">
        <x:v>Gifting</x:v>
      </x:c>
      <x:c r="G557" s="2" t="str">
        <x:v>Online</x:v>
      </x:c>
      <x:c r="H557" s="2" t="str">
        <x:v>Online</x:v>
      </x:c>
      <x:c r="I557" s="2" t="n">
        <x:v>18</x:v>
      </x:c>
      <x:c r="J557" s="2" t="n">
        <x:v>0</x:v>
      </x:c>
      <x:c r="K557" s="2" t="n">
        <x:f>I557-J557</x:f>
        <x:v>18</x:v>
      </x:c>
      <x:c r="L557" s="16" t="n">
        <x:v>18</x:v>
      </x:c>
      <x:c r="M557" s="16" t="n">
        <x:v>18</x:v>
      </x:c>
      <x:c r="N557" s="16" t="n">
        <x:v>6.48</x:v>
      </x:c>
      <x:c r="O557" s="16" t="n">
        <x:f>K557*M557</x:f>
        <x:v>324</x:v>
      </x:c>
      <x:c r="P557" s="16" t="n">
        <x:f>K557*N557</x:f>
        <x:v>116.64000000000001</x:v>
      </x:c>
      <x:c r="Q557" s="16" t="n">
        <x:f>O557-P557</x:f>
        <x:v>207.35999999999999</x:v>
      </x:c>
      <x:c r="R557" s="2" t="n">
        <x:v>58</x:v>
      </x:c>
      <x:c r="S557" s="2" t="n">
        <x:v>0</x:v>
      </x:c>
      <x:c r="T557" s="2" t="n">
        <x:f>R557+S557+J557-I557</x:f>
        <x:v>40</x:v>
      </x:c>
      <x:c r="U557" s="2" t="n">
        <x:v>0</x:v>
      </x:c>
      <x:c r="V557" s="2" t="n">
        <x:v>2</x:v>
      </x:c>
      <x:c r="W557" s="2" t="n">
        <x:v>36</x:v>
      </x:c>
      <x:c r="X557" s="14" t="b">
        <x:v>0</x:v>
      </x:c>
      <x:c r="Y557" s="14" t="b">
        <x:v>0</x:v>
      </x:c>
      <x:c r="Z557" s="2" t="n">
        <x:f>ABS(T557-AA557)</x:f>
        <x:v>0</x:v>
      </x:c>
      <x:c r="AA557" s="2" t="n">
        <x:v>40</x:v>
      </x:c>
      <x:c r="AB557" s="2" t="n">
        <x:f>ABS(K557-W557)</x:f>
        <x:v>18</x:v>
      </x:c>
      <x:c r="AC557" s="2" t="n">
        <x:f>COUNTIF($A$2:$A$1921,A557)-1</x:f>
        <x:v>0</x:v>
      </x:c>
      <x:c r="AD557" s="2" t="n">
        <x:f>IF(AND(D557=D556,H557=H556,C557=C556+1),ABS(R557-T556),0)</x:f>
        <x:v>0</x:v>
      </x:c>
    </x:row>
    <x:row r="558" ht="23" customHeight="1">
      <x:c r="A558" s="2" t="str">
        <x:v>DEMO-201-3-17</x:v>
      </x:c>
      <x:c r="B558" s="15" t="d">
        <x:v>2026-08-24T00:00:00.000Z</x:v>
      </x:c>
      <x:c r="C558" s="2" t="n">
        <x:v>17</x:v>
      </x:c>
      <x:c r="D558" s="2" t="str">
        <x:v>DEMO-201</x:v>
      </x:c>
      <x:c r="E558" s="2" t="str">
        <x:v>Celebration Box</x:v>
      </x:c>
      <x:c r="F558" s="2" t="str">
        <x:v>Gifting</x:v>
      </x:c>
      <x:c r="G558" s="2" t="str">
        <x:v>Online</x:v>
      </x:c>
      <x:c r="H558" s="2" t="str">
        <x:v>Online</x:v>
      </x:c>
      <x:c r="I558" s="2" t="n">
        <x:v>20</x:v>
      </x:c>
      <x:c r="J558" s="2" t="n">
        <x:v>0</x:v>
      </x:c>
      <x:c r="K558" s="2" t="n">
        <x:f>I558-J558</x:f>
        <x:v>20</x:v>
      </x:c>
      <x:c r="L558" s="16" t="n">
        <x:v>18</x:v>
      </x:c>
      <x:c r="M558" s="16" t="n">
        <x:v>18</x:v>
      </x:c>
      <x:c r="N558" s="16" t="n">
        <x:v>6.48</x:v>
      </x:c>
      <x:c r="O558" s="16" t="n">
        <x:f>K558*M558</x:f>
        <x:v>360</x:v>
      </x:c>
      <x:c r="P558" s="16" t="n">
        <x:f>K558*N558</x:f>
        <x:v>129.60000000000002</x:v>
      </x:c>
      <x:c r="Q558" s="16" t="n">
        <x:f>O558-P558</x:f>
        <x:v>230.39999999999998</x:v>
      </x:c>
      <x:c r="R558" s="2" t="n">
        <x:v>40</x:v>
      </x:c>
      <x:c r="S558" s="2" t="n">
        <x:v>79</x:v>
      </x:c>
      <x:c r="T558" s="2" t="n">
        <x:f>R558+S558+J558-I558</x:f>
        <x:v>99</x:v>
      </x:c>
      <x:c r="U558" s="2" t="n">
        <x:v>0</x:v>
      </x:c>
      <x:c r="V558" s="2" t="n">
        <x:v>2</x:v>
      </x:c>
      <x:c r="W558" s="2" t="n">
        <x:v>29</x:v>
      </x:c>
      <x:c r="X558" s="14" t="b">
        <x:v>0</x:v>
      </x:c>
      <x:c r="Y558" s="14" t="b">
        <x:v>0</x:v>
      </x:c>
      <x:c r="Z558" s="2" t="n">
        <x:f>ABS(T558-AA558)</x:f>
        <x:v>0</x:v>
      </x:c>
      <x:c r="AA558" s="2" t="n">
        <x:v>99</x:v>
      </x:c>
      <x:c r="AB558" s="2" t="n">
        <x:f>ABS(K558-W558)</x:f>
        <x:v>9</x:v>
      </x:c>
      <x:c r="AC558" s="2" t="n">
        <x:f>COUNTIF($A$2:$A$1921,A558)-1</x:f>
        <x:v>0</x:v>
      </x:c>
      <x:c r="AD558" s="2" t="n">
        <x:f>IF(AND(D558=D557,H558=H557,C558=C557+1),ABS(R558-T557),0)</x:f>
        <x:v>0</x:v>
      </x:c>
    </x:row>
    <x:row r="559" ht="23" customHeight="1">
      <x:c r="A559" s="2" t="str">
        <x:v>DEMO-201-3-18</x:v>
      </x:c>
      <x:c r="B559" s="15" t="d">
        <x:v>2026-08-31T00:00:00.000Z</x:v>
      </x:c>
      <x:c r="C559" s="2" t="n">
        <x:v>18</x:v>
      </x:c>
      <x:c r="D559" s="2" t="str">
        <x:v>DEMO-201</x:v>
      </x:c>
      <x:c r="E559" s="2" t="str">
        <x:v>Celebration Box</x:v>
      </x:c>
      <x:c r="F559" s="2" t="str">
        <x:v>Gifting</x:v>
      </x:c>
      <x:c r="G559" s="2" t="str">
        <x:v>Online</x:v>
      </x:c>
      <x:c r="H559" s="2" t="str">
        <x:v>Online</x:v>
      </x:c>
      <x:c r="I559" s="2" t="n">
        <x:v>19</x:v>
      </x:c>
      <x:c r="J559" s="2" t="n">
        <x:v>0</x:v>
      </x:c>
      <x:c r="K559" s="2" t="n">
        <x:f>I559-J559</x:f>
        <x:v>19</x:v>
      </x:c>
      <x:c r="L559" s="16" t="n">
        <x:v>18</x:v>
      </x:c>
      <x:c r="M559" s="16" t="n">
        <x:v>18</x:v>
      </x:c>
      <x:c r="N559" s="16" t="n">
        <x:v>6.48</x:v>
      </x:c>
      <x:c r="O559" s="16" t="n">
        <x:f>K559*M559</x:f>
        <x:v>342</x:v>
      </x:c>
      <x:c r="P559" s="16" t="n">
        <x:f>K559*N559</x:f>
        <x:v>123.12</x:v>
      </x:c>
      <x:c r="Q559" s="16" t="n">
        <x:f>O559-P559</x:f>
        <x:v>218.88</x:v>
      </x:c>
      <x:c r="R559" s="2" t="n">
        <x:v>99</x:v>
      </x:c>
      <x:c r="S559" s="2" t="n">
        <x:v>0</x:v>
      </x:c>
      <x:c r="T559" s="2" t="n">
        <x:f>R559+S559+J559-I559</x:f>
        <x:v>80</x:v>
      </x:c>
      <x:c r="U559" s="2" t="n">
        <x:v>0</x:v>
      </x:c>
      <x:c r="V559" s="2" t="n">
        <x:v>2</x:v>
      </x:c>
      <x:c r="W559" s="2" t="n">
        <x:v>23</x:v>
      </x:c>
      <x:c r="X559" s="14" t="b">
        <x:v>0</x:v>
      </x:c>
      <x:c r="Y559" s="14" t="b">
        <x:v>0</x:v>
      </x:c>
      <x:c r="Z559" s="2" t="n">
        <x:f>ABS(T559-AA559)</x:f>
        <x:v>0</x:v>
      </x:c>
      <x:c r="AA559" s="2" t="n">
        <x:v>80</x:v>
      </x:c>
      <x:c r="AB559" s="2" t="n">
        <x:f>ABS(K559-W559)</x:f>
        <x:v>4</x:v>
      </x:c>
      <x:c r="AC559" s="2" t="n">
        <x:f>COUNTIF($A$2:$A$1921,A559)-1</x:f>
        <x:v>0</x:v>
      </x:c>
      <x:c r="AD559" s="2" t="n">
        <x:f>IF(AND(D559=D558,H559=H558,C559=C558+1),ABS(R559-T558),0)</x:f>
        <x:v>0</x:v>
      </x:c>
    </x:row>
    <x:row r="560" ht="23" customHeight="1">
      <x:c r="A560" s="2" t="str">
        <x:v>DEMO-201-3-19</x:v>
      </x:c>
      <x:c r="B560" s="15" t="d">
        <x:v>2026-09-07T00:00:00.000Z</x:v>
      </x:c>
      <x:c r="C560" s="2" t="n">
        <x:v>19</x:v>
      </x:c>
      <x:c r="D560" s="2" t="str">
        <x:v>DEMO-201</x:v>
      </x:c>
      <x:c r="E560" s="2" t="str">
        <x:v>Celebration Box</x:v>
      </x:c>
      <x:c r="F560" s="2" t="str">
        <x:v>Gifting</x:v>
      </x:c>
      <x:c r="G560" s="2" t="str">
        <x:v>Online</x:v>
      </x:c>
      <x:c r="H560" s="2" t="str">
        <x:v>Online</x:v>
      </x:c>
      <x:c r="I560" s="2" t="n">
        <x:v>19</x:v>
      </x:c>
      <x:c r="J560" s="2" t="n">
        <x:v>1</x:v>
      </x:c>
      <x:c r="K560" s="2" t="n">
        <x:f>I560-J560</x:f>
        <x:v>18</x:v>
      </x:c>
      <x:c r="L560" s="16" t="n">
        <x:v>18</x:v>
      </x:c>
      <x:c r="M560" s="16" t="n">
        <x:v>18</x:v>
      </x:c>
      <x:c r="N560" s="16" t="n">
        <x:v>6.48</x:v>
      </x:c>
      <x:c r="O560" s="16" t="n">
        <x:f>K560*M560</x:f>
        <x:v>324</x:v>
      </x:c>
      <x:c r="P560" s="16" t="n">
        <x:f>K560*N560</x:f>
        <x:v>116.64000000000001</x:v>
      </x:c>
      <x:c r="Q560" s="16" t="n">
        <x:f>O560-P560</x:f>
        <x:v>207.35999999999999</x:v>
      </x:c>
      <x:c r="R560" s="2" t="n">
        <x:v>80</x:v>
      </x:c>
      <x:c r="S560" s="2" t="n">
        <x:v>0</x:v>
      </x:c>
      <x:c r="T560" s="2" t="n">
        <x:f>R560+S560+J560-I560</x:f>
        <x:v>62</x:v>
      </x:c>
      <x:c r="U560" s="2" t="n">
        <x:v>0</x:v>
      </x:c>
      <x:c r="V560" s="2" t="n">
        <x:v>2</x:v>
      </x:c>
      <x:c r="W560" s="2" t="n">
        <x:v>19</x:v>
      </x:c>
      <x:c r="X560" s="14" t="b">
        <x:v>0</x:v>
      </x:c>
      <x:c r="Y560" s="14" t="b">
        <x:v>0</x:v>
      </x:c>
      <x:c r="Z560" s="2" t="n">
        <x:f>ABS(T560-AA560)</x:f>
        <x:v>0</x:v>
      </x:c>
      <x:c r="AA560" s="2" t="n">
        <x:v>62</x:v>
      </x:c>
      <x:c r="AB560" s="2" t="n">
        <x:f>ABS(K560-W560)</x:f>
        <x:v>1</x:v>
      </x:c>
      <x:c r="AC560" s="2" t="n">
        <x:f>COUNTIF($A$2:$A$1921,A560)-1</x:f>
        <x:v>0</x:v>
      </x:c>
      <x:c r="AD560" s="2" t="n">
        <x:f>IF(AND(D560=D559,H560=H559,C560=C559+1),ABS(R560-T559),0)</x:f>
        <x:v>0</x:v>
      </x:c>
    </x:row>
    <x:row r="561" ht="23" customHeight="1">
      <x:c r="A561" s="2" t="str">
        <x:v>DEMO-201-3-20</x:v>
      </x:c>
      <x:c r="B561" s="15" t="d">
        <x:v>2026-09-14T00:00:00.000Z</x:v>
      </x:c>
      <x:c r="C561" s="2" t="n">
        <x:v>20</x:v>
      </x:c>
      <x:c r="D561" s="2" t="str">
        <x:v>DEMO-201</x:v>
      </x:c>
      <x:c r="E561" s="2" t="str">
        <x:v>Celebration Box</x:v>
      </x:c>
      <x:c r="F561" s="2" t="str">
        <x:v>Gifting</x:v>
      </x:c>
      <x:c r="G561" s="2" t="str">
        <x:v>Online</x:v>
      </x:c>
      <x:c r="H561" s="2" t="str">
        <x:v>Online</x:v>
      </x:c>
      <x:c r="I561" s="2" t="n">
        <x:v>16</x:v>
      </x:c>
      <x:c r="J561" s="2" t="n">
        <x:v>0</x:v>
      </x:c>
      <x:c r="K561" s="2" t="n">
        <x:f>I561-J561</x:f>
        <x:v>16</x:v>
      </x:c>
      <x:c r="L561" s="16" t="n">
        <x:v>18</x:v>
      </x:c>
      <x:c r="M561" s="16" t="n">
        <x:v>18</x:v>
      </x:c>
      <x:c r="N561" s="16" t="n">
        <x:v>6.48</x:v>
      </x:c>
      <x:c r="O561" s="16" t="n">
        <x:f>K561*M561</x:f>
        <x:v>288</x:v>
      </x:c>
      <x:c r="P561" s="16" t="n">
        <x:f>K561*N561</x:f>
        <x:v>103.68</x:v>
      </x:c>
      <x:c r="Q561" s="16" t="n">
        <x:f>O561-P561</x:f>
        <x:v>184.32</x:v>
      </x:c>
      <x:c r="R561" s="2" t="n">
        <x:v>62</x:v>
      </x:c>
      <x:c r="S561" s="2" t="n">
        <x:v>0</x:v>
      </x:c>
      <x:c r="T561" s="2" t="n">
        <x:f>R561+S561+J561-I561</x:f>
        <x:v>46</x:v>
      </x:c>
      <x:c r="U561" s="2" t="n">
        <x:v>18</x:v>
      </x:c>
      <x:c r="V561" s="2" t="n">
        <x:v>2</x:v>
      </x:c>
      <x:c r="W561" s="2" t="n">
        <x:v>19</x:v>
      </x:c>
      <x:c r="X561" s="14" t="b">
        <x:v>0</x:v>
      </x:c>
      <x:c r="Y561" s="14" t="b">
        <x:v>0</x:v>
      </x:c>
      <x:c r="Z561" s="2" t="n">
        <x:f>ABS(T561-AA561)</x:f>
        <x:v>0</x:v>
      </x:c>
      <x:c r="AA561" s="2" t="n">
        <x:v>46</x:v>
      </x:c>
      <x:c r="AB561" s="2" t="n">
        <x:f>ABS(K561-W561)</x:f>
        <x:v>3</x:v>
      </x:c>
      <x:c r="AC561" s="2" t="n">
        <x:f>COUNTIF($A$2:$A$1921,A561)-1</x:f>
        <x:v>0</x:v>
      </x:c>
      <x:c r="AD561" s="2" t="n">
        <x:f>IF(AND(D561=D560,H561=H560,C561=C560+1),ABS(R561-T560),0)</x:f>
        <x:v>0</x:v>
      </x:c>
    </x:row>
    <x:row r="562" ht="23" customHeight="1">
      <x:c r="A562" s="2" t="str">
        <x:v>DEMO-202-0-1</x:v>
      </x:c>
      <x:c r="B562" s="15" t="d">
        <x:v>2026-05-04T00:00:00.000Z</x:v>
      </x:c>
      <x:c r="C562" s="2" t="n">
        <x:v>1</x:v>
      </x:c>
      <x:c r="D562" s="2" t="str">
        <x:v>DEMO-202</x:v>
      </x:c>
      <x:c r="E562" s="2" t="str">
        <x:v>Ribbon Keepsake</x:v>
      </x:c>
      <x:c r="F562" s="2" t="str">
        <x:v>Gifting</x:v>
      </x:c>
      <x:c r="G562" s="2" t="str">
        <x:v>Stores</x:v>
      </x:c>
      <x:c r="H562" s="2" t="str">
        <x:v>North Arcade</x:v>
      </x:c>
      <x:c r="I562" s="2" t="n">
        <x:v>16</x:v>
      </x:c>
      <x:c r="J562" s="2" t="n">
        <x:v>0</x:v>
      </x:c>
      <x:c r="K562" s="2" t="n">
        <x:f>I562-J562</x:f>
        <x:v>16</x:v>
      </x:c>
      <x:c r="L562" s="16" t="n">
        <x:v>20</x:v>
      </x:c>
      <x:c r="M562" s="16" t="n">
        <x:v>20</x:v>
      </x:c>
      <x:c r="N562" s="16" t="n">
        <x:v>7.7</x:v>
      </x:c>
      <x:c r="O562" s="16" t="n">
        <x:f>K562*M562</x:f>
        <x:v>320</x:v>
      </x:c>
      <x:c r="P562" s="16" t="n">
        <x:f>K562*N562</x:f>
        <x:v>123.2</x:v>
      </x:c>
      <x:c r="Q562" s="16" t="n">
        <x:f>O562-P562</x:f>
        <x:v>196.8</x:v>
      </x:c>
      <x:c r="R562" s="2" t="n">
        <x:v>90</x:v>
      </x:c>
      <x:c r="S562" s="2" t="n">
        <x:v>59</x:v>
      </x:c>
      <x:c r="T562" s="2" t="n">
        <x:f>R562+S562+J562-I562</x:f>
        <x:v>133</x:v>
      </x:c>
      <x:c r="U562" s="2" t="n">
        <x:v>0</x:v>
      </x:c>
      <x:c r="V562" s="2" t="n">
        <x:v>3</x:v>
      </x:c>
      <x:c r="W562" s="2" t="n">
        <x:v>14</x:v>
      </x:c>
      <x:c r="X562" s="14" t="b">
        <x:v>0</x:v>
      </x:c>
      <x:c r="Y562" s="14" t="b">
        <x:v>0</x:v>
      </x:c>
      <x:c r="Z562" s="2" t="n">
        <x:f>ABS(T562-AA562)</x:f>
        <x:v>0</x:v>
      </x:c>
      <x:c r="AA562" s="2" t="n">
        <x:v>133</x:v>
      </x:c>
      <x:c r="AB562" s="2" t="n">
        <x:f>ABS(K562-W562)</x:f>
        <x:v>2</x:v>
      </x:c>
      <x:c r="AC562" s="2" t="n">
        <x:f>COUNTIF($A$2:$A$1921,A562)-1</x:f>
        <x:v>0</x:v>
      </x:c>
      <x:c r="AD562" s="2" t="n">
        <x:f>IF(AND(D562=D561,H562=H561,C562=C561+1),ABS(R562-T561),0)</x:f>
        <x:v>0</x:v>
      </x:c>
    </x:row>
    <x:row r="563" ht="23" customHeight="1">
      <x:c r="A563" s="2" t="str">
        <x:v>DEMO-202-0-2</x:v>
      </x:c>
      <x:c r="B563" s="15" t="d">
        <x:v>2026-05-11T00:00:00.000Z</x:v>
      </x:c>
      <x:c r="C563" s="2" t="n">
        <x:v>2</x:v>
      </x:c>
      <x:c r="D563" s="2" t="str">
        <x:v>DEMO-202</x:v>
      </x:c>
      <x:c r="E563" s="2" t="str">
        <x:v>Ribbon Keepsake</x:v>
      </x:c>
      <x:c r="F563" s="2" t="str">
        <x:v>Gifting</x:v>
      </x:c>
      <x:c r="G563" s="2" t="str">
        <x:v>Stores</x:v>
      </x:c>
      <x:c r="H563" s="2" t="str">
        <x:v>North Arcade</x:v>
      </x:c>
      <x:c r="I563" s="2" t="n">
        <x:v>12</x:v>
      </x:c>
      <x:c r="J563" s="2" t="n">
        <x:v>0</x:v>
      </x:c>
      <x:c r="K563" s="2" t="n">
        <x:f>I563-J563</x:f>
        <x:v>12</x:v>
      </x:c>
      <x:c r="L563" s="16" t="n">
        <x:v>20</x:v>
      </x:c>
      <x:c r="M563" s="16" t="n">
        <x:v>20</x:v>
      </x:c>
      <x:c r="N563" s="16" t="n">
        <x:v>7.7</x:v>
      </x:c>
      <x:c r="O563" s="16" t="n">
        <x:f>K563*M563</x:f>
        <x:v>240</x:v>
      </x:c>
      <x:c r="P563" s="16" t="n">
        <x:f>K563*N563</x:f>
        <x:v>92.4</x:v>
      </x:c>
      <x:c r="Q563" s="16" t="n">
        <x:f>O563-P563</x:f>
        <x:v>147.6</x:v>
      </x:c>
      <x:c r="R563" s="2" t="n">
        <x:v>133</x:v>
      </x:c>
      <x:c r="S563" s="2" t="n">
        <x:v>0</x:v>
      </x:c>
      <x:c r="T563" s="2" t="n">
        <x:f>R563+S563+J563-I563</x:f>
        <x:v>121</x:v>
      </x:c>
      <x:c r="U563" s="2" t="n">
        <x:v>0</x:v>
      </x:c>
      <x:c r="V563" s="2" t="n">
        <x:v>3</x:v>
      </x:c>
      <x:c r="W563" s="2" t="n">
        <x:v>16</x:v>
      </x:c>
      <x:c r="X563" s="14" t="b">
        <x:v>0</x:v>
      </x:c>
      <x:c r="Y563" s="14" t="b">
        <x:v>0</x:v>
      </x:c>
      <x:c r="Z563" s="2" t="n">
        <x:f>ABS(T563-AA563)</x:f>
        <x:v>0</x:v>
      </x:c>
      <x:c r="AA563" s="2" t="n">
        <x:v>121</x:v>
      </x:c>
      <x:c r="AB563" s="2" t="n">
        <x:f>ABS(K563-W563)</x:f>
        <x:v>4</x:v>
      </x:c>
      <x:c r="AC563" s="2" t="n">
        <x:f>COUNTIF($A$2:$A$1921,A563)-1</x:f>
        <x:v>0</x:v>
      </x:c>
      <x:c r="AD563" s="2" t="n">
        <x:f>IF(AND(D563=D562,H563=H562,C563=C562+1),ABS(R563-T562),0)</x:f>
        <x:v>0</x:v>
      </x:c>
    </x:row>
    <x:row r="564" ht="23" customHeight="1">
      <x:c r="A564" s="2" t="str">
        <x:v>DEMO-202-0-3</x:v>
      </x:c>
      <x:c r="B564" s="15" t="d">
        <x:v>2026-05-18T00:00:00.000Z</x:v>
      </x:c>
      <x:c r="C564" s="2" t="n">
        <x:v>3</x:v>
      </x:c>
      <x:c r="D564" s="2" t="str">
        <x:v>DEMO-202</x:v>
      </x:c>
      <x:c r="E564" s="2" t="str">
        <x:v>Ribbon Keepsake</x:v>
      </x:c>
      <x:c r="F564" s="2" t="str">
        <x:v>Gifting</x:v>
      </x:c>
      <x:c r="G564" s="2" t="str">
        <x:v>Stores</x:v>
      </x:c>
      <x:c r="H564" s="2" t="str">
        <x:v>North Arcade</x:v>
      </x:c>
      <x:c r="I564" s="2" t="n">
        <x:v>12</x:v>
      </x:c>
      <x:c r="J564" s="2" t="n">
        <x:v>0</x:v>
      </x:c>
      <x:c r="K564" s="2" t="n">
        <x:f>I564-J564</x:f>
        <x:v>12</x:v>
      </x:c>
      <x:c r="L564" s="16" t="n">
        <x:v>20</x:v>
      </x:c>
      <x:c r="M564" s="16" t="n">
        <x:v>20</x:v>
      </x:c>
      <x:c r="N564" s="16" t="n">
        <x:v>7.7</x:v>
      </x:c>
      <x:c r="O564" s="16" t="n">
        <x:f>K564*M564</x:f>
        <x:v>240</x:v>
      </x:c>
      <x:c r="P564" s="16" t="n">
        <x:f>K564*N564</x:f>
        <x:v>92.4</x:v>
      </x:c>
      <x:c r="Q564" s="16" t="n">
        <x:f>O564-P564</x:f>
        <x:v>147.6</x:v>
      </x:c>
      <x:c r="R564" s="2" t="n">
        <x:v>121</x:v>
      </x:c>
      <x:c r="S564" s="2" t="n">
        <x:v>0</x:v>
      </x:c>
      <x:c r="T564" s="2" t="n">
        <x:f>R564+S564+J564-I564</x:f>
        <x:v>109</x:v>
      </x:c>
      <x:c r="U564" s="2" t="n">
        <x:v>0</x:v>
      </x:c>
      <x:c r="V564" s="2" t="n">
        <x:v>3</x:v>
      </x:c>
      <x:c r="W564" s="2" t="n">
        <x:v>14</x:v>
      </x:c>
      <x:c r="X564" s="14" t="b">
        <x:v>0</x:v>
      </x:c>
      <x:c r="Y564" s="14" t="b">
        <x:v>0</x:v>
      </x:c>
      <x:c r="Z564" s="2" t="n">
        <x:f>ABS(T564-AA564)</x:f>
        <x:v>0</x:v>
      </x:c>
      <x:c r="AA564" s="2" t="n">
        <x:v>109</x:v>
      </x:c>
      <x:c r="AB564" s="2" t="n">
        <x:f>ABS(K564-W564)</x:f>
        <x:v>2</x:v>
      </x:c>
      <x:c r="AC564" s="2" t="n">
        <x:f>COUNTIF($A$2:$A$1921,A564)-1</x:f>
        <x:v>0</x:v>
      </x:c>
      <x:c r="AD564" s="2" t="n">
        <x:f>IF(AND(D564=D563,H564=H563,C564=C563+1),ABS(R564-T563),0)</x:f>
        <x:v>0</x:v>
      </x:c>
    </x:row>
    <x:row r="565" ht="23" customHeight="1">
      <x:c r="A565" s="2" t="str">
        <x:v>DEMO-202-0-4</x:v>
      </x:c>
      <x:c r="B565" s="15" t="d">
        <x:v>2026-05-25T00:00:00.000Z</x:v>
      </x:c>
      <x:c r="C565" s="2" t="n">
        <x:v>4</x:v>
      </x:c>
      <x:c r="D565" s="2" t="str">
        <x:v>DEMO-202</x:v>
      </x:c>
      <x:c r="E565" s="2" t="str">
        <x:v>Ribbon Keepsake</x:v>
      </x:c>
      <x:c r="F565" s="2" t="str">
        <x:v>Gifting</x:v>
      </x:c>
      <x:c r="G565" s="2" t="str">
        <x:v>Stores</x:v>
      </x:c>
      <x:c r="H565" s="2" t="str">
        <x:v>North Arcade</x:v>
      </x:c>
      <x:c r="I565" s="2" t="n">
        <x:v>15</x:v>
      </x:c>
      <x:c r="J565" s="2" t="n">
        <x:v>0</x:v>
      </x:c>
      <x:c r="K565" s="2" t="n">
        <x:f>I565-J565</x:f>
        <x:v>15</x:v>
      </x:c>
      <x:c r="L565" s="16" t="n">
        <x:v>20</x:v>
      </x:c>
      <x:c r="M565" s="16" t="n">
        <x:v>20</x:v>
      </x:c>
      <x:c r="N565" s="16" t="n">
        <x:v>7.7</x:v>
      </x:c>
      <x:c r="O565" s="16" t="n">
        <x:f>K565*M565</x:f>
        <x:v>300</x:v>
      </x:c>
      <x:c r="P565" s="16" t="n">
        <x:f>K565*N565</x:f>
        <x:v>115.5</x:v>
      </x:c>
      <x:c r="Q565" s="16" t="n">
        <x:f>O565-P565</x:f>
        <x:v>184.5</x:v>
      </x:c>
      <x:c r="R565" s="2" t="n">
        <x:v>109</x:v>
      </x:c>
      <x:c r="S565" s="2" t="n">
        <x:v>0</x:v>
      </x:c>
      <x:c r="T565" s="2" t="n">
        <x:f>R565+S565+J565-I565</x:f>
        <x:v>94</x:v>
      </x:c>
      <x:c r="U565" s="2" t="n">
        <x:v>0</x:v>
      </x:c>
      <x:c r="V565" s="2" t="n">
        <x:v>3</x:v>
      </x:c>
      <x:c r="W565" s="2" t="n">
        <x:v>13</x:v>
      </x:c>
      <x:c r="X565" s="14" t="b">
        <x:v>0</x:v>
      </x:c>
      <x:c r="Y565" s="14" t="b">
        <x:v>0</x:v>
      </x:c>
      <x:c r="Z565" s="2" t="n">
        <x:f>ABS(T565-AA565)</x:f>
        <x:v>0</x:v>
      </x:c>
      <x:c r="AA565" s="2" t="n">
        <x:v>94</x:v>
      </x:c>
      <x:c r="AB565" s="2" t="n">
        <x:f>ABS(K565-W565)</x:f>
        <x:v>2</x:v>
      </x:c>
      <x:c r="AC565" s="2" t="n">
        <x:f>COUNTIF($A$2:$A$1921,A565)-1</x:f>
        <x:v>0</x:v>
      </x:c>
      <x:c r="AD565" s="2" t="n">
        <x:f>IF(AND(D565=D564,H565=H564,C565=C564+1),ABS(R565-T564),0)</x:f>
        <x:v>0</x:v>
      </x:c>
    </x:row>
    <x:row r="566" ht="23" customHeight="1">
      <x:c r="A566" s="2" t="str">
        <x:v>DEMO-202-0-5</x:v>
      </x:c>
      <x:c r="B566" s="15" t="d">
        <x:v>2026-06-01T00:00:00.000Z</x:v>
      </x:c>
      <x:c r="C566" s="2" t="n">
        <x:v>5</x:v>
      </x:c>
      <x:c r="D566" s="2" t="str">
        <x:v>DEMO-202</x:v>
      </x:c>
      <x:c r="E566" s="2" t="str">
        <x:v>Ribbon Keepsake</x:v>
      </x:c>
      <x:c r="F566" s="2" t="str">
        <x:v>Gifting</x:v>
      </x:c>
      <x:c r="G566" s="2" t="str">
        <x:v>Stores</x:v>
      </x:c>
      <x:c r="H566" s="2" t="str">
        <x:v>North Arcade</x:v>
      </x:c>
      <x:c r="I566" s="2" t="n">
        <x:v>14</x:v>
      </x:c>
      <x:c r="J566" s="2" t="n">
        <x:v>0</x:v>
      </x:c>
      <x:c r="K566" s="2" t="n">
        <x:f>I566-J566</x:f>
        <x:v>14</x:v>
      </x:c>
      <x:c r="L566" s="16" t="n">
        <x:v>20</x:v>
      </x:c>
      <x:c r="M566" s="16" t="n">
        <x:v>20</x:v>
      </x:c>
      <x:c r="N566" s="16" t="n">
        <x:v>7.7</x:v>
      </x:c>
      <x:c r="O566" s="16" t="n">
        <x:f>K566*M566</x:f>
        <x:v>280</x:v>
      </x:c>
      <x:c r="P566" s="16" t="n">
        <x:f>K566*N566</x:f>
        <x:v>107.8</x:v>
      </x:c>
      <x:c r="Q566" s="16" t="n">
        <x:f>O566-P566</x:f>
        <x:v>172.2</x:v>
      </x:c>
      <x:c r="R566" s="2" t="n">
        <x:v>94</x:v>
      </x:c>
      <x:c r="S566" s="2" t="n">
        <x:v>59</x:v>
      </x:c>
      <x:c r="T566" s="2" t="n">
        <x:f>R566+S566+J566-I566</x:f>
        <x:v>139</x:v>
      </x:c>
      <x:c r="U566" s="2" t="n">
        <x:v>0</x:v>
      </x:c>
      <x:c r="V566" s="2" t="n">
        <x:v>3</x:v>
      </x:c>
      <x:c r="W566" s="2" t="n">
        <x:v>14</x:v>
      </x:c>
      <x:c r="X566" s="14" t="b">
        <x:v>0</x:v>
      </x:c>
      <x:c r="Y566" s="14" t="b">
        <x:v>0</x:v>
      </x:c>
      <x:c r="Z566" s="2" t="n">
        <x:f>ABS(T566-AA566)</x:f>
        <x:v>0</x:v>
      </x:c>
      <x:c r="AA566" s="2" t="n">
        <x:v>139</x:v>
      </x:c>
      <x:c r="AB566" s="2" t="n">
        <x:f>ABS(K566-W566)</x:f>
        <x:v>0</x:v>
      </x:c>
      <x:c r="AC566" s="2" t="n">
        <x:f>COUNTIF($A$2:$A$1921,A566)-1</x:f>
        <x:v>0</x:v>
      </x:c>
      <x:c r="AD566" s="2" t="n">
        <x:f>IF(AND(D566=D565,H566=H565,C566=C565+1),ABS(R566-T565),0)</x:f>
        <x:v>0</x:v>
      </x:c>
    </x:row>
    <x:row r="567" ht="23" customHeight="1">
      <x:c r="A567" s="2" t="str">
        <x:v>DEMO-202-0-6</x:v>
      </x:c>
      <x:c r="B567" s="15" t="d">
        <x:v>2026-06-08T00:00:00.000Z</x:v>
      </x:c>
      <x:c r="C567" s="2" t="n">
        <x:v>6</x:v>
      </x:c>
      <x:c r="D567" s="2" t="str">
        <x:v>DEMO-202</x:v>
      </x:c>
      <x:c r="E567" s="2" t="str">
        <x:v>Ribbon Keepsake</x:v>
      </x:c>
      <x:c r="F567" s="2" t="str">
        <x:v>Gifting</x:v>
      </x:c>
      <x:c r="G567" s="2" t="str">
        <x:v>Stores</x:v>
      </x:c>
      <x:c r="H567" s="2" t="str">
        <x:v>North Arcade</x:v>
      </x:c>
      <x:c r="I567" s="2" t="n">
        <x:v>17</x:v>
      </x:c>
      <x:c r="J567" s="2" t="n">
        <x:v>0</x:v>
      </x:c>
      <x:c r="K567" s="2" t="n">
        <x:f>I567-J567</x:f>
        <x:v>17</x:v>
      </x:c>
      <x:c r="L567" s="16" t="n">
        <x:v>20</x:v>
      </x:c>
      <x:c r="M567" s="16" t="n">
        <x:v>20</x:v>
      </x:c>
      <x:c r="N567" s="16" t="n">
        <x:v>7.7</x:v>
      </x:c>
      <x:c r="O567" s="16" t="n">
        <x:f>K567*M567</x:f>
        <x:v>340</x:v>
      </x:c>
      <x:c r="P567" s="16" t="n">
        <x:f>K567*N567</x:f>
        <x:v>130.9</x:v>
      </x:c>
      <x:c r="Q567" s="16" t="n">
        <x:f>O567-P567</x:f>
        <x:v>209.1</x:v>
      </x:c>
      <x:c r="R567" s="2" t="n">
        <x:v>139</x:v>
      </x:c>
      <x:c r="S567" s="2" t="n">
        <x:v>0</x:v>
      </x:c>
      <x:c r="T567" s="2" t="n">
        <x:f>R567+S567+J567-I567</x:f>
        <x:v>122</x:v>
      </x:c>
      <x:c r="U567" s="2" t="n">
        <x:v>0</x:v>
      </x:c>
      <x:c r="V567" s="2" t="n">
        <x:v>3</x:v>
      </x:c>
      <x:c r="W567" s="2" t="n">
        <x:v>13</x:v>
      </x:c>
      <x:c r="X567" s="14" t="b">
        <x:v>0</x:v>
      </x:c>
      <x:c r="Y567" s="14" t="b">
        <x:v>0</x:v>
      </x:c>
      <x:c r="Z567" s="2" t="n">
        <x:f>ABS(T567-AA567)</x:f>
        <x:v>0</x:v>
      </x:c>
      <x:c r="AA567" s="2" t="n">
        <x:v>122</x:v>
      </x:c>
      <x:c r="AB567" s="2" t="n">
        <x:f>ABS(K567-W567)</x:f>
        <x:v>4</x:v>
      </x:c>
      <x:c r="AC567" s="2" t="n">
        <x:f>COUNTIF($A$2:$A$1921,A567)-1</x:f>
        <x:v>0</x:v>
      </x:c>
      <x:c r="AD567" s="2" t="n">
        <x:f>IF(AND(D567=D566,H567=H566,C567=C566+1),ABS(R567-T566),0)</x:f>
        <x:v>0</x:v>
      </x:c>
    </x:row>
    <x:row r="568" ht="23" customHeight="1">
      <x:c r="A568" s="2" t="str">
        <x:v>DEMO-202-0-7</x:v>
      </x:c>
      <x:c r="B568" s="15" t="d">
        <x:v>2026-06-15T00:00:00.000Z</x:v>
      </x:c>
      <x:c r="C568" s="2" t="n">
        <x:v>7</x:v>
      </x:c>
      <x:c r="D568" s="2" t="str">
        <x:v>DEMO-202</x:v>
      </x:c>
      <x:c r="E568" s="2" t="str">
        <x:v>Ribbon Keepsake</x:v>
      </x:c>
      <x:c r="F568" s="2" t="str">
        <x:v>Gifting</x:v>
      </x:c>
      <x:c r="G568" s="2" t="str">
        <x:v>Stores</x:v>
      </x:c>
      <x:c r="H568" s="2" t="str">
        <x:v>North Arcade</x:v>
      </x:c>
      <x:c r="I568" s="2" t="n">
        <x:v>13</x:v>
      </x:c>
      <x:c r="J568" s="2" t="n">
        <x:v>0</x:v>
      </x:c>
      <x:c r="K568" s="2" t="n">
        <x:f>I568-J568</x:f>
        <x:v>13</x:v>
      </x:c>
      <x:c r="L568" s="16" t="n">
        <x:v>20</x:v>
      </x:c>
      <x:c r="M568" s="16" t="n">
        <x:v>20</x:v>
      </x:c>
      <x:c r="N568" s="16" t="n">
        <x:v>7.7</x:v>
      </x:c>
      <x:c r="O568" s="16" t="n">
        <x:f>K568*M568</x:f>
        <x:v>260</x:v>
      </x:c>
      <x:c r="P568" s="16" t="n">
        <x:f>K568*N568</x:f>
        <x:v>100.10000000000001</x:v>
      </x:c>
      <x:c r="Q568" s="16" t="n">
        <x:f>O568-P568</x:f>
        <x:v>159.89999999999998</x:v>
      </x:c>
      <x:c r="R568" s="2" t="n">
        <x:v>122</x:v>
      </x:c>
      <x:c r="S568" s="2" t="n">
        <x:v>0</x:v>
      </x:c>
      <x:c r="T568" s="2" t="n">
        <x:f>R568+S568+J568-I568</x:f>
        <x:v>109</x:v>
      </x:c>
      <x:c r="U568" s="2" t="n">
        <x:v>0</x:v>
      </x:c>
      <x:c r="V568" s="2" t="n">
        <x:v>3</x:v>
      </x:c>
      <x:c r="W568" s="2" t="n">
        <x:v>15</x:v>
      </x:c>
      <x:c r="X568" s="14" t="b">
        <x:v>0</x:v>
      </x:c>
      <x:c r="Y568" s="14" t="b">
        <x:v>0</x:v>
      </x:c>
      <x:c r="Z568" s="2" t="n">
        <x:f>ABS(T568-AA568)</x:f>
        <x:v>0</x:v>
      </x:c>
      <x:c r="AA568" s="2" t="n">
        <x:v>109</x:v>
      </x:c>
      <x:c r="AB568" s="2" t="n">
        <x:f>ABS(K568-W568)</x:f>
        <x:v>2</x:v>
      </x:c>
      <x:c r="AC568" s="2" t="n">
        <x:f>COUNTIF($A$2:$A$1921,A568)-1</x:f>
        <x:v>0</x:v>
      </x:c>
      <x:c r="AD568" s="2" t="n">
        <x:f>IF(AND(D568=D567,H568=H567,C568=C567+1),ABS(R568-T567),0)</x:f>
        <x:v>0</x:v>
      </x:c>
    </x:row>
    <x:row r="569" ht="23" customHeight="1">
      <x:c r="A569" s="2" t="str">
        <x:v>DEMO-202-0-8</x:v>
      </x:c>
      <x:c r="B569" s="15" t="d">
        <x:v>2026-06-22T00:00:00.000Z</x:v>
      </x:c>
      <x:c r="C569" s="2" t="n">
        <x:v>8</x:v>
      </x:c>
      <x:c r="D569" s="2" t="str">
        <x:v>DEMO-202</x:v>
      </x:c>
      <x:c r="E569" s="2" t="str">
        <x:v>Ribbon Keepsake</x:v>
      </x:c>
      <x:c r="F569" s="2" t="str">
        <x:v>Gifting</x:v>
      </x:c>
      <x:c r="G569" s="2" t="str">
        <x:v>Stores</x:v>
      </x:c>
      <x:c r="H569" s="2" t="str">
        <x:v>North Arcade</x:v>
      </x:c>
      <x:c r="I569" s="2" t="n">
        <x:v>13</x:v>
      </x:c>
      <x:c r="J569" s="2" t="n">
        <x:v>0</x:v>
      </x:c>
      <x:c r="K569" s="2" t="n">
        <x:f>I569-J569</x:f>
        <x:v>13</x:v>
      </x:c>
      <x:c r="L569" s="16" t="n">
        <x:v>20</x:v>
      </x:c>
      <x:c r="M569" s="16" t="n">
        <x:v>20</x:v>
      </x:c>
      <x:c r="N569" s="16" t="n">
        <x:v>7.7</x:v>
      </x:c>
      <x:c r="O569" s="16" t="n">
        <x:f>K569*M569</x:f>
        <x:v>260</x:v>
      </x:c>
      <x:c r="P569" s="16" t="n">
        <x:f>K569*N569</x:f>
        <x:v>100.10000000000001</x:v>
      </x:c>
      <x:c r="Q569" s="16" t="n">
        <x:f>O569-P569</x:f>
        <x:v>159.89999999999998</x:v>
      </x:c>
      <x:c r="R569" s="2" t="n">
        <x:v>109</x:v>
      </x:c>
      <x:c r="S569" s="2" t="n">
        <x:v>0</x:v>
      </x:c>
      <x:c r="T569" s="2" t="n">
        <x:f>R569+S569+J569-I569</x:f>
        <x:v>96</x:v>
      </x:c>
      <x:c r="U569" s="2" t="n">
        <x:v>0</x:v>
      </x:c>
      <x:c r="V569" s="2" t="n">
        <x:v>3</x:v>
      </x:c>
      <x:c r="W569" s="2" t="n">
        <x:v>15</x:v>
      </x:c>
      <x:c r="X569" s="14" t="b">
        <x:v>0</x:v>
      </x:c>
      <x:c r="Y569" s="14" t="b">
        <x:v>0</x:v>
      </x:c>
      <x:c r="Z569" s="2" t="n">
        <x:f>ABS(T569-AA569)</x:f>
        <x:v>0</x:v>
      </x:c>
      <x:c r="AA569" s="2" t="n">
        <x:v>96</x:v>
      </x:c>
      <x:c r="AB569" s="2" t="n">
        <x:f>ABS(K569-W569)</x:f>
        <x:v>2</x:v>
      </x:c>
      <x:c r="AC569" s="2" t="n">
        <x:f>COUNTIF($A$2:$A$1921,A569)-1</x:f>
        <x:v>0</x:v>
      </x:c>
      <x:c r="AD569" s="2" t="n">
        <x:f>IF(AND(D569=D568,H569=H568,C569=C568+1),ABS(R569-T568),0)</x:f>
        <x:v>0</x:v>
      </x:c>
    </x:row>
    <x:row r="570" ht="23" customHeight="1">
      <x:c r="A570" s="2" t="str">
        <x:v>DEMO-202-0-9</x:v>
      </x:c>
      <x:c r="B570" s="15" t="d">
        <x:v>2026-06-29T00:00:00.000Z</x:v>
      </x:c>
      <x:c r="C570" s="2" t="n">
        <x:v>9</x:v>
      </x:c>
      <x:c r="D570" s="2" t="str">
        <x:v>DEMO-202</x:v>
      </x:c>
      <x:c r="E570" s="2" t="str">
        <x:v>Ribbon Keepsake</x:v>
      </x:c>
      <x:c r="F570" s="2" t="str">
        <x:v>Gifting</x:v>
      </x:c>
      <x:c r="G570" s="2" t="str">
        <x:v>Stores</x:v>
      </x:c>
      <x:c r="H570" s="2" t="str">
        <x:v>North Arcade</x:v>
      </x:c>
      <x:c r="I570" s="2" t="n">
        <x:v>16</x:v>
      </x:c>
      <x:c r="J570" s="2" t="n">
        <x:v>0</x:v>
      </x:c>
      <x:c r="K570" s="2" t="n">
        <x:f>I570-J570</x:f>
        <x:v>16</x:v>
      </x:c>
      <x:c r="L570" s="16" t="n">
        <x:v>20</x:v>
      </x:c>
      <x:c r="M570" s="16" t="n">
        <x:v>20</x:v>
      </x:c>
      <x:c r="N570" s="16" t="n">
        <x:v>7.7</x:v>
      </x:c>
      <x:c r="O570" s="16" t="n">
        <x:f>K570*M570</x:f>
        <x:v>320</x:v>
      </x:c>
      <x:c r="P570" s="16" t="n">
        <x:f>K570*N570</x:f>
        <x:v>123.2</x:v>
      </x:c>
      <x:c r="Q570" s="16" t="n">
        <x:f>O570-P570</x:f>
        <x:v>196.8</x:v>
      </x:c>
      <x:c r="R570" s="2" t="n">
        <x:v>96</x:v>
      </x:c>
      <x:c r="S570" s="2" t="n">
        <x:v>59</x:v>
      </x:c>
      <x:c r="T570" s="2" t="n">
        <x:f>R570+S570+J570-I570</x:f>
        <x:v>139</x:v>
      </x:c>
      <x:c r="U570" s="2" t="n">
        <x:v>0</x:v>
      </x:c>
      <x:c r="V570" s="2" t="n">
        <x:v>3</x:v>
      </x:c>
      <x:c r="W570" s="2" t="n">
        <x:v>14</x:v>
      </x:c>
      <x:c r="X570" s="14" t="b">
        <x:v>0</x:v>
      </x:c>
      <x:c r="Y570" s="14" t="b">
        <x:v>0</x:v>
      </x:c>
      <x:c r="Z570" s="2" t="n">
        <x:f>ABS(T570-AA570)</x:f>
        <x:v>0</x:v>
      </x:c>
      <x:c r="AA570" s="2" t="n">
        <x:v>139</x:v>
      </x:c>
      <x:c r="AB570" s="2" t="n">
        <x:f>ABS(K570-W570)</x:f>
        <x:v>2</x:v>
      </x:c>
      <x:c r="AC570" s="2" t="n">
        <x:f>COUNTIF($A$2:$A$1921,A570)-1</x:f>
        <x:v>0</x:v>
      </x:c>
      <x:c r="AD570" s="2" t="n">
        <x:f>IF(AND(D570=D569,H570=H569,C570=C569+1),ABS(R570-T569),0)</x:f>
        <x:v>0</x:v>
      </x:c>
    </x:row>
    <x:row r="571" ht="23" customHeight="1">
      <x:c r="A571" s="2" t="str">
        <x:v>DEMO-202-0-10</x:v>
      </x:c>
      <x:c r="B571" s="15" t="d">
        <x:v>2026-07-06T00:00:00.000Z</x:v>
      </x:c>
      <x:c r="C571" s="2" t="n">
        <x:v>10</x:v>
      </x:c>
      <x:c r="D571" s="2" t="str">
        <x:v>DEMO-202</x:v>
      </x:c>
      <x:c r="E571" s="2" t="str">
        <x:v>Ribbon Keepsake</x:v>
      </x:c>
      <x:c r="F571" s="2" t="str">
        <x:v>Gifting</x:v>
      </x:c>
      <x:c r="G571" s="2" t="str">
        <x:v>Stores</x:v>
      </x:c>
      <x:c r="H571" s="2" t="str">
        <x:v>North Arcade</x:v>
      </x:c>
      <x:c r="I571" s="2" t="n">
        <x:v>16</x:v>
      </x:c>
      <x:c r="J571" s="2" t="n">
        <x:v>0</x:v>
      </x:c>
      <x:c r="K571" s="2" t="n">
        <x:f>I571-J571</x:f>
        <x:v>16</x:v>
      </x:c>
      <x:c r="L571" s="16" t="n">
        <x:v>20</x:v>
      </x:c>
      <x:c r="M571" s="16" t="n">
        <x:v>20</x:v>
      </x:c>
      <x:c r="N571" s="16" t="n">
        <x:v>7.7</x:v>
      </x:c>
      <x:c r="O571" s="16" t="n">
        <x:f>K571*M571</x:f>
        <x:v>320</x:v>
      </x:c>
      <x:c r="P571" s="16" t="n">
        <x:f>K571*N571</x:f>
        <x:v>123.2</x:v>
      </x:c>
      <x:c r="Q571" s="16" t="n">
        <x:f>O571-P571</x:f>
        <x:v>196.8</x:v>
      </x:c>
      <x:c r="R571" s="2" t="n">
        <x:v>139</x:v>
      </x:c>
      <x:c r="S571" s="2" t="n">
        <x:v>0</x:v>
      </x:c>
      <x:c r="T571" s="2" t="n">
        <x:f>R571+S571+J571-I571</x:f>
        <x:v>123</x:v>
      </x:c>
      <x:c r="U571" s="2" t="n">
        <x:v>0</x:v>
      </x:c>
      <x:c r="V571" s="2" t="n">
        <x:v>3</x:v>
      </x:c>
      <x:c r="W571" s="2" t="n">
        <x:v>15</x:v>
      </x:c>
      <x:c r="X571" s="14" t="b">
        <x:v>0</x:v>
      </x:c>
      <x:c r="Y571" s="14" t="b">
        <x:v>0</x:v>
      </x:c>
      <x:c r="Z571" s="2" t="n">
        <x:f>ABS(T571-AA571)</x:f>
        <x:v>0</x:v>
      </x:c>
      <x:c r="AA571" s="2" t="n">
        <x:v>123</x:v>
      </x:c>
      <x:c r="AB571" s="2" t="n">
        <x:f>ABS(K571-W571)</x:f>
        <x:v>1</x:v>
      </x:c>
      <x:c r="AC571" s="2" t="n">
        <x:f>COUNTIF($A$2:$A$1921,A571)-1</x:f>
        <x:v>0</x:v>
      </x:c>
      <x:c r="AD571" s="2" t="n">
        <x:f>IF(AND(D571=D570,H571=H570,C571=C570+1),ABS(R571-T570),0)</x:f>
        <x:v>0</x:v>
      </x:c>
    </x:row>
    <x:row r="572" ht="23" customHeight="1">
      <x:c r="A572" s="2" t="str">
        <x:v>DEMO-202-0-11</x:v>
      </x:c>
      <x:c r="B572" s="15" t="d">
        <x:v>2026-07-13T00:00:00.000Z</x:v>
      </x:c>
      <x:c r="C572" s="2" t="n">
        <x:v>11</x:v>
      </x:c>
      <x:c r="D572" s="2" t="str">
        <x:v>DEMO-202</x:v>
      </x:c>
      <x:c r="E572" s="2" t="str">
        <x:v>Ribbon Keepsake</x:v>
      </x:c>
      <x:c r="F572" s="2" t="str">
        <x:v>Gifting</x:v>
      </x:c>
      <x:c r="G572" s="2" t="str">
        <x:v>Stores</x:v>
      </x:c>
      <x:c r="H572" s="2" t="str">
        <x:v>North Arcade</x:v>
      </x:c>
      <x:c r="I572" s="2" t="n">
        <x:v>15</x:v>
      </x:c>
      <x:c r="J572" s="2" t="n">
        <x:v>0</x:v>
      </x:c>
      <x:c r="K572" s="2" t="n">
        <x:f>I572-J572</x:f>
        <x:v>15</x:v>
      </x:c>
      <x:c r="L572" s="16" t="n">
        <x:v>20</x:v>
      </x:c>
      <x:c r="M572" s="16" t="n">
        <x:v>20</x:v>
      </x:c>
      <x:c r="N572" s="16" t="n">
        <x:v>7.7</x:v>
      </x:c>
      <x:c r="O572" s="16" t="n">
        <x:f>K572*M572</x:f>
        <x:v>300</x:v>
      </x:c>
      <x:c r="P572" s="16" t="n">
        <x:f>K572*N572</x:f>
        <x:v>115.5</x:v>
      </x:c>
      <x:c r="Q572" s="16" t="n">
        <x:f>O572-P572</x:f>
        <x:v>184.5</x:v>
      </x:c>
      <x:c r="R572" s="2" t="n">
        <x:v>123</x:v>
      </x:c>
      <x:c r="S572" s="2" t="n">
        <x:v>0</x:v>
      </x:c>
      <x:c r="T572" s="2" t="n">
        <x:f>R572+S572+J572-I572</x:f>
        <x:v>108</x:v>
      </x:c>
      <x:c r="U572" s="2" t="n">
        <x:v>0</x:v>
      </x:c>
      <x:c r="V572" s="2" t="n">
        <x:v>3</x:v>
      </x:c>
      <x:c r="W572" s="2" t="n">
        <x:v>15</x:v>
      </x:c>
      <x:c r="X572" s="14" t="b">
        <x:v>0</x:v>
      </x:c>
      <x:c r="Y572" s="14" t="b">
        <x:v>0</x:v>
      </x:c>
      <x:c r="Z572" s="2" t="n">
        <x:f>ABS(T572-AA572)</x:f>
        <x:v>0</x:v>
      </x:c>
      <x:c r="AA572" s="2" t="n">
        <x:v>108</x:v>
      </x:c>
      <x:c r="AB572" s="2" t="n">
        <x:f>ABS(K572-W572)</x:f>
        <x:v>0</x:v>
      </x:c>
      <x:c r="AC572" s="2" t="n">
        <x:f>COUNTIF($A$2:$A$1921,A572)-1</x:f>
        <x:v>0</x:v>
      </x:c>
      <x:c r="AD572" s="2" t="n">
        <x:f>IF(AND(D572=D571,H572=H571,C572=C571+1),ABS(R572-T571),0)</x:f>
        <x:v>0</x:v>
      </x:c>
    </x:row>
    <x:row r="573" ht="23" customHeight="1">
      <x:c r="A573" s="2" t="str">
        <x:v>DEMO-202-0-12</x:v>
      </x:c>
      <x:c r="B573" s="15" t="d">
        <x:v>2026-07-20T00:00:00.000Z</x:v>
      </x:c>
      <x:c r="C573" s="2" t="n">
        <x:v>12</x:v>
      </x:c>
      <x:c r="D573" s="2" t="str">
        <x:v>DEMO-202</x:v>
      </x:c>
      <x:c r="E573" s="2" t="str">
        <x:v>Ribbon Keepsake</x:v>
      </x:c>
      <x:c r="F573" s="2" t="str">
        <x:v>Gifting</x:v>
      </x:c>
      <x:c r="G573" s="2" t="str">
        <x:v>Stores</x:v>
      </x:c>
      <x:c r="H573" s="2" t="str">
        <x:v>North Arcade</x:v>
      </x:c>
      <x:c r="I573" s="2" t="n">
        <x:v>25</x:v>
      </x:c>
      <x:c r="J573" s="2" t="n">
        <x:v>1</x:v>
      </x:c>
      <x:c r="K573" s="2" t="n">
        <x:f>I573-J573</x:f>
        <x:v>24</x:v>
      </x:c>
      <x:c r="L573" s="16" t="n">
        <x:v>20</x:v>
      </x:c>
      <x:c r="M573" s="16" t="n">
        <x:v>18</x:v>
      </x:c>
      <x:c r="N573" s="16" t="n">
        <x:v>7.7</x:v>
      </x:c>
      <x:c r="O573" s="16" t="n">
        <x:f>K573*M573</x:f>
        <x:v>432</x:v>
      </x:c>
      <x:c r="P573" s="16" t="n">
        <x:f>K573*N573</x:f>
        <x:v>184.8</x:v>
      </x:c>
      <x:c r="Q573" s="16" t="n">
        <x:f>O573-P573</x:f>
        <x:v>247.2</x:v>
      </x:c>
      <x:c r="R573" s="2" t="n">
        <x:v>108</x:v>
      </x:c>
      <x:c r="S573" s="2" t="n">
        <x:v>0</x:v>
      </x:c>
      <x:c r="T573" s="2" t="n">
        <x:f>R573+S573+J573-I573</x:f>
        <x:v>84</x:v>
      </x:c>
      <x:c r="U573" s="2" t="n">
        <x:v>0</x:v>
      </x:c>
      <x:c r="V573" s="2" t="n">
        <x:v>3</x:v>
      </x:c>
      <x:c r="W573" s="2" t="n">
        <x:v>15</x:v>
      </x:c>
      <x:c r="X573" s="14" t="b">
        <x:v>1</x:v>
      </x:c>
      <x:c r="Y573" s="14" t="b">
        <x:v>0</x:v>
      </x:c>
      <x:c r="Z573" s="2" t="n">
        <x:f>ABS(T573-AA573)</x:f>
        <x:v>0</x:v>
      </x:c>
      <x:c r="AA573" s="2" t="n">
        <x:v>84</x:v>
      </x:c>
      <x:c r="AB573" s="2" t="n">
        <x:f>ABS(K573-W573)</x:f>
        <x:v>9</x:v>
      </x:c>
      <x:c r="AC573" s="2" t="n">
        <x:f>COUNTIF($A$2:$A$1921,A573)-1</x:f>
        <x:v>0</x:v>
      </x:c>
      <x:c r="AD573" s="2" t="n">
        <x:f>IF(AND(D573=D572,H573=H572,C573=C572+1),ABS(R573-T572),0)</x:f>
        <x:v>0</x:v>
      </x:c>
    </x:row>
    <x:row r="574" ht="23" customHeight="1">
      <x:c r="A574" s="2" t="str">
        <x:v>DEMO-202-0-13</x:v>
      </x:c>
      <x:c r="B574" s="15" t="d">
        <x:v>2026-07-27T00:00:00.000Z</x:v>
      </x:c>
      <x:c r="C574" s="2" t="n">
        <x:v>13</x:v>
      </x:c>
      <x:c r="D574" s="2" t="str">
        <x:v>DEMO-202</x:v>
      </x:c>
      <x:c r="E574" s="2" t="str">
        <x:v>Ribbon Keepsake</x:v>
      </x:c>
      <x:c r="F574" s="2" t="str">
        <x:v>Gifting</x:v>
      </x:c>
      <x:c r="G574" s="2" t="str">
        <x:v>Stores</x:v>
      </x:c>
      <x:c r="H574" s="2" t="str">
        <x:v>North Arcade</x:v>
      </x:c>
      <x:c r="I574" s="2" t="n">
        <x:v>28</x:v>
      </x:c>
      <x:c r="J574" s="2" t="n">
        <x:v>0</x:v>
      </x:c>
      <x:c r="K574" s="2" t="n">
        <x:f>I574-J574</x:f>
        <x:v>28</x:v>
      </x:c>
      <x:c r="L574" s="16" t="n">
        <x:v>20</x:v>
      </x:c>
      <x:c r="M574" s="16" t="n">
        <x:v>18</x:v>
      </x:c>
      <x:c r="N574" s="16" t="n">
        <x:v>7.7</x:v>
      </x:c>
      <x:c r="O574" s="16" t="n">
        <x:f>K574*M574</x:f>
        <x:v>504</x:v>
      </x:c>
      <x:c r="P574" s="16" t="n">
        <x:f>K574*N574</x:f>
        <x:v>215.6</x:v>
      </x:c>
      <x:c r="Q574" s="16" t="n">
        <x:f>O574-P574</x:f>
        <x:v>288.4</x:v>
      </x:c>
      <x:c r="R574" s="2" t="n">
        <x:v>84</x:v>
      </x:c>
      <x:c r="S574" s="2" t="n">
        <x:v>59</x:v>
      </x:c>
      <x:c r="T574" s="2" t="n">
        <x:f>R574+S574+J574-I574</x:f>
        <x:v>115</x:v>
      </x:c>
      <x:c r="U574" s="2" t="n">
        <x:v>0</x:v>
      </x:c>
      <x:c r="V574" s="2" t="n">
        <x:v>3</x:v>
      </x:c>
      <x:c r="W574" s="2" t="n">
        <x:v>18</x:v>
      </x:c>
      <x:c r="X574" s="14" t="b">
        <x:v>1</x:v>
      </x:c>
      <x:c r="Y574" s="14" t="b">
        <x:v>0</x:v>
      </x:c>
      <x:c r="Z574" s="2" t="n">
        <x:f>ABS(T574-AA574)</x:f>
        <x:v>0</x:v>
      </x:c>
      <x:c r="AA574" s="2" t="n">
        <x:v>115</x:v>
      </x:c>
      <x:c r="AB574" s="2" t="n">
        <x:f>ABS(K574-W574)</x:f>
        <x:v>10</x:v>
      </x:c>
      <x:c r="AC574" s="2" t="n">
        <x:f>COUNTIF($A$2:$A$1921,A574)-1</x:f>
        <x:v>0</x:v>
      </x:c>
      <x:c r="AD574" s="2" t="n">
        <x:f>IF(AND(D574=D573,H574=H573,C574=C573+1),ABS(R574-T573),0)</x:f>
        <x:v>0</x:v>
      </x:c>
    </x:row>
    <x:row r="575" ht="23" customHeight="1">
      <x:c r="A575" s="2" t="str">
        <x:v>DEMO-202-0-14</x:v>
      </x:c>
      <x:c r="B575" s="15" t="d">
        <x:v>2026-08-03T00:00:00.000Z</x:v>
      </x:c>
      <x:c r="C575" s="2" t="n">
        <x:v>14</x:v>
      </x:c>
      <x:c r="D575" s="2" t="str">
        <x:v>DEMO-202</x:v>
      </x:c>
      <x:c r="E575" s="2" t="str">
        <x:v>Ribbon Keepsake</x:v>
      </x:c>
      <x:c r="F575" s="2" t="str">
        <x:v>Gifting</x:v>
      </x:c>
      <x:c r="G575" s="2" t="str">
        <x:v>Stores</x:v>
      </x:c>
      <x:c r="H575" s="2" t="str">
        <x:v>North Arcade</x:v>
      </x:c>
      <x:c r="I575" s="2" t="n">
        <x:v>32</x:v>
      </x:c>
      <x:c r="J575" s="2" t="n">
        <x:v>1</x:v>
      </x:c>
      <x:c r="K575" s="2" t="n">
        <x:f>I575-J575</x:f>
        <x:v>31</x:v>
      </x:c>
      <x:c r="L575" s="16" t="n">
        <x:v>20</x:v>
      </x:c>
      <x:c r="M575" s="16" t="n">
        <x:v>18</x:v>
      </x:c>
      <x:c r="N575" s="16" t="n">
        <x:v>7.7</x:v>
      </x:c>
      <x:c r="O575" s="16" t="n">
        <x:f>K575*M575</x:f>
        <x:v>558</x:v>
      </x:c>
      <x:c r="P575" s="16" t="n">
        <x:f>K575*N575</x:f>
        <x:v>238.70000000000002</x:v>
      </x:c>
      <x:c r="Q575" s="16" t="n">
        <x:f>O575-P575</x:f>
        <x:v>319.29999999999995</x:v>
      </x:c>
      <x:c r="R575" s="2" t="n">
        <x:v>115</x:v>
      </x:c>
      <x:c r="S575" s="2" t="n">
        <x:v>0</x:v>
      </x:c>
      <x:c r="T575" s="2" t="n">
        <x:f>R575+S575+J575-I575</x:f>
        <x:v>84</x:v>
      </x:c>
      <x:c r="U575" s="2" t="n">
        <x:v>0</x:v>
      </x:c>
      <x:c r="V575" s="2" t="n">
        <x:v>3</x:v>
      </x:c>
      <x:c r="W575" s="2" t="n">
        <x:v>21</x:v>
      </x:c>
      <x:c r="X575" s="14" t="b">
        <x:v>1</x:v>
      </x:c>
      <x:c r="Y575" s="14" t="b">
        <x:v>0</x:v>
      </x:c>
      <x:c r="Z575" s="2" t="n">
        <x:f>ABS(T575-AA575)</x:f>
        <x:v>0</x:v>
      </x:c>
      <x:c r="AA575" s="2" t="n">
        <x:v>84</x:v>
      </x:c>
      <x:c r="AB575" s="2" t="n">
        <x:f>ABS(K575-W575)</x:f>
        <x:v>10</x:v>
      </x:c>
      <x:c r="AC575" s="2" t="n">
        <x:f>COUNTIF($A$2:$A$1921,A575)-1</x:f>
        <x:v>0</x:v>
      </x:c>
      <x:c r="AD575" s="2" t="n">
        <x:f>IF(AND(D575=D574,H575=H574,C575=C574+1),ABS(R575-T574),0)</x:f>
        <x:v>0</x:v>
      </x:c>
    </x:row>
    <x:row r="576" ht="23" customHeight="1">
      <x:c r="A576" s="2" t="str">
        <x:v>DEMO-202-0-15</x:v>
      </x:c>
      <x:c r="B576" s="15" t="d">
        <x:v>2026-08-10T00:00:00.000Z</x:v>
      </x:c>
      <x:c r="C576" s="2" t="n">
        <x:v>15</x:v>
      </x:c>
      <x:c r="D576" s="2" t="str">
        <x:v>DEMO-202</x:v>
      </x:c>
      <x:c r="E576" s="2" t="str">
        <x:v>Ribbon Keepsake</x:v>
      </x:c>
      <x:c r="F576" s="2" t="str">
        <x:v>Gifting</x:v>
      </x:c>
      <x:c r="G576" s="2" t="str">
        <x:v>Stores</x:v>
      </x:c>
      <x:c r="H576" s="2" t="str">
        <x:v>North Arcade</x:v>
      </x:c>
      <x:c r="I576" s="2" t="n">
        <x:v>12</x:v>
      </x:c>
      <x:c r="J576" s="2" t="n">
        <x:v>0</x:v>
      </x:c>
      <x:c r="K576" s="2" t="n">
        <x:f>I576-J576</x:f>
        <x:v>12</x:v>
      </x:c>
      <x:c r="L576" s="16" t="n">
        <x:v>20</x:v>
      </x:c>
      <x:c r="M576" s="16" t="n">
        <x:v>20</x:v>
      </x:c>
      <x:c r="N576" s="16" t="n">
        <x:v>7.7</x:v>
      </x:c>
      <x:c r="O576" s="16" t="n">
        <x:f>K576*M576</x:f>
        <x:v>240</x:v>
      </x:c>
      <x:c r="P576" s="16" t="n">
        <x:f>K576*N576</x:f>
        <x:v>92.4</x:v>
      </x:c>
      <x:c r="Q576" s="16" t="n">
        <x:f>O576-P576</x:f>
        <x:v>147.6</x:v>
      </x:c>
      <x:c r="R576" s="2" t="n">
        <x:v>84</x:v>
      </x:c>
      <x:c r="S576" s="2" t="n">
        <x:v>0</x:v>
      </x:c>
      <x:c r="T576" s="2" t="n">
        <x:f>R576+S576+J576-I576</x:f>
        <x:v>72</x:v>
      </x:c>
      <x:c r="U576" s="2" t="n">
        <x:v>0</x:v>
      </x:c>
      <x:c r="V576" s="2" t="n">
        <x:v>3</x:v>
      </x:c>
      <x:c r="W576" s="2" t="n">
        <x:v>25</x:v>
      </x:c>
      <x:c r="X576" s="14" t="b">
        <x:v>0</x:v>
      </x:c>
      <x:c r="Y576" s="14" t="b">
        <x:v>0</x:v>
      </x:c>
      <x:c r="Z576" s="2" t="n">
        <x:f>ABS(T576-AA576)</x:f>
        <x:v>0</x:v>
      </x:c>
      <x:c r="AA576" s="2" t="n">
        <x:v>72</x:v>
      </x:c>
      <x:c r="AB576" s="2" t="n">
        <x:f>ABS(K576-W576)</x:f>
        <x:v>13</x:v>
      </x:c>
      <x:c r="AC576" s="2" t="n">
        <x:f>COUNTIF($A$2:$A$1921,A576)-1</x:f>
        <x:v>0</x:v>
      </x:c>
      <x:c r="AD576" s="2" t="n">
        <x:f>IF(AND(D576=D575,H576=H575,C576=C575+1),ABS(R576-T575),0)</x:f>
        <x:v>0</x:v>
      </x:c>
    </x:row>
    <x:row r="577" ht="23" customHeight="1">
      <x:c r="A577" s="2" t="str">
        <x:v>DEMO-202-0-16</x:v>
      </x:c>
      <x:c r="B577" s="15" t="d">
        <x:v>2026-08-17T00:00:00.000Z</x:v>
      </x:c>
      <x:c r="C577" s="2" t="n">
        <x:v>16</x:v>
      </x:c>
      <x:c r="D577" s="2" t="str">
        <x:v>DEMO-202</x:v>
      </x:c>
      <x:c r="E577" s="2" t="str">
        <x:v>Ribbon Keepsake</x:v>
      </x:c>
      <x:c r="F577" s="2" t="str">
        <x:v>Gifting</x:v>
      </x:c>
      <x:c r="G577" s="2" t="str">
        <x:v>Stores</x:v>
      </x:c>
      <x:c r="H577" s="2" t="str">
        <x:v>North Arcade</x:v>
      </x:c>
      <x:c r="I577" s="2" t="n">
        <x:v>12</x:v>
      </x:c>
      <x:c r="J577" s="2" t="n">
        <x:v>0</x:v>
      </x:c>
      <x:c r="K577" s="2" t="n">
        <x:f>I577-J577</x:f>
        <x:v>12</x:v>
      </x:c>
      <x:c r="L577" s="16" t="n">
        <x:v>20</x:v>
      </x:c>
      <x:c r="M577" s="16" t="n">
        <x:v>20</x:v>
      </x:c>
      <x:c r="N577" s="16" t="n">
        <x:v>7.7</x:v>
      </x:c>
      <x:c r="O577" s="16" t="n">
        <x:f>K577*M577</x:f>
        <x:v>240</x:v>
      </x:c>
      <x:c r="P577" s="16" t="n">
        <x:f>K577*N577</x:f>
        <x:v>92.4</x:v>
      </x:c>
      <x:c r="Q577" s="16" t="n">
        <x:f>O577-P577</x:f>
        <x:v>147.6</x:v>
      </x:c>
      <x:c r="R577" s="2" t="n">
        <x:v>72</x:v>
      </x:c>
      <x:c r="S577" s="2" t="n">
        <x:v>0</x:v>
      </x:c>
      <x:c r="T577" s="2" t="n">
        <x:f>R577+S577+J577-I577</x:f>
        <x:v>60</x:v>
      </x:c>
      <x:c r="U577" s="2" t="n">
        <x:v>0</x:v>
      </x:c>
      <x:c r="V577" s="2" t="n">
        <x:v>3</x:v>
      </x:c>
      <x:c r="W577" s="2" t="n">
        <x:v>24</x:v>
      </x:c>
      <x:c r="X577" s="14" t="b">
        <x:v>0</x:v>
      </x:c>
      <x:c r="Y577" s="14" t="b">
        <x:v>0</x:v>
      </x:c>
      <x:c r="Z577" s="2" t="n">
        <x:f>ABS(T577-AA577)</x:f>
        <x:v>0</x:v>
      </x:c>
      <x:c r="AA577" s="2" t="n">
        <x:v>60</x:v>
      </x:c>
      <x:c r="AB577" s="2" t="n">
        <x:f>ABS(K577-W577)</x:f>
        <x:v>12</x:v>
      </x:c>
      <x:c r="AC577" s="2" t="n">
        <x:f>COUNTIF($A$2:$A$1921,A577)-1</x:f>
        <x:v>0</x:v>
      </x:c>
      <x:c r="AD577" s="2" t="n">
        <x:f>IF(AND(D577=D576,H577=H576,C577=C576+1),ABS(R577-T576),0)</x:f>
        <x:v>0</x:v>
      </x:c>
    </x:row>
    <x:row r="578" ht="23" customHeight="1">
      <x:c r="A578" s="2" t="str">
        <x:v>DEMO-202-0-17</x:v>
      </x:c>
      <x:c r="B578" s="15" t="d">
        <x:v>2026-08-24T00:00:00.000Z</x:v>
      </x:c>
      <x:c r="C578" s="2" t="n">
        <x:v>17</x:v>
      </x:c>
      <x:c r="D578" s="2" t="str">
        <x:v>DEMO-202</x:v>
      </x:c>
      <x:c r="E578" s="2" t="str">
        <x:v>Ribbon Keepsake</x:v>
      </x:c>
      <x:c r="F578" s="2" t="str">
        <x:v>Gifting</x:v>
      </x:c>
      <x:c r="G578" s="2" t="str">
        <x:v>Stores</x:v>
      </x:c>
      <x:c r="H578" s="2" t="str">
        <x:v>North Arcade</x:v>
      </x:c>
      <x:c r="I578" s="2" t="n">
        <x:v>13</x:v>
      </x:c>
      <x:c r="J578" s="2" t="n">
        <x:v>0</x:v>
      </x:c>
      <x:c r="K578" s="2" t="n">
        <x:f>I578-J578</x:f>
        <x:v>13</x:v>
      </x:c>
      <x:c r="L578" s="16" t="n">
        <x:v>20</x:v>
      </x:c>
      <x:c r="M578" s="16" t="n">
        <x:v>20</x:v>
      </x:c>
      <x:c r="N578" s="16" t="n">
        <x:v>7.7</x:v>
      </x:c>
      <x:c r="O578" s="16" t="n">
        <x:f>K578*M578</x:f>
        <x:v>260</x:v>
      </x:c>
      <x:c r="P578" s="16" t="n">
        <x:f>K578*N578</x:f>
        <x:v>100.10000000000001</x:v>
      </x:c>
      <x:c r="Q578" s="16" t="n">
        <x:f>O578-P578</x:f>
        <x:v>159.89999999999998</x:v>
      </x:c>
      <x:c r="R578" s="2" t="n">
        <x:v>60</x:v>
      </x:c>
      <x:c r="S578" s="2" t="n">
        <x:v>59</x:v>
      </x:c>
      <x:c r="T578" s="2" t="n">
        <x:f>R578+S578+J578-I578</x:f>
        <x:v>106</x:v>
      </x:c>
      <x:c r="U578" s="2" t="n">
        <x:v>0</x:v>
      </x:c>
      <x:c r="V578" s="2" t="n">
        <x:v>3</x:v>
      </x:c>
      <x:c r="W578" s="2" t="n">
        <x:v>21</x:v>
      </x:c>
      <x:c r="X578" s="14" t="b">
        <x:v>0</x:v>
      </x:c>
      <x:c r="Y578" s="14" t="b">
        <x:v>0</x:v>
      </x:c>
      <x:c r="Z578" s="2" t="n">
        <x:f>ABS(T578-AA578)</x:f>
        <x:v>0</x:v>
      </x:c>
      <x:c r="AA578" s="2" t="n">
        <x:v>106</x:v>
      </x:c>
      <x:c r="AB578" s="2" t="n">
        <x:f>ABS(K578-W578)</x:f>
        <x:v>8</x:v>
      </x:c>
      <x:c r="AC578" s="2" t="n">
        <x:f>COUNTIF($A$2:$A$1921,A578)-1</x:f>
        <x:v>0</x:v>
      </x:c>
      <x:c r="AD578" s="2" t="n">
        <x:f>IF(AND(D578=D577,H578=H577,C578=C577+1),ABS(R578-T577),0)</x:f>
        <x:v>0</x:v>
      </x:c>
    </x:row>
    <x:row r="579" ht="23" customHeight="1">
      <x:c r="A579" s="2" t="str">
        <x:v>DEMO-202-0-18</x:v>
      </x:c>
      <x:c r="B579" s="15" t="d">
        <x:v>2026-08-31T00:00:00.000Z</x:v>
      </x:c>
      <x:c r="C579" s="2" t="n">
        <x:v>18</x:v>
      </x:c>
      <x:c r="D579" s="2" t="str">
        <x:v>DEMO-202</x:v>
      </x:c>
      <x:c r="E579" s="2" t="str">
        <x:v>Ribbon Keepsake</x:v>
      </x:c>
      <x:c r="F579" s="2" t="str">
        <x:v>Gifting</x:v>
      </x:c>
      <x:c r="G579" s="2" t="str">
        <x:v>Stores</x:v>
      </x:c>
      <x:c r="H579" s="2" t="str">
        <x:v>North Arcade</x:v>
      </x:c>
      <x:c r="I579" s="2" t="n">
        <x:v>16</x:v>
      </x:c>
      <x:c r="J579" s="2" t="n">
        <x:v>0</x:v>
      </x:c>
      <x:c r="K579" s="2" t="n">
        <x:f>I579-J579</x:f>
        <x:v>16</x:v>
      </x:c>
      <x:c r="L579" s="16" t="n">
        <x:v>20</x:v>
      </x:c>
      <x:c r="M579" s="16" t="n">
        <x:v>20</x:v>
      </x:c>
      <x:c r="N579" s="16" t="n">
        <x:v>7.7</x:v>
      </x:c>
      <x:c r="O579" s="16" t="n">
        <x:f>K579*M579</x:f>
        <x:v>320</x:v>
      </x:c>
      <x:c r="P579" s="16" t="n">
        <x:f>K579*N579</x:f>
        <x:v>123.2</x:v>
      </x:c>
      <x:c r="Q579" s="16" t="n">
        <x:f>O579-P579</x:f>
        <x:v>196.8</x:v>
      </x:c>
      <x:c r="R579" s="2" t="n">
        <x:v>106</x:v>
      </x:c>
      <x:c r="S579" s="2" t="n">
        <x:v>0</x:v>
      </x:c>
      <x:c r="T579" s="2" t="n">
        <x:f>R579+S579+J579-I579</x:f>
        <x:v>90</x:v>
      </x:c>
      <x:c r="U579" s="2" t="n">
        <x:v>0</x:v>
      </x:c>
      <x:c r="V579" s="2" t="n">
        <x:v>3</x:v>
      </x:c>
      <x:c r="W579" s="2" t="n">
        <x:v>17</x:v>
      </x:c>
      <x:c r="X579" s="14" t="b">
        <x:v>0</x:v>
      </x:c>
      <x:c r="Y579" s="14" t="b">
        <x:v>0</x:v>
      </x:c>
      <x:c r="Z579" s="2" t="n">
        <x:f>ABS(T579-AA579)</x:f>
        <x:v>0</x:v>
      </x:c>
      <x:c r="AA579" s="2" t="n">
        <x:v>90</x:v>
      </x:c>
      <x:c r="AB579" s="2" t="n">
        <x:f>ABS(K579-W579)</x:f>
        <x:v>1</x:v>
      </x:c>
      <x:c r="AC579" s="2" t="n">
        <x:f>COUNTIF($A$2:$A$1921,A579)-1</x:f>
        <x:v>0</x:v>
      </x:c>
      <x:c r="AD579" s="2" t="n">
        <x:f>IF(AND(D579=D578,H579=H578,C579=C578+1),ABS(R579-T578),0)</x:f>
        <x:v>0</x:v>
      </x:c>
    </x:row>
    <x:row r="580" ht="23" customHeight="1">
      <x:c r="A580" s="2" t="str">
        <x:v>DEMO-202-0-19</x:v>
      </x:c>
      <x:c r="B580" s="15" t="d">
        <x:v>2026-09-07T00:00:00.000Z</x:v>
      </x:c>
      <x:c r="C580" s="2" t="n">
        <x:v>19</x:v>
      </x:c>
      <x:c r="D580" s="2" t="str">
        <x:v>DEMO-202</x:v>
      </x:c>
      <x:c r="E580" s="2" t="str">
        <x:v>Ribbon Keepsake</x:v>
      </x:c>
      <x:c r="F580" s="2" t="str">
        <x:v>Gifting</x:v>
      </x:c>
      <x:c r="G580" s="2" t="str">
        <x:v>Stores</x:v>
      </x:c>
      <x:c r="H580" s="2" t="str">
        <x:v>North Arcade</x:v>
      </x:c>
      <x:c r="I580" s="2" t="n">
        <x:v>15</x:v>
      </x:c>
      <x:c r="J580" s="2" t="n">
        <x:v>0</x:v>
      </x:c>
      <x:c r="K580" s="2" t="n">
        <x:f>I580-J580</x:f>
        <x:v>15</x:v>
      </x:c>
      <x:c r="L580" s="16" t="n">
        <x:v>20</x:v>
      </x:c>
      <x:c r="M580" s="16" t="n">
        <x:v>20</x:v>
      </x:c>
      <x:c r="N580" s="16" t="n">
        <x:v>7.7</x:v>
      </x:c>
      <x:c r="O580" s="16" t="n">
        <x:f>K580*M580</x:f>
        <x:v>300</x:v>
      </x:c>
      <x:c r="P580" s="16" t="n">
        <x:f>K580*N580</x:f>
        <x:v>115.5</x:v>
      </x:c>
      <x:c r="Q580" s="16" t="n">
        <x:f>O580-P580</x:f>
        <x:v>184.5</x:v>
      </x:c>
      <x:c r="R580" s="2" t="n">
        <x:v>90</x:v>
      </x:c>
      <x:c r="S580" s="2" t="n">
        <x:v>0</x:v>
      </x:c>
      <x:c r="T580" s="2" t="n">
        <x:f>R580+S580+J580-I580</x:f>
        <x:v>75</x:v>
      </x:c>
      <x:c r="U580" s="2" t="n">
        <x:v>0</x:v>
      </x:c>
      <x:c r="V580" s="2" t="n">
        <x:v>3</x:v>
      </x:c>
      <x:c r="W580" s="2" t="n">
        <x:v>13</x:v>
      </x:c>
      <x:c r="X580" s="14" t="b">
        <x:v>0</x:v>
      </x:c>
      <x:c r="Y580" s="14" t="b">
        <x:v>0</x:v>
      </x:c>
      <x:c r="Z580" s="2" t="n">
        <x:f>ABS(T580-AA580)</x:f>
        <x:v>0</x:v>
      </x:c>
      <x:c r="AA580" s="2" t="n">
        <x:v>75</x:v>
      </x:c>
      <x:c r="AB580" s="2" t="n">
        <x:f>ABS(K580-W580)</x:f>
        <x:v>2</x:v>
      </x:c>
      <x:c r="AC580" s="2" t="n">
        <x:f>COUNTIF($A$2:$A$1921,A580)-1</x:f>
        <x:v>0</x:v>
      </x:c>
      <x:c r="AD580" s="2" t="n">
        <x:f>IF(AND(D580=D579,H580=H579,C580=C579+1),ABS(R580-T579),0)</x:f>
        <x:v>0</x:v>
      </x:c>
    </x:row>
    <x:row r="581" ht="23" customHeight="1">
      <x:c r="A581" s="2" t="str">
        <x:v>DEMO-202-0-20</x:v>
      </x:c>
      <x:c r="B581" s="15" t="d">
        <x:v>2026-09-14T00:00:00.000Z</x:v>
      </x:c>
      <x:c r="C581" s="2" t="n">
        <x:v>20</x:v>
      </x:c>
      <x:c r="D581" s="2" t="str">
        <x:v>DEMO-202</x:v>
      </x:c>
      <x:c r="E581" s="2" t="str">
        <x:v>Ribbon Keepsake</x:v>
      </x:c>
      <x:c r="F581" s="2" t="str">
        <x:v>Gifting</x:v>
      </x:c>
      <x:c r="G581" s="2" t="str">
        <x:v>Stores</x:v>
      </x:c>
      <x:c r="H581" s="2" t="str">
        <x:v>North Arcade</x:v>
      </x:c>
      <x:c r="I581" s="2" t="n">
        <x:v>16</x:v>
      </x:c>
      <x:c r="J581" s="2" t="n">
        <x:v>1</x:v>
      </x:c>
      <x:c r="K581" s="2" t="n">
        <x:f>I581-J581</x:f>
        <x:v>15</x:v>
      </x:c>
      <x:c r="L581" s="16" t="n">
        <x:v>20</x:v>
      </x:c>
      <x:c r="M581" s="16" t="n">
        <x:v>20</x:v>
      </x:c>
      <x:c r="N581" s="16" t="n">
        <x:v>7.7</x:v>
      </x:c>
      <x:c r="O581" s="16" t="n">
        <x:f>K581*M581</x:f>
        <x:v>300</x:v>
      </x:c>
      <x:c r="P581" s="16" t="n">
        <x:f>K581*N581</x:f>
        <x:v>115.5</x:v>
      </x:c>
      <x:c r="Q581" s="16" t="n">
        <x:f>O581-P581</x:f>
        <x:v>184.5</x:v>
      </x:c>
      <x:c r="R581" s="2" t="n">
        <x:v>75</x:v>
      </x:c>
      <x:c r="S581" s="2" t="n">
        <x:v>0</x:v>
      </x:c>
      <x:c r="T581" s="2" t="n">
        <x:f>R581+S581+J581-I581</x:f>
        <x:v>60</x:v>
      </x:c>
      <x:c r="U581" s="2" t="n">
        <x:v>18</x:v>
      </x:c>
      <x:c r="V581" s="2" t="n">
        <x:v>3</x:v>
      </x:c>
      <x:c r="W581" s="2" t="n">
        <x:v>14</x:v>
      </x:c>
      <x:c r="X581" s="14" t="b">
        <x:v>0</x:v>
      </x:c>
      <x:c r="Y581" s="14" t="b">
        <x:v>0</x:v>
      </x:c>
      <x:c r="Z581" s="2" t="n">
        <x:f>ABS(T581-AA581)</x:f>
        <x:v>0</x:v>
      </x:c>
      <x:c r="AA581" s="2" t="n">
        <x:v>60</x:v>
      </x:c>
      <x:c r="AB581" s="2" t="n">
        <x:f>ABS(K581-W581)</x:f>
        <x:v>1</x:v>
      </x:c>
      <x:c r="AC581" s="2" t="n">
        <x:f>COUNTIF($A$2:$A$1921,A581)-1</x:f>
        <x:v>0</x:v>
      </x:c>
      <x:c r="AD581" s="2" t="n">
        <x:f>IF(AND(D581=D580,H581=H580,C581=C580+1),ABS(R581-T580),0)</x:f>
        <x:v>0</x:v>
      </x:c>
    </x:row>
    <x:row r="582" ht="23" customHeight="1">
      <x:c r="A582" s="2" t="str">
        <x:v>DEMO-202-1-1</x:v>
      </x:c>
      <x:c r="B582" s="15" t="d">
        <x:v>2026-05-04T00:00:00.000Z</x:v>
      </x:c>
      <x:c r="C582" s="2" t="n">
        <x:v>1</x:v>
      </x:c>
      <x:c r="D582" s="2" t="str">
        <x:v>DEMO-202</x:v>
      </x:c>
      <x:c r="E582" s="2" t="str">
        <x:v>Ribbon Keepsake</x:v>
      </x:c>
      <x:c r="F582" s="2" t="str">
        <x:v>Gifting</x:v>
      </x:c>
      <x:c r="G582" s="2" t="str">
        <x:v>Stores</x:v>
      </x:c>
      <x:c r="H582" s="2" t="str">
        <x:v>Riverside</x:v>
      </x:c>
      <x:c r="I582" s="2" t="n">
        <x:v>16</x:v>
      </x:c>
      <x:c r="J582" s="2" t="n">
        <x:v>0</x:v>
      </x:c>
      <x:c r="K582" s="2" t="n">
        <x:f>I582-J582</x:f>
        <x:v>16</x:v>
      </x:c>
      <x:c r="L582" s="16" t="n">
        <x:v>20</x:v>
      </x:c>
      <x:c r="M582" s="16" t="n">
        <x:v>20</x:v>
      </x:c>
      <x:c r="N582" s="16" t="n">
        <x:v>7.7</x:v>
      </x:c>
      <x:c r="O582" s="16" t="n">
        <x:f>K582*M582</x:f>
        <x:v>320</x:v>
      </x:c>
      <x:c r="P582" s="16" t="n">
        <x:f>K582*N582</x:f>
        <x:v>123.2</x:v>
      </x:c>
      <x:c r="Q582" s="16" t="n">
        <x:f>O582-P582</x:f>
        <x:v>196.8</x:v>
      </x:c>
      <x:c r="R582" s="2" t="n">
        <x:v>90</x:v>
      </x:c>
      <x:c r="S582" s="2" t="n">
        <x:v>59</x:v>
      </x:c>
      <x:c r="T582" s="2" t="n">
        <x:f>R582+S582+J582-I582</x:f>
        <x:v>133</x:v>
      </x:c>
      <x:c r="U582" s="2" t="n">
        <x:v>0</x:v>
      </x:c>
      <x:c r="V582" s="2" t="n">
        <x:v>3</x:v>
      </x:c>
      <x:c r="W582" s="2" t="n">
        <x:v>14</x:v>
      </x:c>
      <x:c r="X582" s="14" t="b">
        <x:v>0</x:v>
      </x:c>
      <x:c r="Y582" s="14" t="b">
        <x:v>0</x:v>
      </x:c>
      <x:c r="Z582" s="2" t="n">
        <x:f>ABS(T582-AA582)</x:f>
        <x:v>0</x:v>
      </x:c>
      <x:c r="AA582" s="2" t="n">
        <x:v>133</x:v>
      </x:c>
      <x:c r="AB582" s="2" t="n">
        <x:f>ABS(K582-W582)</x:f>
        <x:v>2</x:v>
      </x:c>
      <x:c r="AC582" s="2" t="n">
        <x:f>COUNTIF($A$2:$A$1921,A582)-1</x:f>
        <x:v>0</x:v>
      </x:c>
      <x:c r="AD582" s="2" t="n">
        <x:f>IF(AND(D582=D581,H582=H581,C582=C581+1),ABS(R582-T581),0)</x:f>
        <x:v>0</x:v>
      </x:c>
    </x:row>
    <x:row r="583" ht="23" customHeight="1">
      <x:c r="A583" s="2" t="str">
        <x:v>DEMO-202-1-2</x:v>
      </x:c>
      <x:c r="B583" s="15" t="d">
        <x:v>2026-05-11T00:00:00.000Z</x:v>
      </x:c>
      <x:c r="C583" s="2" t="n">
        <x:v>2</x:v>
      </x:c>
      <x:c r="D583" s="2" t="str">
        <x:v>DEMO-202</x:v>
      </x:c>
      <x:c r="E583" s="2" t="str">
        <x:v>Ribbon Keepsake</x:v>
      </x:c>
      <x:c r="F583" s="2" t="str">
        <x:v>Gifting</x:v>
      </x:c>
      <x:c r="G583" s="2" t="str">
        <x:v>Stores</x:v>
      </x:c>
      <x:c r="H583" s="2" t="str">
        <x:v>Riverside</x:v>
      </x:c>
      <x:c r="I583" s="2" t="n">
        <x:v>14</x:v>
      </x:c>
      <x:c r="J583" s="2" t="n">
        <x:v>0</x:v>
      </x:c>
      <x:c r="K583" s="2" t="n">
        <x:f>I583-J583</x:f>
        <x:v>14</x:v>
      </x:c>
      <x:c r="L583" s="16" t="n">
        <x:v>20</x:v>
      </x:c>
      <x:c r="M583" s="16" t="n">
        <x:v>20</x:v>
      </x:c>
      <x:c r="N583" s="16" t="n">
        <x:v>7.7</x:v>
      </x:c>
      <x:c r="O583" s="16" t="n">
        <x:f>K583*M583</x:f>
        <x:v>280</x:v>
      </x:c>
      <x:c r="P583" s="16" t="n">
        <x:f>K583*N583</x:f>
        <x:v>107.8</x:v>
      </x:c>
      <x:c r="Q583" s="16" t="n">
        <x:f>O583-P583</x:f>
        <x:v>172.2</x:v>
      </x:c>
      <x:c r="R583" s="2" t="n">
        <x:v>133</x:v>
      </x:c>
      <x:c r="S583" s="2" t="n">
        <x:v>0</x:v>
      </x:c>
      <x:c r="T583" s="2" t="n">
        <x:f>R583+S583+J583-I583</x:f>
        <x:v>119</x:v>
      </x:c>
      <x:c r="U583" s="2" t="n">
        <x:v>0</x:v>
      </x:c>
      <x:c r="V583" s="2" t="n">
        <x:v>3</x:v>
      </x:c>
      <x:c r="W583" s="2" t="n">
        <x:v>16</x:v>
      </x:c>
      <x:c r="X583" s="14" t="b">
        <x:v>0</x:v>
      </x:c>
      <x:c r="Y583" s="14" t="b">
        <x:v>0</x:v>
      </x:c>
      <x:c r="Z583" s="2" t="n">
        <x:f>ABS(T583-AA583)</x:f>
        <x:v>0</x:v>
      </x:c>
      <x:c r="AA583" s="2" t="n">
        <x:v>119</x:v>
      </x:c>
      <x:c r="AB583" s="2" t="n">
        <x:f>ABS(K583-W583)</x:f>
        <x:v>2</x:v>
      </x:c>
      <x:c r="AC583" s="2" t="n">
        <x:f>COUNTIF($A$2:$A$1921,A583)-1</x:f>
        <x:v>0</x:v>
      </x:c>
      <x:c r="AD583" s="2" t="n">
        <x:f>IF(AND(D583=D582,H583=H582,C583=C582+1),ABS(R583-T582),0)</x:f>
        <x:v>0</x:v>
      </x:c>
    </x:row>
    <x:row r="584" ht="23" customHeight="1">
      <x:c r="A584" s="2" t="str">
        <x:v>DEMO-202-1-3</x:v>
      </x:c>
      <x:c r="B584" s="15" t="d">
        <x:v>2026-05-18T00:00:00.000Z</x:v>
      </x:c>
      <x:c r="C584" s="2" t="n">
        <x:v>3</x:v>
      </x:c>
      <x:c r="D584" s="2" t="str">
        <x:v>DEMO-202</x:v>
      </x:c>
      <x:c r="E584" s="2" t="str">
        <x:v>Ribbon Keepsake</x:v>
      </x:c>
      <x:c r="F584" s="2" t="str">
        <x:v>Gifting</x:v>
      </x:c>
      <x:c r="G584" s="2" t="str">
        <x:v>Stores</x:v>
      </x:c>
      <x:c r="H584" s="2" t="str">
        <x:v>Riverside</x:v>
      </x:c>
      <x:c r="I584" s="2" t="n">
        <x:v>17</x:v>
      </x:c>
      <x:c r="J584" s="2" t="n">
        <x:v>0</x:v>
      </x:c>
      <x:c r="K584" s="2" t="n">
        <x:f>I584-J584</x:f>
        <x:v>17</x:v>
      </x:c>
      <x:c r="L584" s="16" t="n">
        <x:v>20</x:v>
      </x:c>
      <x:c r="M584" s="16" t="n">
        <x:v>20</x:v>
      </x:c>
      <x:c r="N584" s="16" t="n">
        <x:v>7.7</x:v>
      </x:c>
      <x:c r="O584" s="16" t="n">
        <x:f>K584*M584</x:f>
        <x:v>340</x:v>
      </x:c>
      <x:c r="P584" s="16" t="n">
        <x:f>K584*N584</x:f>
        <x:v>130.9</x:v>
      </x:c>
      <x:c r="Q584" s="16" t="n">
        <x:f>O584-P584</x:f>
        <x:v>209.1</x:v>
      </x:c>
      <x:c r="R584" s="2" t="n">
        <x:v>119</x:v>
      </x:c>
      <x:c r="S584" s="2" t="n">
        <x:v>0</x:v>
      </x:c>
      <x:c r="T584" s="2" t="n">
        <x:f>R584+S584+J584-I584</x:f>
        <x:v>102</x:v>
      </x:c>
      <x:c r="U584" s="2" t="n">
        <x:v>0</x:v>
      </x:c>
      <x:c r="V584" s="2" t="n">
        <x:v>3</x:v>
      </x:c>
      <x:c r="W584" s="2" t="n">
        <x:v>15</x:v>
      </x:c>
      <x:c r="X584" s="14" t="b">
        <x:v>0</x:v>
      </x:c>
      <x:c r="Y584" s="14" t="b">
        <x:v>0</x:v>
      </x:c>
      <x:c r="Z584" s="2" t="n">
        <x:f>ABS(T584-AA584)</x:f>
        <x:v>0</x:v>
      </x:c>
      <x:c r="AA584" s="2" t="n">
        <x:v>102</x:v>
      </x:c>
      <x:c r="AB584" s="2" t="n">
        <x:f>ABS(K584-W584)</x:f>
        <x:v>2</x:v>
      </x:c>
      <x:c r="AC584" s="2" t="n">
        <x:f>COUNTIF($A$2:$A$1921,A584)-1</x:f>
        <x:v>0</x:v>
      </x:c>
      <x:c r="AD584" s="2" t="n">
        <x:f>IF(AND(D584=D583,H584=H583,C584=C583+1),ABS(R584-T583),0)</x:f>
        <x:v>0</x:v>
      </x:c>
    </x:row>
    <x:row r="585" ht="23" customHeight="1">
      <x:c r="A585" s="2" t="str">
        <x:v>DEMO-202-1-4</x:v>
      </x:c>
      <x:c r="B585" s="15" t="d">
        <x:v>2026-05-25T00:00:00.000Z</x:v>
      </x:c>
      <x:c r="C585" s="2" t="n">
        <x:v>4</x:v>
      </x:c>
      <x:c r="D585" s="2" t="str">
        <x:v>DEMO-202</x:v>
      </x:c>
      <x:c r="E585" s="2" t="str">
        <x:v>Ribbon Keepsake</x:v>
      </x:c>
      <x:c r="F585" s="2" t="str">
        <x:v>Gifting</x:v>
      </x:c>
      <x:c r="G585" s="2" t="str">
        <x:v>Stores</x:v>
      </x:c>
      <x:c r="H585" s="2" t="str">
        <x:v>Riverside</x:v>
      </x:c>
      <x:c r="I585" s="2" t="n">
        <x:v>14</x:v>
      </x:c>
      <x:c r="J585" s="2" t="n">
        <x:v>0</x:v>
      </x:c>
      <x:c r="K585" s="2" t="n">
        <x:f>I585-J585</x:f>
        <x:v>14</x:v>
      </x:c>
      <x:c r="L585" s="16" t="n">
        <x:v>20</x:v>
      </x:c>
      <x:c r="M585" s="16" t="n">
        <x:v>20</x:v>
      </x:c>
      <x:c r="N585" s="16" t="n">
        <x:v>7.7</x:v>
      </x:c>
      <x:c r="O585" s="16" t="n">
        <x:f>K585*M585</x:f>
        <x:v>280</x:v>
      </x:c>
      <x:c r="P585" s="16" t="n">
        <x:f>K585*N585</x:f>
        <x:v>107.8</x:v>
      </x:c>
      <x:c r="Q585" s="16" t="n">
        <x:f>O585-P585</x:f>
        <x:v>172.2</x:v>
      </x:c>
      <x:c r="R585" s="2" t="n">
        <x:v>102</x:v>
      </x:c>
      <x:c r="S585" s="2" t="n">
        <x:v>0</x:v>
      </x:c>
      <x:c r="T585" s="2" t="n">
        <x:f>R585+S585+J585-I585</x:f>
        <x:v>88</x:v>
      </x:c>
      <x:c r="U585" s="2" t="n">
        <x:v>0</x:v>
      </x:c>
      <x:c r="V585" s="2" t="n">
        <x:v>3</x:v>
      </x:c>
      <x:c r="W585" s="2" t="n">
        <x:v>16</x:v>
      </x:c>
      <x:c r="X585" s="14" t="b">
        <x:v>0</x:v>
      </x:c>
      <x:c r="Y585" s="14" t="b">
        <x:v>0</x:v>
      </x:c>
      <x:c r="Z585" s="2" t="n">
        <x:f>ABS(T585-AA585)</x:f>
        <x:v>0</x:v>
      </x:c>
      <x:c r="AA585" s="2" t="n">
        <x:v>88</x:v>
      </x:c>
      <x:c r="AB585" s="2" t="n">
        <x:f>ABS(K585-W585)</x:f>
        <x:v>2</x:v>
      </x:c>
      <x:c r="AC585" s="2" t="n">
        <x:f>COUNTIF($A$2:$A$1921,A585)-1</x:f>
        <x:v>0</x:v>
      </x:c>
      <x:c r="AD585" s="2" t="n">
        <x:f>IF(AND(D585=D584,H585=H584,C585=C584+1),ABS(R585-T584),0)</x:f>
        <x:v>0</x:v>
      </x:c>
    </x:row>
    <x:row r="586" ht="23" customHeight="1">
      <x:c r="A586" s="2" t="str">
        <x:v>DEMO-202-1-5</x:v>
      </x:c>
      <x:c r="B586" s="15" t="d">
        <x:v>2026-06-01T00:00:00.000Z</x:v>
      </x:c>
      <x:c r="C586" s="2" t="n">
        <x:v>5</x:v>
      </x:c>
      <x:c r="D586" s="2" t="str">
        <x:v>DEMO-202</x:v>
      </x:c>
      <x:c r="E586" s="2" t="str">
        <x:v>Ribbon Keepsake</x:v>
      </x:c>
      <x:c r="F586" s="2" t="str">
        <x:v>Gifting</x:v>
      </x:c>
      <x:c r="G586" s="2" t="str">
        <x:v>Stores</x:v>
      </x:c>
      <x:c r="H586" s="2" t="str">
        <x:v>Riverside</x:v>
      </x:c>
      <x:c r="I586" s="2" t="n">
        <x:v>15</x:v>
      </x:c>
      <x:c r="J586" s="2" t="n">
        <x:v>0</x:v>
      </x:c>
      <x:c r="K586" s="2" t="n">
        <x:f>I586-J586</x:f>
        <x:v>15</x:v>
      </x:c>
      <x:c r="L586" s="16" t="n">
        <x:v>20</x:v>
      </x:c>
      <x:c r="M586" s="16" t="n">
        <x:v>20</x:v>
      </x:c>
      <x:c r="N586" s="16" t="n">
        <x:v>7.7</x:v>
      </x:c>
      <x:c r="O586" s="16" t="n">
        <x:f>K586*M586</x:f>
        <x:v>300</x:v>
      </x:c>
      <x:c r="P586" s="16" t="n">
        <x:f>K586*N586</x:f>
        <x:v>115.5</x:v>
      </x:c>
      <x:c r="Q586" s="16" t="n">
        <x:f>O586-P586</x:f>
        <x:v>184.5</x:v>
      </x:c>
      <x:c r="R586" s="2" t="n">
        <x:v>88</x:v>
      </x:c>
      <x:c r="S586" s="2" t="n">
        <x:v>59</x:v>
      </x:c>
      <x:c r="T586" s="2" t="n">
        <x:f>R586+S586+J586-I586</x:f>
        <x:v>132</x:v>
      </x:c>
      <x:c r="U586" s="2" t="n">
        <x:v>0</x:v>
      </x:c>
      <x:c r="V586" s="2" t="n">
        <x:v>3</x:v>
      </x:c>
      <x:c r="W586" s="2" t="n">
        <x:v>15</x:v>
      </x:c>
      <x:c r="X586" s="14" t="b">
        <x:v>0</x:v>
      </x:c>
      <x:c r="Y586" s="14" t="b">
        <x:v>0</x:v>
      </x:c>
      <x:c r="Z586" s="2" t="n">
        <x:f>ABS(T586-AA586)</x:f>
        <x:v>0</x:v>
      </x:c>
      <x:c r="AA586" s="2" t="n">
        <x:v>132</x:v>
      </x:c>
      <x:c r="AB586" s="2" t="n">
        <x:f>ABS(K586-W586)</x:f>
        <x:v>0</x:v>
      </x:c>
      <x:c r="AC586" s="2" t="n">
        <x:f>COUNTIF($A$2:$A$1921,A586)-1</x:f>
        <x:v>0</x:v>
      </x:c>
      <x:c r="AD586" s="2" t="n">
        <x:f>IF(AND(D586=D585,H586=H585,C586=C585+1),ABS(R586-T585),0)</x:f>
        <x:v>0</x:v>
      </x:c>
    </x:row>
    <x:row r="587" ht="23" customHeight="1">
      <x:c r="A587" s="2" t="str">
        <x:v>DEMO-202-1-6</x:v>
      </x:c>
      <x:c r="B587" s="15" t="d">
        <x:v>2026-06-08T00:00:00.000Z</x:v>
      </x:c>
      <x:c r="C587" s="2" t="n">
        <x:v>6</x:v>
      </x:c>
      <x:c r="D587" s="2" t="str">
        <x:v>DEMO-202</x:v>
      </x:c>
      <x:c r="E587" s="2" t="str">
        <x:v>Ribbon Keepsake</x:v>
      </x:c>
      <x:c r="F587" s="2" t="str">
        <x:v>Gifting</x:v>
      </x:c>
      <x:c r="G587" s="2" t="str">
        <x:v>Stores</x:v>
      </x:c>
      <x:c r="H587" s="2" t="str">
        <x:v>Riverside</x:v>
      </x:c>
      <x:c r="I587" s="2" t="n">
        <x:v>15</x:v>
      </x:c>
      <x:c r="J587" s="2" t="n">
        <x:v>0</x:v>
      </x:c>
      <x:c r="K587" s="2" t="n">
        <x:f>I587-J587</x:f>
        <x:v>15</x:v>
      </x:c>
      <x:c r="L587" s="16" t="n">
        <x:v>20</x:v>
      </x:c>
      <x:c r="M587" s="16" t="n">
        <x:v>20</x:v>
      </x:c>
      <x:c r="N587" s="16" t="n">
        <x:v>7.7</x:v>
      </x:c>
      <x:c r="O587" s="16" t="n">
        <x:f>K587*M587</x:f>
        <x:v>300</x:v>
      </x:c>
      <x:c r="P587" s="16" t="n">
        <x:f>K587*N587</x:f>
        <x:v>115.5</x:v>
      </x:c>
      <x:c r="Q587" s="16" t="n">
        <x:f>O587-P587</x:f>
        <x:v>184.5</x:v>
      </x:c>
      <x:c r="R587" s="2" t="n">
        <x:v>132</x:v>
      </x:c>
      <x:c r="S587" s="2" t="n">
        <x:v>0</x:v>
      </x:c>
      <x:c r="T587" s="2" t="n">
        <x:f>R587+S587+J587-I587</x:f>
        <x:v>117</x:v>
      </x:c>
      <x:c r="U587" s="2" t="n">
        <x:v>0</x:v>
      </x:c>
      <x:c r="V587" s="2" t="n">
        <x:v>3</x:v>
      </x:c>
      <x:c r="W587" s="2" t="n">
        <x:v>15</x:v>
      </x:c>
      <x:c r="X587" s="14" t="b">
        <x:v>0</x:v>
      </x:c>
      <x:c r="Y587" s="14" t="b">
        <x:v>0</x:v>
      </x:c>
      <x:c r="Z587" s="2" t="n">
        <x:f>ABS(T587-AA587)</x:f>
        <x:v>0</x:v>
      </x:c>
      <x:c r="AA587" s="2" t="n">
        <x:v>117</x:v>
      </x:c>
      <x:c r="AB587" s="2" t="n">
        <x:f>ABS(K587-W587)</x:f>
        <x:v>0</x:v>
      </x:c>
      <x:c r="AC587" s="2" t="n">
        <x:f>COUNTIF($A$2:$A$1921,A587)-1</x:f>
        <x:v>0</x:v>
      </x:c>
      <x:c r="AD587" s="2" t="n">
        <x:f>IF(AND(D587=D586,H587=H586,C587=C586+1),ABS(R587-T586),0)</x:f>
        <x:v>0</x:v>
      </x:c>
    </x:row>
    <x:row r="588" ht="23" customHeight="1">
      <x:c r="A588" s="2" t="str">
        <x:v>DEMO-202-1-7</x:v>
      </x:c>
      <x:c r="B588" s="15" t="d">
        <x:v>2026-06-15T00:00:00.000Z</x:v>
      </x:c>
      <x:c r="C588" s="2" t="n">
        <x:v>7</x:v>
      </x:c>
      <x:c r="D588" s="2" t="str">
        <x:v>DEMO-202</x:v>
      </x:c>
      <x:c r="E588" s="2" t="str">
        <x:v>Ribbon Keepsake</x:v>
      </x:c>
      <x:c r="F588" s="2" t="str">
        <x:v>Gifting</x:v>
      </x:c>
      <x:c r="G588" s="2" t="str">
        <x:v>Stores</x:v>
      </x:c>
      <x:c r="H588" s="2" t="str">
        <x:v>Riverside</x:v>
      </x:c>
      <x:c r="I588" s="2" t="n">
        <x:v>12</x:v>
      </x:c>
      <x:c r="J588" s="2" t="n">
        <x:v>0</x:v>
      </x:c>
      <x:c r="K588" s="2" t="n">
        <x:f>I588-J588</x:f>
        <x:v>12</x:v>
      </x:c>
      <x:c r="L588" s="16" t="n">
        <x:v>20</x:v>
      </x:c>
      <x:c r="M588" s="16" t="n">
        <x:v>20</x:v>
      </x:c>
      <x:c r="N588" s="16" t="n">
        <x:v>7.7</x:v>
      </x:c>
      <x:c r="O588" s="16" t="n">
        <x:f>K588*M588</x:f>
        <x:v>240</x:v>
      </x:c>
      <x:c r="P588" s="16" t="n">
        <x:f>K588*N588</x:f>
        <x:v>92.4</x:v>
      </x:c>
      <x:c r="Q588" s="16" t="n">
        <x:f>O588-P588</x:f>
        <x:v>147.6</x:v>
      </x:c>
      <x:c r="R588" s="2" t="n">
        <x:v>117</x:v>
      </x:c>
      <x:c r="S588" s="2" t="n">
        <x:v>0</x:v>
      </x:c>
      <x:c r="T588" s="2" t="n">
        <x:f>R588+S588+J588-I588</x:f>
        <x:v>105</x:v>
      </x:c>
      <x:c r="U588" s="2" t="n">
        <x:v>0</x:v>
      </x:c>
      <x:c r="V588" s="2" t="n">
        <x:v>3</x:v>
      </x:c>
      <x:c r="W588" s="2" t="n">
        <x:v>15</x:v>
      </x:c>
      <x:c r="X588" s="14" t="b">
        <x:v>0</x:v>
      </x:c>
      <x:c r="Y588" s="14" t="b">
        <x:v>0</x:v>
      </x:c>
      <x:c r="Z588" s="2" t="n">
        <x:f>ABS(T588-AA588)</x:f>
        <x:v>0</x:v>
      </x:c>
      <x:c r="AA588" s="2" t="n">
        <x:v>105</x:v>
      </x:c>
      <x:c r="AB588" s="2" t="n">
        <x:f>ABS(K588-W588)</x:f>
        <x:v>3</x:v>
      </x:c>
      <x:c r="AC588" s="2" t="n">
        <x:f>COUNTIF($A$2:$A$1921,A588)-1</x:f>
        <x:v>0</x:v>
      </x:c>
      <x:c r="AD588" s="2" t="n">
        <x:f>IF(AND(D588=D587,H588=H587,C588=C587+1),ABS(R588-T587),0)</x:f>
        <x:v>0</x:v>
      </x:c>
    </x:row>
    <x:row r="589" ht="23" customHeight="1">
      <x:c r="A589" s="2" t="str">
        <x:v>DEMO-202-1-8</x:v>
      </x:c>
      <x:c r="B589" s="15" t="d">
        <x:v>2026-06-22T00:00:00.000Z</x:v>
      </x:c>
      <x:c r="C589" s="2" t="n">
        <x:v>8</x:v>
      </x:c>
      <x:c r="D589" s="2" t="str">
        <x:v>DEMO-202</x:v>
      </x:c>
      <x:c r="E589" s="2" t="str">
        <x:v>Ribbon Keepsake</x:v>
      </x:c>
      <x:c r="F589" s="2" t="str">
        <x:v>Gifting</x:v>
      </x:c>
      <x:c r="G589" s="2" t="str">
        <x:v>Stores</x:v>
      </x:c>
      <x:c r="H589" s="2" t="str">
        <x:v>Riverside</x:v>
      </x:c>
      <x:c r="I589" s="2" t="n">
        <x:v>15</x:v>
      </x:c>
      <x:c r="J589" s="2" t="n">
        <x:v>1</x:v>
      </x:c>
      <x:c r="K589" s="2" t="n">
        <x:f>I589-J589</x:f>
        <x:v>14</x:v>
      </x:c>
      <x:c r="L589" s="16" t="n">
        <x:v>20</x:v>
      </x:c>
      <x:c r="M589" s="16" t="n">
        <x:v>20</x:v>
      </x:c>
      <x:c r="N589" s="16" t="n">
        <x:v>7.7</x:v>
      </x:c>
      <x:c r="O589" s="16" t="n">
        <x:f>K589*M589</x:f>
        <x:v>280</x:v>
      </x:c>
      <x:c r="P589" s="16" t="n">
        <x:f>K589*N589</x:f>
        <x:v>107.8</x:v>
      </x:c>
      <x:c r="Q589" s="16" t="n">
        <x:f>O589-P589</x:f>
        <x:v>172.2</x:v>
      </x:c>
      <x:c r="R589" s="2" t="n">
        <x:v>105</x:v>
      </x:c>
      <x:c r="S589" s="2" t="n">
        <x:v>0</x:v>
      </x:c>
      <x:c r="T589" s="2" t="n">
        <x:f>R589+S589+J589-I589</x:f>
        <x:v>91</x:v>
      </x:c>
      <x:c r="U589" s="2" t="n">
        <x:v>0</x:v>
      </x:c>
      <x:c r="V589" s="2" t="n">
        <x:v>3</x:v>
      </x:c>
      <x:c r="W589" s="2" t="n">
        <x:v>14</x:v>
      </x:c>
      <x:c r="X589" s="14" t="b">
        <x:v>0</x:v>
      </x:c>
      <x:c r="Y589" s="14" t="b">
        <x:v>0</x:v>
      </x:c>
      <x:c r="Z589" s="2" t="n">
        <x:f>ABS(T589-AA589)</x:f>
        <x:v>0</x:v>
      </x:c>
      <x:c r="AA589" s="2" t="n">
        <x:v>91</x:v>
      </x:c>
      <x:c r="AB589" s="2" t="n">
        <x:f>ABS(K589-W589)</x:f>
        <x:v>0</x:v>
      </x:c>
      <x:c r="AC589" s="2" t="n">
        <x:f>COUNTIF($A$2:$A$1921,A589)-1</x:f>
        <x:v>0</x:v>
      </x:c>
      <x:c r="AD589" s="2" t="n">
        <x:f>IF(AND(D589=D588,H589=H588,C589=C588+1),ABS(R589-T588),0)</x:f>
        <x:v>0</x:v>
      </x:c>
    </x:row>
    <x:row r="590" ht="23" customHeight="1">
      <x:c r="A590" s="2" t="str">
        <x:v>DEMO-202-1-9</x:v>
      </x:c>
      <x:c r="B590" s="15" t="d">
        <x:v>2026-06-29T00:00:00.000Z</x:v>
      </x:c>
      <x:c r="C590" s="2" t="n">
        <x:v>9</x:v>
      </x:c>
      <x:c r="D590" s="2" t="str">
        <x:v>DEMO-202</x:v>
      </x:c>
      <x:c r="E590" s="2" t="str">
        <x:v>Ribbon Keepsake</x:v>
      </x:c>
      <x:c r="F590" s="2" t="str">
        <x:v>Gifting</x:v>
      </x:c>
      <x:c r="G590" s="2" t="str">
        <x:v>Stores</x:v>
      </x:c>
      <x:c r="H590" s="2" t="str">
        <x:v>Riverside</x:v>
      </x:c>
      <x:c r="I590" s="2" t="n">
        <x:v>14</x:v>
      </x:c>
      <x:c r="J590" s="2" t="n">
        <x:v>0</x:v>
      </x:c>
      <x:c r="K590" s="2" t="n">
        <x:f>I590-J590</x:f>
        <x:v>14</x:v>
      </x:c>
      <x:c r="L590" s="16" t="n">
        <x:v>20</x:v>
      </x:c>
      <x:c r="M590" s="16" t="n">
        <x:v>20</x:v>
      </x:c>
      <x:c r="N590" s="16" t="n">
        <x:v>7.7</x:v>
      </x:c>
      <x:c r="O590" s="16" t="n">
        <x:f>K590*M590</x:f>
        <x:v>280</x:v>
      </x:c>
      <x:c r="P590" s="16" t="n">
        <x:f>K590*N590</x:f>
        <x:v>107.8</x:v>
      </x:c>
      <x:c r="Q590" s="16" t="n">
        <x:f>O590-P590</x:f>
        <x:v>172.2</x:v>
      </x:c>
      <x:c r="R590" s="2" t="n">
        <x:v>91</x:v>
      </x:c>
      <x:c r="S590" s="2" t="n">
        <x:v>59</x:v>
      </x:c>
      <x:c r="T590" s="2" t="n">
        <x:f>R590+S590+J590-I590</x:f>
        <x:v>136</x:v>
      </x:c>
      <x:c r="U590" s="2" t="n">
        <x:v>0</x:v>
      </x:c>
      <x:c r="V590" s="2" t="n">
        <x:v>3</x:v>
      </x:c>
      <x:c r="W590" s="2" t="n">
        <x:v>14</x:v>
      </x:c>
      <x:c r="X590" s="14" t="b">
        <x:v>0</x:v>
      </x:c>
      <x:c r="Y590" s="14" t="b">
        <x:v>0</x:v>
      </x:c>
      <x:c r="Z590" s="2" t="n">
        <x:f>ABS(T590-AA590)</x:f>
        <x:v>0</x:v>
      </x:c>
      <x:c r="AA590" s="2" t="n">
        <x:v>136</x:v>
      </x:c>
      <x:c r="AB590" s="2" t="n">
        <x:f>ABS(K590-W590)</x:f>
        <x:v>0</x:v>
      </x:c>
      <x:c r="AC590" s="2" t="n">
        <x:f>COUNTIF($A$2:$A$1921,A590)-1</x:f>
        <x:v>0</x:v>
      </x:c>
      <x:c r="AD590" s="2" t="n">
        <x:f>IF(AND(D590=D589,H590=H589,C590=C589+1),ABS(R590-T589),0)</x:f>
        <x:v>0</x:v>
      </x:c>
    </x:row>
    <x:row r="591" ht="23" customHeight="1">
      <x:c r="A591" s="2" t="str">
        <x:v>DEMO-202-1-10</x:v>
      </x:c>
      <x:c r="B591" s="15" t="d">
        <x:v>2026-07-06T00:00:00.000Z</x:v>
      </x:c>
      <x:c r="C591" s="2" t="n">
        <x:v>10</x:v>
      </x:c>
      <x:c r="D591" s="2" t="str">
        <x:v>DEMO-202</x:v>
      </x:c>
      <x:c r="E591" s="2" t="str">
        <x:v>Ribbon Keepsake</x:v>
      </x:c>
      <x:c r="F591" s="2" t="str">
        <x:v>Gifting</x:v>
      </x:c>
      <x:c r="G591" s="2" t="str">
        <x:v>Stores</x:v>
      </x:c>
      <x:c r="H591" s="2" t="str">
        <x:v>Riverside</x:v>
      </x:c>
      <x:c r="I591" s="2" t="n">
        <x:v>15</x:v>
      </x:c>
      <x:c r="J591" s="2" t="n">
        <x:v>1</x:v>
      </x:c>
      <x:c r="K591" s="2" t="n">
        <x:f>I591-J591</x:f>
        <x:v>14</x:v>
      </x:c>
      <x:c r="L591" s="16" t="n">
        <x:v>20</x:v>
      </x:c>
      <x:c r="M591" s="16" t="n">
        <x:v>20</x:v>
      </x:c>
      <x:c r="N591" s="16" t="n">
        <x:v>7.7</x:v>
      </x:c>
      <x:c r="O591" s="16" t="n">
        <x:f>K591*M591</x:f>
        <x:v>280</x:v>
      </x:c>
      <x:c r="P591" s="16" t="n">
        <x:f>K591*N591</x:f>
        <x:v>107.8</x:v>
      </x:c>
      <x:c r="Q591" s="16" t="n">
        <x:f>O591-P591</x:f>
        <x:v>172.2</x:v>
      </x:c>
      <x:c r="R591" s="2" t="n">
        <x:v>136</x:v>
      </x:c>
      <x:c r="S591" s="2" t="n">
        <x:v>0</x:v>
      </x:c>
      <x:c r="T591" s="2" t="n">
        <x:f>R591+S591+J591-I591</x:f>
        <x:v>122</x:v>
      </x:c>
      <x:c r="U591" s="2" t="n">
        <x:v>0</x:v>
      </x:c>
      <x:c r="V591" s="2" t="n">
        <x:v>3</x:v>
      </x:c>
      <x:c r="W591" s="2" t="n">
        <x:v>14</x:v>
      </x:c>
      <x:c r="X591" s="14" t="b">
        <x:v>0</x:v>
      </x:c>
      <x:c r="Y591" s="14" t="b">
        <x:v>0</x:v>
      </x:c>
      <x:c r="Z591" s="2" t="n">
        <x:f>ABS(T591-AA591)</x:f>
        <x:v>0</x:v>
      </x:c>
      <x:c r="AA591" s="2" t="n">
        <x:v>122</x:v>
      </x:c>
      <x:c r="AB591" s="2" t="n">
        <x:f>ABS(K591-W591)</x:f>
        <x:v>0</x:v>
      </x:c>
      <x:c r="AC591" s="2" t="n">
        <x:f>COUNTIF($A$2:$A$1921,A591)-1</x:f>
        <x:v>0</x:v>
      </x:c>
      <x:c r="AD591" s="2" t="n">
        <x:f>IF(AND(D591=D590,H591=H590,C591=C590+1),ABS(R591-T590),0)</x:f>
        <x:v>0</x:v>
      </x:c>
    </x:row>
    <x:row r="592" ht="23" customHeight="1">
      <x:c r="A592" s="2" t="str">
        <x:v>DEMO-202-1-11</x:v>
      </x:c>
      <x:c r="B592" s="15" t="d">
        <x:v>2026-07-13T00:00:00.000Z</x:v>
      </x:c>
      <x:c r="C592" s="2" t="n">
        <x:v>11</x:v>
      </x:c>
      <x:c r="D592" s="2" t="str">
        <x:v>DEMO-202</x:v>
      </x:c>
      <x:c r="E592" s="2" t="str">
        <x:v>Ribbon Keepsake</x:v>
      </x:c>
      <x:c r="F592" s="2" t="str">
        <x:v>Gifting</x:v>
      </x:c>
      <x:c r="G592" s="2" t="str">
        <x:v>Stores</x:v>
      </x:c>
      <x:c r="H592" s="2" t="str">
        <x:v>Riverside</x:v>
      </x:c>
      <x:c r="I592" s="2" t="n">
        <x:v>16</x:v>
      </x:c>
      <x:c r="J592" s="2" t="n">
        <x:v>0</x:v>
      </x:c>
      <x:c r="K592" s="2" t="n">
        <x:f>I592-J592</x:f>
        <x:v>16</x:v>
      </x:c>
      <x:c r="L592" s="16" t="n">
        <x:v>20</x:v>
      </x:c>
      <x:c r="M592" s="16" t="n">
        <x:v>20</x:v>
      </x:c>
      <x:c r="N592" s="16" t="n">
        <x:v>7.7</x:v>
      </x:c>
      <x:c r="O592" s="16" t="n">
        <x:f>K592*M592</x:f>
        <x:v>320</x:v>
      </x:c>
      <x:c r="P592" s="16" t="n">
        <x:f>K592*N592</x:f>
        <x:v>123.2</x:v>
      </x:c>
      <x:c r="Q592" s="16" t="n">
        <x:f>O592-P592</x:f>
        <x:v>196.8</x:v>
      </x:c>
      <x:c r="R592" s="2" t="n">
        <x:v>122</x:v>
      </x:c>
      <x:c r="S592" s="2" t="n">
        <x:v>0</x:v>
      </x:c>
      <x:c r="T592" s="2" t="n">
        <x:f>R592+S592+J592-I592</x:f>
        <x:v>106</x:v>
      </x:c>
      <x:c r="U592" s="2" t="n">
        <x:v>0</x:v>
      </x:c>
      <x:c r="V592" s="2" t="n">
        <x:v>3</x:v>
      </x:c>
      <x:c r="W592" s="2" t="n">
        <x:v>14</x:v>
      </x:c>
      <x:c r="X592" s="14" t="b">
        <x:v>0</x:v>
      </x:c>
      <x:c r="Y592" s="14" t="b">
        <x:v>0</x:v>
      </x:c>
      <x:c r="Z592" s="2" t="n">
        <x:f>ABS(T592-AA592)</x:f>
        <x:v>0</x:v>
      </x:c>
      <x:c r="AA592" s="2" t="n">
        <x:v>106</x:v>
      </x:c>
      <x:c r="AB592" s="2" t="n">
        <x:f>ABS(K592-W592)</x:f>
        <x:v>2</x:v>
      </x:c>
      <x:c r="AC592" s="2" t="n">
        <x:f>COUNTIF($A$2:$A$1921,A592)-1</x:f>
        <x:v>0</x:v>
      </x:c>
      <x:c r="AD592" s="2" t="n">
        <x:f>IF(AND(D592=D591,H592=H591,C592=C591+1),ABS(R592-T591),0)</x:f>
        <x:v>0</x:v>
      </x:c>
    </x:row>
    <x:row r="593" ht="23" customHeight="1">
      <x:c r="A593" s="2" t="str">
        <x:v>DEMO-202-1-12</x:v>
      </x:c>
      <x:c r="B593" s="15" t="d">
        <x:v>2026-07-20T00:00:00.000Z</x:v>
      </x:c>
      <x:c r="C593" s="2" t="n">
        <x:v>12</x:v>
      </x:c>
      <x:c r="D593" s="2" t="str">
        <x:v>DEMO-202</x:v>
      </x:c>
      <x:c r="E593" s="2" t="str">
        <x:v>Ribbon Keepsake</x:v>
      </x:c>
      <x:c r="F593" s="2" t="str">
        <x:v>Gifting</x:v>
      </x:c>
      <x:c r="G593" s="2" t="str">
        <x:v>Stores</x:v>
      </x:c>
      <x:c r="H593" s="2" t="str">
        <x:v>Riverside</x:v>
      </x:c>
      <x:c r="I593" s="2" t="n">
        <x:v>35</x:v>
      </x:c>
      <x:c r="J593" s="2" t="n">
        <x:v>1</x:v>
      </x:c>
      <x:c r="K593" s="2" t="n">
        <x:f>I593-J593</x:f>
        <x:v>34</x:v>
      </x:c>
      <x:c r="L593" s="16" t="n">
        <x:v>20</x:v>
      </x:c>
      <x:c r="M593" s="16" t="n">
        <x:v>18</x:v>
      </x:c>
      <x:c r="N593" s="16" t="n">
        <x:v>7.7</x:v>
      </x:c>
      <x:c r="O593" s="16" t="n">
        <x:f>K593*M593</x:f>
        <x:v>612</x:v>
      </x:c>
      <x:c r="P593" s="16" t="n">
        <x:f>K593*N593</x:f>
        <x:v>261.8</x:v>
      </x:c>
      <x:c r="Q593" s="16" t="n">
        <x:f>O593-P593</x:f>
        <x:v>350.2</x:v>
      </x:c>
      <x:c r="R593" s="2" t="n">
        <x:v>106</x:v>
      </x:c>
      <x:c r="S593" s="2" t="n">
        <x:v>0</x:v>
      </x:c>
      <x:c r="T593" s="2" t="n">
        <x:f>R593+S593+J593-I593</x:f>
        <x:v>72</x:v>
      </x:c>
      <x:c r="U593" s="2" t="n">
        <x:v>0</x:v>
      </x:c>
      <x:c r="V593" s="2" t="n">
        <x:v>3</x:v>
      </x:c>
      <x:c r="W593" s="2" t="n">
        <x:v>15</x:v>
      </x:c>
      <x:c r="X593" s="14" t="b">
        <x:v>1</x:v>
      </x:c>
      <x:c r="Y593" s="14" t="b">
        <x:v>0</x:v>
      </x:c>
      <x:c r="Z593" s="2" t="n">
        <x:f>ABS(T593-AA593)</x:f>
        <x:v>0</x:v>
      </x:c>
      <x:c r="AA593" s="2" t="n">
        <x:v>72</x:v>
      </x:c>
      <x:c r="AB593" s="2" t="n">
        <x:f>ABS(K593-W593)</x:f>
        <x:v>19</x:v>
      </x:c>
      <x:c r="AC593" s="2" t="n">
        <x:f>COUNTIF($A$2:$A$1921,A593)-1</x:f>
        <x:v>0</x:v>
      </x:c>
      <x:c r="AD593" s="2" t="n">
        <x:f>IF(AND(D593=D592,H593=H592,C593=C592+1),ABS(R593-T592),0)</x:f>
        <x:v>0</x:v>
      </x:c>
    </x:row>
    <x:row r="594" ht="23" customHeight="1">
      <x:c r="A594" s="2" t="str">
        <x:v>DEMO-202-1-13</x:v>
      </x:c>
      <x:c r="B594" s="15" t="d">
        <x:v>2026-07-27T00:00:00.000Z</x:v>
      </x:c>
      <x:c r="C594" s="2" t="n">
        <x:v>13</x:v>
      </x:c>
      <x:c r="D594" s="2" t="str">
        <x:v>DEMO-202</x:v>
      </x:c>
      <x:c r="E594" s="2" t="str">
        <x:v>Ribbon Keepsake</x:v>
      </x:c>
      <x:c r="F594" s="2" t="str">
        <x:v>Gifting</x:v>
      </x:c>
      <x:c r="G594" s="2" t="str">
        <x:v>Stores</x:v>
      </x:c>
      <x:c r="H594" s="2" t="str">
        <x:v>Riverside</x:v>
      </x:c>
      <x:c r="I594" s="2" t="n">
        <x:v>32</x:v>
      </x:c>
      <x:c r="J594" s="2" t="n">
        <x:v>0</x:v>
      </x:c>
      <x:c r="K594" s="2" t="n">
        <x:f>I594-J594</x:f>
        <x:v>32</x:v>
      </x:c>
      <x:c r="L594" s="16" t="n">
        <x:v>20</x:v>
      </x:c>
      <x:c r="M594" s="16" t="n">
        <x:v>18</x:v>
      </x:c>
      <x:c r="N594" s="16" t="n">
        <x:v>7.7</x:v>
      </x:c>
      <x:c r="O594" s="16" t="n">
        <x:f>K594*M594</x:f>
        <x:v>576</x:v>
      </x:c>
      <x:c r="P594" s="16" t="n">
        <x:f>K594*N594</x:f>
        <x:v>246.4</x:v>
      </x:c>
      <x:c r="Q594" s="16" t="n">
        <x:f>O594-P594</x:f>
        <x:v>329.6</x:v>
      </x:c>
      <x:c r="R594" s="2" t="n">
        <x:v>72</x:v>
      </x:c>
      <x:c r="S594" s="2" t="n">
        <x:v>59</x:v>
      </x:c>
      <x:c r="T594" s="2" t="n">
        <x:f>R594+S594+J594-I594</x:f>
        <x:v>99</x:v>
      </x:c>
      <x:c r="U594" s="2" t="n">
        <x:v>0</x:v>
      </x:c>
      <x:c r="V594" s="2" t="n">
        <x:v>3</x:v>
      </x:c>
      <x:c r="W594" s="2" t="n">
        <x:v>20</x:v>
      </x:c>
      <x:c r="X594" s="14" t="b">
        <x:v>1</x:v>
      </x:c>
      <x:c r="Y594" s="14" t="b">
        <x:v>0</x:v>
      </x:c>
      <x:c r="Z594" s="2" t="n">
        <x:f>ABS(T594-AA594)</x:f>
        <x:v>0</x:v>
      </x:c>
      <x:c r="AA594" s="2" t="n">
        <x:v>99</x:v>
      </x:c>
      <x:c r="AB594" s="2" t="n">
        <x:f>ABS(K594-W594)</x:f>
        <x:v>12</x:v>
      </x:c>
      <x:c r="AC594" s="2" t="n">
        <x:f>COUNTIF($A$2:$A$1921,A594)-1</x:f>
        <x:v>0</x:v>
      </x:c>
      <x:c r="AD594" s="2" t="n">
        <x:f>IF(AND(D594=D593,H594=H593,C594=C593+1),ABS(R594-T593),0)</x:f>
        <x:v>0</x:v>
      </x:c>
    </x:row>
    <x:row r="595" ht="23" customHeight="1">
      <x:c r="A595" s="2" t="str">
        <x:v>DEMO-202-1-14</x:v>
      </x:c>
      <x:c r="B595" s="15" t="d">
        <x:v>2026-08-03T00:00:00.000Z</x:v>
      </x:c>
      <x:c r="C595" s="2" t="n">
        <x:v>14</x:v>
      </x:c>
      <x:c r="D595" s="2" t="str">
        <x:v>DEMO-202</x:v>
      </x:c>
      <x:c r="E595" s="2" t="str">
        <x:v>Ribbon Keepsake</x:v>
      </x:c>
      <x:c r="F595" s="2" t="str">
        <x:v>Gifting</x:v>
      </x:c>
      <x:c r="G595" s="2" t="str">
        <x:v>Stores</x:v>
      </x:c>
      <x:c r="H595" s="2" t="str">
        <x:v>Riverside</x:v>
      </x:c>
      <x:c r="I595" s="2" t="n">
        <x:v>28</x:v>
      </x:c>
      <x:c r="J595" s="2" t="n">
        <x:v>0</x:v>
      </x:c>
      <x:c r="K595" s="2" t="n">
        <x:f>I595-J595</x:f>
        <x:v>28</x:v>
      </x:c>
      <x:c r="L595" s="16" t="n">
        <x:v>20</x:v>
      </x:c>
      <x:c r="M595" s="16" t="n">
        <x:v>18</x:v>
      </x:c>
      <x:c r="N595" s="16" t="n">
        <x:v>7.7</x:v>
      </x:c>
      <x:c r="O595" s="16" t="n">
        <x:f>K595*M595</x:f>
        <x:v>504</x:v>
      </x:c>
      <x:c r="P595" s="16" t="n">
        <x:f>K595*N595</x:f>
        <x:v>215.6</x:v>
      </x:c>
      <x:c r="Q595" s="16" t="n">
        <x:f>O595-P595</x:f>
        <x:v>288.4</x:v>
      </x:c>
      <x:c r="R595" s="2" t="n">
        <x:v>99</x:v>
      </x:c>
      <x:c r="S595" s="2" t="n">
        <x:v>0</x:v>
      </x:c>
      <x:c r="T595" s="2" t="n">
        <x:f>R595+S595+J595-I595</x:f>
        <x:v>71</x:v>
      </x:c>
      <x:c r="U595" s="2" t="n">
        <x:v>0</x:v>
      </x:c>
      <x:c r="V595" s="2" t="n">
        <x:v>3</x:v>
      </x:c>
      <x:c r="W595" s="2" t="n">
        <x:v>24</x:v>
      </x:c>
      <x:c r="X595" s="14" t="b">
        <x:v>1</x:v>
      </x:c>
      <x:c r="Y595" s="14" t="b">
        <x:v>0</x:v>
      </x:c>
      <x:c r="Z595" s="2" t="n">
        <x:f>ABS(T595-AA595)</x:f>
        <x:v>0</x:v>
      </x:c>
      <x:c r="AA595" s="2" t="n">
        <x:v>71</x:v>
      </x:c>
      <x:c r="AB595" s="2" t="n">
        <x:f>ABS(K595-W595)</x:f>
        <x:v>4</x:v>
      </x:c>
      <x:c r="AC595" s="2" t="n">
        <x:f>COUNTIF($A$2:$A$1921,A595)-1</x:f>
        <x:v>0</x:v>
      </x:c>
      <x:c r="AD595" s="2" t="n">
        <x:f>IF(AND(D595=D594,H595=H594,C595=C594+1),ABS(R595-T594),0)</x:f>
        <x:v>0</x:v>
      </x:c>
    </x:row>
    <x:row r="596" ht="23" customHeight="1">
      <x:c r="A596" s="2" t="str">
        <x:v>DEMO-202-1-15</x:v>
      </x:c>
      <x:c r="B596" s="15" t="d">
        <x:v>2026-08-10T00:00:00.000Z</x:v>
      </x:c>
      <x:c r="C596" s="2" t="n">
        <x:v>15</x:v>
      </x:c>
      <x:c r="D596" s="2" t="str">
        <x:v>DEMO-202</x:v>
      </x:c>
      <x:c r="E596" s="2" t="str">
        <x:v>Ribbon Keepsake</x:v>
      </x:c>
      <x:c r="F596" s="2" t="str">
        <x:v>Gifting</x:v>
      </x:c>
      <x:c r="G596" s="2" t="str">
        <x:v>Stores</x:v>
      </x:c>
      <x:c r="H596" s="2" t="str">
        <x:v>Riverside</x:v>
      </x:c>
      <x:c r="I596" s="2" t="n">
        <x:v>12</x:v>
      </x:c>
      <x:c r="J596" s="2" t="n">
        <x:v>0</x:v>
      </x:c>
      <x:c r="K596" s="2" t="n">
        <x:f>I596-J596</x:f>
        <x:v>12</x:v>
      </x:c>
      <x:c r="L596" s="16" t="n">
        <x:v>20</x:v>
      </x:c>
      <x:c r="M596" s="16" t="n">
        <x:v>20</x:v>
      </x:c>
      <x:c r="N596" s="16" t="n">
        <x:v>7.7</x:v>
      </x:c>
      <x:c r="O596" s="16" t="n">
        <x:f>K596*M596</x:f>
        <x:v>240</x:v>
      </x:c>
      <x:c r="P596" s="16" t="n">
        <x:f>K596*N596</x:f>
        <x:v>92.4</x:v>
      </x:c>
      <x:c r="Q596" s="16" t="n">
        <x:f>O596-P596</x:f>
        <x:v>147.6</x:v>
      </x:c>
      <x:c r="R596" s="2" t="n">
        <x:v>71</x:v>
      </x:c>
      <x:c r="S596" s="2" t="n">
        <x:v>0</x:v>
      </x:c>
      <x:c r="T596" s="2" t="n">
        <x:f>R596+S596+J596-I596</x:f>
        <x:v>59</x:v>
      </x:c>
      <x:c r="U596" s="2" t="n">
        <x:v>0</x:v>
      </x:c>
      <x:c r="V596" s="2" t="n">
        <x:v>3</x:v>
      </x:c>
      <x:c r="W596" s="2" t="n">
        <x:v>28</x:v>
      </x:c>
      <x:c r="X596" s="14" t="b">
        <x:v>0</x:v>
      </x:c>
      <x:c r="Y596" s="14" t="b">
        <x:v>0</x:v>
      </x:c>
      <x:c r="Z596" s="2" t="n">
        <x:f>ABS(T596-AA596)</x:f>
        <x:v>0</x:v>
      </x:c>
      <x:c r="AA596" s="2" t="n">
        <x:v>59</x:v>
      </x:c>
      <x:c r="AB596" s="2" t="n">
        <x:f>ABS(K596-W596)</x:f>
        <x:v>16</x:v>
      </x:c>
      <x:c r="AC596" s="2" t="n">
        <x:f>COUNTIF($A$2:$A$1921,A596)-1</x:f>
        <x:v>0</x:v>
      </x:c>
      <x:c r="AD596" s="2" t="n">
        <x:f>IF(AND(D596=D595,H596=H595,C596=C595+1),ABS(R596-T595),0)</x:f>
        <x:v>0</x:v>
      </x:c>
    </x:row>
    <x:row r="597" ht="23" customHeight="1">
      <x:c r="A597" s="2" t="str">
        <x:v>DEMO-202-1-16</x:v>
      </x:c>
      <x:c r="B597" s="15" t="d">
        <x:v>2026-08-17T00:00:00.000Z</x:v>
      </x:c>
      <x:c r="C597" s="2" t="n">
        <x:v>16</x:v>
      </x:c>
      <x:c r="D597" s="2" t="str">
        <x:v>DEMO-202</x:v>
      </x:c>
      <x:c r="E597" s="2" t="str">
        <x:v>Ribbon Keepsake</x:v>
      </x:c>
      <x:c r="F597" s="2" t="str">
        <x:v>Gifting</x:v>
      </x:c>
      <x:c r="G597" s="2" t="str">
        <x:v>Stores</x:v>
      </x:c>
      <x:c r="H597" s="2" t="str">
        <x:v>Riverside</x:v>
      </x:c>
      <x:c r="I597" s="2" t="n">
        <x:v>16</x:v>
      </x:c>
      <x:c r="J597" s="2" t="n">
        <x:v>1</x:v>
      </x:c>
      <x:c r="K597" s="2" t="n">
        <x:f>I597-J597</x:f>
        <x:v>15</x:v>
      </x:c>
      <x:c r="L597" s="16" t="n">
        <x:v>20</x:v>
      </x:c>
      <x:c r="M597" s="16" t="n">
        <x:v>20</x:v>
      </x:c>
      <x:c r="N597" s="16" t="n">
        <x:v>7.7</x:v>
      </x:c>
      <x:c r="O597" s="16" t="n">
        <x:f>K597*M597</x:f>
        <x:v>300</x:v>
      </x:c>
      <x:c r="P597" s="16" t="n">
        <x:f>K597*N597</x:f>
        <x:v>115.5</x:v>
      </x:c>
      <x:c r="Q597" s="16" t="n">
        <x:f>O597-P597</x:f>
        <x:v>184.5</x:v>
      </x:c>
      <x:c r="R597" s="2" t="n">
        <x:v>59</x:v>
      </x:c>
      <x:c r="S597" s="2" t="n">
        <x:v>0</x:v>
      </x:c>
      <x:c r="T597" s="2" t="n">
        <x:f>R597+S597+J597-I597</x:f>
        <x:v>44</x:v>
      </x:c>
      <x:c r="U597" s="2" t="n">
        <x:v>0</x:v>
      </x:c>
      <x:c r="V597" s="2" t="n">
        <x:v>3</x:v>
      </x:c>
      <x:c r="W597" s="2" t="n">
        <x:v>27</x:v>
      </x:c>
      <x:c r="X597" s="14" t="b">
        <x:v>0</x:v>
      </x:c>
      <x:c r="Y597" s="14" t="b">
        <x:v>0</x:v>
      </x:c>
      <x:c r="Z597" s="2" t="n">
        <x:f>ABS(T597-AA597)</x:f>
        <x:v>0</x:v>
      </x:c>
      <x:c r="AA597" s="2" t="n">
        <x:v>44</x:v>
      </x:c>
      <x:c r="AB597" s="2" t="n">
        <x:f>ABS(K597-W597)</x:f>
        <x:v>12</x:v>
      </x:c>
      <x:c r="AC597" s="2" t="n">
        <x:f>COUNTIF($A$2:$A$1921,A597)-1</x:f>
        <x:v>0</x:v>
      </x:c>
      <x:c r="AD597" s="2" t="n">
        <x:f>IF(AND(D597=D596,H597=H596,C597=C596+1),ABS(R597-T596),0)</x:f>
        <x:v>0</x:v>
      </x:c>
    </x:row>
    <x:row r="598" ht="23" customHeight="1">
      <x:c r="A598" s="2" t="str">
        <x:v>DEMO-202-1-17</x:v>
      </x:c>
      <x:c r="B598" s="15" t="d">
        <x:v>2026-08-24T00:00:00.000Z</x:v>
      </x:c>
      <x:c r="C598" s="2" t="n">
        <x:v>17</x:v>
      </x:c>
      <x:c r="D598" s="2" t="str">
        <x:v>DEMO-202</x:v>
      </x:c>
      <x:c r="E598" s="2" t="str">
        <x:v>Ribbon Keepsake</x:v>
      </x:c>
      <x:c r="F598" s="2" t="str">
        <x:v>Gifting</x:v>
      </x:c>
      <x:c r="G598" s="2" t="str">
        <x:v>Stores</x:v>
      </x:c>
      <x:c r="H598" s="2" t="str">
        <x:v>Riverside</x:v>
      </x:c>
      <x:c r="I598" s="2" t="n">
        <x:v>16</x:v>
      </x:c>
      <x:c r="J598" s="2" t="n">
        <x:v>0</x:v>
      </x:c>
      <x:c r="K598" s="2" t="n">
        <x:f>I598-J598</x:f>
        <x:v>16</x:v>
      </x:c>
      <x:c r="L598" s="16" t="n">
        <x:v>20</x:v>
      </x:c>
      <x:c r="M598" s="16" t="n">
        <x:v>20</x:v>
      </x:c>
      <x:c r="N598" s="16" t="n">
        <x:v>7.7</x:v>
      </x:c>
      <x:c r="O598" s="16" t="n">
        <x:f>K598*M598</x:f>
        <x:v>320</x:v>
      </x:c>
      <x:c r="P598" s="16" t="n">
        <x:f>K598*N598</x:f>
        <x:v>123.2</x:v>
      </x:c>
      <x:c r="Q598" s="16" t="n">
        <x:f>O598-P598</x:f>
        <x:v>196.8</x:v>
      </x:c>
      <x:c r="R598" s="2" t="n">
        <x:v>44</x:v>
      </x:c>
      <x:c r="S598" s="2" t="n">
        <x:v>59</x:v>
      </x:c>
      <x:c r="T598" s="2" t="n">
        <x:f>R598+S598+J598-I598</x:f>
        <x:v>87</x:v>
      </x:c>
      <x:c r="U598" s="2" t="n">
        <x:v>0</x:v>
      </x:c>
      <x:c r="V598" s="2" t="n">
        <x:v>3</x:v>
      </x:c>
      <x:c r="W598" s="2" t="n">
        <x:v>22</x:v>
      </x:c>
      <x:c r="X598" s="14" t="b">
        <x:v>0</x:v>
      </x:c>
      <x:c r="Y598" s="14" t="b">
        <x:v>0</x:v>
      </x:c>
      <x:c r="Z598" s="2" t="n">
        <x:f>ABS(T598-AA598)</x:f>
        <x:v>0</x:v>
      </x:c>
      <x:c r="AA598" s="2" t="n">
        <x:v>87</x:v>
      </x:c>
      <x:c r="AB598" s="2" t="n">
        <x:f>ABS(K598-W598)</x:f>
        <x:v>6</x:v>
      </x:c>
      <x:c r="AC598" s="2" t="n">
        <x:f>COUNTIF($A$2:$A$1921,A598)-1</x:f>
        <x:v>0</x:v>
      </x:c>
      <x:c r="AD598" s="2" t="n">
        <x:f>IF(AND(D598=D597,H598=H597,C598=C597+1),ABS(R598-T597),0)</x:f>
        <x:v>0</x:v>
      </x:c>
    </x:row>
    <x:row r="599" ht="23" customHeight="1">
      <x:c r="A599" s="2" t="str">
        <x:v>DEMO-202-1-18</x:v>
      </x:c>
      <x:c r="B599" s="15" t="d">
        <x:v>2026-08-31T00:00:00.000Z</x:v>
      </x:c>
      <x:c r="C599" s="2" t="n">
        <x:v>18</x:v>
      </x:c>
      <x:c r="D599" s="2" t="str">
        <x:v>DEMO-202</x:v>
      </x:c>
      <x:c r="E599" s="2" t="str">
        <x:v>Ribbon Keepsake</x:v>
      </x:c>
      <x:c r="F599" s="2" t="str">
        <x:v>Gifting</x:v>
      </x:c>
      <x:c r="G599" s="2" t="str">
        <x:v>Stores</x:v>
      </x:c>
      <x:c r="H599" s="2" t="str">
        <x:v>Riverside</x:v>
      </x:c>
      <x:c r="I599" s="2" t="n">
        <x:v>12</x:v>
      </x:c>
      <x:c r="J599" s="2" t="n">
        <x:v>1</x:v>
      </x:c>
      <x:c r="K599" s="2" t="n">
        <x:f>I599-J599</x:f>
        <x:v>11</x:v>
      </x:c>
      <x:c r="L599" s="16" t="n">
        <x:v>20</x:v>
      </x:c>
      <x:c r="M599" s="16" t="n">
        <x:v>20</x:v>
      </x:c>
      <x:c r="N599" s="16" t="n">
        <x:v>7.7</x:v>
      </x:c>
      <x:c r="O599" s="16" t="n">
        <x:f>K599*M599</x:f>
        <x:v>220</x:v>
      </x:c>
      <x:c r="P599" s="16" t="n">
        <x:f>K599*N599</x:f>
        <x:v>84.7</x:v>
      </x:c>
      <x:c r="Q599" s="16" t="n">
        <x:f>O599-P599</x:f>
        <x:v>135.3</x:v>
      </x:c>
      <x:c r="R599" s="2" t="n">
        <x:v>87</x:v>
      </x:c>
      <x:c r="S599" s="2" t="n">
        <x:v>0</x:v>
      </x:c>
      <x:c r="T599" s="2" t="n">
        <x:f>R599+S599+J599-I599</x:f>
        <x:v>76</x:v>
      </x:c>
      <x:c r="U599" s="2" t="n">
        <x:v>0</x:v>
      </x:c>
      <x:c r="V599" s="2" t="n">
        <x:v>3</x:v>
      </x:c>
      <x:c r="W599" s="2" t="n">
        <x:v>18</x:v>
      </x:c>
      <x:c r="X599" s="14" t="b">
        <x:v>0</x:v>
      </x:c>
      <x:c r="Y599" s="14" t="b">
        <x:v>0</x:v>
      </x:c>
      <x:c r="Z599" s="2" t="n">
        <x:f>ABS(T599-AA599)</x:f>
        <x:v>0</x:v>
      </x:c>
      <x:c r="AA599" s="2" t="n">
        <x:v>76</x:v>
      </x:c>
      <x:c r="AB599" s="2" t="n">
        <x:f>ABS(K599-W599)</x:f>
        <x:v>7</x:v>
      </x:c>
      <x:c r="AC599" s="2" t="n">
        <x:f>COUNTIF($A$2:$A$1921,A599)-1</x:f>
        <x:v>0</x:v>
      </x:c>
      <x:c r="AD599" s="2" t="n">
        <x:f>IF(AND(D599=D598,H599=H598,C599=C598+1),ABS(R599-T598),0)</x:f>
        <x:v>0</x:v>
      </x:c>
    </x:row>
    <x:row r="600" ht="23" customHeight="1">
      <x:c r="A600" s="2" t="str">
        <x:v>DEMO-202-1-19</x:v>
      </x:c>
      <x:c r="B600" s="15" t="d">
        <x:v>2026-09-07T00:00:00.000Z</x:v>
      </x:c>
      <x:c r="C600" s="2" t="n">
        <x:v>19</x:v>
      </x:c>
      <x:c r="D600" s="2" t="str">
        <x:v>DEMO-202</x:v>
      </x:c>
      <x:c r="E600" s="2" t="str">
        <x:v>Ribbon Keepsake</x:v>
      </x:c>
      <x:c r="F600" s="2" t="str">
        <x:v>Gifting</x:v>
      </x:c>
      <x:c r="G600" s="2" t="str">
        <x:v>Stores</x:v>
      </x:c>
      <x:c r="H600" s="2" t="str">
        <x:v>Riverside</x:v>
      </x:c>
      <x:c r="I600" s="2" t="n">
        <x:v>14</x:v>
      </x:c>
      <x:c r="J600" s="2" t="n">
        <x:v>0</x:v>
      </x:c>
      <x:c r="K600" s="2" t="n">
        <x:f>I600-J600</x:f>
        <x:v>14</x:v>
      </x:c>
      <x:c r="L600" s="16" t="n">
        <x:v>20</x:v>
      </x:c>
      <x:c r="M600" s="16" t="n">
        <x:v>20</x:v>
      </x:c>
      <x:c r="N600" s="16" t="n">
        <x:v>7.7</x:v>
      </x:c>
      <x:c r="O600" s="16" t="n">
        <x:f>K600*M600</x:f>
        <x:v>280</x:v>
      </x:c>
      <x:c r="P600" s="16" t="n">
        <x:f>K600*N600</x:f>
        <x:v>107.8</x:v>
      </x:c>
      <x:c r="Q600" s="16" t="n">
        <x:f>O600-P600</x:f>
        <x:v>172.2</x:v>
      </x:c>
      <x:c r="R600" s="2" t="n">
        <x:v>76</x:v>
      </x:c>
      <x:c r="S600" s="2" t="n">
        <x:v>0</x:v>
      </x:c>
      <x:c r="T600" s="2" t="n">
        <x:f>R600+S600+J600-I600</x:f>
        <x:v>62</x:v>
      </x:c>
      <x:c r="U600" s="2" t="n">
        <x:v>0</x:v>
      </x:c>
      <x:c r="V600" s="2" t="n">
        <x:v>3</x:v>
      </x:c>
      <x:c r="W600" s="2" t="n">
        <x:v>14</x:v>
      </x:c>
      <x:c r="X600" s="14" t="b">
        <x:v>0</x:v>
      </x:c>
      <x:c r="Y600" s="14" t="b">
        <x:v>0</x:v>
      </x:c>
      <x:c r="Z600" s="2" t="n">
        <x:f>ABS(T600-AA600)</x:f>
        <x:v>0</x:v>
      </x:c>
      <x:c r="AA600" s="2" t="n">
        <x:v>62</x:v>
      </x:c>
      <x:c r="AB600" s="2" t="n">
        <x:f>ABS(K600-W600)</x:f>
        <x:v>0</x:v>
      </x:c>
      <x:c r="AC600" s="2" t="n">
        <x:f>COUNTIF($A$2:$A$1921,A600)-1</x:f>
        <x:v>0</x:v>
      </x:c>
      <x:c r="AD600" s="2" t="n">
        <x:f>IF(AND(D600=D599,H600=H599,C600=C599+1),ABS(R600-T599),0)</x:f>
        <x:v>0</x:v>
      </x:c>
    </x:row>
    <x:row r="601" ht="23" customHeight="1">
      <x:c r="A601" s="2" t="str">
        <x:v>DEMO-202-1-20</x:v>
      </x:c>
      <x:c r="B601" s="15" t="d">
        <x:v>2026-09-14T00:00:00.000Z</x:v>
      </x:c>
      <x:c r="C601" s="2" t="n">
        <x:v>20</x:v>
      </x:c>
      <x:c r="D601" s="2" t="str">
        <x:v>DEMO-202</x:v>
      </x:c>
      <x:c r="E601" s="2" t="str">
        <x:v>Ribbon Keepsake</x:v>
      </x:c>
      <x:c r="F601" s="2" t="str">
        <x:v>Gifting</x:v>
      </x:c>
      <x:c r="G601" s="2" t="str">
        <x:v>Stores</x:v>
      </x:c>
      <x:c r="H601" s="2" t="str">
        <x:v>Riverside</x:v>
      </x:c>
      <x:c r="I601" s="2" t="n">
        <x:v>14</x:v>
      </x:c>
      <x:c r="J601" s="2" t="n">
        <x:v>0</x:v>
      </x:c>
      <x:c r="K601" s="2" t="n">
        <x:f>I601-J601</x:f>
        <x:v>14</x:v>
      </x:c>
      <x:c r="L601" s="16" t="n">
        <x:v>20</x:v>
      </x:c>
      <x:c r="M601" s="16" t="n">
        <x:v>20</x:v>
      </x:c>
      <x:c r="N601" s="16" t="n">
        <x:v>7.7</x:v>
      </x:c>
      <x:c r="O601" s="16" t="n">
        <x:f>K601*M601</x:f>
        <x:v>280</x:v>
      </x:c>
      <x:c r="P601" s="16" t="n">
        <x:f>K601*N601</x:f>
        <x:v>107.8</x:v>
      </x:c>
      <x:c r="Q601" s="16" t="n">
        <x:f>O601-P601</x:f>
        <x:v>172.2</x:v>
      </x:c>
      <x:c r="R601" s="2" t="n">
        <x:v>62</x:v>
      </x:c>
      <x:c r="S601" s="2" t="n">
        <x:v>0</x:v>
      </x:c>
      <x:c r="T601" s="2" t="n">
        <x:f>R601+S601+J601-I601</x:f>
        <x:v>48</x:v>
      </x:c>
      <x:c r="U601" s="2" t="n">
        <x:v>18</x:v>
      </x:c>
      <x:c r="V601" s="2" t="n">
        <x:v>3</x:v>
      </x:c>
      <x:c r="W601" s="2" t="n">
        <x:v>14</x:v>
      </x:c>
      <x:c r="X601" s="14" t="b">
        <x:v>0</x:v>
      </x:c>
      <x:c r="Y601" s="14" t="b">
        <x:v>0</x:v>
      </x:c>
      <x:c r="Z601" s="2" t="n">
        <x:f>ABS(T601-AA601)</x:f>
        <x:v>0</x:v>
      </x:c>
      <x:c r="AA601" s="2" t="n">
        <x:v>48</x:v>
      </x:c>
      <x:c r="AB601" s="2" t="n">
        <x:f>ABS(K601-W601)</x:f>
        <x:v>0</x:v>
      </x:c>
      <x:c r="AC601" s="2" t="n">
        <x:f>COUNTIF($A$2:$A$1921,A601)-1</x:f>
        <x:v>0</x:v>
      </x:c>
      <x:c r="AD601" s="2" t="n">
        <x:f>IF(AND(D601=D600,H601=H600,C601=C600+1),ABS(R601-T600),0)</x:f>
        <x:v>0</x:v>
      </x:c>
    </x:row>
    <x:row r="602" ht="23" customHeight="1">
      <x:c r="A602" s="2" t="str">
        <x:v>DEMO-202-2-1</x:v>
      </x:c>
      <x:c r="B602" s="15" t="d">
        <x:v>2026-05-04T00:00:00.000Z</x:v>
      </x:c>
      <x:c r="C602" s="2" t="n">
        <x:v>1</x:v>
      </x:c>
      <x:c r="D602" s="2" t="str">
        <x:v>DEMO-202</x:v>
      </x:c>
      <x:c r="E602" s="2" t="str">
        <x:v>Ribbon Keepsake</x:v>
      </x:c>
      <x:c r="F602" s="2" t="str">
        <x:v>Gifting</x:v>
      </x:c>
      <x:c r="G602" s="2" t="str">
        <x:v>Stores</x:v>
      </x:c>
      <x:c r="H602" s="2" t="str">
        <x:v>Central Market</x:v>
      </x:c>
      <x:c r="I602" s="2" t="n">
        <x:v>15</x:v>
      </x:c>
      <x:c r="J602" s="2" t="n">
        <x:v>0</x:v>
      </x:c>
      <x:c r="K602" s="2" t="n">
        <x:f>I602-J602</x:f>
        <x:v>15</x:v>
      </x:c>
      <x:c r="L602" s="16" t="n">
        <x:v>20</x:v>
      </x:c>
      <x:c r="M602" s="16" t="n">
        <x:v>20</x:v>
      </x:c>
      <x:c r="N602" s="16" t="n">
        <x:v>7.7</x:v>
      </x:c>
      <x:c r="O602" s="16" t="n">
        <x:f>K602*M602</x:f>
        <x:v>300</x:v>
      </x:c>
      <x:c r="P602" s="16" t="n">
        <x:f>K602*N602</x:f>
        <x:v>115.5</x:v>
      </x:c>
      <x:c r="Q602" s="16" t="n">
        <x:f>O602-P602</x:f>
        <x:v>184.5</x:v>
      </x:c>
      <x:c r="R602" s="2" t="n">
        <x:v>90</x:v>
      </x:c>
      <x:c r="S602" s="2" t="n">
        <x:v>59</x:v>
      </x:c>
      <x:c r="T602" s="2" t="n">
        <x:f>R602+S602+J602-I602</x:f>
        <x:v>134</x:v>
      </x:c>
      <x:c r="U602" s="2" t="n">
        <x:v>0</x:v>
      </x:c>
      <x:c r="V602" s="2" t="n">
        <x:v>3</x:v>
      </x:c>
      <x:c r="W602" s="2" t="n">
        <x:v>14</x:v>
      </x:c>
      <x:c r="X602" s="14" t="b">
        <x:v>0</x:v>
      </x:c>
      <x:c r="Y602" s="14" t="b">
        <x:v>0</x:v>
      </x:c>
      <x:c r="Z602" s="2" t="n">
        <x:f>ABS(T602-AA602)</x:f>
        <x:v>0</x:v>
      </x:c>
      <x:c r="AA602" s="2" t="n">
        <x:v>134</x:v>
      </x:c>
      <x:c r="AB602" s="2" t="n">
        <x:f>ABS(K602-W602)</x:f>
        <x:v>1</x:v>
      </x:c>
      <x:c r="AC602" s="2" t="n">
        <x:f>COUNTIF($A$2:$A$1921,A602)-1</x:f>
        <x:v>0</x:v>
      </x:c>
      <x:c r="AD602" s="2" t="n">
        <x:f>IF(AND(D602=D601,H602=H601,C602=C601+1),ABS(R602-T601),0)</x:f>
        <x:v>0</x:v>
      </x:c>
    </x:row>
    <x:row r="603" ht="23" customHeight="1">
      <x:c r="A603" s="2" t="str">
        <x:v>DEMO-202-2-2</x:v>
      </x:c>
      <x:c r="B603" s="15" t="d">
        <x:v>2026-05-11T00:00:00.000Z</x:v>
      </x:c>
      <x:c r="C603" s="2" t="n">
        <x:v>2</x:v>
      </x:c>
      <x:c r="D603" s="2" t="str">
        <x:v>DEMO-202</x:v>
      </x:c>
      <x:c r="E603" s="2" t="str">
        <x:v>Ribbon Keepsake</x:v>
      </x:c>
      <x:c r="F603" s="2" t="str">
        <x:v>Gifting</x:v>
      </x:c>
      <x:c r="G603" s="2" t="str">
        <x:v>Stores</x:v>
      </x:c>
      <x:c r="H603" s="2" t="str">
        <x:v>Central Market</x:v>
      </x:c>
      <x:c r="I603" s="2" t="n">
        <x:v>16</x:v>
      </x:c>
      <x:c r="J603" s="2" t="n">
        <x:v>0</x:v>
      </x:c>
      <x:c r="K603" s="2" t="n">
        <x:f>I603-J603</x:f>
        <x:v>16</x:v>
      </x:c>
      <x:c r="L603" s="16" t="n">
        <x:v>20</x:v>
      </x:c>
      <x:c r="M603" s="16" t="n">
        <x:v>20</x:v>
      </x:c>
      <x:c r="N603" s="16" t="n">
        <x:v>7.7</x:v>
      </x:c>
      <x:c r="O603" s="16" t="n">
        <x:f>K603*M603</x:f>
        <x:v>320</x:v>
      </x:c>
      <x:c r="P603" s="16" t="n">
        <x:f>K603*N603</x:f>
        <x:v>123.2</x:v>
      </x:c>
      <x:c r="Q603" s="16" t="n">
        <x:f>O603-P603</x:f>
        <x:v>196.8</x:v>
      </x:c>
      <x:c r="R603" s="2" t="n">
        <x:v>134</x:v>
      </x:c>
      <x:c r="S603" s="2" t="n">
        <x:v>0</x:v>
      </x:c>
      <x:c r="T603" s="2" t="n">
        <x:f>R603+S603+J603-I603</x:f>
        <x:v>118</x:v>
      </x:c>
      <x:c r="U603" s="2" t="n">
        <x:v>0</x:v>
      </x:c>
      <x:c r="V603" s="2" t="n">
        <x:v>3</x:v>
      </x:c>
      <x:c r="W603" s="2" t="n">
        <x:v>15</x:v>
      </x:c>
      <x:c r="X603" s="14" t="b">
        <x:v>0</x:v>
      </x:c>
      <x:c r="Y603" s="14" t="b">
        <x:v>0</x:v>
      </x:c>
      <x:c r="Z603" s="2" t="n">
        <x:f>ABS(T603-AA603)</x:f>
        <x:v>0</x:v>
      </x:c>
      <x:c r="AA603" s="2" t="n">
        <x:v>118</x:v>
      </x:c>
      <x:c r="AB603" s="2" t="n">
        <x:f>ABS(K603-W603)</x:f>
        <x:v>1</x:v>
      </x:c>
      <x:c r="AC603" s="2" t="n">
        <x:f>COUNTIF($A$2:$A$1921,A603)-1</x:f>
        <x:v>0</x:v>
      </x:c>
      <x:c r="AD603" s="2" t="n">
        <x:f>IF(AND(D603=D602,H603=H602,C603=C602+1),ABS(R603-T602),0)</x:f>
        <x:v>0</x:v>
      </x:c>
    </x:row>
    <x:row r="604" ht="23" customHeight="1">
      <x:c r="A604" s="2" t="str">
        <x:v>DEMO-202-2-3</x:v>
      </x:c>
      <x:c r="B604" s="15" t="d">
        <x:v>2026-05-18T00:00:00.000Z</x:v>
      </x:c>
      <x:c r="C604" s="2" t="n">
        <x:v>3</x:v>
      </x:c>
      <x:c r="D604" s="2" t="str">
        <x:v>DEMO-202</x:v>
      </x:c>
      <x:c r="E604" s="2" t="str">
        <x:v>Ribbon Keepsake</x:v>
      </x:c>
      <x:c r="F604" s="2" t="str">
        <x:v>Gifting</x:v>
      </x:c>
      <x:c r="G604" s="2" t="str">
        <x:v>Stores</x:v>
      </x:c>
      <x:c r="H604" s="2" t="str">
        <x:v>Central Market</x:v>
      </x:c>
      <x:c r="I604" s="2" t="n">
        <x:v>12</x:v>
      </x:c>
      <x:c r="J604" s="2" t="n">
        <x:v>0</x:v>
      </x:c>
      <x:c r="K604" s="2" t="n">
        <x:f>I604-J604</x:f>
        <x:v>12</x:v>
      </x:c>
      <x:c r="L604" s="16" t="n">
        <x:v>20</x:v>
      </x:c>
      <x:c r="M604" s="16" t="n">
        <x:v>20</x:v>
      </x:c>
      <x:c r="N604" s="16" t="n">
        <x:v>7.7</x:v>
      </x:c>
      <x:c r="O604" s="16" t="n">
        <x:f>K604*M604</x:f>
        <x:v>240</x:v>
      </x:c>
      <x:c r="P604" s="16" t="n">
        <x:f>K604*N604</x:f>
        <x:v>92.4</x:v>
      </x:c>
      <x:c r="Q604" s="16" t="n">
        <x:f>O604-P604</x:f>
        <x:v>147.6</x:v>
      </x:c>
      <x:c r="R604" s="2" t="n">
        <x:v>118</x:v>
      </x:c>
      <x:c r="S604" s="2" t="n">
        <x:v>0</x:v>
      </x:c>
      <x:c r="T604" s="2" t="n">
        <x:f>R604+S604+J604-I604</x:f>
        <x:v>106</x:v>
      </x:c>
      <x:c r="U604" s="2" t="n">
        <x:v>0</x:v>
      </x:c>
      <x:c r="V604" s="2" t="n">
        <x:v>3</x:v>
      </x:c>
      <x:c r="W604" s="2" t="n">
        <x:v>16</x:v>
      </x:c>
      <x:c r="X604" s="14" t="b">
        <x:v>0</x:v>
      </x:c>
      <x:c r="Y604" s="14" t="b">
        <x:v>0</x:v>
      </x:c>
      <x:c r="Z604" s="2" t="n">
        <x:f>ABS(T604-AA604)</x:f>
        <x:v>0</x:v>
      </x:c>
      <x:c r="AA604" s="2" t="n">
        <x:v>106</x:v>
      </x:c>
      <x:c r="AB604" s="2" t="n">
        <x:f>ABS(K604-W604)</x:f>
        <x:v>4</x:v>
      </x:c>
      <x:c r="AC604" s="2" t="n">
        <x:f>COUNTIF($A$2:$A$1921,A604)-1</x:f>
        <x:v>0</x:v>
      </x:c>
      <x:c r="AD604" s="2" t="n">
        <x:f>IF(AND(D604=D603,H604=H603,C604=C603+1),ABS(R604-T603),0)</x:f>
        <x:v>0</x:v>
      </x:c>
    </x:row>
    <x:row r="605" ht="23" customHeight="1">
      <x:c r="A605" s="2" t="str">
        <x:v>DEMO-202-2-4</x:v>
      </x:c>
      <x:c r="B605" s="15" t="d">
        <x:v>2026-05-25T00:00:00.000Z</x:v>
      </x:c>
      <x:c r="C605" s="2" t="n">
        <x:v>4</x:v>
      </x:c>
      <x:c r="D605" s="2" t="str">
        <x:v>DEMO-202</x:v>
      </x:c>
      <x:c r="E605" s="2" t="str">
        <x:v>Ribbon Keepsake</x:v>
      </x:c>
      <x:c r="F605" s="2" t="str">
        <x:v>Gifting</x:v>
      </x:c>
      <x:c r="G605" s="2" t="str">
        <x:v>Stores</x:v>
      </x:c>
      <x:c r="H605" s="2" t="str">
        <x:v>Central Market</x:v>
      </x:c>
      <x:c r="I605" s="2" t="n">
        <x:v>12</x:v>
      </x:c>
      <x:c r="J605" s="2" t="n">
        <x:v>0</x:v>
      </x:c>
      <x:c r="K605" s="2" t="n">
        <x:f>I605-J605</x:f>
        <x:v>12</x:v>
      </x:c>
      <x:c r="L605" s="16" t="n">
        <x:v>20</x:v>
      </x:c>
      <x:c r="M605" s="16" t="n">
        <x:v>20</x:v>
      </x:c>
      <x:c r="N605" s="16" t="n">
        <x:v>7.7</x:v>
      </x:c>
      <x:c r="O605" s="16" t="n">
        <x:f>K605*M605</x:f>
        <x:v>240</x:v>
      </x:c>
      <x:c r="P605" s="16" t="n">
        <x:f>K605*N605</x:f>
        <x:v>92.4</x:v>
      </x:c>
      <x:c r="Q605" s="16" t="n">
        <x:f>O605-P605</x:f>
        <x:v>147.6</x:v>
      </x:c>
      <x:c r="R605" s="2" t="n">
        <x:v>106</x:v>
      </x:c>
      <x:c r="S605" s="2" t="n">
        <x:v>0</x:v>
      </x:c>
      <x:c r="T605" s="2" t="n">
        <x:f>R605+S605+J605-I605</x:f>
        <x:v>94</x:v>
      </x:c>
      <x:c r="U605" s="2" t="n">
        <x:v>0</x:v>
      </x:c>
      <x:c r="V605" s="2" t="n">
        <x:v>3</x:v>
      </x:c>
      <x:c r="W605" s="2" t="n">
        <x:v>14</x:v>
      </x:c>
      <x:c r="X605" s="14" t="b">
        <x:v>0</x:v>
      </x:c>
      <x:c r="Y605" s="14" t="b">
        <x:v>0</x:v>
      </x:c>
      <x:c r="Z605" s="2" t="n">
        <x:f>ABS(T605-AA605)</x:f>
        <x:v>0</x:v>
      </x:c>
      <x:c r="AA605" s="2" t="n">
        <x:v>94</x:v>
      </x:c>
      <x:c r="AB605" s="2" t="n">
        <x:f>ABS(K605-W605)</x:f>
        <x:v>2</x:v>
      </x:c>
      <x:c r="AC605" s="2" t="n">
        <x:f>COUNTIF($A$2:$A$1921,A605)-1</x:f>
        <x:v>0</x:v>
      </x:c>
      <x:c r="AD605" s="2" t="n">
        <x:f>IF(AND(D605=D604,H605=H604,C605=C604+1),ABS(R605-T604),0)</x:f>
        <x:v>0</x:v>
      </x:c>
    </x:row>
    <x:row r="606" ht="23" customHeight="1">
      <x:c r="A606" s="2" t="str">
        <x:v>DEMO-202-2-5</x:v>
      </x:c>
      <x:c r="B606" s="15" t="d">
        <x:v>2026-06-01T00:00:00.000Z</x:v>
      </x:c>
      <x:c r="C606" s="2" t="n">
        <x:v>5</x:v>
      </x:c>
      <x:c r="D606" s="2" t="str">
        <x:v>DEMO-202</x:v>
      </x:c>
      <x:c r="E606" s="2" t="str">
        <x:v>Ribbon Keepsake</x:v>
      </x:c>
      <x:c r="F606" s="2" t="str">
        <x:v>Gifting</x:v>
      </x:c>
      <x:c r="G606" s="2" t="str">
        <x:v>Stores</x:v>
      </x:c>
      <x:c r="H606" s="2" t="str">
        <x:v>Central Market</x:v>
      </x:c>
      <x:c r="I606" s="2" t="n">
        <x:v>12</x:v>
      </x:c>
      <x:c r="J606" s="2" t="n">
        <x:v>1</x:v>
      </x:c>
      <x:c r="K606" s="2" t="n">
        <x:f>I606-J606</x:f>
        <x:v>11</x:v>
      </x:c>
      <x:c r="L606" s="16" t="n">
        <x:v>20</x:v>
      </x:c>
      <x:c r="M606" s="16" t="n">
        <x:v>20</x:v>
      </x:c>
      <x:c r="N606" s="16" t="n">
        <x:v>7.7</x:v>
      </x:c>
      <x:c r="O606" s="16" t="n">
        <x:f>K606*M606</x:f>
        <x:v>220</x:v>
      </x:c>
      <x:c r="P606" s="16" t="n">
        <x:f>K606*N606</x:f>
        <x:v>84.7</x:v>
      </x:c>
      <x:c r="Q606" s="16" t="n">
        <x:f>O606-P606</x:f>
        <x:v>135.3</x:v>
      </x:c>
      <x:c r="R606" s="2" t="n">
        <x:v>94</x:v>
      </x:c>
      <x:c r="S606" s="2" t="n">
        <x:v>59</x:v>
      </x:c>
      <x:c r="T606" s="2" t="n">
        <x:f>R606+S606+J606-I606</x:f>
        <x:v>142</x:v>
      </x:c>
      <x:c r="U606" s="2" t="n">
        <x:v>0</x:v>
      </x:c>
      <x:c r="V606" s="2" t="n">
        <x:v>3</x:v>
      </x:c>
      <x:c r="W606" s="2" t="n">
        <x:v>14</x:v>
      </x:c>
      <x:c r="X606" s="14" t="b">
        <x:v>0</x:v>
      </x:c>
      <x:c r="Y606" s="14" t="b">
        <x:v>0</x:v>
      </x:c>
      <x:c r="Z606" s="2" t="n">
        <x:f>ABS(T606-AA606)</x:f>
        <x:v>0</x:v>
      </x:c>
      <x:c r="AA606" s="2" t="n">
        <x:v>142</x:v>
      </x:c>
      <x:c r="AB606" s="2" t="n">
        <x:f>ABS(K606-W606)</x:f>
        <x:v>3</x:v>
      </x:c>
      <x:c r="AC606" s="2" t="n">
        <x:f>COUNTIF($A$2:$A$1921,A606)-1</x:f>
        <x:v>0</x:v>
      </x:c>
      <x:c r="AD606" s="2" t="n">
        <x:f>IF(AND(D606=D605,H606=H605,C606=C605+1),ABS(R606-T605),0)</x:f>
        <x:v>0</x:v>
      </x:c>
    </x:row>
    <x:row r="607" ht="23" customHeight="1">
      <x:c r="A607" s="2" t="str">
        <x:v>DEMO-202-2-6</x:v>
      </x:c>
      <x:c r="B607" s="15" t="d">
        <x:v>2026-06-08T00:00:00.000Z</x:v>
      </x:c>
      <x:c r="C607" s="2" t="n">
        <x:v>6</x:v>
      </x:c>
      <x:c r="D607" s="2" t="str">
        <x:v>DEMO-202</x:v>
      </x:c>
      <x:c r="E607" s="2" t="str">
        <x:v>Ribbon Keepsake</x:v>
      </x:c>
      <x:c r="F607" s="2" t="str">
        <x:v>Gifting</x:v>
      </x:c>
      <x:c r="G607" s="2" t="str">
        <x:v>Stores</x:v>
      </x:c>
      <x:c r="H607" s="2" t="str">
        <x:v>Central Market</x:v>
      </x:c>
      <x:c r="I607" s="2" t="n">
        <x:v>16</x:v>
      </x:c>
      <x:c r="J607" s="2" t="n">
        <x:v>0</x:v>
      </x:c>
      <x:c r="K607" s="2" t="n">
        <x:f>I607-J607</x:f>
        <x:v>16</x:v>
      </x:c>
      <x:c r="L607" s="16" t="n">
        <x:v>20</x:v>
      </x:c>
      <x:c r="M607" s="16" t="n">
        <x:v>20</x:v>
      </x:c>
      <x:c r="N607" s="16" t="n">
        <x:v>7.7</x:v>
      </x:c>
      <x:c r="O607" s="16" t="n">
        <x:f>K607*M607</x:f>
        <x:v>320</x:v>
      </x:c>
      <x:c r="P607" s="16" t="n">
        <x:f>K607*N607</x:f>
        <x:v>123.2</x:v>
      </x:c>
      <x:c r="Q607" s="16" t="n">
        <x:f>O607-P607</x:f>
        <x:v>196.8</x:v>
      </x:c>
      <x:c r="R607" s="2" t="n">
        <x:v>142</x:v>
      </x:c>
      <x:c r="S607" s="2" t="n">
        <x:v>0</x:v>
      </x:c>
      <x:c r="T607" s="2" t="n">
        <x:f>R607+S607+J607-I607</x:f>
        <x:v>126</x:v>
      </x:c>
      <x:c r="U607" s="2" t="n">
        <x:v>0</x:v>
      </x:c>
      <x:c r="V607" s="2" t="n">
        <x:v>3</x:v>
      </x:c>
      <x:c r="W607" s="2" t="n">
        <x:v>13</x:v>
      </x:c>
      <x:c r="X607" s="14" t="b">
        <x:v>0</x:v>
      </x:c>
      <x:c r="Y607" s="14" t="b">
        <x:v>0</x:v>
      </x:c>
      <x:c r="Z607" s="2" t="n">
        <x:f>ABS(T607-AA607)</x:f>
        <x:v>0</x:v>
      </x:c>
      <x:c r="AA607" s="2" t="n">
        <x:v>126</x:v>
      </x:c>
      <x:c r="AB607" s="2" t="n">
        <x:f>ABS(K607-W607)</x:f>
        <x:v>3</x:v>
      </x:c>
      <x:c r="AC607" s="2" t="n">
        <x:f>COUNTIF($A$2:$A$1921,A607)-1</x:f>
        <x:v>0</x:v>
      </x:c>
      <x:c r="AD607" s="2" t="n">
        <x:f>IF(AND(D607=D606,H607=H606,C607=C606+1),ABS(R607-T606),0)</x:f>
        <x:v>0</x:v>
      </x:c>
    </x:row>
    <x:row r="608" ht="23" customHeight="1">
      <x:c r="A608" s="2" t="str">
        <x:v>DEMO-202-2-7</x:v>
      </x:c>
      <x:c r="B608" s="15" t="d">
        <x:v>2026-06-15T00:00:00.000Z</x:v>
      </x:c>
      <x:c r="C608" s="2" t="n">
        <x:v>7</x:v>
      </x:c>
      <x:c r="D608" s="2" t="str">
        <x:v>DEMO-202</x:v>
      </x:c>
      <x:c r="E608" s="2" t="str">
        <x:v>Ribbon Keepsake</x:v>
      </x:c>
      <x:c r="F608" s="2" t="str">
        <x:v>Gifting</x:v>
      </x:c>
      <x:c r="G608" s="2" t="str">
        <x:v>Stores</x:v>
      </x:c>
      <x:c r="H608" s="2" t="str">
        <x:v>Central Market</x:v>
      </x:c>
      <x:c r="I608" s="2" t="n">
        <x:v>14</x:v>
      </x:c>
      <x:c r="J608" s="2" t="n">
        <x:v>0</x:v>
      </x:c>
      <x:c r="K608" s="2" t="n">
        <x:f>I608-J608</x:f>
        <x:v>14</x:v>
      </x:c>
      <x:c r="L608" s="16" t="n">
        <x:v>20</x:v>
      </x:c>
      <x:c r="M608" s="16" t="n">
        <x:v>20</x:v>
      </x:c>
      <x:c r="N608" s="16" t="n">
        <x:v>7.7</x:v>
      </x:c>
      <x:c r="O608" s="16" t="n">
        <x:f>K608*M608</x:f>
        <x:v>280</x:v>
      </x:c>
      <x:c r="P608" s="16" t="n">
        <x:f>K608*N608</x:f>
        <x:v>107.8</x:v>
      </x:c>
      <x:c r="Q608" s="16" t="n">
        <x:f>O608-P608</x:f>
        <x:v>172.2</x:v>
      </x:c>
      <x:c r="R608" s="2" t="n">
        <x:v>126</x:v>
      </x:c>
      <x:c r="S608" s="2" t="n">
        <x:v>0</x:v>
      </x:c>
      <x:c r="T608" s="2" t="n">
        <x:f>R608+S608+J608-I608</x:f>
        <x:v>112</x:v>
      </x:c>
      <x:c r="U608" s="2" t="n">
        <x:v>0</x:v>
      </x:c>
      <x:c r="V608" s="2" t="n">
        <x:v>3</x:v>
      </x:c>
      <x:c r="W608" s="2" t="n">
        <x:v>13</x:v>
      </x:c>
      <x:c r="X608" s="14" t="b">
        <x:v>0</x:v>
      </x:c>
      <x:c r="Y608" s="14" t="b">
        <x:v>0</x:v>
      </x:c>
      <x:c r="Z608" s="2" t="n">
        <x:f>ABS(T608-AA608)</x:f>
        <x:v>0</x:v>
      </x:c>
      <x:c r="AA608" s="2" t="n">
        <x:v>112</x:v>
      </x:c>
      <x:c r="AB608" s="2" t="n">
        <x:f>ABS(K608-W608)</x:f>
        <x:v>1</x:v>
      </x:c>
      <x:c r="AC608" s="2" t="n">
        <x:f>COUNTIF($A$2:$A$1921,A608)-1</x:f>
        <x:v>0</x:v>
      </x:c>
      <x:c r="AD608" s="2" t="n">
        <x:f>IF(AND(D608=D607,H608=H607,C608=C607+1),ABS(R608-T607),0)</x:f>
        <x:v>0</x:v>
      </x:c>
    </x:row>
    <x:row r="609" ht="23" customHeight="1">
      <x:c r="A609" s="2" t="str">
        <x:v>DEMO-202-2-8</x:v>
      </x:c>
      <x:c r="B609" s="15" t="d">
        <x:v>2026-06-22T00:00:00.000Z</x:v>
      </x:c>
      <x:c r="C609" s="2" t="n">
        <x:v>8</x:v>
      </x:c>
      <x:c r="D609" s="2" t="str">
        <x:v>DEMO-202</x:v>
      </x:c>
      <x:c r="E609" s="2" t="str">
        <x:v>Ribbon Keepsake</x:v>
      </x:c>
      <x:c r="F609" s="2" t="str">
        <x:v>Gifting</x:v>
      </x:c>
      <x:c r="G609" s="2" t="str">
        <x:v>Stores</x:v>
      </x:c>
      <x:c r="H609" s="2" t="str">
        <x:v>Central Market</x:v>
      </x:c>
      <x:c r="I609" s="2" t="n">
        <x:v>12</x:v>
      </x:c>
      <x:c r="J609" s="2" t="n">
        <x:v>0</x:v>
      </x:c>
      <x:c r="K609" s="2" t="n">
        <x:f>I609-J609</x:f>
        <x:v>12</x:v>
      </x:c>
      <x:c r="L609" s="16" t="n">
        <x:v>20</x:v>
      </x:c>
      <x:c r="M609" s="16" t="n">
        <x:v>20</x:v>
      </x:c>
      <x:c r="N609" s="16" t="n">
        <x:v>7.7</x:v>
      </x:c>
      <x:c r="O609" s="16" t="n">
        <x:f>K609*M609</x:f>
        <x:v>240</x:v>
      </x:c>
      <x:c r="P609" s="16" t="n">
        <x:f>K609*N609</x:f>
        <x:v>92.4</x:v>
      </x:c>
      <x:c r="Q609" s="16" t="n">
        <x:f>O609-P609</x:f>
        <x:v>147.6</x:v>
      </x:c>
      <x:c r="R609" s="2" t="n">
        <x:v>112</x:v>
      </x:c>
      <x:c r="S609" s="2" t="n">
        <x:v>0</x:v>
      </x:c>
      <x:c r="T609" s="2" t="n">
        <x:f>R609+S609+J609-I609</x:f>
        <x:v>100</x:v>
      </x:c>
      <x:c r="U609" s="2" t="n">
        <x:v>0</x:v>
      </x:c>
      <x:c r="V609" s="2" t="n">
        <x:v>3</x:v>
      </x:c>
      <x:c r="W609" s="2" t="n">
        <x:v>13</x:v>
      </x:c>
      <x:c r="X609" s="14" t="b">
        <x:v>0</x:v>
      </x:c>
      <x:c r="Y609" s="14" t="b">
        <x:v>0</x:v>
      </x:c>
      <x:c r="Z609" s="2" t="n">
        <x:f>ABS(T609-AA609)</x:f>
        <x:v>0</x:v>
      </x:c>
      <x:c r="AA609" s="2" t="n">
        <x:v>100</x:v>
      </x:c>
      <x:c r="AB609" s="2" t="n">
        <x:f>ABS(K609-W609)</x:f>
        <x:v>1</x:v>
      </x:c>
      <x:c r="AC609" s="2" t="n">
        <x:f>COUNTIF($A$2:$A$1921,A609)-1</x:f>
        <x:v>0</x:v>
      </x:c>
      <x:c r="AD609" s="2" t="n">
        <x:f>IF(AND(D609=D608,H609=H608,C609=C608+1),ABS(R609-T608),0)</x:f>
        <x:v>0</x:v>
      </x:c>
    </x:row>
    <x:row r="610" ht="23" customHeight="1">
      <x:c r="A610" s="2" t="str">
        <x:v>DEMO-202-2-9</x:v>
      </x:c>
      <x:c r="B610" s="15" t="d">
        <x:v>2026-06-29T00:00:00.000Z</x:v>
      </x:c>
      <x:c r="C610" s="2" t="n">
        <x:v>9</x:v>
      </x:c>
      <x:c r="D610" s="2" t="str">
        <x:v>DEMO-202</x:v>
      </x:c>
      <x:c r="E610" s="2" t="str">
        <x:v>Ribbon Keepsake</x:v>
      </x:c>
      <x:c r="F610" s="2" t="str">
        <x:v>Gifting</x:v>
      </x:c>
      <x:c r="G610" s="2" t="str">
        <x:v>Stores</x:v>
      </x:c>
      <x:c r="H610" s="2" t="str">
        <x:v>Central Market</x:v>
      </x:c>
      <x:c r="I610" s="2" t="n">
        <x:v>15</x:v>
      </x:c>
      <x:c r="J610" s="2" t="n">
        <x:v>0</x:v>
      </x:c>
      <x:c r="K610" s="2" t="n">
        <x:f>I610-J610</x:f>
        <x:v>15</x:v>
      </x:c>
      <x:c r="L610" s="16" t="n">
        <x:v>20</x:v>
      </x:c>
      <x:c r="M610" s="16" t="n">
        <x:v>20</x:v>
      </x:c>
      <x:c r="N610" s="16" t="n">
        <x:v>7.7</x:v>
      </x:c>
      <x:c r="O610" s="16" t="n">
        <x:f>K610*M610</x:f>
        <x:v>300</x:v>
      </x:c>
      <x:c r="P610" s="16" t="n">
        <x:f>K610*N610</x:f>
        <x:v>115.5</x:v>
      </x:c>
      <x:c r="Q610" s="16" t="n">
        <x:f>O610-P610</x:f>
        <x:v>184.5</x:v>
      </x:c>
      <x:c r="R610" s="2" t="n">
        <x:v>100</x:v>
      </x:c>
      <x:c r="S610" s="2" t="n">
        <x:v>59</x:v>
      </x:c>
      <x:c r="T610" s="2" t="n">
        <x:f>R610+S610+J610-I610</x:f>
        <x:v>144</x:v>
      </x:c>
      <x:c r="U610" s="2" t="n">
        <x:v>0</x:v>
      </x:c>
      <x:c r="V610" s="2" t="n">
        <x:v>3</x:v>
      </x:c>
      <x:c r="W610" s="2" t="n">
        <x:v>13</x:v>
      </x:c>
      <x:c r="X610" s="14" t="b">
        <x:v>0</x:v>
      </x:c>
      <x:c r="Y610" s="14" t="b">
        <x:v>0</x:v>
      </x:c>
      <x:c r="Z610" s="2" t="n">
        <x:f>ABS(T610-AA610)</x:f>
        <x:v>0</x:v>
      </x:c>
      <x:c r="AA610" s="2" t="n">
        <x:v>144</x:v>
      </x:c>
      <x:c r="AB610" s="2" t="n">
        <x:f>ABS(K610-W610)</x:f>
        <x:v>2</x:v>
      </x:c>
      <x:c r="AC610" s="2" t="n">
        <x:f>COUNTIF($A$2:$A$1921,A610)-1</x:f>
        <x:v>0</x:v>
      </x:c>
      <x:c r="AD610" s="2" t="n">
        <x:f>IF(AND(D610=D609,H610=H609,C610=C609+1),ABS(R610-T609),0)</x:f>
        <x:v>0</x:v>
      </x:c>
    </x:row>
    <x:row r="611" ht="23" customHeight="1">
      <x:c r="A611" s="2" t="str">
        <x:v>DEMO-202-2-10</x:v>
      </x:c>
      <x:c r="B611" s="15" t="d">
        <x:v>2026-07-06T00:00:00.000Z</x:v>
      </x:c>
      <x:c r="C611" s="2" t="n">
        <x:v>10</x:v>
      </x:c>
      <x:c r="D611" s="2" t="str">
        <x:v>DEMO-202</x:v>
      </x:c>
      <x:c r="E611" s="2" t="str">
        <x:v>Ribbon Keepsake</x:v>
      </x:c>
      <x:c r="F611" s="2" t="str">
        <x:v>Gifting</x:v>
      </x:c>
      <x:c r="G611" s="2" t="str">
        <x:v>Stores</x:v>
      </x:c>
      <x:c r="H611" s="2" t="str">
        <x:v>Central Market</x:v>
      </x:c>
      <x:c r="I611" s="2" t="n">
        <x:v>14</x:v>
      </x:c>
      <x:c r="J611" s="2" t="n">
        <x:v>0</x:v>
      </x:c>
      <x:c r="K611" s="2" t="n">
        <x:f>I611-J611</x:f>
        <x:v>14</x:v>
      </x:c>
      <x:c r="L611" s="16" t="n">
        <x:v>20</x:v>
      </x:c>
      <x:c r="M611" s="16" t="n">
        <x:v>20</x:v>
      </x:c>
      <x:c r="N611" s="16" t="n">
        <x:v>7.7</x:v>
      </x:c>
      <x:c r="O611" s="16" t="n">
        <x:f>K611*M611</x:f>
        <x:v>280</x:v>
      </x:c>
      <x:c r="P611" s="16" t="n">
        <x:f>K611*N611</x:f>
        <x:v>107.8</x:v>
      </x:c>
      <x:c r="Q611" s="16" t="n">
        <x:f>O611-P611</x:f>
        <x:v>172.2</x:v>
      </x:c>
      <x:c r="R611" s="2" t="n">
        <x:v>144</x:v>
      </x:c>
      <x:c r="S611" s="2" t="n">
        <x:v>0</x:v>
      </x:c>
      <x:c r="T611" s="2" t="n">
        <x:f>R611+S611+J611-I611</x:f>
        <x:v>130</x:v>
      </x:c>
      <x:c r="U611" s="2" t="n">
        <x:v>0</x:v>
      </x:c>
      <x:c r="V611" s="2" t="n">
        <x:v>3</x:v>
      </x:c>
      <x:c r="W611" s="2" t="n">
        <x:v>14</x:v>
      </x:c>
      <x:c r="X611" s="14" t="b">
        <x:v>0</x:v>
      </x:c>
      <x:c r="Y611" s="14" t="b">
        <x:v>0</x:v>
      </x:c>
      <x:c r="Z611" s="2" t="n">
        <x:f>ABS(T611-AA611)</x:f>
        <x:v>0</x:v>
      </x:c>
      <x:c r="AA611" s="2" t="n">
        <x:v>130</x:v>
      </x:c>
      <x:c r="AB611" s="2" t="n">
        <x:f>ABS(K611-W611)</x:f>
        <x:v>0</x:v>
      </x:c>
      <x:c r="AC611" s="2" t="n">
        <x:f>COUNTIF($A$2:$A$1921,A611)-1</x:f>
        <x:v>0</x:v>
      </x:c>
      <x:c r="AD611" s="2" t="n">
        <x:f>IF(AND(D611=D610,H611=H610,C611=C610+1),ABS(R611-T610),0)</x:f>
        <x:v>0</x:v>
      </x:c>
    </x:row>
    <x:row r="612" ht="23" customHeight="1">
      <x:c r="A612" s="2" t="str">
        <x:v>DEMO-202-2-11</x:v>
      </x:c>
      <x:c r="B612" s="15" t="d">
        <x:v>2026-07-13T00:00:00.000Z</x:v>
      </x:c>
      <x:c r="C612" s="2" t="n">
        <x:v>11</x:v>
      </x:c>
      <x:c r="D612" s="2" t="str">
        <x:v>DEMO-202</x:v>
      </x:c>
      <x:c r="E612" s="2" t="str">
        <x:v>Ribbon Keepsake</x:v>
      </x:c>
      <x:c r="F612" s="2" t="str">
        <x:v>Gifting</x:v>
      </x:c>
      <x:c r="G612" s="2" t="str">
        <x:v>Stores</x:v>
      </x:c>
      <x:c r="H612" s="2" t="str">
        <x:v>Central Market</x:v>
      </x:c>
      <x:c r="I612" s="2" t="n">
        <x:v>13</x:v>
      </x:c>
      <x:c r="J612" s="2" t="n">
        <x:v>1</x:v>
      </x:c>
      <x:c r="K612" s="2" t="n">
        <x:f>I612-J612</x:f>
        <x:v>12</x:v>
      </x:c>
      <x:c r="L612" s="16" t="n">
        <x:v>20</x:v>
      </x:c>
      <x:c r="M612" s="16" t="n">
        <x:v>20</x:v>
      </x:c>
      <x:c r="N612" s="16" t="n">
        <x:v>7.7</x:v>
      </x:c>
      <x:c r="O612" s="16" t="n">
        <x:f>K612*M612</x:f>
        <x:v>240</x:v>
      </x:c>
      <x:c r="P612" s="16" t="n">
        <x:f>K612*N612</x:f>
        <x:v>92.4</x:v>
      </x:c>
      <x:c r="Q612" s="16" t="n">
        <x:f>O612-P612</x:f>
        <x:v>147.6</x:v>
      </x:c>
      <x:c r="R612" s="2" t="n">
        <x:v>130</x:v>
      </x:c>
      <x:c r="S612" s="2" t="n">
        <x:v>0</x:v>
      </x:c>
      <x:c r="T612" s="2" t="n">
        <x:f>R612+S612+J612-I612</x:f>
        <x:v>118</x:v>
      </x:c>
      <x:c r="U612" s="2" t="n">
        <x:v>0</x:v>
      </x:c>
      <x:c r="V612" s="2" t="n">
        <x:v>3</x:v>
      </x:c>
      <x:c r="W612" s="2" t="n">
        <x:v>14</x:v>
      </x:c>
      <x:c r="X612" s="14" t="b">
        <x:v>0</x:v>
      </x:c>
      <x:c r="Y612" s="14" t="b">
        <x:v>0</x:v>
      </x:c>
      <x:c r="Z612" s="2" t="n">
        <x:f>ABS(T612-AA612)</x:f>
        <x:v>0</x:v>
      </x:c>
      <x:c r="AA612" s="2" t="n">
        <x:v>118</x:v>
      </x:c>
      <x:c r="AB612" s="2" t="n">
        <x:f>ABS(K612-W612)</x:f>
        <x:v>2</x:v>
      </x:c>
      <x:c r="AC612" s="2" t="n">
        <x:f>COUNTIF($A$2:$A$1921,A612)-1</x:f>
        <x:v>0</x:v>
      </x:c>
      <x:c r="AD612" s="2" t="n">
        <x:f>IF(AND(D612=D611,H612=H611,C612=C611+1),ABS(R612-T611),0)</x:f>
        <x:v>0</x:v>
      </x:c>
    </x:row>
    <x:row r="613" ht="23" customHeight="1">
      <x:c r="A613" s="2" t="str">
        <x:v>DEMO-202-2-12</x:v>
      </x:c>
      <x:c r="B613" s="15" t="d">
        <x:v>2026-07-20T00:00:00.000Z</x:v>
      </x:c>
      <x:c r="C613" s="2" t="n">
        <x:v>12</x:v>
      </x:c>
      <x:c r="D613" s="2" t="str">
        <x:v>DEMO-202</x:v>
      </x:c>
      <x:c r="E613" s="2" t="str">
        <x:v>Ribbon Keepsake</x:v>
      </x:c>
      <x:c r="F613" s="2" t="str">
        <x:v>Gifting</x:v>
      </x:c>
      <x:c r="G613" s="2" t="str">
        <x:v>Stores</x:v>
      </x:c>
      <x:c r="H613" s="2" t="str">
        <x:v>Central Market</x:v>
      </x:c>
      <x:c r="I613" s="2" t="n">
        <x:v>28</x:v>
      </x:c>
      <x:c r="J613" s="2" t="n">
        <x:v>0</x:v>
      </x:c>
      <x:c r="K613" s="2" t="n">
        <x:f>I613-J613</x:f>
        <x:v>28</x:v>
      </x:c>
      <x:c r="L613" s="16" t="n">
        <x:v>20</x:v>
      </x:c>
      <x:c r="M613" s="16" t="n">
        <x:v>18</x:v>
      </x:c>
      <x:c r="N613" s="16" t="n">
        <x:v>7.7</x:v>
      </x:c>
      <x:c r="O613" s="16" t="n">
        <x:f>K613*M613</x:f>
        <x:v>504</x:v>
      </x:c>
      <x:c r="P613" s="16" t="n">
        <x:f>K613*N613</x:f>
        <x:v>215.6</x:v>
      </x:c>
      <x:c r="Q613" s="16" t="n">
        <x:f>O613-P613</x:f>
        <x:v>288.4</x:v>
      </x:c>
      <x:c r="R613" s="2" t="n">
        <x:v>118</x:v>
      </x:c>
      <x:c r="S613" s="2" t="n">
        <x:v>0</x:v>
      </x:c>
      <x:c r="T613" s="2" t="n">
        <x:f>R613+S613+J613-I613</x:f>
        <x:v>90</x:v>
      </x:c>
      <x:c r="U613" s="2" t="n">
        <x:v>0</x:v>
      </x:c>
      <x:c r="V613" s="2" t="n">
        <x:v>3</x:v>
      </x:c>
      <x:c r="W613" s="2" t="n">
        <x:v>13</x:v>
      </x:c>
      <x:c r="X613" s="14" t="b">
        <x:v>1</x:v>
      </x:c>
      <x:c r="Y613" s="14" t="b">
        <x:v>0</x:v>
      </x:c>
      <x:c r="Z613" s="2" t="n">
        <x:f>ABS(T613-AA613)</x:f>
        <x:v>0</x:v>
      </x:c>
      <x:c r="AA613" s="2" t="n">
        <x:v>90</x:v>
      </x:c>
      <x:c r="AB613" s="2" t="n">
        <x:f>ABS(K613-W613)</x:f>
        <x:v>15</x:v>
      </x:c>
      <x:c r="AC613" s="2" t="n">
        <x:f>COUNTIF($A$2:$A$1921,A613)-1</x:f>
        <x:v>0</x:v>
      </x:c>
      <x:c r="AD613" s="2" t="n">
        <x:f>IF(AND(D613=D612,H613=H612,C613=C612+1),ABS(R613-T612),0)</x:f>
        <x:v>0</x:v>
      </x:c>
    </x:row>
    <x:row r="614" ht="23" customHeight="1">
      <x:c r="A614" s="2" t="str">
        <x:v>DEMO-202-2-13</x:v>
      </x:c>
      <x:c r="B614" s="15" t="d">
        <x:v>2026-07-27T00:00:00.000Z</x:v>
      </x:c>
      <x:c r="C614" s="2" t="n">
        <x:v>13</x:v>
      </x:c>
      <x:c r="D614" s="2" t="str">
        <x:v>DEMO-202</x:v>
      </x:c>
      <x:c r="E614" s="2" t="str">
        <x:v>Ribbon Keepsake</x:v>
      </x:c>
      <x:c r="F614" s="2" t="str">
        <x:v>Gifting</x:v>
      </x:c>
      <x:c r="G614" s="2" t="str">
        <x:v>Stores</x:v>
      </x:c>
      <x:c r="H614" s="2" t="str">
        <x:v>Central Market</x:v>
      </x:c>
      <x:c r="I614" s="2" t="n">
        <x:v>31</x:v>
      </x:c>
      <x:c r="J614" s="2" t="n">
        <x:v>1</x:v>
      </x:c>
      <x:c r="K614" s="2" t="n">
        <x:f>I614-J614</x:f>
        <x:v>30</x:v>
      </x:c>
      <x:c r="L614" s="16" t="n">
        <x:v>20</x:v>
      </x:c>
      <x:c r="M614" s="16" t="n">
        <x:v>18</x:v>
      </x:c>
      <x:c r="N614" s="16" t="n">
        <x:v>7.7</x:v>
      </x:c>
      <x:c r="O614" s="16" t="n">
        <x:f>K614*M614</x:f>
        <x:v>540</x:v>
      </x:c>
      <x:c r="P614" s="16" t="n">
        <x:f>K614*N614</x:f>
        <x:v>231</x:v>
      </x:c>
      <x:c r="Q614" s="16" t="n">
        <x:f>O614-P614</x:f>
        <x:v>309</x:v>
      </x:c>
      <x:c r="R614" s="2" t="n">
        <x:v>90</x:v>
      </x:c>
      <x:c r="S614" s="2" t="n">
        <x:v>59</x:v>
      </x:c>
      <x:c r="T614" s="2" t="n">
        <x:f>R614+S614+J614-I614</x:f>
        <x:v>119</x:v>
      </x:c>
      <x:c r="U614" s="2" t="n">
        <x:v>0</x:v>
      </x:c>
      <x:c r="V614" s="2" t="n">
        <x:v>3</x:v>
      </x:c>
      <x:c r="W614" s="2" t="n">
        <x:v>17</x:v>
      </x:c>
      <x:c r="X614" s="14" t="b">
        <x:v>1</x:v>
      </x:c>
      <x:c r="Y614" s="14" t="b">
        <x:v>0</x:v>
      </x:c>
      <x:c r="Z614" s="2" t="n">
        <x:f>ABS(T614-AA614)</x:f>
        <x:v>0</x:v>
      </x:c>
      <x:c r="AA614" s="2" t="n">
        <x:v>119</x:v>
      </x:c>
      <x:c r="AB614" s="2" t="n">
        <x:f>ABS(K614-W614)</x:f>
        <x:v>13</x:v>
      </x:c>
      <x:c r="AC614" s="2" t="n">
        <x:f>COUNTIF($A$2:$A$1921,A614)-1</x:f>
        <x:v>0</x:v>
      </x:c>
      <x:c r="AD614" s="2" t="n">
        <x:f>IF(AND(D614=D613,H614=H613,C614=C613+1),ABS(R614-T613),0)</x:f>
        <x:v>0</x:v>
      </x:c>
    </x:row>
    <x:row r="615" ht="23" customHeight="1">
      <x:c r="A615" s="2" t="str">
        <x:v>DEMO-202-2-14</x:v>
      </x:c>
      <x:c r="B615" s="15" t="d">
        <x:v>2026-08-03T00:00:00.000Z</x:v>
      </x:c>
      <x:c r="C615" s="2" t="n">
        <x:v>14</x:v>
      </x:c>
      <x:c r="D615" s="2" t="str">
        <x:v>DEMO-202</x:v>
      </x:c>
      <x:c r="E615" s="2" t="str">
        <x:v>Ribbon Keepsake</x:v>
      </x:c>
      <x:c r="F615" s="2" t="str">
        <x:v>Gifting</x:v>
      </x:c>
      <x:c r="G615" s="2" t="str">
        <x:v>Stores</x:v>
      </x:c>
      <x:c r="H615" s="2" t="str">
        <x:v>Central Market</x:v>
      </x:c>
      <x:c r="I615" s="2" t="n">
        <x:v>26</x:v>
      </x:c>
      <x:c r="J615" s="2" t="n">
        <x:v>0</x:v>
      </x:c>
      <x:c r="K615" s="2" t="n">
        <x:f>I615-J615</x:f>
        <x:v>26</x:v>
      </x:c>
      <x:c r="L615" s="16" t="n">
        <x:v>20</x:v>
      </x:c>
      <x:c r="M615" s="16" t="n">
        <x:v>18</x:v>
      </x:c>
      <x:c r="N615" s="16" t="n">
        <x:v>7.7</x:v>
      </x:c>
      <x:c r="O615" s="16" t="n">
        <x:f>K615*M615</x:f>
        <x:v>468</x:v>
      </x:c>
      <x:c r="P615" s="16" t="n">
        <x:f>K615*N615</x:f>
        <x:v>200.20000000000002</x:v>
      </x:c>
      <x:c r="Q615" s="16" t="n">
        <x:f>O615-P615</x:f>
        <x:v>267.79999999999995</x:v>
      </x:c>
      <x:c r="R615" s="2" t="n">
        <x:v>119</x:v>
      </x:c>
      <x:c r="S615" s="2" t="n">
        <x:v>0</x:v>
      </x:c>
      <x:c r="T615" s="2" t="n">
        <x:f>R615+S615+J615-I615</x:f>
        <x:v>93</x:v>
      </x:c>
      <x:c r="U615" s="2" t="n">
        <x:v>0</x:v>
      </x:c>
      <x:c r="V615" s="2" t="n">
        <x:v>3</x:v>
      </x:c>
      <x:c r="W615" s="2" t="n">
        <x:v>21</x:v>
      </x:c>
      <x:c r="X615" s="14" t="b">
        <x:v>1</x:v>
      </x:c>
      <x:c r="Y615" s="14" t="b">
        <x:v>0</x:v>
      </x:c>
      <x:c r="Z615" s="2" t="n">
        <x:f>ABS(T615-AA615)</x:f>
        <x:v>0</x:v>
      </x:c>
      <x:c r="AA615" s="2" t="n">
        <x:v>93</x:v>
      </x:c>
      <x:c r="AB615" s="2" t="n">
        <x:f>ABS(K615-W615)</x:f>
        <x:v>5</x:v>
      </x:c>
      <x:c r="AC615" s="2" t="n">
        <x:f>COUNTIF($A$2:$A$1921,A615)-1</x:f>
        <x:v>0</x:v>
      </x:c>
      <x:c r="AD615" s="2" t="n">
        <x:f>IF(AND(D615=D614,H615=H614,C615=C614+1),ABS(R615-T614),0)</x:f>
        <x:v>0</x:v>
      </x:c>
    </x:row>
    <x:row r="616" ht="23" customHeight="1">
      <x:c r="A616" s="2" t="str">
        <x:v>DEMO-202-2-15</x:v>
      </x:c>
      <x:c r="B616" s="15" t="d">
        <x:v>2026-08-10T00:00:00.000Z</x:v>
      </x:c>
      <x:c r="C616" s="2" t="n">
        <x:v>15</x:v>
      </x:c>
      <x:c r="D616" s="2" t="str">
        <x:v>DEMO-202</x:v>
      </x:c>
      <x:c r="E616" s="2" t="str">
        <x:v>Ribbon Keepsake</x:v>
      </x:c>
      <x:c r="F616" s="2" t="str">
        <x:v>Gifting</x:v>
      </x:c>
      <x:c r="G616" s="2" t="str">
        <x:v>Stores</x:v>
      </x:c>
      <x:c r="H616" s="2" t="str">
        <x:v>Central Market</x:v>
      </x:c>
      <x:c r="I616" s="2" t="n">
        <x:v>12</x:v>
      </x:c>
      <x:c r="J616" s="2" t="n">
        <x:v>0</x:v>
      </x:c>
      <x:c r="K616" s="2" t="n">
        <x:f>I616-J616</x:f>
        <x:v>12</x:v>
      </x:c>
      <x:c r="L616" s="16" t="n">
        <x:v>20</x:v>
      </x:c>
      <x:c r="M616" s="16" t="n">
        <x:v>20</x:v>
      </x:c>
      <x:c r="N616" s="16" t="n">
        <x:v>7.7</x:v>
      </x:c>
      <x:c r="O616" s="16" t="n">
        <x:f>K616*M616</x:f>
        <x:v>240</x:v>
      </x:c>
      <x:c r="P616" s="16" t="n">
        <x:f>K616*N616</x:f>
        <x:v>92.4</x:v>
      </x:c>
      <x:c r="Q616" s="16" t="n">
        <x:f>O616-P616</x:f>
        <x:v>147.6</x:v>
      </x:c>
      <x:c r="R616" s="2" t="n">
        <x:v>93</x:v>
      </x:c>
      <x:c r="S616" s="2" t="n">
        <x:v>0</x:v>
      </x:c>
      <x:c r="T616" s="2" t="n">
        <x:f>R616+S616+J616-I616</x:f>
        <x:v>81</x:v>
      </x:c>
      <x:c r="U616" s="2" t="n">
        <x:v>0</x:v>
      </x:c>
      <x:c r="V616" s="2" t="n">
        <x:v>3</x:v>
      </x:c>
      <x:c r="W616" s="2" t="n">
        <x:v>24</x:v>
      </x:c>
      <x:c r="X616" s="14" t="b">
        <x:v>0</x:v>
      </x:c>
      <x:c r="Y616" s="14" t="b">
        <x:v>0</x:v>
      </x:c>
      <x:c r="Z616" s="2" t="n">
        <x:f>ABS(T616-AA616)</x:f>
        <x:v>0</x:v>
      </x:c>
      <x:c r="AA616" s="2" t="n">
        <x:v>81</x:v>
      </x:c>
      <x:c r="AB616" s="2" t="n">
        <x:f>ABS(K616-W616)</x:f>
        <x:v>12</x:v>
      </x:c>
      <x:c r="AC616" s="2" t="n">
        <x:f>COUNTIF($A$2:$A$1921,A616)-1</x:f>
        <x:v>0</x:v>
      </x:c>
      <x:c r="AD616" s="2" t="n">
        <x:f>IF(AND(D616=D615,H616=H615,C616=C615+1),ABS(R616-T615),0)</x:f>
        <x:v>0</x:v>
      </x:c>
    </x:row>
    <x:row r="617" ht="23" customHeight="1">
      <x:c r="A617" s="2" t="str">
        <x:v>DEMO-202-2-16</x:v>
      </x:c>
      <x:c r="B617" s="15" t="d">
        <x:v>2026-08-17T00:00:00.000Z</x:v>
      </x:c>
      <x:c r="C617" s="2" t="n">
        <x:v>16</x:v>
      </x:c>
      <x:c r="D617" s="2" t="str">
        <x:v>DEMO-202</x:v>
      </x:c>
      <x:c r="E617" s="2" t="str">
        <x:v>Ribbon Keepsake</x:v>
      </x:c>
      <x:c r="F617" s="2" t="str">
        <x:v>Gifting</x:v>
      </x:c>
      <x:c r="G617" s="2" t="str">
        <x:v>Stores</x:v>
      </x:c>
      <x:c r="H617" s="2" t="str">
        <x:v>Central Market</x:v>
      </x:c>
      <x:c r="I617" s="2" t="n">
        <x:v>12</x:v>
      </x:c>
      <x:c r="J617" s="2" t="n">
        <x:v>0</x:v>
      </x:c>
      <x:c r="K617" s="2" t="n">
        <x:f>I617-J617</x:f>
        <x:v>12</x:v>
      </x:c>
      <x:c r="L617" s="16" t="n">
        <x:v>20</x:v>
      </x:c>
      <x:c r="M617" s="16" t="n">
        <x:v>20</x:v>
      </x:c>
      <x:c r="N617" s="16" t="n">
        <x:v>7.7</x:v>
      </x:c>
      <x:c r="O617" s="16" t="n">
        <x:f>K617*M617</x:f>
        <x:v>240</x:v>
      </x:c>
      <x:c r="P617" s="16" t="n">
        <x:f>K617*N617</x:f>
        <x:v>92.4</x:v>
      </x:c>
      <x:c r="Q617" s="16" t="n">
        <x:f>O617-P617</x:f>
        <x:v>147.6</x:v>
      </x:c>
      <x:c r="R617" s="2" t="n">
        <x:v>81</x:v>
      </x:c>
      <x:c r="S617" s="2" t="n">
        <x:v>0</x:v>
      </x:c>
      <x:c r="T617" s="2" t="n">
        <x:f>R617+S617+J617-I617</x:f>
        <x:v>69</x:v>
      </x:c>
      <x:c r="U617" s="2" t="n">
        <x:v>0</x:v>
      </x:c>
      <x:c r="V617" s="2" t="n">
        <x:v>3</x:v>
      </x:c>
      <x:c r="W617" s="2" t="n">
        <x:v>24</x:v>
      </x:c>
      <x:c r="X617" s="14" t="b">
        <x:v>0</x:v>
      </x:c>
      <x:c r="Y617" s="14" t="b">
        <x:v>0</x:v>
      </x:c>
      <x:c r="Z617" s="2" t="n">
        <x:f>ABS(T617-AA617)</x:f>
        <x:v>0</x:v>
      </x:c>
      <x:c r="AA617" s="2" t="n">
        <x:v>69</x:v>
      </x:c>
      <x:c r="AB617" s="2" t="n">
        <x:f>ABS(K617-W617)</x:f>
        <x:v>12</x:v>
      </x:c>
      <x:c r="AC617" s="2" t="n">
        <x:f>COUNTIF($A$2:$A$1921,A617)-1</x:f>
        <x:v>0</x:v>
      </x:c>
      <x:c r="AD617" s="2" t="n">
        <x:f>IF(AND(D617=D616,H617=H616,C617=C616+1),ABS(R617-T616),0)</x:f>
        <x:v>0</x:v>
      </x:c>
    </x:row>
    <x:row r="618" ht="23" customHeight="1">
      <x:c r="A618" s="2" t="str">
        <x:v>DEMO-202-2-17</x:v>
      </x:c>
      <x:c r="B618" s="15" t="d">
        <x:v>2026-08-24T00:00:00.000Z</x:v>
      </x:c>
      <x:c r="C618" s="2" t="n">
        <x:v>17</x:v>
      </x:c>
      <x:c r="D618" s="2" t="str">
        <x:v>DEMO-202</x:v>
      </x:c>
      <x:c r="E618" s="2" t="str">
        <x:v>Ribbon Keepsake</x:v>
      </x:c>
      <x:c r="F618" s="2" t="str">
        <x:v>Gifting</x:v>
      </x:c>
      <x:c r="G618" s="2" t="str">
        <x:v>Stores</x:v>
      </x:c>
      <x:c r="H618" s="2" t="str">
        <x:v>Central Market</x:v>
      </x:c>
      <x:c r="I618" s="2" t="n">
        <x:v>15</x:v>
      </x:c>
      <x:c r="J618" s="2" t="n">
        <x:v>0</x:v>
      </x:c>
      <x:c r="K618" s="2" t="n">
        <x:f>I618-J618</x:f>
        <x:v>15</x:v>
      </x:c>
      <x:c r="L618" s="16" t="n">
        <x:v>20</x:v>
      </x:c>
      <x:c r="M618" s="16" t="n">
        <x:v>20</x:v>
      </x:c>
      <x:c r="N618" s="16" t="n">
        <x:v>7.7</x:v>
      </x:c>
      <x:c r="O618" s="16" t="n">
        <x:f>K618*M618</x:f>
        <x:v>300</x:v>
      </x:c>
      <x:c r="P618" s="16" t="n">
        <x:f>K618*N618</x:f>
        <x:v>115.5</x:v>
      </x:c>
      <x:c r="Q618" s="16" t="n">
        <x:f>O618-P618</x:f>
        <x:v>184.5</x:v>
      </x:c>
      <x:c r="R618" s="2" t="n">
        <x:v>69</x:v>
      </x:c>
      <x:c r="S618" s="2" t="n">
        <x:v>59</x:v>
      </x:c>
      <x:c r="T618" s="2" t="n">
        <x:f>R618+S618+J618-I618</x:f>
        <x:v>113</x:v>
      </x:c>
      <x:c r="U618" s="2" t="n">
        <x:v>0</x:v>
      </x:c>
      <x:c r="V618" s="2" t="n">
        <x:v>3</x:v>
      </x:c>
      <x:c r="W618" s="2" t="n">
        <x:v>20</x:v>
      </x:c>
      <x:c r="X618" s="14" t="b">
        <x:v>0</x:v>
      </x:c>
      <x:c r="Y618" s="14" t="b">
        <x:v>0</x:v>
      </x:c>
      <x:c r="Z618" s="2" t="n">
        <x:f>ABS(T618-AA618)</x:f>
        <x:v>0</x:v>
      </x:c>
      <x:c r="AA618" s="2" t="n">
        <x:v>113</x:v>
      </x:c>
      <x:c r="AB618" s="2" t="n">
        <x:f>ABS(K618-W618)</x:f>
        <x:v>5</x:v>
      </x:c>
      <x:c r="AC618" s="2" t="n">
        <x:f>COUNTIF($A$2:$A$1921,A618)-1</x:f>
        <x:v>0</x:v>
      </x:c>
      <x:c r="AD618" s="2" t="n">
        <x:f>IF(AND(D618=D617,H618=H617,C618=C617+1),ABS(R618-T617),0)</x:f>
        <x:v>0</x:v>
      </x:c>
    </x:row>
    <x:row r="619" ht="23" customHeight="1">
      <x:c r="A619" s="2" t="str">
        <x:v>DEMO-202-2-18</x:v>
      </x:c>
      <x:c r="B619" s="15" t="d">
        <x:v>2026-08-31T00:00:00.000Z</x:v>
      </x:c>
      <x:c r="C619" s="2" t="n">
        <x:v>18</x:v>
      </x:c>
      <x:c r="D619" s="2" t="str">
        <x:v>DEMO-202</x:v>
      </x:c>
      <x:c r="E619" s="2" t="str">
        <x:v>Ribbon Keepsake</x:v>
      </x:c>
      <x:c r="F619" s="2" t="str">
        <x:v>Gifting</x:v>
      </x:c>
      <x:c r="G619" s="2" t="str">
        <x:v>Stores</x:v>
      </x:c>
      <x:c r="H619" s="2" t="str">
        <x:v>Central Market</x:v>
      </x:c>
      <x:c r="I619" s="2" t="n">
        <x:v>15</x:v>
      </x:c>
      <x:c r="J619" s="2" t="n">
        <x:v>1</x:v>
      </x:c>
      <x:c r="K619" s="2" t="n">
        <x:f>I619-J619</x:f>
        <x:v>14</x:v>
      </x:c>
      <x:c r="L619" s="16" t="n">
        <x:v>20</x:v>
      </x:c>
      <x:c r="M619" s="16" t="n">
        <x:v>20</x:v>
      </x:c>
      <x:c r="N619" s="16" t="n">
        <x:v>7.7</x:v>
      </x:c>
      <x:c r="O619" s="16" t="n">
        <x:f>K619*M619</x:f>
        <x:v>280</x:v>
      </x:c>
      <x:c r="P619" s="16" t="n">
        <x:f>K619*N619</x:f>
        <x:v>107.8</x:v>
      </x:c>
      <x:c r="Q619" s="16" t="n">
        <x:f>O619-P619</x:f>
        <x:v>172.2</x:v>
      </x:c>
      <x:c r="R619" s="2" t="n">
        <x:v>113</x:v>
      </x:c>
      <x:c r="S619" s="2" t="n">
        <x:v>0</x:v>
      </x:c>
      <x:c r="T619" s="2" t="n">
        <x:f>R619+S619+J619-I619</x:f>
        <x:v>99</x:v>
      </x:c>
      <x:c r="U619" s="2" t="n">
        <x:v>0</x:v>
      </x:c>
      <x:c r="V619" s="2" t="n">
        <x:v>3</x:v>
      </x:c>
      <x:c r="W619" s="2" t="n">
        <x:v>16</x:v>
      </x:c>
      <x:c r="X619" s="14" t="b">
        <x:v>0</x:v>
      </x:c>
      <x:c r="Y619" s="14" t="b">
        <x:v>0</x:v>
      </x:c>
      <x:c r="Z619" s="2" t="n">
        <x:f>ABS(T619-AA619)</x:f>
        <x:v>0</x:v>
      </x:c>
      <x:c r="AA619" s="2" t="n">
        <x:v>99</x:v>
      </x:c>
      <x:c r="AB619" s="2" t="n">
        <x:f>ABS(K619-W619)</x:f>
        <x:v>2</x:v>
      </x:c>
      <x:c r="AC619" s="2" t="n">
        <x:f>COUNTIF($A$2:$A$1921,A619)-1</x:f>
        <x:v>0</x:v>
      </x:c>
      <x:c r="AD619" s="2" t="n">
        <x:f>IF(AND(D619=D618,H619=H618,C619=C618+1),ABS(R619-T618),0)</x:f>
        <x:v>0</x:v>
      </x:c>
    </x:row>
    <x:row r="620" ht="23" customHeight="1">
      <x:c r="A620" s="2" t="str">
        <x:v>DEMO-202-2-19</x:v>
      </x:c>
      <x:c r="B620" s="15" t="d">
        <x:v>2026-09-07T00:00:00.000Z</x:v>
      </x:c>
      <x:c r="C620" s="2" t="n">
        <x:v>19</x:v>
      </x:c>
      <x:c r="D620" s="2" t="str">
        <x:v>DEMO-202</x:v>
      </x:c>
      <x:c r="E620" s="2" t="str">
        <x:v>Ribbon Keepsake</x:v>
      </x:c>
      <x:c r="F620" s="2" t="str">
        <x:v>Gifting</x:v>
      </x:c>
      <x:c r="G620" s="2" t="str">
        <x:v>Stores</x:v>
      </x:c>
      <x:c r="H620" s="2" t="str">
        <x:v>Central Market</x:v>
      </x:c>
      <x:c r="I620" s="2" t="n">
        <x:v>12</x:v>
      </x:c>
      <x:c r="J620" s="2" t="n">
        <x:v>0</x:v>
      </x:c>
      <x:c r="K620" s="2" t="n">
        <x:f>I620-J620</x:f>
        <x:v>12</x:v>
      </x:c>
      <x:c r="L620" s="16" t="n">
        <x:v>20</x:v>
      </x:c>
      <x:c r="M620" s="16" t="n">
        <x:v>20</x:v>
      </x:c>
      <x:c r="N620" s="16" t="n">
        <x:v>7.7</x:v>
      </x:c>
      <x:c r="O620" s="16" t="n">
        <x:f>K620*M620</x:f>
        <x:v>240</x:v>
      </x:c>
      <x:c r="P620" s="16" t="n">
        <x:f>K620*N620</x:f>
        <x:v>92.4</x:v>
      </x:c>
      <x:c r="Q620" s="16" t="n">
        <x:f>O620-P620</x:f>
        <x:v>147.6</x:v>
      </x:c>
      <x:c r="R620" s="2" t="n">
        <x:v>99</x:v>
      </x:c>
      <x:c r="S620" s="2" t="n">
        <x:v>0</x:v>
      </x:c>
      <x:c r="T620" s="2" t="n">
        <x:f>R620+S620+J620-I620</x:f>
        <x:v>87</x:v>
      </x:c>
      <x:c r="U620" s="2" t="n">
        <x:v>0</x:v>
      </x:c>
      <x:c r="V620" s="2" t="n">
        <x:v>3</x:v>
      </x:c>
      <x:c r="W620" s="2" t="n">
        <x:v>13</x:v>
      </x:c>
      <x:c r="X620" s="14" t="b">
        <x:v>0</x:v>
      </x:c>
      <x:c r="Y620" s="14" t="b">
        <x:v>0</x:v>
      </x:c>
      <x:c r="Z620" s="2" t="n">
        <x:f>ABS(T620-AA620)</x:f>
        <x:v>0</x:v>
      </x:c>
      <x:c r="AA620" s="2" t="n">
        <x:v>87</x:v>
      </x:c>
      <x:c r="AB620" s="2" t="n">
        <x:f>ABS(K620-W620)</x:f>
        <x:v>1</x:v>
      </x:c>
      <x:c r="AC620" s="2" t="n">
        <x:f>COUNTIF($A$2:$A$1921,A620)-1</x:f>
        <x:v>0</x:v>
      </x:c>
      <x:c r="AD620" s="2" t="n">
        <x:f>IF(AND(D620=D619,H620=H619,C620=C619+1),ABS(R620-T619),0)</x:f>
        <x:v>0</x:v>
      </x:c>
    </x:row>
    <x:row r="621" ht="23" customHeight="1">
      <x:c r="A621" s="2" t="str">
        <x:v>DEMO-202-2-20</x:v>
      </x:c>
      <x:c r="B621" s="15" t="d">
        <x:v>2026-09-14T00:00:00.000Z</x:v>
      </x:c>
      <x:c r="C621" s="2" t="n">
        <x:v>20</x:v>
      </x:c>
      <x:c r="D621" s="2" t="str">
        <x:v>DEMO-202</x:v>
      </x:c>
      <x:c r="E621" s="2" t="str">
        <x:v>Ribbon Keepsake</x:v>
      </x:c>
      <x:c r="F621" s="2" t="str">
        <x:v>Gifting</x:v>
      </x:c>
      <x:c r="G621" s="2" t="str">
        <x:v>Stores</x:v>
      </x:c>
      <x:c r="H621" s="2" t="str">
        <x:v>Central Market</x:v>
      </x:c>
      <x:c r="I621" s="2" t="n">
        <x:v>16</x:v>
      </x:c>
      <x:c r="J621" s="2" t="n">
        <x:v>1</x:v>
      </x:c>
      <x:c r="K621" s="2" t="n">
        <x:f>I621-J621</x:f>
        <x:v>15</x:v>
      </x:c>
      <x:c r="L621" s="16" t="n">
        <x:v>20</x:v>
      </x:c>
      <x:c r="M621" s="16" t="n">
        <x:v>20</x:v>
      </x:c>
      <x:c r="N621" s="16" t="n">
        <x:v>7.7</x:v>
      </x:c>
      <x:c r="O621" s="16" t="n">
        <x:f>K621*M621</x:f>
        <x:v>300</x:v>
      </x:c>
      <x:c r="P621" s="16" t="n">
        <x:f>K621*N621</x:f>
        <x:v>115.5</x:v>
      </x:c>
      <x:c r="Q621" s="16" t="n">
        <x:f>O621-P621</x:f>
        <x:v>184.5</x:v>
      </x:c>
      <x:c r="R621" s="2" t="n">
        <x:v>87</x:v>
      </x:c>
      <x:c r="S621" s="2" t="n">
        <x:v>0</x:v>
      </x:c>
      <x:c r="T621" s="2" t="n">
        <x:f>R621+S621+J621-I621</x:f>
        <x:v>72</x:v>
      </x:c>
      <x:c r="U621" s="2" t="n">
        <x:v>18</x:v>
      </x:c>
      <x:c r="V621" s="2" t="n">
        <x:v>3</x:v>
      </x:c>
      <x:c r="W621" s="2" t="n">
        <x:v>13</x:v>
      </x:c>
      <x:c r="X621" s="14" t="b">
        <x:v>0</x:v>
      </x:c>
      <x:c r="Y621" s="14" t="b">
        <x:v>0</x:v>
      </x:c>
      <x:c r="Z621" s="2" t="n">
        <x:f>ABS(T621-AA621)</x:f>
        <x:v>0</x:v>
      </x:c>
      <x:c r="AA621" s="2" t="n">
        <x:v>72</x:v>
      </x:c>
      <x:c r="AB621" s="2" t="n">
        <x:f>ABS(K621-W621)</x:f>
        <x:v>2</x:v>
      </x:c>
      <x:c r="AC621" s="2" t="n">
        <x:f>COUNTIF($A$2:$A$1921,A621)-1</x:f>
        <x:v>0</x:v>
      </x:c>
      <x:c r="AD621" s="2" t="n">
        <x:f>IF(AND(D621=D620,H621=H620,C621=C620+1),ABS(R621-T620),0)</x:f>
        <x:v>0</x:v>
      </x:c>
    </x:row>
    <x:row r="622" ht="23" customHeight="1">
      <x:c r="A622" s="2" t="str">
        <x:v>DEMO-202-3-1</x:v>
      </x:c>
      <x:c r="B622" s="15" t="d">
        <x:v>2026-05-04T00:00:00.000Z</x:v>
      </x:c>
      <x:c r="C622" s="2" t="n">
        <x:v>1</x:v>
      </x:c>
      <x:c r="D622" s="2" t="str">
        <x:v>DEMO-202</x:v>
      </x:c>
      <x:c r="E622" s="2" t="str">
        <x:v>Ribbon Keepsake</x:v>
      </x:c>
      <x:c r="F622" s="2" t="str">
        <x:v>Gifting</x:v>
      </x:c>
      <x:c r="G622" s="2" t="str">
        <x:v>Online</x:v>
      </x:c>
      <x:c r="H622" s="2" t="str">
        <x:v>Online</x:v>
      </x:c>
      <x:c r="I622" s="2" t="n">
        <x:v>25</x:v>
      </x:c>
      <x:c r="J622" s="2" t="n">
        <x:v>1</x:v>
      </x:c>
      <x:c r="K622" s="2" t="n">
        <x:f>I622-J622</x:f>
        <x:v>24</x:v>
      </x:c>
      <x:c r="L622" s="16" t="n">
        <x:v>20</x:v>
      </x:c>
      <x:c r="M622" s="16" t="n">
        <x:v>20</x:v>
      </x:c>
      <x:c r="N622" s="16" t="n">
        <x:v>7.7</x:v>
      </x:c>
      <x:c r="O622" s="16" t="n">
        <x:f>K622*M622</x:f>
        <x:v>480</x:v>
      </x:c>
      <x:c r="P622" s="16" t="n">
        <x:f>K622*N622</x:f>
        <x:v>184.8</x:v>
      </x:c>
      <x:c r="Q622" s="16" t="n">
        <x:f>O622-P622</x:f>
        <x:v>295.2</x:v>
      </x:c>
      <x:c r="R622" s="2" t="n">
        <x:v>90</x:v>
      </x:c>
      <x:c r="S622" s="2" t="n">
        <x:v>100</x:v>
      </x:c>
      <x:c r="T622" s="2" t="n">
        <x:f>R622+S622+J622-I622</x:f>
        <x:v>166</x:v>
      </x:c>
      <x:c r="U622" s="2" t="n">
        <x:v>0</x:v>
      </x:c>
      <x:c r="V622" s="2" t="n">
        <x:v>3</x:v>
      </x:c>
      <x:c r="W622" s="2" t="n">
        <x:v>24</x:v>
      </x:c>
      <x:c r="X622" s="14" t="b">
        <x:v>0</x:v>
      </x:c>
      <x:c r="Y622" s="14" t="b">
        <x:v>0</x:v>
      </x:c>
      <x:c r="Z622" s="2" t="n">
        <x:f>ABS(T622-AA622)</x:f>
        <x:v>0</x:v>
      </x:c>
      <x:c r="AA622" s="2" t="n">
        <x:v>166</x:v>
      </x:c>
      <x:c r="AB622" s="2" t="n">
        <x:f>ABS(K622-W622)</x:f>
        <x:v>0</x:v>
      </x:c>
      <x:c r="AC622" s="2" t="n">
        <x:f>COUNTIF($A$2:$A$1921,A622)-1</x:f>
        <x:v>0</x:v>
      </x:c>
      <x:c r="AD622" s="2" t="n">
        <x:f>IF(AND(D622=D621,H622=H621,C622=C621+1),ABS(R622-T621),0)</x:f>
        <x:v>0</x:v>
      </x:c>
    </x:row>
    <x:row r="623" ht="23" customHeight="1">
      <x:c r="A623" s="2" t="str">
        <x:v>DEMO-202-3-2</x:v>
      </x:c>
      <x:c r="B623" s="15" t="d">
        <x:v>2026-05-11T00:00:00.000Z</x:v>
      </x:c>
      <x:c r="C623" s="2" t="n">
        <x:v>2</x:v>
      </x:c>
      <x:c r="D623" s="2" t="str">
        <x:v>DEMO-202</x:v>
      </x:c>
      <x:c r="E623" s="2" t="str">
        <x:v>Ribbon Keepsake</x:v>
      </x:c>
      <x:c r="F623" s="2" t="str">
        <x:v>Gifting</x:v>
      </x:c>
      <x:c r="G623" s="2" t="str">
        <x:v>Online</x:v>
      </x:c>
      <x:c r="H623" s="2" t="str">
        <x:v>Online</x:v>
      </x:c>
      <x:c r="I623" s="2" t="n">
        <x:v>20</x:v>
      </x:c>
      <x:c r="J623" s="2" t="n">
        <x:v>1</x:v>
      </x:c>
      <x:c r="K623" s="2" t="n">
        <x:f>I623-J623</x:f>
        <x:v>19</x:v>
      </x:c>
      <x:c r="L623" s="16" t="n">
        <x:v>20</x:v>
      </x:c>
      <x:c r="M623" s="16" t="n">
        <x:v>20</x:v>
      </x:c>
      <x:c r="N623" s="16" t="n">
        <x:v>7.7</x:v>
      </x:c>
      <x:c r="O623" s="16" t="n">
        <x:f>K623*M623</x:f>
        <x:v>380</x:v>
      </x:c>
      <x:c r="P623" s="16" t="n">
        <x:f>K623*N623</x:f>
        <x:v>146.3</x:v>
      </x:c>
      <x:c r="Q623" s="16" t="n">
        <x:f>O623-P623</x:f>
        <x:v>233.7</x:v>
      </x:c>
      <x:c r="R623" s="2" t="n">
        <x:v>166</x:v>
      </x:c>
      <x:c r="S623" s="2" t="n">
        <x:v>0</x:v>
      </x:c>
      <x:c r="T623" s="2" t="n">
        <x:f>R623+S623+J623-I623</x:f>
        <x:v>147</x:v>
      </x:c>
      <x:c r="U623" s="2" t="n">
        <x:v>0</x:v>
      </x:c>
      <x:c r="V623" s="2" t="n">
        <x:v>3</x:v>
      </x:c>
      <x:c r="W623" s="2" t="n">
        <x:v>24</x:v>
      </x:c>
      <x:c r="X623" s="14" t="b">
        <x:v>0</x:v>
      </x:c>
      <x:c r="Y623" s="14" t="b">
        <x:v>0</x:v>
      </x:c>
      <x:c r="Z623" s="2" t="n">
        <x:f>ABS(T623-AA623)</x:f>
        <x:v>0</x:v>
      </x:c>
      <x:c r="AA623" s="2" t="n">
        <x:v>147</x:v>
      </x:c>
      <x:c r="AB623" s="2" t="n">
        <x:f>ABS(K623-W623)</x:f>
        <x:v>5</x:v>
      </x:c>
      <x:c r="AC623" s="2" t="n">
        <x:f>COUNTIF($A$2:$A$1921,A623)-1</x:f>
        <x:v>0</x:v>
      </x:c>
      <x:c r="AD623" s="2" t="n">
        <x:f>IF(AND(D623=D622,H623=H622,C623=C622+1),ABS(R623-T622),0)</x:f>
        <x:v>0</x:v>
      </x:c>
    </x:row>
    <x:row r="624" ht="23" customHeight="1">
      <x:c r="A624" s="2" t="str">
        <x:v>DEMO-202-3-3</x:v>
      </x:c>
      <x:c r="B624" s="15" t="d">
        <x:v>2026-05-18T00:00:00.000Z</x:v>
      </x:c>
      <x:c r="C624" s="2" t="n">
        <x:v>3</x:v>
      </x:c>
      <x:c r="D624" s="2" t="str">
        <x:v>DEMO-202</x:v>
      </x:c>
      <x:c r="E624" s="2" t="str">
        <x:v>Ribbon Keepsake</x:v>
      </x:c>
      <x:c r="F624" s="2" t="str">
        <x:v>Gifting</x:v>
      </x:c>
      <x:c r="G624" s="2" t="str">
        <x:v>Online</x:v>
      </x:c>
      <x:c r="H624" s="2" t="str">
        <x:v>Online</x:v>
      </x:c>
      <x:c r="I624" s="2" t="n">
        <x:v>21</x:v>
      </x:c>
      <x:c r="J624" s="2" t="n">
        <x:v>0</x:v>
      </x:c>
      <x:c r="K624" s="2" t="n">
        <x:f>I624-J624</x:f>
        <x:v>21</x:v>
      </x:c>
      <x:c r="L624" s="16" t="n">
        <x:v>20</x:v>
      </x:c>
      <x:c r="M624" s="16" t="n">
        <x:v>20</x:v>
      </x:c>
      <x:c r="N624" s="16" t="n">
        <x:v>7.7</x:v>
      </x:c>
      <x:c r="O624" s="16" t="n">
        <x:f>K624*M624</x:f>
        <x:v>420</x:v>
      </x:c>
      <x:c r="P624" s="16" t="n">
        <x:f>K624*N624</x:f>
        <x:v>161.70000000000002</x:v>
      </x:c>
      <x:c r="Q624" s="16" t="n">
        <x:f>O624-P624</x:f>
        <x:v>258.29999999999995</x:v>
      </x:c>
      <x:c r="R624" s="2" t="n">
        <x:v>147</x:v>
      </x:c>
      <x:c r="S624" s="2" t="n">
        <x:v>0</x:v>
      </x:c>
      <x:c r="T624" s="2" t="n">
        <x:f>R624+S624+J624-I624</x:f>
        <x:v>126</x:v>
      </x:c>
      <x:c r="U624" s="2" t="n">
        <x:v>0</x:v>
      </x:c>
      <x:c r="V624" s="2" t="n">
        <x:v>3</x:v>
      </x:c>
      <x:c r="W624" s="2" t="n">
        <x:v>22</x:v>
      </x:c>
      <x:c r="X624" s="14" t="b">
        <x:v>0</x:v>
      </x:c>
      <x:c r="Y624" s="14" t="b">
        <x:v>0</x:v>
      </x:c>
      <x:c r="Z624" s="2" t="n">
        <x:f>ABS(T624-AA624)</x:f>
        <x:v>0</x:v>
      </x:c>
      <x:c r="AA624" s="2" t="n">
        <x:v>126</x:v>
      </x:c>
      <x:c r="AB624" s="2" t="n">
        <x:f>ABS(K624-W624)</x:f>
        <x:v>1</x:v>
      </x:c>
      <x:c r="AC624" s="2" t="n">
        <x:f>COUNTIF($A$2:$A$1921,A624)-1</x:f>
        <x:v>0</x:v>
      </x:c>
      <x:c r="AD624" s="2" t="n">
        <x:f>IF(AND(D624=D623,H624=H623,C624=C623+1),ABS(R624-T623),0)</x:f>
        <x:v>0</x:v>
      </x:c>
    </x:row>
    <x:row r="625" ht="23" customHeight="1">
      <x:c r="A625" s="2" t="str">
        <x:v>DEMO-202-3-4</x:v>
      </x:c>
      <x:c r="B625" s="15" t="d">
        <x:v>2026-05-25T00:00:00.000Z</x:v>
      </x:c>
      <x:c r="C625" s="2" t="n">
        <x:v>4</x:v>
      </x:c>
      <x:c r="D625" s="2" t="str">
        <x:v>DEMO-202</x:v>
      </x:c>
      <x:c r="E625" s="2" t="str">
        <x:v>Ribbon Keepsake</x:v>
      </x:c>
      <x:c r="F625" s="2" t="str">
        <x:v>Gifting</x:v>
      </x:c>
      <x:c r="G625" s="2" t="str">
        <x:v>Online</x:v>
      </x:c>
      <x:c r="H625" s="2" t="str">
        <x:v>Online</x:v>
      </x:c>
      <x:c r="I625" s="2" t="n">
        <x:v>26</x:v>
      </x:c>
      <x:c r="J625" s="2" t="n">
        <x:v>0</x:v>
      </x:c>
      <x:c r="K625" s="2" t="n">
        <x:f>I625-J625</x:f>
        <x:v>26</x:v>
      </x:c>
      <x:c r="L625" s="16" t="n">
        <x:v>20</x:v>
      </x:c>
      <x:c r="M625" s="16" t="n">
        <x:v>20</x:v>
      </x:c>
      <x:c r="N625" s="16" t="n">
        <x:v>7.7</x:v>
      </x:c>
      <x:c r="O625" s="16" t="n">
        <x:f>K625*M625</x:f>
        <x:v>520</x:v>
      </x:c>
      <x:c r="P625" s="16" t="n">
        <x:f>K625*N625</x:f>
        <x:v>200.20000000000002</x:v>
      </x:c>
      <x:c r="Q625" s="16" t="n">
        <x:f>O625-P625</x:f>
        <x:v>319.79999999999995</x:v>
      </x:c>
      <x:c r="R625" s="2" t="n">
        <x:v>126</x:v>
      </x:c>
      <x:c r="S625" s="2" t="n">
        <x:v>0</x:v>
      </x:c>
      <x:c r="T625" s="2" t="n">
        <x:f>R625+S625+J625-I625</x:f>
        <x:v>100</x:v>
      </x:c>
      <x:c r="U625" s="2" t="n">
        <x:v>0</x:v>
      </x:c>
      <x:c r="V625" s="2" t="n">
        <x:v>3</x:v>
      </x:c>
      <x:c r="W625" s="2" t="n">
        <x:v>21</x:v>
      </x:c>
      <x:c r="X625" s="14" t="b">
        <x:v>0</x:v>
      </x:c>
      <x:c r="Y625" s="14" t="b">
        <x:v>0</x:v>
      </x:c>
      <x:c r="Z625" s="2" t="n">
        <x:f>ABS(T625-AA625)</x:f>
        <x:v>0</x:v>
      </x:c>
      <x:c r="AA625" s="2" t="n">
        <x:v>100</x:v>
      </x:c>
      <x:c r="AB625" s="2" t="n">
        <x:f>ABS(K625-W625)</x:f>
        <x:v>5</x:v>
      </x:c>
      <x:c r="AC625" s="2" t="n">
        <x:f>COUNTIF($A$2:$A$1921,A625)-1</x:f>
        <x:v>0</x:v>
      </x:c>
      <x:c r="AD625" s="2" t="n">
        <x:f>IF(AND(D625=D624,H625=H624,C625=C624+1),ABS(R625-T624),0)</x:f>
        <x:v>0</x:v>
      </x:c>
    </x:row>
    <x:row r="626" ht="23" customHeight="1">
      <x:c r="A626" s="2" t="str">
        <x:v>DEMO-202-3-5</x:v>
      </x:c>
      <x:c r="B626" s="15" t="d">
        <x:v>2026-06-01T00:00:00.000Z</x:v>
      </x:c>
      <x:c r="C626" s="2" t="n">
        <x:v>5</x:v>
      </x:c>
      <x:c r="D626" s="2" t="str">
        <x:v>DEMO-202</x:v>
      </x:c>
      <x:c r="E626" s="2" t="str">
        <x:v>Ribbon Keepsake</x:v>
      </x:c>
      <x:c r="F626" s="2" t="str">
        <x:v>Gifting</x:v>
      </x:c>
      <x:c r="G626" s="2" t="str">
        <x:v>Online</x:v>
      </x:c>
      <x:c r="H626" s="2" t="str">
        <x:v>Online</x:v>
      </x:c>
      <x:c r="I626" s="2" t="n">
        <x:v>22</x:v>
      </x:c>
      <x:c r="J626" s="2" t="n">
        <x:v>0</x:v>
      </x:c>
      <x:c r="K626" s="2" t="n">
        <x:f>I626-J626</x:f>
        <x:v>22</x:v>
      </x:c>
      <x:c r="L626" s="16" t="n">
        <x:v>20</x:v>
      </x:c>
      <x:c r="M626" s="16" t="n">
        <x:v>20</x:v>
      </x:c>
      <x:c r="N626" s="16" t="n">
        <x:v>7.7</x:v>
      </x:c>
      <x:c r="O626" s="16" t="n">
        <x:f>K626*M626</x:f>
        <x:v>440</x:v>
      </x:c>
      <x:c r="P626" s="16" t="n">
        <x:f>K626*N626</x:f>
        <x:v>169.4</x:v>
      </x:c>
      <x:c r="Q626" s="16" t="n">
        <x:f>O626-P626</x:f>
        <x:v>270.6</x:v>
      </x:c>
      <x:c r="R626" s="2" t="n">
        <x:v>100</x:v>
      </x:c>
      <x:c r="S626" s="2" t="n">
        <x:v>100</x:v>
      </x:c>
      <x:c r="T626" s="2" t="n">
        <x:f>R626+S626+J626-I626</x:f>
        <x:v>178</x:v>
      </x:c>
      <x:c r="U626" s="2" t="n">
        <x:v>0</x:v>
      </x:c>
      <x:c r="V626" s="2" t="n">
        <x:v>3</x:v>
      </x:c>
      <x:c r="W626" s="2" t="n">
        <x:v>23</x:v>
      </x:c>
      <x:c r="X626" s="14" t="b">
        <x:v>0</x:v>
      </x:c>
      <x:c r="Y626" s="14" t="b">
        <x:v>0</x:v>
      </x:c>
      <x:c r="Z626" s="2" t="n">
        <x:f>ABS(T626-AA626)</x:f>
        <x:v>0</x:v>
      </x:c>
      <x:c r="AA626" s="2" t="n">
        <x:v>178</x:v>
      </x:c>
      <x:c r="AB626" s="2" t="n">
        <x:f>ABS(K626-W626)</x:f>
        <x:v>1</x:v>
      </x:c>
      <x:c r="AC626" s="2" t="n">
        <x:f>COUNTIF($A$2:$A$1921,A626)-1</x:f>
        <x:v>0</x:v>
      </x:c>
      <x:c r="AD626" s="2" t="n">
        <x:f>IF(AND(D626=D625,H626=H625,C626=C625+1),ABS(R626-T625),0)</x:f>
        <x:v>0</x:v>
      </x:c>
    </x:row>
    <x:row r="627" ht="23" customHeight="1">
      <x:c r="A627" s="2" t="str">
        <x:v>DEMO-202-3-6</x:v>
      </x:c>
      <x:c r="B627" s="15" t="d">
        <x:v>2026-06-08T00:00:00.000Z</x:v>
      </x:c>
      <x:c r="C627" s="2" t="n">
        <x:v>6</x:v>
      </x:c>
      <x:c r="D627" s="2" t="str">
        <x:v>DEMO-202</x:v>
      </x:c>
      <x:c r="E627" s="2" t="str">
        <x:v>Ribbon Keepsake</x:v>
      </x:c>
      <x:c r="F627" s="2" t="str">
        <x:v>Gifting</x:v>
      </x:c>
      <x:c r="G627" s="2" t="str">
        <x:v>Online</x:v>
      </x:c>
      <x:c r="H627" s="2" t="str">
        <x:v>Online</x:v>
      </x:c>
      <x:c r="I627" s="2" t="n">
        <x:v>28</x:v>
      </x:c>
      <x:c r="J627" s="2" t="n">
        <x:v>1</x:v>
      </x:c>
      <x:c r="K627" s="2" t="n">
        <x:f>I627-J627</x:f>
        <x:v>27</x:v>
      </x:c>
      <x:c r="L627" s="16" t="n">
        <x:v>20</x:v>
      </x:c>
      <x:c r="M627" s="16" t="n">
        <x:v>20</x:v>
      </x:c>
      <x:c r="N627" s="16" t="n">
        <x:v>7.7</x:v>
      </x:c>
      <x:c r="O627" s="16" t="n">
        <x:f>K627*M627</x:f>
        <x:v>540</x:v>
      </x:c>
      <x:c r="P627" s="16" t="n">
        <x:f>K627*N627</x:f>
        <x:v>207.9</x:v>
      </x:c>
      <x:c r="Q627" s="16" t="n">
        <x:f>O627-P627</x:f>
        <x:v>332.1</x:v>
      </x:c>
      <x:c r="R627" s="2" t="n">
        <x:v>178</x:v>
      </x:c>
      <x:c r="S627" s="2" t="n">
        <x:v>0</x:v>
      </x:c>
      <x:c r="T627" s="2" t="n">
        <x:f>R627+S627+J627-I627</x:f>
        <x:v>151</x:v>
      </x:c>
      <x:c r="U627" s="2" t="n">
        <x:v>0</x:v>
      </x:c>
      <x:c r="V627" s="2" t="n">
        <x:v>3</x:v>
      </x:c>
      <x:c r="W627" s="2" t="n">
        <x:v>22</x:v>
      </x:c>
      <x:c r="X627" s="14" t="b">
        <x:v>0</x:v>
      </x:c>
      <x:c r="Y627" s="14" t="b">
        <x:v>0</x:v>
      </x:c>
      <x:c r="Z627" s="2" t="n">
        <x:f>ABS(T627-AA627)</x:f>
        <x:v>0</x:v>
      </x:c>
      <x:c r="AA627" s="2" t="n">
        <x:v>151</x:v>
      </x:c>
      <x:c r="AB627" s="2" t="n">
        <x:f>ABS(K627-W627)</x:f>
        <x:v>5</x:v>
      </x:c>
      <x:c r="AC627" s="2" t="n">
        <x:f>COUNTIF($A$2:$A$1921,A627)-1</x:f>
        <x:v>0</x:v>
      </x:c>
      <x:c r="AD627" s="2" t="n">
        <x:f>IF(AND(D627=D626,H627=H626,C627=C626+1),ABS(R627-T626),0)</x:f>
        <x:v>0</x:v>
      </x:c>
    </x:row>
    <x:row r="628" ht="23" customHeight="1">
      <x:c r="A628" s="2" t="str">
        <x:v>DEMO-202-3-7</x:v>
      </x:c>
      <x:c r="B628" s="15" t="d">
        <x:v>2026-06-15T00:00:00.000Z</x:v>
      </x:c>
      <x:c r="C628" s="2" t="n">
        <x:v>7</x:v>
      </x:c>
      <x:c r="D628" s="2" t="str">
        <x:v>DEMO-202</x:v>
      </x:c>
      <x:c r="E628" s="2" t="str">
        <x:v>Ribbon Keepsake</x:v>
      </x:c>
      <x:c r="F628" s="2" t="str">
        <x:v>Gifting</x:v>
      </x:c>
      <x:c r="G628" s="2" t="str">
        <x:v>Online</x:v>
      </x:c>
      <x:c r="H628" s="2" t="str">
        <x:v>Online</x:v>
      </x:c>
      <x:c r="I628" s="2" t="n">
        <x:v>25</x:v>
      </x:c>
      <x:c r="J628" s="2" t="n">
        <x:v>1</x:v>
      </x:c>
      <x:c r="K628" s="2" t="n">
        <x:f>I628-J628</x:f>
        <x:v>24</x:v>
      </x:c>
      <x:c r="L628" s="16" t="n">
        <x:v>20</x:v>
      </x:c>
      <x:c r="M628" s="16" t="n">
        <x:v>20</x:v>
      </x:c>
      <x:c r="N628" s="16" t="n">
        <x:v>7.7</x:v>
      </x:c>
      <x:c r="O628" s="16" t="n">
        <x:f>K628*M628</x:f>
        <x:v>480</x:v>
      </x:c>
      <x:c r="P628" s="16" t="n">
        <x:f>K628*N628</x:f>
        <x:v>184.8</x:v>
      </x:c>
      <x:c r="Q628" s="16" t="n">
        <x:f>O628-P628</x:f>
        <x:v>295.2</x:v>
      </x:c>
      <x:c r="R628" s="2" t="n">
        <x:v>151</x:v>
      </x:c>
      <x:c r="S628" s="2" t="n">
        <x:v>0</x:v>
      </x:c>
      <x:c r="T628" s="2" t="n">
        <x:f>R628+S628+J628-I628</x:f>
        <x:v>127</x:v>
      </x:c>
      <x:c r="U628" s="2" t="n">
        <x:v>0</x:v>
      </x:c>
      <x:c r="V628" s="2" t="n">
        <x:v>3</x:v>
      </x:c>
      <x:c r="W628" s="2" t="n">
        <x:v>24</x:v>
      </x:c>
      <x:c r="X628" s="14" t="b">
        <x:v>0</x:v>
      </x:c>
      <x:c r="Y628" s="14" t="b">
        <x:v>0</x:v>
      </x:c>
      <x:c r="Z628" s="2" t="n">
        <x:f>ABS(T628-AA628)</x:f>
        <x:v>0</x:v>
      </x:c>
      <x:c r="AA628" s="2" t="n">
        <x:v>127</x:v>
      </x:c>
      <x:c r="AB628" s="2" t="n">
        <x:f>ABS(K628-W628)</x:f>
        <x:v>0</x:v>
      </x:c>
      <x:c r="AC628" s="2" t="n">
        <x:f>COUNTIF($A$2:$A$1921,A628)-1</x:f>
        <x:v>0</x:v>
      </x:c>
      <x:c r="AD628" s="2" t="n">
        <x:f>IF(AND(D628=D627,H628=H627,C628=C627+1),ABS(R628-T627),0)</x:f>
        <x:v>0</x:v>
      </x:c>
    </x:row>
    <x:row r="629" ht="23" customHeight="1">
      <x:c r="A629" s="2" t="str">
        <x:v>DEMO-202-3-8</x:v>
      </x:c>
      <x:c r="B629" s="15" t="d">
        <x:v>2026-06-22T00:00:00.000Z</x:v>
      </x:c>
      <x:c r="C629" s="2" t="n">
        <x:v>8</x:v>
      </x:c>
      <x:c r="D629" s="2" t="str">
        <x:v>DEMO-202</x:v>
      </x:c>
      <x:c r="E629" s="2" t="str">
        <x:v>Ribbon Keepsake</x:v>
      </x:c>
      <x:c r="F629" s="2" t="str">
        <x:v>Gifting</x:v>
      </x:c>
      <x:c r="G629" s="2" t="str">
        <x:v>Online</x:v>
      </x:c>
      <x:c r="H629" s="2" t="str">
        <x:v>Online</x:v>
      </x:c>
      <x:c r="I629" s="2" t="n">
        <x:v>24</x:v>
      </x:c>
      <x:c r="J629" s="2" t="n">
        <x:v>0</x:v>
      </x:c>
      <x:c r="K629" s="2" t="n">
        <x:f>I629-J629</x:f>
        <x:v>24</x:v>
      </x:c>
      <x:c r="L629" s="16" t="n">
        <x:v>20</x:v>
      </x:c>
      <x:c r="M629" s="16" t="n">
        <x:v>20</x:v>
      </x:c>
      <x:c r="N629" s="16" t="n">
        <x:v>7.7</x:v>
      </x:c>
      <x:c r="O629" s="16" t="n">
        <x:f>K629*M629</x:f>
        <x:v>480</x:v>
      </x:c>
      <x:c r="P629" s="16" t="n">
        <x:f>K629*N629</x:f>
        <x:v>184.8</x:v>
      </x:c>
      <x:c r="Q629" s="16" t="n">
        <x:f>O629-P629</x:f>
        <x:v>295.2</x:v>
      </x:c>
      <x:c r="R629" s="2" t="n">
        <x:v>127</x:v>
      </x:c>
      <x:c r="S629" s="2" t="n">
        <x:v>0</x:v>
      </x:c>
      <x:c r="T629" s="2" t="n">
        <x:f>R629+S629+J629-I629</x:f>
        <x:v>103</x:v>
      </x:c>
      <x:c r="U629" s="2" t="n">
        <x:v>0</x:v>
      </x:c>
      <x:c r="V629" s="2" t="n">
        <x:v>3</x:v>
      </x:c>
      <x:c r="W629" s="2" t="n">
        <x:v>25</x:v>
      </x:c>
      <x:c r="X629" s="14" t="b">
        <x:v>0</x:v>
      </x:c>
      <x:c r="Y629" s="14" t="b">
        <x:v>0</x:v>
      </x:c>
      <x:c r="Z629" s="2" t="n">
        <x:f>ABS(T629-AA629)</x:f>
        <x:v>0</x:v>
      </x:c>
      <x:c r="AA629" s="2" t="n">
        <x:v>103</x:v>
      </x:c>
      <x:c r="AB629" s="2" t="n">
        <x:f>ABS(K629-W629)</x:f>
        <x:v>1</x:v>
      </x:c>
      <x:c r="AC629" s="2" t="n">
        <x:f>COUNTIF($A$2:$A$1921,A629)-1</x:f>
        <x:v>0</x:v>
      </x:c>
      <x:c r="AD629" s="2" t="n">
        <x:f>IF(AND(D629=D628,H629=H628,C629=C628+1),ABS(R629-T628),0)</x:f>
        <x:v>0</x:v>
      </x:c>
    </x:row>
    <x:row r="630" ht="23" customHeight="1">
      <x:c r="A630" s="2" t="str">
        <x:v>DEMO-202-3-9</x:v>
      </x:c>
      <x:c r="B630" s="15" t="d">
        <x:v>2026-06-29T00:00:00.000Z</x:v>
      </x:c>
      <x:c r="C630" s="2" t="n">
        <x:v>9</x:v>
      </x:c>
      <x:c r="D630" s="2" t="str">
        <x:v>DEMO-202</x:v>
      </x:c>
      <x:c r="E630" s="2" t="str">
        <x:v>Ribbon Keepsake</x:v>
      </x:c>
      <x:c r="F630" s="2" t="str">
        <x:v>Gifting</x:v>
      </x:c>
      <x:c r="G630" s="2" t="str">
        <x:v>Online</x:v>
      </x:c>
      <x:c r="H630" s="2" t="str">
        <x:v>Online</x:v>
      </x:c>
      <x:c r="I630" s="2" t="n">
        <x:v>24</x:v>
      </x:c>
      <x:c r="J630" s="2" t="n">
        <x:v>0</x:v>
      </x:c>
      <x:c r="K630" s="2" t="n">
        <x:f>I630-J630</x:f>
        <x:v>24</x:v>
      </x:c>
      <x:c r="L630" s="16" t="n">
        <x:v>20</x:v>
      </x:c>
      <x:c r="M630" s="16" t="n">
        <x:v>20</x:v>
      </x:c>
      <x:c r="N630" s="16" t="n">
        <x:v>7.7</x:v>
      </x:c>
      <x:c r="O630" s="16" t="n">
        <x:f>K630*M630</x:f>
        <x:v>480</x:v>
      </x:c>
      <x:c r="P630" s="16" t="n">
        <x:f>K630*N630</x:f>
        <x:v>184.8</x:v>
      </x:c>
      <x:c r="Q630" s="16" t="n">
        <x:f>O630-P630</x:f>
        <x:v>295.2</x:v>
      </x:c>
      <x:c r="R630" s="2" t="n">
        <x:v>103</x:v>
      </x:c>
      <x:c r="S630" s="2" t="n">
        <x:v>100</x:v>
      </x:c>
      <x:c r="T630" s="2" t="n">
        <x:f>R630+S630+J630-I630</x:f>
        <x:v>179</x:v>
      </x:c>
      <x:c r="U630" s="2" t="n">
        <x:v>0</x:v>
      </x:c>
      <x:c r="V630" s="2" t="n">
        <x:v>3</x:v>
      </x:c>
      <x:c r="W630" s="2" t="n">
        <x:v>24</x:v>
      </x:c>
      <x:c r="X630" s="14" t="b">
        <x:v>0</x:v>
      </x:c>
      <x:c r="Y630" s="14" t="b">
        <x:v>0</x:v>
      </x:c>
      <x:c r="Z630" s="2" t="n">
        <x:f>ABS(T630-AA630)</x:f>
        <x:v>0</x:v>
      </x:c>
      <x:c r="AA630" s="2" t="n">
        <x:v>179</x:v>
      </x:c>
      <x:c r="AB630" s="2" t="n">
        <x:f>ABS(K630-W630)</x:f>
        <x:v>0</x:v>
      </x:c>
      <x:c r="AC630" s="2" t="n">
        <x:f>COUNTIF($A$2:$A$1921,A630)-1</x:f>
        <x:v>0</x:v>
      </x:c>
      <x:c r="AD630" s="2" t="n">
        <x:f>IF(AND(D630=D629,H630=H629,C630=C629+1),ABS(R630-T629),0)</x:f>
        <x:v>0</x:v>
      </x:c>
    </x:row>
    <x:row r="631" ht="23" customHeight="1">
      <x:c r="A631" s="2" t="str">
        <x:v>DEMO-202-3-10</x:v>
      </x:c>
      <x:c r="B631" s="15" t="d">
        <x:v>2026-07-06T00:00:00.000Z</x:v>
      </x:c>
      <x:c r="C631" s="2" t="n">
        <x:v>10</x:v>
      </x:c>
      <x:c r="D631" s="2" t="str">
        <x:v>DEMO-202</x:v>
      </x:c>
      <x:c r="E631" s="2" t="str">
        <x:v>Ribbon Keepsake</x:v>
      </x:c>
      <x:c r="F631" s="2" t="str">
        <x:v>Gifting</x:v>
      </x:c>
      <x:c r="G631" s="2" t="str">
        <x:v>Online</x:v>
      </x:c>
      <x:c r="H631" s="2" t="str">
        <x:v>Online</x:v>
      </x:c>
      <x:c r="I631" s="2" t="n">
        <x:v>24</x:v>
      </x:c>
      <x:c r="J631" s="2" t="n">
        <x:v>1</x:v>
      </x:c>
      <x:c r="K631" s="2" t="n">
        <x:f>I631-J631</x:f>
        <x:v>23</x:v>
      </x:c>
      <x:c r="L631" s="16" t="n">
        <x:v>20</x:v>
      </x:c>
      <x:c r="M631" s="16" t="n">
        <x:v>20</x:v>
      </x:c>
      <x:c r="N631" s="16" t="n">
        <x:v>7.7</x:v>
      </x:c>
      <x:c r="O631" s="16" t="n">
        <x:f>K631*M631</x:f>
        <x:v>460</x:v>
      </x:c>
      <x:c r="P631" s="16" t="n">
        <x:f>K631*N631</x:f>
        <x:v>177.1</x:v>
      </x:c>
      <x:c r="Q631" s="16" t="n">
        <x:f>O631-P631</x:f>
        <x:v>282.9</x:v>
      </x:c>
      <x:c r="R631" s="2" t="n">
        <x:v>179</x:v>
      </x:c>
      <x:c r="S631" s="2" t="n">
        <x:v>0</x:v>
      </x:c>
      <x:c r="T631" s="2" t="n">
        <x:f>R631+S631+J631-I631</x:f>
        <x:v>156</x:v>
      </x:c>
      <x:c r="U631" s="2" t="n">
        <x:v>0</x:v>
      </x:c>
      <x:c r="V631" s="2" t="n">
        <x:v>3</x:v>
      </x:c>
      <x:c r="W631" s="2" t="n">
        <x:v>25</x:v>
      </x:c>
      <x:c r="X631" s="14" t="b">
        <x:v>0</x:v>
      </x:c>
      <x:c r="Y631" s="14" t="b">
        <x:v>0</x:v>
      </x:c>
      <x:c r="Z631" s="2" t="n">
        <x:f>ABS(T631-AA631)</x:f>
        <x:v>0</x:v>
      </x:c>
      <x:c r="AA631" s="2" t="n">
        <x:v>156</x:v>
      </x:c>
      <x:c r="AB631" s="2" t="n">
        <x:f>ABS(K631-W631)</x:f>
        <x:v>2</x:v>
      </x:c>
      <x:c r="AC631" s="2" t="n">
        <x:f>COUNTIF($A$2:$A$1921,A631)-1</x:f>
        <x:v>0</x:v>
      </x:c>
      <x:c r="AD631" s="2" t="n">
        <x:f>IF(AND(D631=D630,H631=H630,C631=C630+1),ABS(R631-T630),0)</x:f>
        <x:v>0</x:v>
      </x:c>
    </x:row>
    <x:row r="632" ht="23" customHeight="1">
      <x:c r="A632" s="2" t="str">
        <x:v>DEMO-202-3-11</x:v>
      </x:c>
      <x:c r="B632" s="15" t="d">
        <x:v>2026-07-13T00:00:00.000Z</x:v>
      </x:c>
      <x:c r="C632" s="2" t="n">
        <x:v>11</x:v>
      </x:c>
      <x:c r="D632" s="2" t="str">
        <x:v>DEMO-202</x:v>
      </x:c>
      <x:c r="E632" s="2" t="str">
        <x:v>Ribbon Keepsake</x:v>
      </x:c>
      <x:c r="F632" s="2" t="str">
        <x:v>Gifting</x:v>
      </x:c>
      <x:c r="G632" s="2" t="str">
        <x:v>Online</x:v>
      </x:c>
      <x:c r="H632" s="2" t="str">
        <x:v>Online</x:v>
      </x:c>
      <x:c r="I632" s="2" t="n">
        <x:v>25</x:v>
      </x:c>
      <x:c r="J632" s="2" t="n">
        <x:v>0</x:v>
      </x:c>
      <x:c r="K632" s="2" t="n">
        <x:f>I632-J632</x:f>
        <x:v>25</x:v>
      </x:c>
      <x:c r="L632" s="16" t="n">
        <x:v>20</x:v>
      </x:c>
      <x:c r="M632" s="16" t="n">
        <x:v>20</x:v>
      </x:c>
      <x:c r="N632" s="16" t="n">
        <x:v>7.7</x:v>
      </x:c>
      <x:c r="O632" s="16" t="n">
        <x:f>K632*M632</x:f>
        <x:v>500</x:v>
      </x:c>
      <x:c r="P632" s="16" t="n">
        <x:f>K632*N632</x:f>
        <x:v>192.5</x:v>
      </x:c>
      <x:c r="Q632" s="16" t="n">
        <x:f>O632-P632</x:f>
        <x:v>307.5</x:v>
      </x:c>
      <x:c r="R632" s="2" t="n">
        <x:v>156</x:v>
      </x:c>
      <x:c r="S632" s="2" t="n">
        <x:v>0</x:v>
      </x:c>
      <x:c r="T632" s="2" t="n">
        <x:f>R632+S632+J632-I632</x:f>
        <x:v>131</x:v>
      </x:c>
      <x:c r="U632" s="2" t="n">
        <x:v>0</x:v>
      </x:c>
      <x:c r="V632" s="2" t="n">
        <x:v>3</x:v>
      </x:c>
      <x:c r="W632" s="2" t="n">
        <x:v>24</x:v>
      </x:c>
      <x:c r="X632" s="14" t="b">
        <x:v>0</x:v>
      </x:c>
      <x:c r="Y632" s="14" t="b">
        <x:v>0</x:v>
      </x:c>
      <x:c r="Z632" s="2" t="n">
        <x:f>ABS(T632-AA632)</x:f>
        <x:v>0</x:v>
      </x:c>
      <x:c r="AA632" s="2" t="n">
        <x:v>131</x:v>
      </x:c>
      <x:c r="AB632" s="2" t="n">
        <x:f>ABS(K632-W632)</x:f>
        <x:v>1</x:v>
      </x:c>
      <x:c r="AC632" s="2" t="n">
        <x:f>COUNTIF($A$2:$A$1921,A632)-1</x:f>
        <x:v>0</x:v>
      </x:c>
      <x:c r="AD632" s="2" t="n">
        <x:f>IF(AND(D632=D631,H632=H631,C632=C631+1),ABS(R632-T631),0)</x:f>
        <x:v>0</x:v>
      </x:c>
    </x:row>
    <x:row r="633" ht="23" customHeight="1">
      <x:c r="A633" s="2" t="str">
        <x:v>DEMO-202-3-12</x:v>
      </x:c>
      <x:c r="B633" s="15" t="d">
        <x:v>2026-07-20T00:00:00.000Z</x:v>
      </x:c>
      <x:c r="C633" s="2" t="n">
        <x:v>12</x:v>
      </x:c>
      <x:c r="D633" s="2" t="str">
        <x:v>DEMO-202</x:v>
      </x:c>
      <x:c r="E633" s="2" t="str">
        <x:v>Ribbon Keepsake</x:v>
      </x:c>
      <x:c r="F633" s="2" t="str">
        <x:v>Gifting</x:v>
      </x:c>
      <x:c r="G633" s="2" t="str">
        <x:v>Online</x:v>
      </x:c>
      <x:c r="H633" s="2" t="str">
        <x:v>Online</x:v>
      </x:c>
      <x:c r="I633" s="2" t="n">
        <x:v>57</x:v>
      </x:c>
      <x:c r="J633" s="2" t="n">
        <x:v>0</x:v>
      </x:c>
      <x:c r="K633" s="2" t="n">
        <x:f>I633-J633</x:f>
        <x:v>57</x:v>
      </x:c>
      <x:c r="L633" s="16" t="n">
        <x:v>20</x:v>
      </x:c>
      <x:c r="M633" s="16" t="n">
        <x:v>18</x:v>
      </x:c>
      <x:c r="N633" s="16" t="n">
        <x:v>7.7</x:v>
      </x:c>
      <x:c r="O633" s="16" t="n">
        <x:f>K633*M633</x:f>
        <x:v>1026</x:v>
      </x:c>
      <x:c r="P633" s="16" t="n">
        <x:f>K633*N633</x:f>
        <x:v>438.90000000000003</x:v>
      </x:c>
      <x:c r="Q633" s="16" t="n">
        <x:f>O633-P633</x:f>
        <x:v>587.0999999999999</x:v>
      </x:c>
      <x:c r="R633" s="2" t="n">
        <x:v>131</x:v>
      </x:c>
      <x:c r="S633" s="2" t="n">
        <x:v>0</x:v>
      </x:c>
      <x:c r="T633" s="2" t="n">
        <x:f>R633+S633+J633-I633</x:f>
        <x:v>74</x:v>
      </x:c>
      <x:c r="U633" s="2" t="n">
        <x:v>0</x:v>
      </x:c>
      <x:c r="V633" s="2" t="n">
        <x:v>3</x:v>
      </x:c>
      <x:c r="W633" s="2" t="n">
        <x:v>24</x:v>
      </x:c>
      <x:c r="X633" s="14" t="b">
        <x:v>1</x:v>
      </x:c>
      <x:c r="Y633" s="14" t="b">
        <x:v>0</x:v>
      </x:c>
      <x:c r="Z633" s="2" t="n">
        <x:f>ABS(T633-AA633)</x:f>
        <x:v>0</x:v>
      </x:c>
      <x:c r="AA633" s="2" t="n">
        <x:v>74</x:v>
      </x:c>
      <x:c r="AB633" s="2" t="n">
        <x:f>ABS(K633-W633)</x:f>
        <x:v>33</x:v>
      </x:c>
      <x:c r="AC633" s="2" t="n">
        <x:f>COUNTIF($A$2:$A$1921,A633)-1</x:f>
        <x:v>0</x:v>
      </x:c>
      <x:c r="AD633" s="2" t="n">
        <x:f>IF(AND(D633=D632,H633=H632,C633=C632+1),ABS(R633-T632),0)</x:f>
        <x:v>0</x:v>
      </x:c>
    </x:row>
    <x:row r="634" ht="23" customHeight="1">
      <x:c r="A634" s="2" t="str">
        <x:v>DEMO-202-3-13</x:v>
      </x:c>
      <x:c r="B634" s="15" t="d">
        <x:v>2026-07-27T00:00:00.000Z</x:v>
      </x:c>
      <x:c r="C634" s="2" t="n">
        <x:v>13</x:v>
      </x:c>
      <x:c r="D634" s="2" t="str">
        <x:v>DEMO-202</x:v>
      </x:c>
      <x:c r="E634" s="2" t="str">
        <x:v>Ribbon Keepsake</x:v>
      </x:c>
      <x:c r="F634" s="2" t="str">
        <x:v>Gifting</x:v>
      </x:c>
      <x:c r="G634" s="2" t="str">
        <x:v>Online</x:v>
      </x:c>
      <x:c r="H634" s="2" t="str">
        <x:v>Online</x:v>
      </x:c>
      <x:c r="I634" s="2" t="n">
        <x:v>40</x:v>
      </x:c>
      <x:c r="J634" s="2" t="n">
        <x:v>0</x:v>
      </x:c>
      <x:c r="K634" s="2" t="n">
        <x:f>I634-J634</x:f>
        <x:v>40</x:v>
      </x:c>
      <x:c r="L634" s="16" t="n">
        <x:v>20</x:v>
      </x:c>
      <x:c r="M634" s="16" t="n">
        <x:v>18</x:v>
      </x:c>
      <x:c r="N634" s="16" t="n">
        <x:v>7.7</x:v>
      </x:c>
      <x:c r="O634" s="16" t="n">
        <x:f>K634*M634</x:f>
        <x:v>720</x:v>
      </x:c>
      <x:c r="P634" s="16" t="n">
        <x:f>K634*N634</x:f>
        <x:v>308</x:v>
      </x:c>
      <x:c r="Q634" s="16" t="n">
        <x:f>O634-P634</x:f>
        <x:v>412</x:v>
      </x:c>
      <x:c r="R634" s="2" t="n">
        <x:v>74</x:v>
      </x:c>
      <x:c r="S634" s="2" t="n">
        <x:v>100</x:v>
      </x:c>
      <x:c r="T634" s="2" t="n">
        <x:f>R634+S634+J634-I634</x:f>
        <x:v>134</x:v>
      </x:c>
      <x:c r="U634" s="2" t="n">
        <x:v>0</x:v>
      </x:c>
      <x:c r="V634" s="2" t="n">
        <x:v>3</x:v>
      </x:c>
      <x:c r="W634" s="2" t="n">
        <x:v>32</x:v>
      </x:c>
      <x:c r="X634" s="14" t="b">
        <x:v>1</x:v>
      </x:c>
      <x:c r="Y634" s="14" t="b">
        <x:v>0</x:v>
      </x:c>
      <x:c r="Z634" s="2" t="n">
        <x:f>ABS(T634-AA634)</x:f>
        <x:v>0</x:v>
      </x:c>
      <x:c r="AA634" s="2" t="n">
        <x:v>134</x:v>
      </x:c>
      <x:c r="AB634" s="2" t="n">
        <x:f>ABS(K634-W634)</x:f>
        <x:v>8</x:v>
      </x:c>
      <x:c r="AC634" s="2" t="n">
        <x:f>COUNTIF($A$2:$A$1921,A634)-1</x:f>
        <x:v>0</x:v>
      </x:c>
      <x:c r="AD634" s="2" t="n">
        <x:f>IF(AND(D634=D633,H634=H633,C634=C633+1),ABS(R634-T633),0)</x:f>
        <x:v>0</x:v>
      </x:c>
    </x:row>
    <x:row r="635" ht="23" customHeight="1">
      <x:c r="A635" s="2" t="str">
        <x:v>DEMO-202-3-14</x:v>
      </x:c>
      <x:c r="B635" s="15" t="d">
        <x:v>2026-08-03T00:00:00.000Z</x:v>
      </x:c>
      <x:c r="C635" s="2" t="n">
        <x:v>14</x:v>
      </x:c>
      <x:c r="D635" s="2" t="str">
        <x:v>DEMO-202</x:v>
      </x:c>
      <x:c r="E635" s="2" t="str">
        <x:v>Ribbon Keepsake</x:v>
      </x:c>
      <x:c r="F635" s="2" t="str">
        <x:v>Gifting</x:v>
      </x:c>
      <x:c r="G635" s="2" t="str">
        <x:v>Online</x:v>
      </x:c>
      <x:c r="H635" s="2" t="str">
        <x:v>Online</x:v>
      </x:c>
      <x:c r="I635" s="2" t="n">
        <x:v>49</x:v>
      </x:c>
      <x:c r="J635" s="2" t="n">
        <x:v>0</x:v>
      </x:c>
      <x:c r="K635" s="2" t="n">
        <x:f>I635-J635</x:f>
        <x:v>49</x:v>
      </x:c>
      <x:c r="L635" s="16" t="n">
        <x:v>20</x:v>
      </x:c>
      <x:c r="M635" s="16" t="n">
        <x:v>18</x:v>
      </x:c>
      <x:c r="N635" s="16" t="n">
        <x:v>7.7</x:v>
      </x:c>
      <x:c r="O635" s="16" t="n">
        <x:f>K635*M635</x:f>
        <x:v>882</x:v>
      </x:c>
      <x:c r="P635" s="16" t="n">
        <x:f>K635*N635</x:f>
        <x:v>377.3</x:v>
      </x:c>
      <x:c r="Q635" s="16" t="n">
        <x:f>O635-P635</x:f>
        <x:v>504.7</x:v>
      </x:c>
      <x:c r="R635" s="2" t="n">
        <x:v>134</x:v>
      </x:c>
      <x:c r="S635" s="2" t="n">
        <x:v>0</x:v>
      </x:c>
      <x:c r="T635" s="2" t="n">
        <x:f>R635+S635+J635-I635</x:f>
        <x:v>85</x:v>
      </x:c>
      <x:c r="U635" s="2" t="n">
        <x:v>0</x:v>
      </x:c>
      <x:c r="V635" s="2" t="n">
        <x:v>3</x:v>
      </x:c>
      <x:c r="W635" s="2" t="n">
        <x:v>36</x:v>
      </x:c>
      <x:c r="X635" s="14" t="b">
        <x:v>1</x:v>
      </x:c>
      <x:c r="Y635" s="14" t="b">
        <x:v>0</x:v>
      </x:c>
      <x:c r="Z635" s="2" t="n">
        <x:f>ABS(T635-AA635)</x:f>
        <x:v>0</x:v>
      </x:c>
      <x:c r="AA635" s="2" t="n">
        <x:v>85</x:v>
      </x:c>
      <x:c r="AB635" s="2" t="n">
        <x:f>ABS(K635-W635)</x:f>
        <x:v>13</x:v>
      </x:c>
      <x:c r="AC635" s="2" t="n">
        <x:f>COUNTIF($A$2:$A$1921,A635)-1</x:f>
        <x:v>0</x:v>
      </x:c>
      <x:c r="AD635" s="2" t="n">
        <x:f>IF(AND(D635=D634,H635=H634,C635=C634+1),ABS(R635-T634),0)</x:f>
        <x:v>0</x:v>
      </x:c>
    </x:row>
    <x:row r="636" ht="23" customHeight="1">
      <x:c r="A636" s="2" t="str">
        <x:v>DEMO-202-3-15</x:v>
      </x:c>
      <x:c r="B636" s="15" t="d">
        <x:v>2026-08-10T00:00:00.000Z</x:v>
      </x:c>
      <x:c r="C636" s="2" t="n">
        <x:v>15</x:v>
      </x:c>
      <x:c r="D636" s="2" t="str">
        <x:v>DEMO-202</x:v>
      </x:c>
      <x:c r="E636" s="2" t="str">
        <x:v>Ribbon Keepsake</x:v>
      </x:c>
      <x:c r="F636" s="2" t="str">
        <x:v>Gifting</x:v>
      </x:c>
      <x:c r="G636" s="2" t="str">
        <x:v>Online</x:v>
      </x:c>
      <x:c r="H636" s="2" t="str">
        <x:v>Online</x:v>
      </x:c>
      <x:c r="I636" s="2" t="n">
        <x:v>25</x:v>
      </x:c>
      <x:c r="J636" s="2" t="n">
        <x:v>1</x:v>
      </x:c>
      <x:c r="K636" s="2" t="n">
        <x:f>I636-J636</x:f>
        <x:v>24</x:v>
      </x:c>
      <x:c r="L636" s="16" t="n">
        <x:v>20</x:v>
      </x:c>
      <x:c r="M636" s="16" t="n">
        <x:v>20</x:v>
      </x:c>
      <x:c r="N636" s="16" t="n">
        <x:v>7.7</x:v>
      </x:c>
      <x:c r="O636" s="16" t="n">
        <x:f>K636*M636</x:f>
        <x:v>480</x:v>
      </x:c>
      <x:c r="P636" s="16" t="n">
        <x:f>K636*N636</x:f>
        <x:v>184.8</x:v>
      </x:c>
      <x:c r="Q636" s="16" t="n">
        <x:f>O636-P636</x:f>
        <x:v>295.2</x:v>
      </x:c>
      <x:c r="R636" s="2" t="n">
        <x:v>85</x:v>
      </x:c>
      <x:c r="S636" s="2" t="n">
        <x:v>0</x:v>
      </x:c>
      <x:c r="T636" s="2" t="n">
        <x:f>R636+S636+J636-I636</x:f>
        <x:v>61</x:v>
      </x:c>
      <x:c r="U636" s="2" t="n">
        <x:v>0</x:v>
      </x:c>
      <x:c r="V636" s="2" t="n">
        <x:v>3</x:v>
      </x:c>
      <x:c r="W636" s="2" t="n">
        <x:v>43</x:v>
      </x:c>
      <x:c r="X636" s="14" t="b">
        <x:v>0</x:v>
      </x:c>
      <x:c r="Y636" s="14" t="b">
        <x:v>0</x:v>
      </x:c>
      <x:c r="Z636" s="2" t="n">
        <x:f>ABS(T636-AA636)</x:f>
        <x:v>0</x:v>
      </x:c>
      <x:c r="AA636" s="2" t="n">
        <x:v>61</x:v>
      </x:c>
      <x:c r="AB636" s="2" t="n">
        <x:f>ABS(K636-W636)</x:f>
        <x:v>19</x:v>
      </x:c>
      <x:c r="AC636" s="2" t="n">
        <x:f>COUNTIF($A$2:$A$1921,A636)-1</x:f>
        <x:v>0</x:v>
      </x:c>
      <x:c r="AD636" s="2" t="n">
        <x:f>IF(AND(D636=D635,H636=H635,C636=C635+1),ABS(R636-T635),0)</x:f>
        <x:v>0</x:v>
      </x:c>
    </x:row>
    <x:row r="637" ht="23" customHeight="1">
      <x:c r="A637" s="2" t="str">
        <x:v>DEMO-202-3-16</x:v>
      </x:c>
      <x:c r="B637" s="15" t="d">
        <x:v>2026-08-17T00:00:00.000Z</x:v>
      </x:c>
      <x:c r="C637" s="2" t="n">
        <x:v>16</x:v>
      </x:c>
      <x:c r="D637" s="2" t="str">
        <x:v>DEMO-202</x:v>
      </x:c>
      <x:c r="E637" s="2" t="str">
        <x:v>Ribbon Keepsake</x:v>
      </x:c>
      <x:c r="F637" s="2" t="str">
        <x:v>Gifting</x:v>
      </x:c>
      <x:c r="G637" s="2" t="str">
        <x:v>Online</x:v>
      </x:c>
      <x:c r="H637" s="2" t="str">
        <x:v>Online</x:v>
      </x:c>
      <x:c r="I637" s="2" t="n">
        <x:v>23</x:v>
      </x:c>
      <x:c r="J637" s="2" t="n">
        <x:v>0</x:v>
      </x:c>
      <x:c r="K637" s="2" t="n">
        <x:f>I637-J637</x:f>
        <x:v>23</x:v>
      </x:c>
      <x:c r="L637" s="16" t="n">
        <x:v>20</x:v>
      </x:c>
      <x:c r="M637" s="16" t="n">
        <x:v>20</x:v>
      </x:c>
      <x:c r="N637" s="16" t="n">
        <x:v>7.7</x:v>
      </x:c>
      <x:c r="O637" s="16" t="n">
        <x:f>K637*M637</x:f>
        <x:v>460</x:v>
      </x:c>
      <x:c r="P637" s="16" t="n">
        <x:f>K637*N637</x:f>
        <x:v>177.1</x:v>
      </x:c>
      <x:c r="Q637" s="16" t="n">
        <x:f>O637-P637</x:f>
        <x:v>282.9</x:v>
      </x:c>
      <x:c r="R637" s="2" t="n">
        <x:v>61</x:v>
      </x:c>
      <x:c r="S637" s="2" t="n">
        <x:v>0</x:v>
      </x:c>
      <x:c r="T637" s="2" t="n">
        <x:f>R637+S637+J637-I637</x:f>
        <x:v>38</x:v>
      </x:c>
      <x:c r="U637" s="2" t="n">
        <x:v>0</x:v>
      </x:c>
      <x:c r="V637" s="2" t="n">
        <x:v>3</x:v>
      </x:c>
      <x:c r="W637" s="2" t="n">
        <x:v>43</x:v>
      </x:c>
      <x:c r="X637" s="14" t="b">
        <x:v>0</x:v>
      </x:c>
      <x:c r="Y637" s="14" t="b">
        <x:v>0</x:v>
      </x:c>
      <x:c r="Z637" s="2" t="n">
        <x:f>ABS(T637-AA637)</x:f>
        <x:v>0</x:v>
      </x:c>
      <x:c r="AA637" s="2" t="n">
        <x:v>38</x:v>
      </x:c>
      <x:c r="AB637" s="2" t="n">
        <x:f>ABS(K637-W637)</x:f>
        <x:v>20</x:v>
      </x:c>
      <x:c r="AC637" s="2" t="n">
        <x:f>COUNTIF($A$2:$A$1921,A637)-1</x:f>
        <x:v>0</x:v>
      </x:c>
      <x:c r="AD637" s="2" t="n">
        <x:f>IF(AND(D637=D636,H637=H636,C637=C636+1),ABS(R637-T636),0)</x:f>
        <x:v>0</x:v>
      </x:c>
    </x:row>
    <x:row r="638" ht="23" customHeight="1">
      <x:c r="A638" s="2" t="str">
        <x:v>DEMO-202-3-17</x:v>
      </x:c>
      <x:c r="B638" s="15" t="d">
        <x:v>2026-08-24T00:00:00.000Z</x:v>
      </x:c>
      <x:c r="C638" s="2" t="n">
        <x:v>17</x:v>
      </x:c>
      <x:c r="D638" s="2" t="str">
        <x:v>DEMO-202</x:v>
      </x:c>
      <x:c r="E638" s="2" t="str">
        <x:v>Ribbon Keepsake</x:v>
      </x:c>
      <x:c r="F638" s="2" t="str">
        <x:v>Gifting</x:v>
      </x:c>
      <x:c r="G638" s="2" t="str">
        <x:v>Online</x:v>
      </x:c>
      <x:c r="H638" s="2" t="str">
        <x:v>Online</x:v>
      </x:c>
      <x:c r="I638" s="2" t="n">
        <x:v>26</x:v>
      </x:c>
      <x:c r="J638" s="2" t="n">
        <x:v>0</x:v>
      </x:c>
      <x:c r="K638" s="2" t="n">
        <x:f>I638-J638</x:f>
        <x:v>26</x:v>
      </x:c>
      <x:c r="L638" s="16" t="n">
        <x:v>20</x:v>
      </x:c>
      <x:c r="M638" s="16" t="n">
        <x:v>20</x:v>
      </x:c>
      <x:c r="N638" s="16" t="n">
        <x:v>7.7</x:v>
      </x:c>
      <x:c r="O638" s="16" t="n">
        <x:f>K638*M638</x:f>
        <x:v>520</x:v>
      </x:c>
      <x:c r="P638" s="16" t="n">
        <x:f>K638*N638</x:f>
        <x:v>200.20000000000002</x:v>
      </x:c>
      <x:c r="Q638" s="16" t="n">
        <x:f>O638-P638</x:f>
        <x:v>319.79999999999995</x:v>
      </x:c>
      <x:c r="R638" s="2" t="n">
        <x:v>38</x:v>
      </x:c>
      <x:c r="S638" s="2" t="n">
        <x:v>100</x:v>
      </x:c>
      <x:c r="T638" s="2" t="n">
        <x:f>R638+S638+J638-I638</x:f>
        <x:v>112</x:v>
      </x:c>
      <x:c r="U638" s="2" t="n">
        <x:v>0</x:v>
      </x:c>
      <x:c r="V638" s="2" t="n">
        <x:v>3</x:v>
      </x:c>
      <x:c r="W638" s="2" t="n">
        <x:v>34</x:v>
      </x:c>
      <x:c r="X638" s="14" t="b">
        <x:v>0</x:v>
      </x:c>
      <x:c r="Y638" s="14" t="b">
        <x:v>0</x:v>
      </x:c>
      <x:c r="Z638" s="2" t="n">
        <x:f>ABS(T638-AA638)</x:f>
        <x:v>0</x:v>
      </x:c>
      <x:c r="AA638" s="2" t="n">
        <x:v>112</x:v>
      </x:c>
      <x:c r="AB638" s="2" t="n">
        <x:f>ABS(K638-W638)</x:f>
        <x:v>8</x:v>
      </x:c>
      <x:c r="AC638" s="2" t="n">
        <x:f>COUNTIF($A$2:$A$1921,A638)-1</x:f>
        <x:v>0</x:v>
      </x:c>
      <x:c r="AD638" s="2" t="n">
        <x:f>IF(AND(D638=D637,H638=H637,C638=C637+1),ABS(R638-T637),0)</x:f>
        <x:v>0</x:v>
      </x:c>
    </x:row>
    <x:row r="639" ht="23" customHeight="1">
      <x:c r="A639" s="2" t="str">
        <x:v>DEMO-202-3-18</x:v>
      </x:c>
      <x:c r="B639" s="15" t="d">
        <x:v>2026-08-31T00:00:00.000Z</x:v>
      </x:c>
      <x:c r="C639" s="2" t="n">
        <x:v>18</x:v>
      </x:c>
      <x:c r="D639" s="2" t="str">
        <x:v>DEMO-202</x:v>
      </x:c>
      <x:c r="E639" s="2" t="str">
        <x:v>Ribbon Keepsake</x:v>
      </x:c>
      <x:c r="F639" s="2" t="str">
        <x:v>Gifting</x:v>
      </x:c>
      <x:c r="G639" s="2" t="str">
        <x:v>Online</x:v>
      </x:c>
      <x:c r="H639" s="2" t="str">
        <x:v>Online</x:v>
      </x:c>
      <x:c r="I639" s="2" t="n">
        <x:v>20</x:v>
      </x:c>
      <x:c r="J639" s="2" t="n">
        <x:v>0</x:v>
      </x:c>
      <x:c r="K639" s="2" t="n">
        <x:f>I639-J639</x:f>
        <x:v>20</x:v>
      </x:c>
      <x:c r="L639" s="16" t="n">
        <x:v>20</x:v>
      </x:c>
      <x:c r="M639" s="16" t="n">
        <x:v>20</x:v>
      </x:c>
      <x:c r="N639" s="16" t="n">
        <x:v>7.7</x:v>
      </x:c>
      <x:c r="O639" s="16" t="n">
        <x:f>K639*M639</x:f>
        <x:v>400</x:v>
      </x:c>
      <x:c r="P639" s="16" t="n">
        <x:f>K639*N639</x:f>
        <x:v>154</x:v>
      </x:c>
      <x:c r="Q639" s="16" t="n">
        <x:f>O639-P639</x:f>
        <x:v>246</x:v>
      </x:c>
      <x:c r="R639" s="2" t="n">
        <x:v>112</x:v>
      </x:c>
      <x:c r="S639" s="2" t="n">
        <x:v>0</x:v>
      </x:c>
      <x:c r="T639" s="2" t="n">
        <x:f>R639+S639+J639-I639</x:f>
        <x:v>92</x:v>
      </x:c>
      <x:c r="U639" s="2" t="n">
        <x:v>0</x:v>
      </x:c>
      <x:c r="V639" s="2" t="n">
        <x:v>3</x:v>
      </x:c>
      <x:c r="W639" s="2" t="n">
        <x:v>31</x:v>
      </x:c>
      <x:c r="X639" s="14" t="b">
        <x:v>0</x:v>
      </x:c>
      <x:c r="Y639" s="14" t="b">
        <x:v>0</x:v>
      </x:c>
      <x:c r="Z639" s="2" t="n">
        <x:f>ABS(T639-AA639)</x:f>
        <x:v>0</x:v>
      </x:c>
      <x:c r="AA639" s="2" t="n">
        <x:v>92</x:v>
      </x:c>
      <x:c r="AB639" s="2" t="n">
        <x:f>ABS(K639-W639)</x:f>
        <x:v>11</x:v>
      </x:c>
      <x:c r="AC639" s="2" t="n">
        <x:f>COUNTIF($A$2:$A$1921,A639)-1</x:f>
        <x:v>0</x:v>
      </x:c>
      <x:c r="AD639" s="2" t="n">
        <x:f>IF(AND(D639=D638,H639=H638,C639=C638+1),ABS(R639-T638),0)</x:f>
        <x:v>0</x:v>
      </x:c>
    </x:row>
    <x:row r="640" ht="23" customHeight="1">
      <x:c r="A640" s="2" t="str">
        <x:v>DEMO-202-3-19</x:v>
      </x:c>
      <x:c r="B640" s="15" t="d">
        <x:v>2026-09-07T00:00:00.000Z</x:v>
      </x:c>
      <x:c r="C640" s="2" t="n">
        <x:v>19</x:v>
      </x:c>
      <x:c r="D640" s="2" t="str">
        <x:v>DEMO-202</x:v>
      </x:c>
      <x:c r="E640" s="2" t="str">
        <x:v>Ribbon Keepsake</x:v>
      </x:c>
      <x:c r="F640" s="2" t="str">
        <x:v>Gifting</x:v>
      </x:c>
      <x:c r="G640" s="2" t="str">
        <x:v>Online</x:v>
      </x:c>
      <x:c r="H640" s="2" t="str">
        <x:v>Online</x:v>
      </x:c>
      <x:c r="I640" s="2" t="n">
        <x:v>20</x:v>
      </x:c>
      <x:c r="J640" s="2" t="n">
        <x:v>0</x:v>
      </x:c>
      <x:c r="K640" s="2" t="n">
        <x:f>I640-J640</x:f>
        <x:v>20</x:v>
      </x:c>
      <x:c r="L640" s="16" t="n">
        <x:v>20</x:v>
      </x:c>
      <x:c r="M640" s="16" t="n">
        <x:v>20</x:v>
      </x:c>
      <x:c r="N640" s="16" t="n">
        <x:v>7.7</x:v>
      </x:c>
      <x:c r="O640" s="16" t="n">
        <x:f>K640*M640</x:f>
        <x:v>400</x:v>
      </x:c>
      <x:c r="P640" s="16" t="n">
        <x:f>K640*N640</x:f>
        <x:v>154</x:v>
      </x:c>
      <x:c r="Q640" s="16" t="n">
        <x:f>O640-P640</x:f>
        <x:v>246</x:v>
      </x:c>
      <x:c r="R640" s="2" t="n">
        <x:v>92</x:v>
      </x:c>
      <x:c r="S640" s="2" t="n">
        <x:v>0</x:v>
      </x:c>
      <x:c r="T640" s="2" t="n">
        <x:f>R640+S640+J640-I640</x:f>
        <x:v>72</x:v>
      </x:c>
      <x:c r="U640" s="2" t="n">
        <x:v>0</x:v>
      </x:c>
      <x:c r="V640" s="2" t="n">
        <x:v>3</x:v>
      </x:c>
      <x:c r="W640" s="2" t="n">
        <x:v>23</x:v>
      </x:c>
      <x:c r="X640" s="14" t="b">
        <x:v>0</x:v>
      </x:c>
      <x:c r="Y640" s="14" t="b">
        <x:v>0</x:v>
      </x:c>
      <x:c r="Z640" s="2" t="n">
        <x:f>ABS(T640-AA640)</x:f>
        <x:v>0</x:v>
      </x:c>
      <x:c r="AA640" s="2" t="n">
        <x:v>72</x:v>
      </x:c>
      <x:c r="AB640" s="2" t="n">
        <x:f>ABS(K640-W640)</x:f>
        <x:v>3</x:v>
      </x:c>
      <x:c r="AC640" s="2" t="n">
        <x:f>COUNTIF($A$2:$A$1921,A640)-1</x:f>
        <x:v>0</x:v>
      </x:c>
      <x:c r="AD640" s="2" t="n">
        <x:f>IF(AND(D640=D639,H640=H639,C640=C639+1),ABS(R640-T639),0)</x:f>
        <x:v>0</x:v>
      </x:c>
    </x:row>
    <x:row r="641" ht="23" customHeight="1">
      <x:c r="A641" s="2" t="str">
        <x:v>DEMO-202-3-20</x:v>
      </x:c>
      <x:c r="B641" s="15" t="d">
        <x:v>2026-09-14T00:00:00.000Z</x:v>
      </x:c>
      <x:c r="C641" s="2" t="n">
        <x:v>20</x:v>
      </x:c>
      <x:c r="D641" s="2" t="str">
        <x:v>DEMO-202</x:v>
      </x:c>
      <x:c r="E641" s="2" t="str">
        <x:v>Ribbon Keepsake</x:v>
      </x:c>
      <x:c r="F641" s="2" t="str">
        <x:v>Gifting</x:v>
      </x:c>
      <x:c r="G641" s="2" t="str">
        <x:v>Online</x:v>
      </x:c>
      <x:c r="H641" s="2" t="str">
        <x:v>Online</x:v>
      </x:c>
      <x:c r="I641" s="2" t="n">
        <x:v>25</x:v>
      </x:c>
      <x:c r="J641" s="2" t="n">
        <x:v>0</x:v>
      </x:c>
      <x:c r="K641" s="2" t="n">
        <x:f>I641-J641</x:f>
        <x:v>25</x:v>
      </x:c>
      <x:c r="L641" s="16" t="n">
        <x:v>20</x:v>
      </x:c>
      <x:c r="M641" s="16" t="n">
        <x:v>20</x:v>
      </x:c>
      <x:c r="N641" s="16" t="n">
        <x:v>7.7</x:v>
      </x:c>
      <x:c r="O641" s="16" t="n">
        <x:f>K641*M641</x:f>
        <x:v>500</x:v>
      </x:c>
      <x:c r="P641" s="16" t="n">
        <x:f>K641*N641</x:f>
        <x:v>192.5</x:v>
      </x:c>
      <x:c r="Q641" s="16" t="n">
        <x:f>O641-P641</x:f>
        <x:v>307.5</x:v>
      </x:c>
      <x:c r="R641" s="2" t="n">
        <x:v>72</x:v>
      </x:c>
      <x:c r="S641" s="2" t="n">
        <x:v>0</x:v>
      </x:c>
      <x:c r="T641" s="2" t="n">
        <x:f>R641+S641+J641-I641</x:f>
        <x:v>47</x:v>
      </x:c>
      <x:c r="U641" s="2" t="n">
        <x:v>18</x:v>
      </x:c>
      <x:c r="V641" s="2" t="n">
        <x:v>3</x:v>
      </x:c>
      <x:c r="W641" s="2" t="n">
        <x:v>22</x:v>
      </x:c>
      <x:c r="X641" s="14" t="b">
        <x:v>0</x:v>
      </x:c>
      <x:c r="Y641" s="14" t="b">
        <x:v>0</x:v>
      </x:c>
      <x:c r="Z641" s="2" t="n">
        <x:f>ABS(T641-AA641)</x:f>
        <x:v>0</x:v>
      </x:c>
      <x:c r="AA641" s="2" t="n">
        <x:v>47</x:v>
      </x:c>
      <x:c r="AB641" s="2" t="n">
        <x:f>ABS(K641-W641)</x:f>
        <x:v>3</x:v>
      </x:c>
      <x:c r="AC641" s="2" t="n">
        <x:f>COUNTIF($A$2:$A$1921,A641)-1</x:f>
        <x:v>0</x:v>
      </x:c>
      <x:c r="AD641" s="2" t="n">
        <x:f>IF(AND(D641=D640,H641=H640,C641=C640+1),ABS(R641-T640),0)</x:f>
        <x:v>0</x:v>
      </x:c>
    </x:row>
    <x:row r="642" ht="23" customHeight="1">
      <x:c r="A642" s="2" t="str">
        <x:v>DEMO-203-0-1</x:v>
      </x:c>
      <x:c r="B642" s="15" t="d">
        <x:v>2026-05-04T00:00:00.000Z</x:v>
      </x:c>
      <x:c r="C642" s="2" t="n">
        <x:v>1</x:v>
      </x:c>
      <x:c r="D642" s="2" t="str">
        <x:v>DEMO-203</x:v>
      </x:c>
      <x:c r="E642" s="2" t="str">
        <x:v>Tiny Joy Kit</x:v>
      </x:c>
      <x:c r="F642" s="2" t="str">
        <x:v>Gifting</x:v>
      </x:c>
      <x:c r="G642" s="2" t="str">
        <x:v>Stores</x:v>
      </x:c>
      <x:c r="H642" s="2" t="str">
        <x:v>North Arcade</x:v>
      </x:c>
      <x:c r="I642" s="2" t="n">
        <x:v>15</x:v>
      </x:c>
      <x:c r="J642" s="2" t="n">
        <x:v>0</x:v>
      </x:c>
      <x:c r="K642" s="2" t="n">
        <x:f>I642-J642</x:f>
        <x:v>15</x:v>
      </x:c>
      <x:c r="L642" s="16" t="n">
        <x:v>22</x:v>
      </x:c>
      <x:c r="M642" s="16" t="n">
        <x:v>22</x:v>
      </x:c>
      <x:c r="N642" s="16" t="n">
        <x:v>9.02</x:v>
      </x:c>
      <x:c r="O642" s="16" t="n">
        <x:f>K642*M642</x:f>
        <x:v>330</x:v>
      </x:c>
      <x:c r="P642" s="16" t="n">
        <x:f>K642*N642</x:f>
        <x:v>135.29999999999998</x:v>
      </x:c>
      <x:c r="Q642" s="16" t="n">
        <x:f>O642-P642</x:f>
        <x:v>194.70000000000002</x:v>
      </x:c>
      <x:c r="R642" s="2" t="n">
        <x:v>90</x:v>
      </x:c>
      <x:c r="S642" s="2" t="n">
        <x:v>71</x:v>
      </x:c>
      <x:c r="T642" s="2" t="n">
        <x:f>R642+S642+J642-I642</x:f>
        <x:v>146</x:v>
      </x:c>
      <x:c r="U642" s="2" t="n">
        <x:v>0</x:v>
      </x:c>
      <x:c r="V642" s="2" t="n">
        <x:v>4</x:v>
      </x:c>
      <x:c r="W642" s="2" t="n">
        <x:v>17</x:v>
      </x:c>
      <x:c r="X642" s="14" t="b">
        <x:v>0</x:v>
      </x:c>
      <x:c r="Y642" s="14" t="b">
        <x:v>0</x:v>
      </x:c>
      <x:c r="Z642" s="2" t="n">
        <x:f>ABS(T642-AA642)</x:f>
        <x:v>0</x:v>
      </x:c>
      <x:c r="AA642" s="2" t="n">
        <x:v>146</x:v>
      </x:c>
      <x:c r="AB642" s="2" t="n">
        <x:f>ABS(K642-W642)</x:f>
        <x:v>2</x:v>
      </x:c>
      <x:c r="AC642" s="2" t="n">
        <x:f>COUNTIF($A$2:$A$1921,A642)-1</x:f>
        <x:v>0</x:v>
      </x:c>
      <x:c r="AD642" s="2" t="n">
        <x:f>IF(AND(D642=D641,H642=H641,C642=C641+1),ABS(R642-T641),0)</x:f>
        <x:v>0</x:v>
      </x:c>
    </x:row>
    <x:row r="643" ht="23" customHeight="1">
      <x:c r="A643" s="2" t="str">
        <x:v>DEMO-203-0-2</x:v>
      </x:c>
      <x:c r="B643" s="15" t="d">
        <x:v>2026-05-11T00:00:00.000Z</x:v>
      </x:c>
      <x:c r="C643" s="2" t="n">
        <x:v>2</x:v>
      </x:c>
      <x:c r="D643" s="2" t="str">
        <x:v>DEMO-203</x:v>
      </x:c>
      <x:c r="E643" s="2" t="str">
        <x:v>Tiny Joy Kit</x:v>
      </x:c>
      <x:c r="F643" s="2" t="str">
        <x:v>Gifting</x:v>
      </x:c>
      <x:c r="G643" s="2" t="str">
        <x:v>Stores</x:v>
      </x:c>
      <x:c r="H643" s="2" t="str">
        <x:v>North Arcade</x:v>
      </x:c>
      <x:c r="I643" s="2" t="n">
        <x:v>17</x:v>
      </x:c>
      <x:c r="J643" s="2" t="n">
        <x:v>0</x:v>
      </x:c>
      <x:c r="K643" s="2" t="n">
        <x:f>I643-J643</x:f>
        <x:v>17</x:v>
      </x:c>
      <x:c r="L643" s="16" t="n">
        <x:v>22</x:v>
      </x:c>
      <x:c r="M643" s="16" t="n">
        <x:v>22</x:v>
      </x:c>
      <x:c r="N643" s="16" t="n">
        <x:v>9.02</x:v>
      </x:c>
      <x:c r="O643" s="16" t="n">
        <x:f>K643*M643</x:f>
        <x:v>374</x:v>
      </x:c>
      <x:c r="P643" s="16" t="n">
        <x:f>K643*N643</x:f>
        <x:v>153.34</x:v>
      </x:c>
      <x:c r="Q643" s="16" t="n">
        <x:f>O643-P643</x:f>
        <x:v>220.66</x:v>
      </x:c>
      <x:c r="R643" s="2" t="n">
        <x:v>146</x:v>
      </x:c>
      <x:c r="S643" s="2" t="n">
        <x:v>0</x:v>
      </x:c>
      <x:c r="T643" s="2" t="n">
        <x:f>R643+S643+J643-I643</x:f>
        <x:v>129</x:v>
      </x:c>
      <x:c r="U643" s="2" t="n">
        <x:v>0</x:v>
      </x:c>
      <x:c r="V643" s="2" t="n">
        <x:v>4</x:v>
      </x:c>
      <x:c r="W643" s="2" t="n">
        <x:v>15</x:v>
      </x:c>
      <x:c r="X643" s="14" t="b">
        <x:v>0</x:v>
      </x:c>
      <x:c r="Y643" s="14" t="b">
        <x:v>0</x:v>
      </x:c>
      <x:c r="Z643" s="2" t="n">
        <x:f>ABS(T643-AA643)</x:f>
        <x:v>0</x:v>
      </x:c>
      <x:c r="AA643" s="2" t="n">
        <x:v>129</x:v>
      </x:c>
      <x:c r="AB643" s="2" t="n">
        <x:f>ABS(K643-W643)</x:f>
        <x:v>2</x:v>
      </x:c>
      <x:c r="AC643" s="2" t="n">
        <x:f>COUNTIF($A$2:$A$1921,A643)-1</x:f>
        <x:v>0</x:v>
      </x:c>
      <x:c r="AD643" s="2" t="n">
        <x:f>IF(AND(D643=D642,H643=H642,C643=C642+1),ABS(R643-T642),0)</x:f>
        <x:v>0</x:v>
      </x:c>
    </x:row>
    <x:row r="644" ht="23" customHeight="1">
      <x:c r="A644" s="2" t="str">
        <x:v>DEMO-203-0-3</x:v>
      </x:c>
      <x:c r="B644" s="15" t="d">
        <x:v>2026-05-18T00:00:00.000Z</x:v>
      </x:c>
      <x:c r="C644" s="2" t="n">
        <x:v>3</x:v>
      </x:c>
      <x:c r="D644" s="2" t="str">
        <x:v>DEMO-203</x:v>
      </x:c>
      <x:c r="E644" s="2" t="str">
        <x:v>Tiny Joy Kit</x:v>
      </x:c>
      <x:c r="F644" s="2" t="str">
        <x:v>Gifting</x:v>
      </x:c>
      <x:c r="G644" s="2" t="str">
        <x:v>Stores</x:v>
      </x:c>
      <x:c r="H644" s="2" t="str">
        <x:v>North Arcade</x:v>
      </x:c>
      <x:c r="I644" s="2" t="n">
        <x:v>17</x:v>
      </x:c>
      <x:c r="J644" s="2" t="n">
        <x:v>0</x:v>
      </x:c>
      <x:c r="K644" s="2" t="n">
        <x:f>I644-J644</x:f>
        <x:v>17</x:v>
      </x:c>
      <x:c r="L644" s="16" t="n">
        <x:v>22</x:v>
      </x:c>
      <x:c r="M644" s="16" t="n">
        <x:v>22</x:v>
      </x:c>
      <x:c r="N644" s="16" t="n">
        <x:v>9.02</x:v>
      </x:c>
      <x:c r="O644" s="16" t="n">
        <x:f>K644*M644</x:f>
        <x:v>374</x:v>
      </x:c>
      <x:c r="P644" s="16" t="n">
        <x:f>K644*N644</x:f>
        <x:v>153.34</x:v>
      </x:c>
      <x:c r="Q644" s="16" t="n">
        <x:f>O644-P644</x:f>
        <x:v>220.66</x:v>
      </x:c>
      <x:c r="R644" s="2" t="n">
        <x:v>129</x:v>
      </x:c>
      <x:c r="S644" s="2" t="n">
        <x:v>0</x:v>
      </x:c>
      <x:c r="T644" s="2" t="n">
        <x:f>R644+S644+J644-I644</x:f>
        <x:v>112</x:v>
      </x:c>
      <x:c r="U644" s="2" t="n">
        <x:v>0</x:v>
      </x:c>
      <x:c r="V644" s="2" t="n">
        <x:v>4</x:v>
      </x:c>
      <x:c r="W644" s="2" t="n">
        <x:v>16</x:v>
      </x:c>
      <x:c r="X644" s="14" t="b">
        <x:v>0</x:v>
      </x:c>
      <x:c r="Y644" s="14" t="b">
        <x:v>0</x:v>
      </x:c>
      <x:c r="Z644" s="2" t="n">
        <x:f>ABS(T644-AA644)</x:f>
        <x:v>0</x:v>
      </x:c>
      <x:c r="AA644" s="2" t="n">
        <x:v>112</x:v>
      </x:c>
      <x:c r="AB644" s="2" t="n">
        <x:f>ABS(K644-W644)</x:f>
        <x:v>1</x:v>
      </x:c>
      <x:c r="AC644" s="2" t="n">
        <x:f>COUNTIF($A$2:$A$1921,A644)-1</x:f>
        <x:v>0</x:v>
      </x:c>
      <x:c r="AD644" s="2" t="n">
        <x:f>IF(AND(D644=D643,H644=H643,C644=C643+1),ABS(R644-T643),0)</x:f>
        <x:v>0</x:v>
      </x:c>
    </x:row>
    <x:row r="645" ht="23" customHeight="1">
      <x:c r="A645" s="2" t="str">
        <x:v>DEMO-203-0-4</x:v>
      </x:c>
      <x:c r="B645" s="15" t="d">
        <x:v>2026-05-25T00:00:00.000Z</x:v>
      </x:c>
      <x:c r="C645" s="2" t="n">
        <x:v>4</x:v>
      </x:c>
      <x:c r="D645" s="2" t="str">
        <x:v>DEMO-203</x:v>
      </x:c>
      <x:c r="E645" s="2" t="str">
        <x:v>Tiny Joy Kit</x:v>
      </x:c>
      <x:c r="F645" s="2" t="str">
        <x:v>Gifting</x:v>
      </x:c>
      <x:c r="G645" s="2" t="str">
        <x:v>Stores</x:v>
      </x:c>
      <x:c r="H645" s="2" t="str">
        <x:v>North Arcade</x:v>
      </x:c>
      <x:c r="I645" s="2" t="n">
        <x:v>17</x:v>
      </x:c>
      <x:c r="J645" s="2" t="n">
        <x:v>0</x:v>
      </x:c>
      <x:c r="K645" s="2" t="n">
        <x:f>I645-J645</x:f>
        <x:v>17</x:v>
      </x:c>
      <x:c r="L645" s="16" t="n">
        <x:v>22</x:v>
      </x:c>
      <x:c r="M645" s="16" t="n">
        <x:v>22</x:v>
      </x:c>
      <x:c r="N645" s="16" t="n">
        <x:v>9.02</x:v>
      </x:c>
      <x:c r="O645" s="16" t="n">
        <x:f>K645*M645</x:f>
        <x:v>374</x:v>
      </x:c>
      <x:c r="P645" s="16" t="n">
        <x:f>K645*N645</x:f>
        <x:v>153.34</x:v>
      </x:c>
      <x:c r="Q645" s="16" t="n">
        <x:f>O645-P645</x:f>
        <x:v>220.66</x:v>
      </x:c>
      <x:c r="R645" s="2" t="n">
        <x:v>112</x:v>
      </x:c>
      <x:c r="S645" s="2" t="n">
        <x:v>0</x:v>
      </x:c>
      <x:c r="T645" s="2" t="n">
        <x:f>R645+S645+J645-I645</x:f>
        <x:v>95</x:v>
      </x:c>
      <x:c r="U645" s="2" t="n">
        <x:v>0</x:v>
      </x:c>
      <x:c r="V645" s="2" t="n">
        <x:v>4</x:v>
      </x:c>
      <x:c r="W645" s="2" t="n">
        <x:v>16</x:v>
      </x:c>
      <x:c r="X645" s="14" t="b">
        <x:v>0</x:v>
      </x:c>
      <x:c r="Y645" s="14" t="b">
        <x:v>0</x:v>
      </x:c>
      <x:c r="Z645" s="2" t="n">
        <x:f>ABS(T645-AA645)</x:f>
        <x:v>0</x:v>
      </x:c>
      <x:c r="AA645" s="2" t="n">
        <x:v>95</x:v>
      </x:c>
      <x:c r="AB645" s="2" t="n">
        <x:f>ABS(K645-W645)</x:f>
        <x:v>1</x:v>
      </x:c>
      <x:c r="AC645" s="2" t="n">
        <x:f>COUNTIF($A$2:$A$1921,A645)-1</x:f>
        <x:v>0</x:v>
      </x:c>
      <x:c r="AD645" s="2" t="n">
        <x:f>IF(AND(D645=D644,H645=H644,C645=C644+1),ABS(R645-T644),0)</x:f>
        <x:v>0</x:v>
      </x:c>
    </x:row>
    <x:row r="646" ht="23" customHeight="1">
      <x:c r="A646" s="2" t="str">
        <x:v>DEMO-203-0-5</x:v>
      </x:c>
      <x:c r="B646" s="15" t="d">
        <x:v>2026-06-01T00:00:00.000Z</x:v>
      </x:c>
      <x:c r="C646" s="2" t="n">
        <x:v>5</x:v>
      </x:c>
      <x:c r="D646" s="2" t="str">
        <x:v>DEMO-203</x:v>
      </x:c>
      <x:c r="E646" s="2" t="str">
        <x:v>Tiny Joy Kit</x:v>
      </x:c>
      <x:c r="F646" s="2" t="str">
        <x:v>Gifting</x:v>
      </x:c>
      <x:c r="G646" s="2" t="str">
        <x:v>Stores</x:v>
      </x:c>
      <x:c r="H646" s="2" t="str">
        <x:v>North Arcade</x:v>
      </x:c>
      <x:c r="I646" s="2" t="n">
        <x:v>15</x:v>
      </x:c>
      <x:c r="J646" s="2" t="n">
        <x:v>0</x:v>
      </x:c>
      <x:c r="K646" s="2" t="n">
        <x:f>I646-J646</x:f>
        <x:v>15</x:v>
      </x:c>
      <x:c r="L646" s="16" t="n">
        <x:v>22</x:v>
      </x:c>
      <x:c r="M646" s="16" t="n">
        <x:v>22</x:v>
      </x:c>
      <x:c r="N646" s="16" t="n">
        <x:v>9.02</x:v>
      </x:c>
      <x:c r="O646" s="16" t="n">
        <x:f>K646*M646</x:f>
        <x:v>330</x:v>
      </x:c>
      <x:c r="P646" s="16" t="n">
        <x:f>K646*N646</x:f>
        <x:v>135.29999999999998</x:v>
      </x:c>
      <x:c r="Q646" s="16" t="n">
        <x:f>O646-P646</x:f>
        <x:v>194.70000000000002</x:v>
      </x:c>
      <x:c r="R646" s="2" t="n">
        <x:v>95</x:v>
      </x:c>
      <x:c r="S646" s="2" t="n">
        <x:v>71</x:v>
      </x:c>
      <x:c r="T646" s="2" t="n">
        <x:f>R646+S646+J646-I646</x:f>
        <x:v>151</x:v>
      </x:c>
      <x:c r="U646" s="2" t="n">
        <x:v>0</x:v>
      </x:c>
      <x:c r="V646" s="2" t="n">
        <x:v>4</x:v>
      </x:c>
      <x:c r="W646" s="2" t="n">
        <x:v>17</x:v>
      </x:c>
      <x:c r="X646" s="14" t="b">
        <x:v>0</x:v>
      </x:c>
      <x:c r="Y646" s="14" t="b">
        <x:v>0</x:v>
      </x:c>
      <x:c r="Z646" s="2" t="n">
        <x:f>ABS(T646-AA646)</x:f>
        <x:v>0</x:v>
      </x:c>
      <x:c r="AA646" s="2" t="n">
        <x:v>151</x:v>
      </x:c>
      <x:c r="AB646" s="2" t="n">
        <x:f>ABS(K646-W646)</x:f>
        <x:v>2</x:v>
      </x:c>
      <x:c r="AC646" s="2" t="n">
        <x:f>COUNTIF($A$2:$A$1921,A646)-1</x:f>
        <x:v>0</x:v>
      </x:c>
      <x:c r="AD646" s="2" t="n">
        <x:f>IF(AND(D646=D645,H646=H645,C646=C645+1),ABS(R646-T645),0)</x:f>
        <x:v>0</x:v>
      </x:c>
    </x:row>
    <x:row r="647" ht="23" customHeight="1">
      <x:c r="A647" s="2" t="str">
        <x:v>DEMO-203-0-6</x:v>
      </x:c>
      <x:c r="B647" s="15" t="d">
        <x:v>2026-06-08T00:00:00.000Z</x:v>
      </x:c>
      <x:c r="C647" s="2" t="n">
        <x:v>6</x:v>
      </x:c>
      <x:c r="D647" s="2" t="str">
        <x:v>DEMO-203</x:v>
      </x:c>
      <x:c r="E647" s="2" t="str">
        <x:v>Tiny Joy Kit</x:v>
      </x:c>
      <x:c r="F647" s="2" t="str">
        <x:v>Gifting</x:v>
      </x:c>
      <x:c r="G647" s="2" t="str">
        <x:v>Stores</x:v>
      </x:c>
      <x:c r="H647" s="2" t="str">
        <x:v>North Arcade</x:v>
      </x:c>
      <x:c r="I647" s="2" t="n">
        <x:v>15</x:v>
      </x:c>
      <x:c r="J647" s="2" t="n">
        <x:v>0</x:v>
      </x:c>
      <x:c r="K647" s="2" t="n">
        <x:f>I647-J647</x:f>
        <x:v>15</x:v>
      </x:c>
      <x:c r="L647" s="16" t="n">
        <x:v>22</x:v>
      </x:c>
      <x:c r="M647" s="16" t="n">
        <x:v>22</x:v>
      </x:c>
      <x:c r="N647" s="16" t="n">
        <x:v>9.02</x:v>
      </x:c>
      <x:c r="O647" s="16" t="n">
        <x:f>K647*M647</x:f>
        <x:v>330</x:v>
      </x:c>
      <x:c r="P647" s="16" t="n">
        <x:f>K647*N647</x:f>
        <x:v>135.29999999999998</x:v>
      </x:c>
      <x:c r="Q647" s="16" t="n">
        <x:f>O647-P647</x:f>
        <x:v>194.70000000000002</x:v>
      </x:c>
      <x:c r="R647" s="2" t="n">
        <x:v>151</x:v>
      </x:c>
      <x:c r="S647" s="2" t="n">
        <x:v>0</x:v>
      </x:c>
      <x:c r="T647" s="2" t="n">
        <x:f>R647+S647+J647-I647</x:f>
        <x:v>136</x:v>
      </x:c>
      <x:c r="U647" s="2" t="n">
        <x:v>0</x:v>
      </x:c>
      <x:c r="V647" s="2" t="n">
        <x:v>4</x:v>
      </x:c>
      <x:c r="W647" s="2" t="n">
        <x:v>17</x:v>
      </x:c>
      <x:c r="X647" s="14" t="b">
        <x:v>0</x:v>
      </x:c>
      <x:c r="Y647" s="14" t="b">
        <x:v>0</x:v>
      </x:c>
      <x:c r="Z647" s="2" t="n">
        <x:f>ABS(T647-AA647)</x:f>
        <x:v>0</x:v>
      </x:c>
      <x:c r="AA647" s="2" t="n">
        <x:v>136</x:v>
      </x:c>
      <x:c r="AB647" s="2" t="n">
        <x:f>ABS(K647-W647)</x:f>
        <x:v>2</x:v>
      </x:c>
      <x:c r="AC647" s="2" t="n">
        <x:f>COUNTIF($A$2:$A$1921,A647)-1</x:f>
        <x:v>0</x:v>
      </x:c>
      <x:c r="AD647" s="2" t="n">
        <x:f>IF(AND(D647=D646,H647=H646,C647=C646+1),ABS(R647-T646),0)</x:f>
        <x:v>0</x:v>
      </x:c>
    </x:row>
    <x:row r="648" ht="23" customHeight="1">
      <x:c r="A648" s="2" t="str">
        <x:v>DEMO-203-0-7</x:v>
      </x:c>
      <x:c r="B648" s="15" t="d">
        <x:v>2026-06-15T00:00:00.000Z</x:v>
      </x:c>
      <x:c r="C648" s="2" t="n">
        <x:v>7</x:v>
      </x:c>
      <x:c r="D648" s="2" t="str">
        <x:v>DEMO-203</x:v>
      </x:c>
      <x:c r="E648" s="2" t="str">
        <x:v>Tiny Joy Kit</x:v>
      </x:c>
      <x:c r="F648" s="2" t="str">
        <x:v>Gifting</x:v>
      </x:c>
      <x:c r="G648" s="2" t="str">
        <x:v>Stores</x:v>
      </x:c>
      <x:c r="H648" s="2" t="str">
        <x:v>North Arcade</x:v>
      </x:c>
      <x:c r="I648" s="2" t="n">
        <x:v>17</x:v>
      </x:c>
      <x:c r="J648" s="2" t="n">
        <x:v>1</x:v>
      </x:c>
      <x:c r="K648" s="2" t="n">
        <x:f>I648-J648</x:f>
        <x:v>16</x:v>
      </x:c>
      <x:c r="L648" s="16" t="n">
        <x:v>22</x:v>
      </x:c>
      <x:c r="M648" s="16" t="n">
        <x:v>22</x:v>
      </x:c>
      <x:c r="N648" s="16" t="n">
        <x:v>9.02</x:v>
      </x:c>
      <x:c r="O648" s="16" t="n">
        <x:f>K648*M648</x:f>
        <x:v>352</x:v>
      </x:c>
      <x:c r="P648" s="16" t="n">
        <x:f>K648*N648</x:f>
        <x:v>144.32</x:v>
      </x:c>
      <x:c r="Q648" s="16" t="n">
        <x:f>O648-P648</x:f>
        <x:v>207.68</x:v>
      </x:c>
      <x:c r="R648" s="2" t="n">
        <x:v>136</x:v>
      </x:c>
      <x:c r="S648" s="2" t="n">
        <x:v>0</x:v>
      </x:c>
      <x:c r="T648" s="2" t="n">
        <x:f>R648+S648+J648-I648</x:f>
        <x:v>120</x:v>
      </x:c>
      <x:c r="U648" s="2" t="n">
        <x:v>0</x:v>
      </x:c>
      <x:c r="V648" s="2" t="n">
        <x:v>4</x:v>
      </x:c>
      <x:c r="W648" s="2" t="n">
        <x:v>16</x:v>
      </x:c>
      <x:c r="X648" s="14" t="b">
        <x:v>0</x:v>
      </x:c>
      <x:c r="Y648" s="14" t="b">
        <x:v>0</x:v>
      </x:c>
      <x:c r="Z648" s="2" t="n">
        <x:f>ABS(T648-AA648)</x:f>
        <x:v>0</x:v>
      </x:c>
      <x:c r="AA648" s="2" t="n">
        <x:v>120</x:v>
      </x:c>
      <x:c r="AB648" s="2" t="n">
        <x:f>ABS(K648-W648)</x:f>
        <x:v>0</x:v>
      </x:c>
      <x:c r="AC648" s="2" t="n">
        <x:f>COUNTIF($A$2:$A$1921,A648)-1</x:f>
        <x:v>0</x:v>
      </x:c>
      <x:c r="AD648" s="2" t="n">
        <x:f>IF(AND(D648=D647,H648=H647,C648=C647+1),ABS(R648-T647),0)</x:f>
        <x:v>0</x:v>
      </x:c>
    </x:row>
    <x:row r="649" ht="23" customHeight="1">
      <x:c r="A649" s="2" t="str">
        <x:v>DEMO-203-0-8</x:v>
      </x:c>
      <x:c r="B649" s="15" t="d">
        <x:v>2026-06-22T00:00:00.000Z</x:v>
      </x:c>
      <x:c r="C649" s="2" t="n">
        <x:v>8</x:v>
      </x:c>
      <x:c r="D649" s="2" t="str">
        <x:v>DEMO-203</x:v>
      </x:c>
      <x:c r="E649" s="2" t="str">
        <x:v>Tiny Joy Kit</x:v>
      </x:c>
      <x:c r="F649" s="2" t="str">
        <x:v>Gifting</x:v>
      </x:c>
      <x:c r="G649" s="2" t="str">
        <x:v>Stores</x:v>
      </x:c>
      <x:c r="H649" s="2" t="str">
        <x:v>North Arcade</x:v>
      </x:c>
      <x:c r="I649" s="2" t="n">
        <x:v>18</x:v>
      </x:c>
      <x:c r="J649" s="2" t="n">
        <x:v>0</x:v>
      </x:c>
      <x:c r="K649" s="2" t="n">
        <x:f>I649-J649</x:f>
        <x:v>18</x:v>
      </x:c>
      <x:c r="L649" s="16" t="n">
        <x:v>22</x:v>
      </x:c>
      <x:c r="M649" s="16" t="n">
        <x:v>22</x:v>
      </x:c>
      <x:c r="N649" s="16" t="n">
        <x:v>9.02</x:v>
      </x:c>
      <x:c r="O649" s="16" t="n">
        <x:f>K649*M649</x:f>
        <x:v>396</x:v>
      </x:c>
      <x:c r="P649" s="16" t="n">
        <x:f>K649*N649</x:f>
        <x:v>162.35999999999999</x:v>
      </x:c>
      <x:c r="Q649" s="16" t="n">
        <x:f>O649-P649</x:f>
        <x:v>233.64000000000001</x:v>
      </x:c>
      <x:c r="R649" s="2" t="n">
        <x:v>120</x:v>
      </x:c>
      <x:c r="S649" s="2" t="n">
        <x:v>0</x:v>
      </x:c>
      <x:c r="T649" s="2" t="n">
        <x:f>R649+S649+J649-I649</x:f>
        <x:v>102</x:v>
      </x:c>
      <x:c r="U649" s="2" t="n">
        <x:v>0</x:v>
      </x:c>
      <x:c r="V649" s="2" t="n">
        <x:v>4</x:v>
      </x:c>
      <x:c r="W649" s="2" t="n">
        <x:v>16</x:v>
      </x:c>
      <x:c r="X649" s="14" t="b">
        <x:v>0</x:v>
      </x:c>
      <x:c r="Y649" s="14" t="b">
        <x:v>0</x:v>
      </x:c>
      <x:c r="Z649" s="2" t="n">
        <x:f>ABS(T649-AA649)</x:f>
        <x:v>0</x:v>
      </x:c>
      <x:c r="AA649" s="2" t="n">
        <x:v>102</x:v>
      </x:c>
      <x:c r="AB649" s="2" t="n">
        <x:f>ABS(K649-W649)</x:f>
        <x:v>2</x:v>
      </x:c>
      <x:c r="AC649" s="2" t="n">
        <x:f>COUNTIF($A$2:$A$1921,A649)-1</x:f>
        <x:v>0</x:v>
      </x:c>
      <x:c r="AD649" s="2" t="n">
        <x:f>IF(AND(D649=D648,H649=H648,C649=C648+1),ABS(R649-T648),0)</x:f>
        <x:v>0</x:v>
      </x:c>
    </x:row>
    <x:row r="650" ht="23" customHeight="1">
      <x:c r="A650" s="2" t="str">
        <x:v>DEMO-203-0-9</x:v>
      </x:c>
      <x:c r="B650" s="15" t="d">
        <x:v>2026-06-29T00:00:00.000Z</x:v>
      </x:c>
      <x:c r="C650" s="2" t="n">
        <x:v>9</x:v>
      </x:c>
      <x:c r="D650" s="2" t="str">
        <x:v>DEMO-203</x:v>
      </x:c>
      <x:c r="E650" s="2" t="str">
        <x:v>Tiny Joy Kit</x:v>
      </x:c>
      <x:c r="F650" s="2" t="str">
        <x:v>Gifting</x:v>
      </x:c>
      <x:c r="G650" s="2" t="str">
        <x:v>Stores</x:v>
      </x:c>
      <x:c r="H650" s="2" t="str">
        <x:v>North Arcade</x:v>
      </x:c>
      <x:c r="I650" s="2" t="n">
        <x:v>17</x:v>
      </x:c>
      <x:c r="J650" s="2" t="n">
        <x:v>1</x:v>
      </x:c>
      <x:c r="K650" s="2" t="n">
        <x:f>I650-J650</x:f>
        <x:v>16</x:v>
      </x:c>
      <x:c r="L650" s="16" t="n">
        <x:v>22</x:v>
      </x:c>
      <x:c r="M650" s="16" t="n">
        <x:v>22</x:v>
      </x:c>
      <x:c r="N650" s="16" t="n">
        <x:v>9.02</x:v>
      </x:c>
      <x:c r="O650" s="16" t="n">
        <x:f>K650*M650</x:f>
        <x:v>352</x:v>
      </x:c>
      <x:c r="P650" s="16" t="n">
        <x:f>K650*N650</x:f>
        <x:v>144.32</x:v>
      </x:c>
      <x:c r="Q650" s="16" t="n">
        <x:f>O650-P650</x:f>
        <x:v>207.68</x:v>
      </x:c>
      <x:c r="R650" s="2" t="n">
        <x:v>102</x:v>
      </x:c>
      <x:c r="S650" s="2" t="n">
        <x:v>71</x:v>
      </x:c>
      <x:c r="T650" s="2" t="n">
        <x:f>R650+S650+J650-I650</x:f>
        <x:v>157</x:v>
      </x:c>
      <x:c r="U650" s="2" t="n">
        <x:v>0</x:v>
      </x:c>
      <x:c r="V650" s="2" t="n">
        <x:v>4</x:v>
      </x:c>
      <x:c r="W650" s="2" t="n">
        <x:v>16</x:v>
      </x:c>
      <x:c r="X650" s="14" t="b">
        <x:v>0</x:v>
      </x:c>
      <x:c r="Y650" s="14" t="b">
        <x:v>0</x:v>
      </x:c>
      <x:c r="Z650" s="2" t="n">
        <x:f>ABS(T650-AA650)</x:f>
        <x:v>0</x:v>
      </x:c>
      <x:c r="AA650" s="2" t="n">
        <x:v>157</x:v>
      </x:c>
      <x:c r="AB650" s="2" t="n">
        <x:f>ABS(K650-W650)</x:f>
        <x:v>0</x:v>
      </x:c>
      <x:c r="AC650" s="2" t="n">
        <x:f>COUNTIF($A$2:$A$1921,A650)-1</x:f>
        <x:v>0</x:v>
      </x:c>
      <x:c r="AD650" s="2" t="n">
        <x:f>IF(AND(D650=D649,H650=H649,C650=C649+1),ABS(R650-T649),0)</x:f>
        <x:v>0</x:v>
      </x:c>
    </x:row>
    <x:row r="651" ht="23" customHeight="1">
      <x:c r="A651" s="2" t="str">
        <x:v>DEMO-203-0-10</x:v>
      </x:c>
      <x:c r="B651" s="15" t="d">
        <x:v>2026-07-06T00:00:00.000Z</x:v>
      </x:c>
      <x:c r="C651" s="2" t="n">
        <x:v>10</x:v>
      </x:c>
      <x:c r="D651" s="2" t="str">
        <x:v>DEMO-203</x:v>
      </x:c>
      <x:c r="E651" s="2" t="str">
        <x:v>Tiny Joy Kit</x:v>
      </x:c>
      <x:c r="F651" s="2" t="str">
        <x:v>Gifting</x:v>
      </x:c>
      <x:c r="G651" s="2" t="str">
        <x:v>Stores</x:v>
      </x:c>
      <x:c r="H651" s="2" t="str">
        <x:v>North Arcade</x:v>
      </x:c>
      <x:c r="I651" s="2" t="n">
        <x:v>17</x:v>
      </x:c>
      <x:c r="J651" s="2" t="n">
        <x:v>0</x:v>
      </x:c>
      <x:c r="K651" s="2" t="n">
        <x:f>I651-J651</x:f>
        <x:v>17</x:v>
      </x:c>
      <x:c r="L651" s="16" t="n">
        <x:v>22</x:v>
      </x:c>
      <x:c r="M651" s="16" t="n">
        <x:v>22</x:v>
      </x:c>
      <x:c r="N651" s="16" t="n">
        <x:v>9.02</x:v>
      </x:c>
      <x:c r="O651" s="16" t="n">
        <x:f>K651*M651</x:f>
        <x:v>374</x:v>
      </x:c>
      <x:c r="P651" s="16" t="n">
        <x:f>K651*N651</x:f>
        <x:v>153.34</x:v>
      </x:c>
      <x:c r="Q651" s="16" t="n">
        <x:f>O651-P651</x:f>
        <x:v>220.66</x:v>
      </x:c>
      <x:c r="R651" s="2" t="n">
        <x:v>157</x:v>
      </x:c>
      <x:c r="S651" s="2" t="n">
        <x:v>0</x:v>
      </x:c>
      <x:c r="T651" s="2" t="n">
        <x:f>R651+S651+J651-I651</x:f>
        <x:v>140</x:v>
      </x:c>
      <x:c r="U651" s="2" t="n">
        <x:v>0</x:v>
      </x:c>
      <x:c r="V651" s="2" t="n">
        <x:v>4</x:v>
      </x:c>
      <x:c r="W651" s="2" t="n">
        <x:v>16</x:v>
      </x:c>
      <x:c r="X651" s="14" t="b">
        <x:v>0</x:v>
      </x:c>
      <x:c r="Y651" s="14" t="b">
        <x:v>0</x:v>
      </x:c>
      <x:c r="Z651" s="2" t="n">
        <x:f>ABS(T651-AA651)</x:f>
        <x:v>0</x:v>
      </x:c>
      <x:c r="AA651" s="2" t="n">
        <x:v>140</x:v>
      </x:c>
      <x:c r="AB651" s="2" t="n">
        <x:f>ABS(K651-W651)</x:f>
        <x:v>1</x:v>
      </x:c>
      <x:c r="AC651" s="2" t="n">
        <x:f>COUNTIF($A$2:$A$1921,A651)-1</x:f>
        <x:v>0</x:v>
      </x:c>
      <x:c r="AD651" s="2" t="n">
        <x:f>IF(AND(D651=D650,H651=H650,C651=C650+1),ABS(R651-T650),0)</x:f>
        <x:v>0</x:v>
      </x:c>
    </x:row>
    <x:row r="652" ht="23" customHeight="1">
      <x:c r="A652" s="2" t="str">
        <x:v>DEMO-203-0-11</x:v>
      </x:c>
      <x:c r="B652" s="15" t="d">
        <x:v>2026-07-13T00:00:00.000Z</x:v>
      </x:c>
      <x:c r="C652" s="2" t="n">
        <x:v>11</x:v>
      </x:c>
      <x:c r="D652" s="2" t="str">
        <x:v>DEMO-203</x:v>
      </x:c>
      <x:c r="E652" s="2" t="str">
        <x:v>Tiny Joy Kit</x:v>
      </x:c>
      <x:c r="F652" s="2" t="str">
        <x:v>Gifting</x:v>
      </x:c>
      <x:c r="G652" s="2" t="str">
        <x:v>Stores</x:v>
      </x:c>
      <x:c r="H652" s="2" t="str">
        <x:v>North Arcade</x:v>
      </x:c>
      <x:c r="I652" s="2" t="n">
        <x:v>15</x:v>
      </x:c>
      <x:c r="J652" s="2" t="n">
        <x:v>0</x:v>
      </x:c>
      <x:c r="K652" s="2" t="n">
        <x:f>I652-J652</x:f>
        <x:v>15</x:v>
      </x:c>
      <x:c r="L652" s="16" t="n">
        <x:v>22</x:v>
      </x:c>
      <x:c r="M652" s="16" t="n">
        <x:v>22</x:v>
      </x:c>
      <x:c r="N652" s="16" t="n">
        <x:v>9.02</x:v>
      </x:c>
      <x:c r="O652" s="16" t="n">
        <x:f>K652*M652</x:f>
        <x:v>330</x:v>
      </x:c>
      <x:c r="P652" s="16" t="n">
        <x:f>K652*N652</x:f>
        <x:v>135.29999999999998</x:v>
      </x:c>
      <x:c r="Q652" s="16" t="n">
        <x:f>O652-P652</x:f>
        <x:v>194.70000000000002</x:v>
      </x:c>
      <x:c r="R652" s="2" t="n">
        <x:v>140</x:v>
      </x:c>
      <x:c r="S652" s="2" t="n">
        <x:v>0</x:v>
      </x:c>
      <x:c r="T652" s="2" t="n">
        <x:f>R652+S652+J652-I652</x:f>
        <x:v>125</x:v>
      </x:c>
      <x:c r="U652" s="2" t="n">
        <x:v>0</x:v>
      </x:c>
      <x:c r="V652" s="2" t="n">
        <x:v>4</x:v>
      </x:c>
      <x:c r="W652" s="2" t="n">
        <x:v>17</x:v>
      </x:c>
      <x:c r="X652" s="14" t="b">
        <x:v>0</x:v>
      </x:c>
      <x:c r="Y652" s="14" t="b">
        <x:v>0</x:v>
      </x:c>
      <x:c r="Z652" s="2" t="n">
        <x:f>ABS(T652-AA652)</x:f>
        <x:v>0</x:v>
      </x:c>
      <x:c r="AA652" s="2" t="n">
        <x:v>125</x:v>
      </x:c>
      <x:c r="AB652" s="2" t="n">
        <x:f>ABS(K652-W652)</x:f>
        <x:v>2</x:v>
      </x:c>
      <x:c r="AC652" s="2" t="n">
        <x:f>COUNTIF($A$2:$A$1921,A652)-1</x:f>
        <x:v>0</x:v>
      </x:c>
      <x:c r="AD652" s="2" t="n">
        <x:f>IF(AND(D652=D651,H652=H651,C652=C651+1),ABS(R652-T651),0)</x:f>
        <x:v>0</x:v>
      </x:c>
    </x:row>
    <x:row r="653" ht="23" customHeight="1">
      <x:c r="A653" s="2" t="str">
        <x:v>DEMO-203-0-12</x:v>
      </x:c>
      <x:c r="B653" s="15" t="d">
        <x:v>2026-07-20T00:00:00.000Z</x:v>
      </x:c>
      <x:c r="C653" s="2" t="n">
        <x:v>12</x:v>
      </x:c>
      <x:c r="D653" s="2" t="str">
        <x:v>DEMO-203</x:v>
      </x:c>
      <x:c r="E653" s="2" t="str">
        <x:v>Tiny Joy Kit</x:v>
      </x:c>
      <x:c r="F653" s="2" t="str">
        <x:v>Gifting</x:v>
      </x:c>
      <x:c r="G653" s="2" t="str">
        <x:v>Stores</x:v>
      </x:c>
      <x:c r="H653" s="2" t="str">
        <x:v>North Arcade</x:v>
      </x:c>
      <x:c r="I653" s="2" t="n">
        <x:v>37</x:v>
      </x:c>
      <x:c r="J653" s="2" t="n">
        <x:v>0</x:v>
      </x:c>
      <x:c r="K653" s="2" t="n">
        <x:f>I653-J653</x:f>
        <x:v>37</x:v>
      </x:c>
      <x:c r="L653" s="16" t="n">
        <x:v>22</x:v>
      </x:c>
      <x:c r="M653" s="16" t="n">
        <x:v>19.8</x:v>
      </x:c>
      <x:c r="N653" s="16" t="n">
        <x:v>9.02</x:v>
      </x:c>
      <x:c r="O653" s="16" t="n">
        <x:f>K653*M653</x:f>
        <x:v>732.6</x:v>
      </x:c>
      <x:c r="P653" s="16" t="n">
        <x:f>K653*N653</x:f>
        <x:v>333.74</x:v>
      </x:c>
      <x:c r="Q653" s="16" t="n">
        <x:f>O653-P653</x:f>
        <x:v>398.86</x:v>
      </x:c>
      <x:c r="R653" s="2" t="n">
        <x:v>125</x:v>
      </x:c>
      <x:c r="S653" s="2" t="n">
        <x:v>0</x:v>
      </x:c>
      <x:c r="T653" s="2" t="n">
        <x:f>R653+S653+J653-I653</x:f>
        <x:v>88</x:v>
      </x:c>
      <x:c r="U653" s="2" t="n">
        <x:v>0</x:v>
      </x:c>
      <x:c r="V653" s="2" t="n">
        <x:v>4</x:v>
      </x:c>
      <x:c r="W653" s="2" t="n">
        <x:v>17</x:v>
      </x:c>
      <x:c r="X653" s="14" t="b">
        <x:v>1</x:v>
      </x:c>
      <x:c r="Y653" s="14" t="b">
        <x:v>0</x:v>
      </x:c>
      <x:c r="Z653" s="2" t="n">
        <x:f>ABS(T653-AA653)</x:f>
        <x:v>0</x:v>
      </x:c>
      <x:c r="AA653" s="2" t="n">
        <x:v>88</x:v>
      </x:c>
      <x:c r="AB653" s="2" t="n">
        <x:f>ABS(K653-W653)</x:f>
        <x:v>20</x:v>
      </x:c>
      <x:c r="AC653" s="2" t="n">
        <x:f>COUNTIF($A$2:$A$1921,A653)-1</x:f>
        <x:v>0</x:v>
      </x:c>
      <x:c r="AD653" s="2" t="n">
        <x:f>IF(AND(D653=D652,H653=H652,C653=C652+1),ABS(R653-T652),0)</x:f>
        <x:v>0</x:v>
      </x:c>
    </x:row>
    <x:row r="654" ht="23" customHeight="1">
      <x:c r="A654" s="2" t="str">
        <x:v>DEMO-203-0-13</x:v>
      </x:c>
      <x:c r="B654" s="15" t="d">
        <x:v>2026-07-27T00:00:00.000Z</x:v>
      </x:c>
      <x:c r="C654" s="2" t="n">
        <x:v>13</x:v>
      </x:c>
      <x:c r="D654" s="2" t="str">
        <x:v>DEMO-203</x:v>
      </x:c>
      <x:c r="E654" s="2" t="str">
        <x:v>Tiny Joy Kit</x:v>
      </x:c>
      <x:c r="F654" s="2" t="str">
        <x:v>Gifting</x:v>
      </x:c>
      <x:c r="G654" s="2" t="str">
        <x:v>Stores</x:v>
      </x:c>
      <x:c r="H654" s="2" t="str">
        <x:v>North Arcade</x:v>
      </x:c>
      <x:c r="I654" s="2" t="n">
        <x:v>40</x:v>
      </x:c>
      <x:c r="J654" s="2" t="n">
        <x:v>0</x:v>
      </x:c>
      <x:c r="K654" s="2" t="n">
        <x:f>I654-J654</x:f>
        <x:v>40</x:v>
      </x:c>
      <x:c r="L654" s="16" t="n">
        <x:v>22</x:v>
      </x:c>
      <x:c r="M654" s="16" t="n">
        <x:v>19.8</x:v>
      </x:c>
      <x:c r="N654" s="16" t="n">
        <x:v>9.02</x:v>
      </x:c>
      <x:c r="O654" s="16" t="n">
        <x:f>K654*M654</x:f>
        <x:v>792</x:v>
      </x:c>
      <x:c r="P654" s="16" t="n">
        <x:f>K654*N654</x:f>
        <x:v>360.79999999999995</x:v>
      </x:c>
      <x:c r="Q654" s="16" t="n">
        <x:f>O654-P654</x:f>
        <x:v>431.20000000000005</x:v>
      </x:c>
      <x:c r="R654" s="2" t="n">
        <x:v>88</x:v>
      </x:c>
      <x:c r="S654" s="2" t="n">
        <x:v>71</x:v>
      </x:c>
      <x:c r="T654" s="2" t="n">
        <x:f>R654+S654+J654-I654</x:f>
        <x:v>119</x:v>
      </x:c>
      <x:c r="U654" s="2" t="n">
        <x:v>0</x:v>
      </x:c>
      <x:c r="V654" s="2" t="n">
        <x:v>4</x:v>
      </x:c>
      <x:c r="W654" s="2" t="n">
        <x:v>21</x:v>
      </x:c>
      <x:c r="X654" s="14" t="b">
        <x:v>1</x:v>
      </x:c>
      <x:c r="Y654" s="14" t="b">
        <x:v>0</x:v>
      </x:c>
      <x:c r="Z654" s="2" t="n">
        <x:f>ABS(T654-AA654)</x:f>
        <x:v>0</x:v>
      </x:c>
      <x:c r="AA654" s="2" t="n">
        <x:v>119</x:v>
      </x:c>
      <x:c r="AB654" s="2" t="n">
        <x:f>ABS(K654-W654)</x:f>
        <x:v>19</x:v>
      </x:c>
      <x:c r="AC654" s="2" t="n">
        <x:f>COUNTIF($A$2:$A$1921,A654)-1</x:f>
        <x:v>0</x:v>
      </x:c>
      <x:c r="AD654" s="2" t="n">
        <x:f>IF(AND(D654=D653,H654=H653,C654=C653+1),ABS(R654-T653),0)</x:f>
        <x:v>0</x:v>
      </x:c>
    </x:row>
    <x:row r="655" ht="23" customHeight="1">
      <x:c r="A655" s="2" t="str">
        <x:v>DEMO-203-0-14</x:v>
      </x:c>
      <x:c r="B655" s="15" t="d">
        <x:v>2026-08-03T00:00:00.000Z</x:v>
      </x:c>
      <x:c r="C655" s="2" t="n">
        <x:v>14</x:v>
      </x:c>
      <x:c r="D655" s="2" t="str">
        <x:v>DEMO-203</x:v>
      </x:c>
      <x:c r="E655" s="2" t="str">
        <x:v>Tiny Joy Kit</x:v>
      </x:c>
      <x:c r="F655" s="2" t="str">
        <x:v>Gifting</x:v>
      </x:c>
      <x:c r="G655" s="2" t="str">
        <x:v>Stores</x:v>
      </x:c>
      <x:c r="H655" s="2" t="str">
        <x:v>North Arcade</x:v>
      </x:c>
      <x:c r="I655" s="2" t="n">
        <x:v>38</x:v>
      </x:c>
      <x:c r="J655" s="2" t="n">
        <x:v>0</x:v>
      </x:c>
      <x:c r="K655" s="2" t="n">
        <x:f>I655-J655</x:f>
        <x:v>38</x:v>
      </x:c>
      <x:c r="L655" s="16" t="n">
        <x:v>22</x:v>
      </x:c>
      <x:c r="M655" s="16" t="n">
        <x:v>19.8</x:v>
      </x:c>
      <x:c r="N655" s="16" t="n">
        <x:v>9.02</x:v>
      </x:c>
      <x:c r="O655" s="16" t="n">
        <x:f>K655*M655</x:f>
        <x:v>752.4</x:v>
      </x:c>
      <x:c r="P655" s="16" t="n">
        <x:f>K655*N655</x:f>
        <x:v>342.76</x:v>
      </x:c>
      <x:c r="Q655" s="16" t="n">
        <x:f>O655-P655</x:f>
        <x:v>409.64</x:v>
      </x:c>
      <x:c r="R655" s="2" t="n">
        <x:v>119</x:v>
      </x:c>
      <x:c r="S655" s="2" t="n">
        <x:v>0</x:v>
      </x:c>
      <x:c r="T655" s="2" t="n">
        <x:f>R655+S655+J655-I655</x:f>
        <x:v>81</x:v>
      </x:c>
      <x:c r="U655" s="2" t="n">
        <x:v>0</x:v>
      </x:c>
      <x:c r="V655" s="2" t="n">
        <x:v>4</x:v>
      </x:c>
      <x:c r="W655" s="2" t="n">
        <x:v>27</x:v>
      </x:c>
      <x:c r="X655" s="14" t="b">
        <x:v>1</x:v>
      </x:c>
      <x:c r="Y655" s="14" t="b">
        <x:v>0</x:v>
      </x:c>
      <x:c r="Z655" s="2" t="n">
        <x:f>ABS(T655-AA655)</x:f>
        <x:v>0</x:v>
      </x:c>
      <x:c r="AA655" s="2" t="n">
        <x:v>81</x:v>
      </x:c>
      <x:c r="AB655" s="2" t="n">
        <x:f>ABS(K655-W655)</x:f>
        <x:v>11</x:v>
      </x:c>
      <x:c r="AC655" s="2" t="n">
        <x:f>COUNTIF($A$2:$A$1921,A655)-1</x:f>
        <x:v>0</x:v>
      </x:c>
      <x:c r="AD655" s="2" t="n">
        <x:f>IF(AND(D655=D654,H655=H654,C655=C654+1),ABS(R655-T654),0)</x:f>
        <x:v>0</x:v>
      </x:c>
    </x:row>
    <x:row r="656" ht="23" customHeight="1">
      <x:c r="A656" s="2" t="str">
        <x:v>DEMO-203-0-15</x:v>
      </x:c>
      <x:c r="B656" s="15" t="d">
        <x:v>2026-08-10T00:00:00.000Z</x:v>
      </x:c>
      <x:c r="C656" s="2" t="n">
        <x:v>15</x:v>
      </x:c>
      <x:c r="D656" s="2" t="str">
        <x:v>DEMO-203</x:v>
      </x:c>
      <x:c r="E656" s="2" t="str">
        <x:v>Tiny Joy Kit</x:v>
      </x:c>
      <x:c r="F656" s="2" t="str">
        <x:v>Gifting</x:v>
      </x:c>
      <x:c r="G656" s="2" t="str">
        <x:v>Stores</x:v>
      </x:c>
      <x:c r="H656" s="2" t="str">
        <x:v>North Arcade</x:v>
      </x:c>
      <x:c r="I656" s="2" t="n">
        <x:v>16</x:v>
      </x:c>
      <x:c r="J656" s="2" t="n">
        <x:v>1</x:v>
      </x:c>
      <x:c r="K656" s="2" t="n">
        <x:f>I656-J656</x:f>
        <x:v>15</x:v>
      </x:c>
      <x:c r="L656" s="16" t="n">
        <x:v>22</x:v>
      </x:c>
      <x:c r="M656" s="16" t="n">
        <x:v>22</x:v>
      </x:c>
      <x:c r="N656" s="16" t="n">
        <x:v>9.02</x:v>
      </x:c>
      <x:c r="O656" s="16" t="n">
        <x:f>K656*M656</x:f>
        <x:v>330</x:v>
      </x:c>
      <x:c r="P656" s="16" t="n">
        <x:f>K656*N656</x:f>
        <x:v>135.29999999999998</x:v>
      </x:c>
      <x:c r="Q656" s="16" t="n">
        <x:f>O656-P656</x:f>
        <x:v>194.70000000000002</x:v>
      </x:c>
      <x:c r="R656" s="2" t="n">
        <x:v>81</x:v>
      </x:c>
      <x:c r="S656" s="2" t="n">
        <x:v>0</x:v>
      </x:c>
      <x:c r="T656" s="2" t="n">
        <x:f>R656+S656+J656-I656</x:f>
        <x:v>66</x:v>
      </x:c>
      <x:c r="U656" s="2" t="n">
        <x:v>0</x:v>
      </x:c>
      <x:c r="V656" s="2" t="n">
        <x:v>4</x:v>
      </x:c>
      <x:c r="W656" s="2" t="n">
        <x:v>33</x:v>
      </x:c>
      <x:c r="X656" s="14" t="b">
        <x:v>0</x:v>
      </x:c>
      <x:c r="Y656" s="14" t="b">
        <x:v>0</x:v>
      </x:c>
      <x:c r="Z656" s="2" t="n">
        <x:f>ABS(T656-AA656)</x:f>
        <x:v>0</x:v>
      </x:c>
      <x:c r="AA656" s="2" t="n">
        <x:v>66</x:v>
      </x:c>
      <x:c r="AB656" s="2" t="n">
        <x:f>ABS(K656-W656)</x:f>
        <x:v>18</x:v>
      </x:c>
      <x:c r="AC656" s="2" t="n">
        <x:f>COUNTIF($A$2:$A$1921,A656)-1</x:f>
        <x:v>0</x:v>
      </x:c>
      <x:c r="AD656" s="2" t="n">
        <x:f>IF(AND(D656=D655,H656=H655,C656=C655+1),ABS(R656-T655),0)</x:f>
        <x:v>0</x:v>
      </x:c>
    </x:row>
    <x:row r="657" ht="23" customHeight="1">
      <x:c r="A657" s="2" t="str">
        <x:v>DEMO-203-0-16</x:v>
      </x:c>
      <x:c r="B657" s="15" t="d">
        <x:v>2026-08-17T00:00:00.000Z</x:v>
      </x:c>
      <x:c r="C657" s="2" t="n">
        <x:v>16</x:v>
      </x:c>
      <x:c r="D657" s="2" t="str">
        <x:v>DEMO-203</x:v>
      </x:c>
      <x:c r="E657" s="2" t="str">
        <x:v>Tiny Joy Kit</x:v>
      </x:c>
      <x:c r="F657" s="2" t="str">
        <x:v>Gifting</x:v>
      </x:c>
      <x:c r="G657" s="2" t="str">
        <x:v>Stores</x:v>
      </x:c>
      <x:c r="H657" s="2" t="str">
        <x:v>North Arcade</x:v>
      </x:c>
      <x:c r="I657" s="2" t="n">
        <x:v>15</x:v>
      </x:c>
      <x:c r="J657" s="2" t="n">
        <x:v>0</x:v>
      </x:c>
      <x:c r="K657" s="2" t="n">
        <x:f>I657-J657</x:f>
        <x:v>15</x:v>
      </x:c>
      <x:c r="L657" s="16" t="n">
        <x:v>22</x:v>
      </x:c>
      <x:c r="M657" s="16" t="n">
        <x:v>22</x:v>
      </x:c>
      <x:c r="N657" s="16" t="n">
        <x:v>9.02</x:v>
      </x:c>
      <x:c r="O657" s="16" t="n">
        <x:f>K657*M657</x:f>
        <x:v>330</x:v>
      </x:c>
      <x:c r="P657" s="16" t="n">
        <x:f>K657*N657</x:f>
        <x:v>135.29999999999998</x:v>
      </x:c>
      <x:c r="Q657" s="16" t="n">
        <x:f>O657-P657</x:f>
        <x:v>194.70000000000002</x:v>
      </x:c>
      <x:c r="R657" s="2" t="n">
        <x:v>66</x:v>
      </x:c>
      <x:c r="S657" s="2" t="n">
        <x:v>0</x:v>
      </x:c>
      <x:c r="T657" s="2" t="n">
        <x:f>R657+S657+J657-I657</x:f>
        <x:v>51</x:v>
      </x:c>
      <x:c r="U657" s="2" t="n">
        <x:v>0</x:v>
      </x:c>
      <x:c r="V657" s="2" t="n">
        <x:v>4</x:v>
      </x:c>
      <x:c r="W657" s="2" t="n">
        <x:v>33</x:v>
      </x:c>
      <x:c r="X657" s="14" t="b">
        <x:v>0</x:v>
      </x:c>
      <x:c r="Y657" s="14" t="b">
        <x:v>0</x:v>
      </x:c>
      <x:c r="Z657" s="2" t="n">
        <x:f>ABS(T657-AA657)</x:f>
        <x:v>0</x:v>
      </x:c>
      <x:c r="AA657" s="2" t="n">
        <x:v>51</x:v>
      </x:c>
      <x:c r="AB657" s="2" t="n">
        <x:f>ABS(K657-W657)</x:f>
        <x:v>18</x:v>
      </x:c>
      <x:c r="AC657" s="2" t="n">
        <x:f>COUNTIF($A$2:$A$1921,A657)-1</x:f>
        <x:v>0</x:v>
      </x:c>
      <x:c r="AD657" s="2" t="n">
        <x:f>IF(AND(D657=D656,H657=H656,C657=C656+1),ABS(R657-T656),0)</x:f>
        <x:v>0</x:v>
      </x:c>
    </x:row>
    <x:row r="658" ht="23" customHeight="1">
      <x:c r="A658" s="2" t="str">
        <x:v>DEMO-203-0-17</x:v>
      </x:c>
      <x:c r="B658" s="15" t="d">
        <x:v>2026-08-24T00:00:00.000Z</x:v>
      </x:c>
      <x:c r="C658" s="2" t="n">
        <x:v>17</x:v>
      </x:c>
      <x:c r="D658" s="2" t="str">
        <x:v>DEMO-203</x:v>
      </x:c>
      <x:c r="E658" s="2" t="str">
        <x:v>Tiny Joy Kit</x:v>
      </x:c>
      <x:c r="F658" s="2" t="str">
        <x:v>Gifting</x:v>
      </x:c>
      <x:c r="G658" s="2" t="str">
        <x:v>Stores</x:v>
      </x:c>
      <x:c r="H658" s="2" t="str">
        <x:v>North Arcade</x:v>
      </x:c>
      <x:c r="I658" s="2" t="n">
        <x:v>14</x:v>
      </x:c>
      <x:c r="J658" s="2" t="n">
        <x:v>0</x:v>
      </x:c>
      <x:c r="K658" s="2" t="n">
        <x:f>I658-J658</x:f>
        <x:v>14</x:v>
      </x:c>
      <x:c r="L658" s="16" t="n">
        <x:v>22</x:v>
      </x:c>
      <x:c r="M658" s="16" t="n">
        <x:v>22</x:v>
      </x:c>
      <x:c r="N658" s="16" t="n">
        <x:v>9.02</x:v>
      </x:c>
      <x:c r="O658" s="16" t="n">
        <x:f>K658*M658</x:f>
        <x:v>308</x:v>
      </x:c>
      <x:c r="P658" s="16" t="n">
        <x:f>K658*N658</x:f>
        <x:v>126.28</x:v>
      </x:c>
      <x:c r="Q658" s="16" t="n">
        <x:f>O658-P658</x:f>
        <x:v>181.72</x:v>
      </x:c>
      <x:c r="R658" s="2" t="n">
        <x:v>51</x:v>
      </x:c>
      <x:c r="S658" s="2" t="n">
        <x:v>71</x:v>
      </x:c>
      <x:c r="T658" s="2" t="n">
        <x:f>R658+S658+J658-I658</x:f>
        <x:v>108</x:v>
      </x:c>
      <x:c r="U658" s="2" t="n">
        <x:v>0</x:v>
      </x:c>
      <x:c r="V658" s="2" t="n">
        <x:v>4</x:v>
      </x:c>
      <x:c r="W658" s="2" t="n">
        <x:v>27</x:v>
      </x:c>
      <x:c r="X658" s="14" t="b">
        <x:v>0</x:v>
      </x:c>
      <x:c r="Y658" s="14" t="b">
        <x:v>0</x:v>
      </x:c>
      <x:c r="Z658" s="2" t="n">
        <x:f>ABS(T658-AA658)</x:f>
        <x:v>0</x:v>
      </x:c>
      <x:c r="AA658" s="2" t="n">
        <x:v>108</x:v>
      </x:c>
      <x:c r="AB658" s="2" t="n">
        <x:f>ABS(K658-W658)</x:f>
        <x:v>13</x:v>
      </x:c>
      <x:c r="AC658" s="2" t="n">
        <x:f>COUNTIF($A$2:$A$1921,A658)-1</x:f>
        <x:v>0</x:v>
      </x:c>
      <x:c r="AD658" s="2" t="n">
        <x:f>IF(AND(D658=D657,H658=H657,C658=C657+1),ABS(R658-T657),0)</x:f>
        <x:v>0</x:v>
      </x:c>
    </x:row>
    <x:row r="659" ht="23" customHeight="1">
      <x:c r="A659" s="2" t="str">
        <x:v>DEMO-203-0-18</x:v>
      </x:c>
      <x:c r="B659" s="15" t="d">
        <x:v>2026-08-31T00:00:00.000Z</x:v>
      </x:c>
      <x:c r="C659" s="2" t="n">
        <x:v>18</x:v>
      </x:c>
      <x:c r="D659" s="2" t="str">
        <x:v>DEMO-203</x:v>
      </x:c>
      <x:c r="E659" s="2" t="str">
        <x:v>Tiny Joy Kit</x:v>
      </x:c>
      <x:c r="F659" s="2" t="str">
        <x:v>Gifting</x:v>
      </x:c>
      <x:c r="G659" s="2" t="str">
        <x:v>Stores</x:v>
      </x:c>
      <x:c r="H659" s="2" t="str">
        <x:v>North Arcade</x:v>
      </x:c>
      <x:c r="I659" s="2" t="n">
        <x:v>20</x:v>
      </x:c>
      <x:c r="J659" s="2" t="n">
        <x:v>0</x:v>
      </x:c>
      <x:c r="K659" s="2" t="n">
        <x:f>I659-J659</x:f>
        <x:v>20</x:v>
      </x:c>
      <x:c r="L659" s="16" t="n">
        <x:v>22</x:v>
      </x:c>
      <x:c r="M659" s="16" t="n">
        <x:v>22</x:v>
      </x:c>
      <x:c r="N659" s="16" t="n">
        <x:v>9.02</x:v>
      </x:c>
      <x:c r="O659" s="16" t="n">
        <x:f>K659*M659</x:f>
        <x:v>440</x:v>
      </x:c>
      <x:c r="P659" s="16" t="n">
        <x:f>K659*N659</x:f>
        <x:v>180.39999999999998</x:v>
      </x:c>
      <x:c r="Q659" s="16" t="n">
        <x:f>O659-P659</x:f>
        <x:v>259.6</x:v>
      </x:c>
      <x:c r="R659" s="2" t="n">
        <x:v>108</x:v>
      </x:c>
      <x:c r="S659" s="2" t="n">
        <x:v>0</x:v>
      </x:c>
      <x:c r="T659" s="2" t="n">
        <x:f>R659+S659+J659-I659</x:f>
        <x:v>88</x:v>
      </x:c>
      <x:c r="U659" s="2" t="n">
        <x:v>0</x:v>
      </x:c>
      <x:c r="V659" s="2" t="n">
        <x:v>4</x:v>
      </x:c>
      <x:c r="W659" s="2" t="n">
        <x:v>21</x:v>
      </x:c>
      <x:c r="X659" s="14" t="b">
        <x:v>0</x:v>
      </x:c>
      <x:c r="Y659" s="14" t="b">
        <x:v>0</x:v>
      </x:c>
      <x:c r="Z659" s="2" t="n">
        <x:f>ABS(T659-AA659)</x:f>
        <x:v>0</x:v>
      </x:c>
      <x:c r="AA659" s="2" t="n">
        <x:v>88</x:v>
      </x:c>
      <x:c r="AB659" s="2" t="n">
        <x:f>ABS(K659-W659)</x:f>
        <x:v>1</x:v>
      </x:c>
      <x:c r="AC659" s="2" t="n">
        <x:f>COUNTIF($A$2:$A$1921,A659)-1</x:f>
        <x:v>0</x:v>
      </x:c>
      <x:c r="AD659" s="2" t="n">
        <x:f>IF(AND(D659=D658,H659=H658,C659=C658+1),ABS(R659-T658),0)</x:f>
        <x:v>0</x:v>
      </x:c>
    </x:row>
    <x:row r="660" ht="23" customHeight="1">
      <x:c r="A660" s="2" t="str">
        <x:v>DEMO-203-0-19</x:v>
      </x:c>
      <x:c r="B660" s="15" t="d">
        <x:v>2026-09-07T00:00:00.000Z</x:v>
      </x:c>
      <x:c r="C660" s="2" t="n">
        <x:v>19</x:v>
      </x:c>
      <x:c r="D660" s="2" t="str">
        <x:v>DEMO-203</x:v>
      </x:c>
      <x:c r="E660" s="2" t="str">
        <x:v>Tiny Joy Kit</x:v>
      </x:c>
      <x:c r="F660" s="2" t="str">
        <x:v>Gifting</x:v>
      </x:c>
      <x:c r="G660" s="2" t="str">
        <x:v>Stores</x:v>
      </x:c>
      <x:c r="H660" s="2" t="str">
        <x:v>North Arcade</x:v>
      </x:c>
      <x:c r="I660" s="2" t="n">
        <x:v>15</x:v>
      </x:c>
      <x:c r="J660" s="2" t="n">
        <x:v>0</x:v>
      </x:c>
      <x:c r="K660" s="2" t="n">
        <x:f>I660-J660</x:f>
        <x:v>15</x:v>
      </x:c>
      <x:c r="L660" s="16" t="n">
        <x:v>22</x:v>
      </x:c>
      <x:c r="M660" s="16" t="n">
        <x:v>22</x:v>
      </x:c>
      <x:c r="N660" s="16" t="n">
        <x:v>9.02</x:v>
      </x:c>
      <x:c r="O660" s="16" t="n">
        <x:f>K660*M660</x:f>
        <x:v>330</x:v>
      </x:c>
      <x:c r="P660" s="16" t="n">
        <x:f>K660*N660</x:f>
        <x:v>135.29999999999998</x:v>
      </x:c>
      <x:c r="Q660" s="16" t="n">
        <x:f>O660-P660</x:f>
        <x:v>194.70000000000002</x:v>
      </x:c>
      <x:c r="R660" s="2" t="n">
        <x:v>88</x:v>
      </x:c>
      <x:c r="S660" s="2" t="n">
        <x:v>0</x:v>
      </x:c>
      <x:c r="T660" s="2" t="n">
        <x:f>R660+S660+J660-I660</x:f>
        <x:v>73</x:v>
      </x:c>
      <x:c r="U660" s="2" t="n">
        <x:v>0</x:v>
      </x:c>
      <x:c r="V660" s="2" t="n">
        <x:v>4</x:v>
      </x:c>
      <x:c r="W660" s="2" t="n">
        <x:v>16</x:v>
      </x:c>
      <x:c r="X660" s="14" t="b">
        <x:v>0</x:v>
      </x:c>
      <x:c r="Y660" s="14" t="b">
        <x:v>0</x:v>
      </x:c>
      <x:c r="Z660" s="2" t="n">
        <x:f>ABS(T660-AA660)</x:f>
        <x:v>0</x:v>
      </x:c>
      <x:c r="AA660" s="2" t="n">
        <x:v>73</x:v>
      </x:c>
      <x:c r="AB660" s="2" t="n">
        <x:f>ABS(K660-W660)</x:f>
        <x:v>1</x:v>
      </x:c>
      <x:c r="AC660" s="2" t="n">
        <x:f>COUNTIF($A$2:$A$1921,A660)-1</x:f>
        <x:v>0</x:v>
      </x:c>
      <x:c r="AD660" s="2" t="n">
        <x:f>IF(AND(D660=D659,H660=H659,C660=C659+1),ABS(R660-T659),0)</x:f>
        <x:v>0</x:v>
      </x:c>
    </x:row>
    <x:row r="661" ht="23" customHeight="1">
      <x:c r="A661" s="2" t="str">
        <x:v>DEMO-203-0-20</x:v>
      </x:c>
      <x:c r="B661" s="15" t="d">
        <x:v>2026-09-14T00:00:00.000Z</x:v>
      </x:c>
      <x:c r="C661" s="2" t="n">
        <x:v>20</x:v>
      </x:c>
      <x:c r="D661" s="2" t="str">
        <x:v>DEMO-203</x:v>
      </x:c>
      <x:c r="E661" s="2" t="str">
        <x:v>Tiny Joy Kit</x:v>
      </x:c>
      <x:c r="F661" s="2" t="str">
        <x:v>Gifting</x:v>
      </x:c>
      <x:c r="G661" s="2" t="str">
        <x:v>Stores</x:v>
      </x:c>
      <x:c r="H661" s="2" t="str">
        <x:v>North Arcade</x:v>
      </x:c>
      <x:c r="I661" s="2" t="n">
        <x:v>18</x:v>
      </x:c>
      <x:c r="J661" s="2" t="n">
        <x:v>1</x:v>
      </x:c>
      <x:c r="K661" s="2" t="n">
        <x:f>I661-J661</x:f>
        <x:v>17</x:v>
      </x:c>
      <x:c r="L661" s="16" t="n">
        <x:v>22</x:v>
      </x:c>
      <x:c r="M661" s="16" t="n">
        <x:v>22</x:v>
      </x:c>
      <x:c r="N661" s="16" t="n">
        <x:v>9.02</x:v>
      </x:c>
      <x:c r="O661" s="16" t="n">
        <x:f>K661*M661</x:f>
        <x:v>374</x:v>
      </x:c>
      <x:c r="P661" s="16" t="n">
        <x:f>K661*N661</x:f>
        <x:v>153.34</x:v>
      </x:c>
      <x:c r="Q661" s="16" t="n">
        <x:f>O661-P661</x:f>
        <x:v>220.66</x:v>
      </x:c>
      <x:c r="R661" s="2" t="n">
        <x:v>73</x:v>
      </x:c>
      <x:c r="S661" s="2" t="n">
        <x:v>0</x:v>
      </x:c>
      <x:c r="T661" s="2" t="n">
        <x:f>R661+S661+J661-I661</x:f>
        <x:v>56</x:v>
      </x:c>
      <x:c r="U661" s="2" t="n">
        <x:v>18</x:v>
      </x:c>
      <x:c r="V661" s="2" t="n">
        <x:v>4</x:v>
      </x:c>
      <x:c r="W661" s="2" t="n">
        <x:v>16</x:v>
      </x:c>
      <x:c r="X661" s="14" t="b">
        <x:v>0</x:v>
      </x:c>
      <x:c r="Y661" s="14" t="b">
        <x:v>0</x:v>
      </x:c>
      <x:c r="Z661" s="2" t="n">
        <x:f>ABS(T661-AA661)</x:f>
        <x:v>0</x:v>
      </x:c>
      <x:c r="AA661" s="2" t="n">
        <x:v>56</x:v>
      </x:c>
      <x:c r="AB661" s="2" t="n">
        <x:f>ABS(K661-W661)</x:f>
        <x:v>1</x:v>
      </x:c>
      <x:c r="AC661" s="2" t="n">
        <x:f>COUNTIF($A$2:$A$1921,A661)-1</x:f>
        <x:v>0</x:v>
      </x:c>
      <x:c r="AD661" s="2" t="n">
        <x:f>IF(AND(D661=D660,H661=H660,C661=C660+1),ABS(R661-T660),0)</x:f>
        <x:v>0</x:v>
      </x:c>
    </x:row>
    <x:row r="662" ht="23" customHeight="1">
      <x:c r="A662" s="2" t="str">
        <x:v>DEMO-203-1-1</x:v>
      </x:c>
      <x:c r="B662" s="15" t="d">
        <x:v>2026-05-04T00:00:00.000Z</x:v>
      </x:c>
      <x:c r="C662" s="2" t="n">
        <x:v>1</x:v>
      </x:c>
      <x:c r="D662" s="2" t="str">
        <x:v>DEMO-203</x:v>
      </x:c>
      <x:c r="E662" s="2" t="str">
        <x:v>Tiny Joy Kit</x:v>
      </x:c>
      <x:c r="F662" s="2" t="str">
        <x:v>Gifting</x:v>
      </x:c>
      <x:c r="G662" s="2" t="str">
        <x:v>Stores</x:v>
      </x:c>
      <x:c r="H662" s="2" t="str">
        <x:v>Riverside</x:v>
      </x:c>
      <x:c r="I662" s="2" t="n">
        <x:v>20</x:v>
      </x:c>
      <x:c r="J662" s="2" t="n">
        <x:v>0</x:v>
      </x:c>
      <x:c r="K662" s="2" t="n">
        <x:f>I662-J662</x:f>
        <x:v>20</x:v>
      </x:c>
      <x:c r="L662" s="16" t="n">
        <x:v>22</x:v>
      </x:c>
      <x:c r="M662" s="16" t="n">
        <x:v>22</x:v>
      </x:c>
      <x:c r="N662" s="16" t="n">
        <x:v>9.02</x:v>
      </x:c>
      <x:c r="O662" s="16" t="n">
        <x:f>K662*M662</x:f>
        <x:v>440</x:v>
      </x:c>
      <x:c r="P662" s="16" t="n">
        <x:f>K662*N662</x:f>
        <x:v>180.39999999999998</x:v>
      </x:c>
      <x:c r="Q662" s="16" t="n">
        <x:f>O662-P662</x:f>
        <x:v>259.6</x:v>
      </x:c>
      <x:c r="R662" s="2" t="n">
        <x:v>90</x:v>
      </x:c>
      <x:c r="S662" s="2" t="n">
        <x:v>71</x:v>
      </x:c>
      <x:c r="T662" s="2" t="n">
        <x:f>R662+S662+J662-I662</x:f>
        <x:v>141</x:v>
      </x:c>
      <x:c r="U662" s="2" t="n">
        <x:v>0</x:v>
      </x:c>
      <x:c r="V662" s="2" t="n">
        <x:v>4</x:v>
      </x:c>
      <x:c r="W662" s="2" t="n">
        <x:v>17</x:v>
      </x:c>
      <x:c r="X662" s="14" t="b">
        <x:v>0</x:v>
      </x:c>
      <x:c r="Y662" s="14" t="b">
        <x:v>0</x:v>
      </x:c>
      <x:c r="Z662" s="2" t="n">
        <x:f>ABS(T662-AA662)</x:f>
        <x:v>0</x:v>
      </x:c>
      <x:c r="AA662" s="2" t="n">
        <x:v>141</x:v>
      </x:c>
      <x:c r="AB662" s="2" t="n">
        <x:f>ABS(K662-W662)</x:f>
        <x:v>3</x:v>
      </x:c>
      <x:c r="AC662" s="2" t="n">
        <x:f>COUNTIF($A$2:$A$1921,A662)-1</x:f>
        <x:v>0</x:v>
      </x:c>
      <x:c r="AD662" s="2" t="n">
        <x:f>IF(AND(D662=D661,H662=H661,C662=C661+1),ABS(R662-T661),0)</x:f>
        <x:v>0</x:v>
      </x:c>
    </x:row>
    <x:row r="663" ht="23" customHeight="1">
      <x:c r="A663" s="2" t="str">
        <x:v>DEMO-203-1-2</x:v>
      </x:c>
      <x:c r="B663" s="15" t="d">
        <x:v>2026-05-11T00:00:00.000Z</x:v>
      </x:c>
      <x:c r="C663" s="2" t="n">
        <x:v>2</x:v>
      </x:c>
      <x:c r="D663" s="2" t="str">
        <x:v>DEMO-203</x:v>
      </x:c>
      <x:c r="E663" s="2" t="str">
        <x:v>Tiny Joy Kit</x:v>
      </x:c>
      <x:c r="F663" s="2" t="str">
        <x:v>Gifting</x:v>
      </x:c>
      <x:c r="G663" s="2" t="str">
        <x:v>Stores</x:v>
      </x:c>
      <x:c r="H663" s="2" t="str">
        <x:v>Riverside</x:v>
      </x:c>
      <x:c r="I663" s="2" t="n">
        <x:v>20</x:v>
      </x:c>
      <x:c r="J663" s="2" t="n">
        <x:v>1</x:v>
      </x:c>
      <x:c r="K663" s="2" t="n">
        <x:f>I663-J663</x:f>
        <x:v>19</x:v>
      </x:c>
      <x:c r="L663" s="16" t="n">
        <x:v>22</x:v>
      </x:c>
      <x:c r="M663" s="16" t="n">
        <x:v>22</x:v>
      </x:c>
      <x:c r="N663" s="16" t="n">
        <x:v>9.02</x:v>
      </x:c>
      <x:c r="O663" s="16" t="n">
        <x:f>K663*M663</x:f>
        <x:v>418</x:v>
      </x:c>
      <x:c r="P663" s="16" t="n">
        <x:f>K663*N663</x:f>
        <x:v>171.38</x:v>
      </x:c>
      <x:c r="Q663" s="16" t="n">
        <x:f>O663-P663</x:f>
        <x:v>246.62</x:v>
      </x:c>
      <x:c r="R663" s="2" t="n">
        <x:v>141</x:v>
      </x:c>
      <x:c r="S663" s="2" t="n">
        <x:v>0</x:v>
      </x:c>
      <x:c r="T663" s="2" t="n">
        <x:f>R663+S663+J663-I663</x:f>
        <x:v>122</x:v>
      </x:c>
      <x:c r="U663" s="2" t="n">
        <x:v>0</x:v>
      </x:c>
      <x:c r="V663" s="2" t="n">
        <x:v>4</x:v>
      </x:c>
      <x:c r="W663" s="2" t="n">
        <x:v>20</x:v>
      </x:c>
      <x:c r="X663" s="14" t="b">
        <x:v>0</x:v>
      </x:c>
      <x:c r="Y663" s="14" t="b">
        <x:v>0</x:v>
      </x:c>
      <x:c r="Z663" s="2" t="n">
        <x:f>ABS(T663-AA663)</x:f>
        <x:v>0</x:v>
      </x:c>
      <x:c r="AA663" s="2" t="n">
        <x:v>122</x:v>
      </x:c>
      <x:c r="AB663" s="2" t="n">
        <x:f>ABS(K663-W663)</x:f>
        <x:v>1</x:v>
      </x:c>
      <x:c r="AC663" s="2" t="n">
        <x:f>COUNTIF($A$2:$A$1921,A663)-1</x:f>
        <x:v>0</x:v>
      </x:c>
      <x:c r="AD663" s="2" t="n">
        <x:f>IF(AND(D663=D662,H663=H662,C663=C662+1),ABS(R663-T662),0)</x:f>
        <x:v>0</x:v>
      </x:c>
    </x:row>
    <x:row r="664" ht="23" customHeight="1">
      <x:c r="A664" s="2" t="str">
        <x:v>DEMO-203-1-3</x:v>
      </x:c>
      <x:c r="B664" s="15" t="d">
        <x:v>2026-05-18T00:00:00.000Z</x:v>
      </x:c>
      <x:c r="C664" s="2" t="n">
        <x:v>3</x:v>
      </x:c>
      <x:c r="D664" s="2" t="str">
        <x:v>DEMO-203</x:v>
      </x:c>
      <x:c r="E664" s="2" t="str">
        <x:v>Tiny Joy Kit</x:v>
      </x:c>
      <x:c r="F664" s="2" t="str">
        <x:v>Gifting</x:v>
      </x:c>
      <x:c r="G664" s="2" t="str">
        <x:v>Stores</x:v>
      </x:c>
      <x:c r="H664" s="2" t="str">
        <x:v>Riverside</x:v>
      </x:c>
      <x:c r="I664" s="2" t="n">
        <x:v>18</x:v>
      </x:c>
      <x:c r="J664" s="2" t="n">
        <x:v>1</x:v>
      </x:c>
      <x:c r="K664" s="2" t="n">
        <x:f>I664-J664</x:f>
        <x:v>17</x:v>
      </x:c>
      <x:c r="L664" s="16" t="n">
        <x:v>22</x:v>
      </x:c>
      <x:c r="M664" s="16" t="n">
        <x:v>22</x:v>
      </x:c>
      <x:c r="N664" s="16" t="n">
        <x:v>9.02</x:v>
      </x:c>
      <x:c r="O664" s="16" t="n">
        <x:f>K664*M664</x:f>
        <x:v>374</x:v>
      </x:c>
      <x:c r="P664" s="16" t="n">
        <x:f>K664*N664</x:f>
        <x:v>153.34</x:v>
      </x:c>
      <x:c r="Q664" s="16" t="n">
        <x:f>O664-P664</x:f>
        <x:v>220.66</x:v>
      </x:c>
      <x:c r="R664" s="2" t="n">
        <x:v>122</x:v>
      </x:c>
      <x:c r="S664" s="2" t="n">
        <x:v>0</x:v>
      </x:c>
      <x:c r="T664" s="2" t="n">
        <x:f>R664+S664+J664-I664</x:f>
        <x:v>105</x:v>
      </x:c>
      <x:c r="U664" s="2" t="n">
        <x:v>0</x:v>
      </x:c>
      <x:c r="V664" s="2" t="n">
        <x:v>4</x:v>
      </x:c>
      <x:c r="W664" s="2" t="n">
        <x:v>20</x:v>
      </x:c>
      <x:c r="X664" s="14" t="b">
        <x:v>0</x:v>
      </x:c>
      <x:c r="Y664" s="14" t="b">
        <x:v>0</x:v>
      </x:c>
      <x:c r="Z664" s="2" t="n">
        <x:f>ABS(T664-AA664)</x:f>
        <x:v>0</x:v>
      </x:c>
      <x:c r="AA664" s="2" t="n">
        <x:v>105</x:v>
      </x:c>
      <x:c r="AB664" s="2" t="n">
        <x:f>ABS(K664-W664)</x:f>
        <x:v>3</x:v>
      </x:c>
      <x:c r="AC664" s="2" t="n">
        <x:f>COUNTIF($A$2:$A$1921,A664)-1</x:f>
        <x:v>0</x:v>
      </x:c>
      <x:c r="AD664" s="2" t="n">
        <x:f>IF(AND(D664=D663,H664=H663,C664=C663+1),ABS(R664-T663),0)</x:f>
        <x:v>0</x:v>
      </x:c>
    </x:row>
    <x:row r="665" ht="23" customHeight="1">
      <x:c r="A665" s="2" t="str">
        <x:v>DEMO-203-1-4</x:v>
      </x:c>
      <x:c r="B665" s="15" t="d">
        <x:v>2026-05-25T00:00:00.000Z</x:v>
      </x:c>
      <x:c r="C665" s="2" t="n">
        <x:v>4</x:v>
      </x:c>
      <x:c r="D665" s="2" t="str">
        <x:v>DEMO-203</x:v>
      </x:c>
      <x:c r="E665" s="2" t="str">
        <x:v>Tiny Joy Kit</x:v>
      </x:c>
      <x:c r="F665" s="2" t="str">
        <x:v>Gifting</x:v>
      </x:c>
      <x:c r="G665" s="2" t="str">
        <x:v>Stores</x:v>
      </x:c>
      <x:c r="H665" s="2" t="str">
        <x:v>Riverside</x:v>
      </x:c>
      <x:c r="I665" s="2" t="n">
        <x:v>20</x:v>
      </x:c>
      <x:c r="J665" s="2" t="n">
        <x:v>0</x:v>
      </x:c>
      <x:c r="K665" s="2" t="n">
        <x:f>I665-J665</x:f>
        <x:v>20</x:v>
      </x:c>
      <x:c r="L665" s="16" t="n">
        <x:v>22</x:v>
      </x:c>
      <x:c r="M665" s="16" t="n">
        <x:v>22</x:v>
      </x:c>
      <x:c r="N665" s="16" t="n">
        <x:v>9.02</x:v>
      </x:c>
      <x:c r="O665" s="16" t="n">
        <x:f>K665*M665</x:f>
        <x:v>440</x:v>
      </x:c>
      <x:c r="P665" s="16" t="n">
        <x:f>K665*N665</x:f>
        <x:v>180.39999999999998</x:v>
      </x:c>
      <x:c r="Q665" s="16" t="n">
        <x:f>O665-P665</x:f>
        <x:v>259.6</x:v>
      </x:c>
      <x:c r="R665" s="2" t="n">
        <x:v>105</x:v>
      </x:c>
      <x:c r="S665" s="2" t="n">
        <x:v>0</x:v>
      </x:c>
      <x:c r="T665" s="2" t="n">
        <x:f>R665+S665+J665-I665</x:f>
        <x:v>85</x:v>
      </x:c>
      <x:c r="U665" s="2" t="n">
        <x:v>0</x:v>
      </x:c>
      <x:c r="V665" s="2" t="n">
        <x:v>4</x:v>
      </x:c>
      <x:c r="W665" s="2" t="n">
        <x:v>19</x:v>
      </x:c>
      <x:c r="X665" s="14" t="b">
        <x:v>0</x:v>
      </x:c>
      <x:c r="Y665" s="14" t="b">
        <x:v>0</x:v>
      </x:c>
      <x:c r="Z665" s="2" t="n">
        <x:f>ABS(T665-AA665)</x:f>
        <x:v>0</x:v>
      </x:c>
      <x:c r="AA665" s="2" t="n">
        <x:v>85</x:v>
      </x:c>
      <x:c r="AB665" s="2" t="n">
        <x:f>ABS(K665-W665)</x:f>
        <x:v>1</x:v>
      </x:c>
      <x:c r="AC665" s="2" t="n">
        <x:f>COUNTIF($A$2:$A$1921,A665)-1</x:f>
        <x:v>0</x:v>
      </x:c>
      <x:c r="AD665" s="2" t="n">
        <x:f>IF(AND(D665=D664,H665=H664,C665=C664+1),ABS(R665-T664),0)</x:f>
        <x:v>0</x:v>
      </x:c>
    </x:row>
    <x:row r="666" ht="23" customHeight="1">
      <x:c r="A666" s="2" t="str">
        <x:v>DEMO-203-1-5</x:v>
      </x:c>
      <x:c r="B666" s="15" t="d">
        <x:v>2026-06-01T00:00:00.000Z</x:v>
      </x:c>
      <x:c r="C666" s="2" t="n">
        <x:v>5</x:v>
      </x:c>
      <x:c r="D666" s="2" t="str">
        <x:v>DEMO-203</x:v>
      </x:c>
      <x:c r="E666" s="2" t="str">
        <x:v>Tiny Joy Kit</x:v>
      </x:c>
      <x:c r="F666" s="2" t="str">
        <x:v>Gifting</x:v>
      </x:c>
      <x:c r="G666" s="2" t="str">
        <x:v>Stores</x:v>
      </x:c>
      <x:c r="H666" s="2" t="str">
        <x:v>Riverside</x:v>
      </x:c>
      <x:c r="I666" s="2" t="n">
        <x:v>19</x:v>
      </x:c>
      <x:c r="J666" s="2" t="n">
        <x:v>0</x:v>
      </x:c>
      <x:c r="K666" s="2" t="n">
        <x:f>I666-J666</x:f>
        <x:v>19</x:v>
      </x:c>
      <x:c r="L666" s="16" t="n">
        <x:v>22</x:v>
      </x:c>
      <x:c r="M666" s="16" t="n">
        <x:v>22</x:v>
      </x:c>
      <x:c r="N666" s="16" t="n">
        <x:v>9.02</x:v>
      </x:c>
      <x:c r="O666" s="16" t="n">
        <x:f>K666*M666</x:f>
        <x:v>418</x:v>
      </x:c>
      <x:c r="P666" s="16" t="n">
        <x:f>K666*N666</x:f>
        <x:v>171.38</x:v>
      </x:c>
      <x:c r="Q666" s="16" t="n">
        <x:f>O666-P666</x:f>
        <x:v>246.62</x:v>
      </x:c>
      <x:c r="R666" s="2" t="n">
        <x:v>85</x:v>
      </x:c>
      <x:c r="S666" s="2" t="n">
        <x:v>71</x:v>
      </x:c>
      <x:c r="T666" s="2" t="n">
        <x:f>R666+S666+J666-I666</x:f>
        <x:v>137</x:v>
      </x:c>
      <x:c r="U666" s="2" t="n">
        <x:v>0</x:v>
      </x:c>
      <x:c r="V666" s="2" t="n">
        <x:v>4</x:v>
      </x:c>
      <x:c r="W666" s="2" t="n">
        <x:v>19</x:v>
      </x:c>
      <x:c r="X666" s="14" t="b">
        <x:v>0</x:v>
      </x:c>
      <x:c r="Y666" s="14" t="b">
        <x:v>0</x:v>
      </x:c>
      <x:c r="Z666" s="2" t="n">
        <x:f>ABS(T666-AA666)</x:f>
        <x:v>0</x:v>
      </x:c>
      <x:c r="AA666" s="2" t="n">
        <x:v>137</x:v>
      </x:c>
      <x:c r="AB666" s="2" t="n">
        <x:f>ABS(K666-W666)</x:f>
        <x:v>0</x:v>
      </x:c>
      <x:c r="AC666" s="2" t="n">
        <x:f>COUNTIF($A$2:$A$1921,A666)-1</x:f>
        <x:v>0</x:v>
      </x:c>
      <x:c r="AD666" s="2" t="n">
        <x:f>IF(AND(D666=D665,H666=H665,C666=C665+1),ABS(R666-T665),0)</x:f>
        <x:v>0</x:v>
      </x:c>
    </x:row>
    <x:row r="667" ht="23" customHeight="1">
      <x:c r="A667" s="2" t="str">
        <x:v>DEMO-203-1-6</x:v>
      </x:c>
      <x:c r="B667" s="15" t="d">
        <x:v>2026-06-08T00:00:00.000Z</x:v>
      </x:c>
      <x:c r="C667" s="2" t="n">
        <x:v>6</x:v>
      </x:c>
      <x:c r="D667" s="2" t="str">
        <x:v>DEMO-203</x:v>
      </x:c>
      <x:c r="E667" s="2" t="str">
        <x:v>Tiny Joy Kit</x:v>
      </x:c>
      <x:c r="F667" s="2" t="str">
        <x:v>Gifting</x:v>
      </x:c>
      <x:c r="G667" s="2" t="str">
        <x:v>Stores</x:v>
      </x:c>
      <x:c r="H667" s="2" t="str">
        <x:v>Riverside</x:v>
      </x:c>
      <x:c r="I667" s="2" t="n">
        <x:v>20</x:v>
      </x:c>
      <x:c r="J667" s="2" t="n">
        <x:v>1</x:v>
      </x:c>
      <x:c r="K667" s="2" t="n">
        <x:f>I667-J667</x:f>
        <x:v>19</x:v>
      </x:c>
      <x:c r="L667" s="16" t="n">
        <x:v>22</x:v>
      </x:c>
      <x:c r="M667" s="16" t="n">
        <x:v>22</x:v>
      </x:c>
      <x:c r="N667" s="16" t="n">
        <x:v>9.02</x:v>
      </x:c>
      <x:c r="O667" s="16" t="n">
        <x:f>K667*M667</x:f>
        <x:v>418</x:v>
      </x:c>
      <x:c r="P667" s="16" t="n">
        <x:f>K667*N667</x:f>
        <x:v>171.38</x:v>
      </x:c>
      <x:c r="Q667" s="16" t="n">
        <x:f>O667-P667</x:f>
        <x:v>246.62</x:v>
      </x:c>
      <x:c r="R667" s="2" t="n">
        <x:v>137</x:v>
      </x:c>
      <x:c r="S667" s="2" t="n">
        <x:v>0</x:v>
      </x:c>
      <x:c r="T667" s="2" t="n">
        <x:f>R667+S667+J667-I667</x:f>
        <x:v>118</x:v>
      </x:c>
      <x:c r="U667" s="2" t="n">
        <x:v>0</x:v>
      </x:c>
      <x:c r="V667" s="2" t="n">
        <x:v>4</x:v>
      </x:c>
      <x:c r="W667" s="2" t="n">
        <x:v>19</x:v>
      </x:c>
      <x:c r="X667" s="14" t="b">
        <x:v>0</x:v>
      </x:c>
      <x:c r="Y667" s="14" t="b">
        <x:v>0</x:v>
      </x:c>
      <x:c r="Z667" s="2" t="n">
        <x:f>ABS(T667-AA667)</x:f>
        <x:v>0</x:v>
      </x:c>
      <x:c r="AA667" s="2" t="n">
        <x:v>118</x:v>
      </x:c>
      <x:c r="AB667" s="2" t="n">
        <x:f>ABS(K667-W667)</x:f>
        <x:v>0</x:v>
      </x:c>
      <x:c r="AC667" s="2" t="n">
        <x:f>COUNTIF($A$2:$A$1921,A667)-1</x:f>
        <x:v>0</x:v>
      </x:c>
      <x:c r="AD667" s="2" t="n">
        <x:f>IF(AND(D667=D666,H667=H666,C667=C666+1),ABS(R667-T666),0)</x:f>
        <x:v>0</x:v>
      </x:c>
    </x:row>
    <x:row r="668" ht="23" customHeight="1">
      <x:c r="A668" s="2" t="str">
        <x:v>DEMO-203-1-7</x:v>
      </x:c>
      <x:c r="B668" s="15" t="d">
        <x:v>2026-06-15T00:00:00.000Z</x:v>
      </x:c>
      <x:c r="C668" s="2" t="n">
        <x:v>7</x:v>
      </x:c>
      <x:c r="D668" s="2" t="str">
        <x:v>DEMO-203</x:v>
      </x:c>
      <x:c r="E668" s="2" t="str">
        <x:v>Tiny Joy Kit</x:v>
      </x:c>
      <x:c r="F668" s="2" t="str">
        <x:v>Gifting</x:v>
      </x:c>
      <x:c r="G668" s="2" t="str">
        <x:v>Stores</x:v>
      </x:c>
      <x:c r="H668" s="2" t="str">
        <x:v>Riverside</x:v>
      </x:c>
      <x:c r="I668" s="2" t="n">
        <x:v>19</x:v>
      </x:c>
      <x:c r="J668" s="2" t="n">
        <x:v>0</x:v>
      </x:c>
      <x:c r="K668" s="2" t="n">
        <x:f>I668-J668</x:f>
        <x:v>19</x:v>
      </x:c>
      <x:c r="L668" s="16" t="n">
        <x:v>22</x:v>
      </x:c>
      <x:c r="M668" s="16" t="n">
        <x:v>22</x:v>
      </x:c>
      <x:c r="N668" s="16" t="n">
        <x:v>9.02</x:v>
      </x:c>
      <x:c r="O668" s="16" t="n">
        <x:f>K668*M668</x:f>
        <x:v>418</x:v>
      </x:c>
      <x:c r="P668" s="16" t="n">
        <x:f>K668*N668</x:f>
        <x:v>171.38</x:v>
      </x:c>
      <x:c r="Q668" s="16" t="n">
        <x:f>O668-P668</x:f>
        <x:v>246.62</x:v>
      </x:c>
      <x:c r="R668" s="2" t="n">
        <x:v>118</x:v>
      </x:c>
      <x:c r="S668" s="2" t="n">
        <x:v>0</x:v>
      </x:c>
      <x:c r="T668" s="2" t="n">
        <x:f>R668+S668+J668-I668</x:f>
        <x:v>99</x:v>
      </x:c>
      <x:c r="U668" s="2" t="n">
        <x:v>0</x:v>
      </x:c>
      <x:c r="V668" s="2" t="n">
        <x:v>4</x:v>
      </x:c>
      <x:c r="W668" s="2" t="n">
        <x:v>19</x:v>
      </x:c>
      <x:c r="X668" s="14" t="b">
        <x:v>0</x:v>
      </x:c>
      <x:c r="Y668" s="14" t="b">
        <x:v>0</x:v>
      </x:c>
      <x:c r="Z668" s="2" t="n">
        <x:f>ABS(T668-AA668)</x:f>
        <x:v>0</x:v>
      </x:c>
      <x:c r="AA668" s="2" t="n">
        <x:v>99</x:v>
      </x:c>
      <x:c r="AB668" s="2" t="n">
        <x:f>ABS(K668-W668)</x:f>
        <x:v>0</x:v>
      </x:c>
      <x:c r="AC668" s="2" t="n">
        <x:f>COUNTIF($A$2:$A$1921,A668)-1</x:f>
        <x:v>0</x:v>
      </x:c>
      <x:c r="AD668" s="2" t="n">
        <x:f>IF(AND(D668=D667,H668=H667,C668=C667+1),ABS(R668-T667),0)</x:f>
        <x:v>0</x:v>
      </x:c>
    </x:row>
    <x:row r="669" ht="23" customHeight="1">
      <x:c r="A669" s="2" t="str">
        <x:v>DEMO-203-1-8</x:v>
      </x:c>
      <x:c r="B669" s="15" t="d">
        <x:v>2026-06-22T00:00:00.000Z</x:v>
      </x:c>
      <x:c r="C669" s="2" t="n">
        <x:v>8</x:v>
      </x:c>
      <x:c r="D669" s="2" t="str">
        <x:v>DEMO-203</x:v>
      </x:c>
      <x:c r="E669" s="2" t="str">
        <x:v>Tiny Joy Kit</x:v>
      </x:c>
      <x:c r="F669" s="2" t="str">
        <x:v>Gifting</x:v>
      </x:c>
      <x:c r="G669" s="2" t="str">
        <x:v>Stores</x:v>
      </x:c>
      <x:c r="H669" s="2" t="str">
        <x:v>Riverside</x:v>
      </x:c>
      <x:c r="I669" s="2" t="n">
        <x:v>19</x:v>
      </x:c>
      <x:c r="J669" s="2" t="n">
        <x:v>0</x:v>
      </x:c>
      <x:c r="K669" s="2" t="n">
        <x:f>I669-J669</x:f>
        <x:v>19</x:v>
      </x:c>
      <x:c r="L669" s="16" t="n">
        <x:v>22</x:v>
      </x:c>
      <x:c r="M669" s="16" t="n">
        <x:v>22</x:v>
      </x:c>
      <x:c r="N669" s="16" t="n">
        <x:v>9.02</x:v>
      </x:c>
      <x:c r="O669" s="16" t="n">
        <x:f>K669*M669</x:f>
        <x:v>418</x:v>
      </x:c>
      <x:c r="P669" s="16" t="n">
        <x:f>K669*N669</x:f>
        <x:v>171.38</x:v>
      </x:c>
      <x:c r="Q669" s="16" t="n">
        <x:f>O669-P669</x:f>
        <x:v>246.62</x:v>
      </x:c>
      <x:c r="R669" s="2" t="n">
        <x:v>99</x:v>
      </x:c>
      <x:c r="S669" s="2" t="n">
        <x:v>0</x:v>
      </x:c>
      <x:c r="T669" s="2" t="n">
        <x:f>R669+S669+J669-I669</x:f>
        <x:v>80</x:v>
      </x:c>
      <x:c r="U669" s="2" t="n">
        <x:v>0</x:v>
      </x:c>
      <x:c r="V669" s="2" t="n">
        <x:v>4</x:v>
      </x:c>
      <x:c r="W669" s="2" t="n">
        <x:v>19</x:v>
      </x:c>
      <x:c r="X669" s="14" t="b">
        <x:v>0</x:v>
      </x:c>
      <x:c r="Y669" s="14" t="b">
        <x:v>0</x:v>
      </x:c>
      <x:c r="Z669" s="2" t="n">
        <x:f>ABS(T669-AA669)</x:f>
        <x:v>0</x:v>
      </x:c>
      <x:c r="AA669" s="2" t="n">
        <x:v>80</x:v>
      </x:c>
      <x:c r="AB669" s="2" t="n">
        <x:f>ABS(K669-W669)</x:f>
        <x:v>0</x:v>
      </x:c>
      <x:c r="AC669" s="2" t="n">
        <x:f>COUNTIF($A$2:$A$1921,A669)-1</x:f>
        <x:v>0</x:v>
      </x:c>
      <x:c r="AD669" s="2" t="n">
        <x:f>IF(AND(D669=D668,H669=H668,C669=C668+1),ABS(R669-T668),0)</x:f>
        <x:v>0</x:v>
      </x:c>
    </x:row>
    <x:row r="670" ht="23" customHeight="1">
      <x:c r="A670" s="2" t="str">
        <x:v>DEMO-203-1-9</x:v>
      </x:c>
      <x:c r="B670" s="15" t="d">
        <x:v>2026-06-29T00:00:00.000Z</x:v>
      </x:c>
      <x:c r="C670" s="2" t="n">
        <x:v>9</x:v>
      </x:c>
      <x:c r="D670" s="2" t="str">
        <x:v>DEMO-203</x:v>
      </x:c>
      <x:c r="E670" s="2" t="str">
        <x:v>Tiny Joy Kit</x:v>
      </x:c>
      <x:c r="F670" s="2" t="str">
        <x:v>Gifting</x:v>
      </x:c>
      <x:c r="G670" s="2" t="str">
        <x:v>Stores</x:v>
      </x:c>
      <x:c r="H670" s="2" t="str">
        <x:v>Riverside</x:v>
      </x:c>
      <x:c r="I670" s="2" t="n">
        <x:v>16</x:v>
      </x:c>
      <x:c r="J670" s="2" t="n">
        <x:v>0</x:v>
      </x:c>
      <x:c r="K670" s="2" t="n">
        <x:f>I670-J670</x:f>
        <x:v>16</x:v>
      </x:c>
      <x:c r="L670" s="16" t="n">
        <x:v>22</x:v>
      </x:c>
      <x:c r="M670" s="16" t="n">
        <x:v>22</x:v>
      </x:c>
      <x:c r="N670" s="16" t="n">
        <x:v>9.02</x:v>
      </x:c>
      <x:c r="O670" s="16" t="n">
        <x:f>K670*M670</x:f>
        <x:v>352</x:v>
      </x:c>
      <x:c r="P670" s="16" t="n">
        <x:f>K670*N670</x:f>
        <x:v>144.32</x:v>
      </x:c>
      <x:c r="Q670" s="16" t="n">
        <x:f>O670-P670</x:f>
        <x:v>207.68</x:v>
      </x:c>
      <x:c r="R670" s="2" t="n">
        <x:v>80</x:v>
      </x:c>
      <x:c r="S670" s="2" t="n">
        <x:v>71</x:v>
      </x:c>
      <x:c r="T670" s="2" t="n">
        <x:f>R670+S670+J670-I670</x:f>
        <x:v>135</x:v>
      </x:c>
      <x:c r="U670" s="2" t="n">
        <x:v>0</x:v>
      </x:c>
      <x:c r="V670" s="2" t="n">
        <x:v>4</x:v>
      </x:c>
      <x:c r="W670" s="2" t="n">
        <x:v>19</x:v>
      </x:c>
      <x:c r="X670" s="14" t="b">
        <x:v>0</x:v>
      </x:c>
      <x:c r="Y670" s="14" t="b">
        <x:v>0</x:v>
      </x:c>
      <x:c r="Z670" s="2" t="n">
        <x:f>ABS(T670-AA670)</x:f>
        <x:v>0</x:v>
      </x:c>
      <x:c r="AA670" s="2" t="n">
        <x:v>135</x:v>
      </x:c>
      <x:c r="AB670" s="2" t="n">
        <x:f>ABS(K670-W670)</x:f>
        <x:v>3</x:v>
      </x:c>
      <x:c r="AC670" s="2" t="n">
        <x:f>COUNTIF($A$2:$A$1921,A670)-1</x:f>
        <x:v>0</x:v>
      </x:c>
      <x:c r="AD670" s="2" t="n">
        <x:f>IF(AND(D670=D669,H670=H669,C670=C669+1),ABS(R670-T669),0)</x:f>
        <x:v>0</x:v>
      </x:c>
    </x:row>
    <x:row r="671" ht="23" customHeight="1">
      <x:c r="A671" s="2" t="str">
        <x:v>DEMO-203-1-10</x:v>
      </x:c>
      <x:c r="B671" s="15" t="d">
        <x:v>2026-07-06T00:00:00.000Z</x:v>
      </x:c>
      <x:c r="C671" s="2" t="n">
        <x:v>10</x:v>
      </x:c>
      <x:c r="D671" s="2" t="str">
        <x:v>DEMO-203</x:v>
      </x:c>
      <x:c r="E671" s="2" t="str">
        <x:v>Tiny Joy Kit</x:v>
      </x:c>
      <x:c r="F671" s="2" t="str">
        <x:v>Gifting</x:v>
      </x:c>
      <x:c r="G671" s="2" t="str">
        <x:v>Stores</x:v>
      </x:c>
      <x:c r="H671" s="2" t="str">
        <x:v>Riverside</x:v>
      </x:c>
      <x:c r="I671" s="2" t="n">
        <x:v>17</x:v>
      </x:c>
      <x:c r="J671" s="2" t="n">
        <x:v>0</x:v>
      </x:c>
      <x:c r="K671" s="2" t="n">
        <x:f>I671-J671</x:f>
        <x:v>17</x:v>
      </x:c>
      <x:c r="L671" s="16" t="n">
        <x:v>22</x:v>
      </x:c>
      <x:c r="M671" s="16" t="n">
        <x:v>22</x:v>
      </x:c>
      <x:c r="N671" s="16" t="n">
        <x:v>9.02</x:v>
      </x:c>
      <x:c r="O671" s="16" t="n">
        <x:f>K671*M671</x:f>
        <x:v>374</x:v>
      </x:c>
      <x:c r="P671" s="16" t="n">
        <x:f>K671*N671</x:f>
        <x:v>153.34</x:v>
      </x:c>
      <x:c r="Q671" s="16" t="n">
        <x:f>O671-P671</x:f>
        <x:v>220.66</x:v>
      </x:c>
      <x:c r="R671" s="2" t="n">
        <x:v>135</x:v>
      </x:c>
      <x:c r="S671" s="2" t="n">
        <x:v>0</x:v>
      </x:c>
      <x:c r="T671" s="2" t="n">
        <x:f>R671+S671+J671-I671</x:f>
        <x:v>118</x:v>
      </x:c>
      <x:c r="U671" s="2" t="n">
        <x:v>0</x:v>
      </x:c>
      <x:c r="V671" s="2" t="n">
        <x:v>4</x:v>
      </x:c>
      <x:c r="W671" s="2" t="n">
        <x:v>18</x:v>
      </x:c>
      <x:c r="X671" s="14" t="b">
        <x:v>0</x:v>
      </x:c>
      <x:c r="Y671" s="14" t="b">
        <x:v>0</x:v>
      </x:c>
      <x:c r="Z671" s="2" t="n">
        <x:f>ABS(T671-AA671)</x:f>
        <x:v>0</x:v>
      </x:c>
      <x:c r="AA671" s="2" t="n">
        <x:v>118</x:v>
      </x:c>
      <x:c r="AB671" s="2" t="n">
        <x:f>ABS(K671-W671)</x:f>
        <x:v>1</x:v>
      </x:c>
      <x:c r="AC671" s="2" t="n">
        <x:f>COUNTIF($A$2:$A$1921,A671)-1</x:f>
        <x:v>0</x:v>
      </x:c>
      <x:c r="AD671" s="2" t="n">
        <x:f>IF(AND(D671=D670,H671=H670,C671=C670+1),ABS(R671-T670),0)</x:f>
        <x:v>0</x:v>
      </x:c>
    </x:row>
    <x:row r="672" ht="23" customHeight="1">
      <x:c r="A672" s="2" t="str">
        <x:v>DEMO-203-1-11</x:v>
      </x:c>
      <x:c r="B672" s="15" t="d">
        <x:v>2026-07-13T00:00:00.000Z</x:v>
      </x:c>
      <x:c r="C672" s="2" t="n">
        <x:v>11</x:v>
      </x:c>
      <x:c r="D672" s="2" t="str">
        <x:v>DEMO-203</x:v>
      </x:c>
      <x:c r="E672" s="2" t="str">
        <x:v>Tiny Joy Kit</x:v>
      </x:c>
      <x:c r="F672" s="2" t="str">
        <x:v>Gifting</x:v>
      </x:c>
      <x:c r="G672" s="2" t="str">
        <x:v>Stores</x:v>
      </x:c>
      <x:c r="H672" s="2" t="str">
        <x:v>Riverside</x:v>
      </x:c>
      <x:c r="I672" s="2" t="n">
        <x:v>16</x:v>
      </x:c>
      <x:c r="J672" s="2" t="n">
        <x:v>0</x:v>
      </x:c>
      <x:c r="K672" s="2" t="n">
        <x:f>I672-J672</x:f>
        <x:v>16</x:v>
      </x:c>
      <x:c r="L672" s="16" t="n">
        <x:v>22</x:v>
      </x:c>
      <x:c r="M672" s="16" t="n">
        <x:v>22</x:v>
      </x:c>
      <x:c r="N672" s="16" t="n">
        <x:v>9.02</x:v>
      </x:c>
      <x:c r="O672" s="16" t="n">
        <x:f>K672*M672</x:f>
        <x:v>352</x:v>
      </x:c>
      <x:c r="P672" s="16" t="n">
        <x:f>K672*N672</x:f>
        <x:v>144.32</x:v>
      </x:c>
      <x:c r="Q672" s="16" t="n">
        <x:f>O672-P672</x:f>
        <x:v>207.68</x:v>
      </x:c>
      <x:c r="R672" s="2" t="n">
        <x:v>118</x:v>
      </x:c>
      <x:c r="S672" s="2" t="n">
        <x:v>0</x:v>
      </x:c>
      <x:c r="T672" s="2" t="n">
        <x:f>R672+S672+J672-I672</x:f>
        <x:v>102</x:v>
      </x:c>
      <x:c r="U672" s="2" t="n">
        <x:v>0</x:v>
      </x:c>
      <x:c r="V672" s="2" t="n">
        <x:v>4</x:v>
      </x:c>
      <x:c r="W672" s="2" t="n">
        <x:v>18</x:v>
      </x:c>
      <x:c r="X672" s="14" t="b">
        <x:v>0</x:v>
      </x:c>
      <x:c r="Y672" s="14" t="b">
        <x:v>0</x:v>
      </x:c>
      <x:c r="Z672" s="2" t="n">
        <x:f>ABS(T672-AA672)</x:f>
        <x:v>0</x:v>
      </x:c>
      <x:c r="AA672" s="2" t="n">
        <x:v>102</x:v>
      </x:c>
      <x:c r="AB672" s="2" t="n">
        <x:f>ABS(K672-W672)</x:f>
        <x:v>2</x:v>
      </x:c>
      <x:c r="AC672" s="2" t="n">
        <x:f>COUNTIF($A$2:$A$1921,A672)-1</x:f>
        <x:v>0</x:v>
      </x:c>
      <x:c r="AD672" s="2" t="n">
        <x:f>IF(AND(D672=D671,H672=H671,C672=C671+1),ABS(R672-T671),0)</x:f>
        <x:v>0</x:v>
      </x:c>
    </x:row>
    <x:row r="673" ht="23" customHeight="1">
      <x:c r="A673" s="2" t="str">
        <x:v>DEMO-203-1-12</x:v>
      </x:c>
      <x:c r="B673" s="15" t="d">
        <x:v>2026-07-20T00:00:00.000Z</x:v>
      </x:c>
      <x:c r="C673" s="2" t="n">
        <x:v>12</x:v>
      </x:c>
      <x:c r="D673" s="2" t="str">
        <x:v>DEMO-203</x:v>
      </x:c>
      <x:c r="E673" s="2" t="str">
        <x:v>Tiny Joy Kit</x:v>
      </x:c>
      <x:c r="F673" s="2" t="str">
        <x:v>Gifting</x:v>
      </x:c>
      <x:c r="G673" s="2" t="str">
        <x:v>Stores</x:v>
      </x:c>
      <x:c r="H673" s="2" t="str">
        <x:v>Riverside</x:v>
      </x:c>
      <x:c r="I673" s="2" t="n">
        <x:v>32</x:v>
      </x:c>
      <x:c r="J673" s="2" t="n">
        <x:v>0</x:v>
      </x:c>
      <x:c r="K673" s="2" t="n">
        <x:f>I673-J673</x:f>
        <x:v>32</x:v>
      </x:c>
      <x:c r="L673" s="16" t="n">
        <x:v>22</x:v>
      </x:c>
      <x:c r="M673" s="16" t="n">
        <x:v>19.8</x:v>
      </x:c>
      <x:c r="N673" s="16" t="n">
        <x:v>9.02</x:v>
      </x:c>
      <x:c r="O673" s="16" t="n">
        <x:f>K673*M673</x:f>
        <x:v>633.6</x:v>
      </x:c>
      <x:c r="P673" s="16" t="n">
        <x:f>K673*N673</x:f>
        <x:v>288.64</x:v>
      </x:c>
      <x:c r="Q673" s="16" t="n">
        <x:f>O673-P673</x:f>
        <x:v>344.96000000000004</x:v>
      </x:c>
      <x:c r="R673" s="2" t="n">
        <x:v>102</x:v>
      </x:c>
      <x:c r="S673" s="2" t="n">
        <x:v>0</x:v>
      </x:c>
      <x:c r="T673" s="2" t="n">
        <x:f>R673+S673+J673-I673</x:f>
        <x:v>70</x:v>
      </x:c>
      <x:c r="U673" s="2" t="n">
        <x:v>0</x:v>
      </x:c>
      <x:c r="V673" s="2" t="n">
        <x:v>4</x:v>
      </x:c>
      <x:c r="W673" s="2" t="n">
        <x:v>17</x:v>
      </x:c>
      <x:c r="X673" s="14" t="b">
        <x:v>1</x:v>
      </x:c>
      <x:c r="Y673" s="14" t="b">
        <x:v>0</x:v>
      </x:c>
      <x:c r="Z673" s="2" t="n">
        <x:f>ABS(T673-AA673)</x:f>
        <x:v>0</x:v>
      </x:c>
      <x:c r="AA673" s="2" t="n">
        <x:v>70</x:v>
      </x:c>
      <x:c r="AB673" s="2" t="n">
        <x:f>ABS(K673-W673)</x:f>
        <x:v>15</x:v>
      </x:c>
      <x:c r="AC673" s="2" t="n">
        <x:f>COUNTIF($A$2:$A$1921,A673)-1</x:f>
        <x:v>0</x:v>
      </x:c>
      <x:c r="AD673" s="2" t="n">
        <x:f>IF(AND(D673=D672,H673=H672,C673=C672+1),ABS(R673-T672),0)</x:f>
        <x:v>0</x:v>
      </x:c>
    </x:row>
    <x:row r="674" ht="23" customHeight="1">
      <x:c r="A674" s="2" t="str">
        <x:v>DEMO-203-1-13</x:v>
      </x:c>
      <x:c r="B674" s="15" t="d">
        <x:v>2026-07-27T00:00:00.000Z</x:v>
      </x:c>
      <x:c r="C674" s="2" t="n">
        <x:v>13</x:v>
      </x:c>
      <x:c r="D674" s="2" t="str">
        <x:v>DEMO-203</x:v>
      </x:c>
      <x:c r="E674" s="2" t="str">
        <x:v>Tiny Joy Kit</x:v>
      </x:c>
      <x:c r="F674" s="2" t="str">
        <x:v>Gifting</x:v>
      </x:c>
      <x:c r="G674" s="2" t="str">
        <x:v>Stores</x:v>
      </x:c>
      <x:c r="H674" s="2" t="str">
        <x:v>Riverside</x:v>
      </x:c>
      <x:c r="I674" s="2" t="n">
        <x:v>33</x:v>
      </x:c>
      <x:c r="J674" s="2" t="n">
        <x:v>0</x:v>
      </x:c>
      <x:c r="K674" s="2" t="n">
        <x:f>I674-J674</x:f>
        <x:v>33</x:v>
      </x:c>
      <x:c r="L674" s="16" t="n">
        <x:v>22</x:v>
      </x:c>
      <x:c r="M674" s="16" t="n">
        <x:v>19.8</x:v>
      </x:c>
      <x:c r="N674" s="16" t="n">
        <x:v>9.02</x:v>
      </x:c>
      <x:c r="O674" s="16" t="n">
        <x:f>K674*M674</x:f>
        <x:v>653.4</x:v>
      </x:c>
      <x:c r="P674" s="16" t="n">
        <x:f>K674*N674</x:f>
        <x:v>297.65999999999997</x:v>
      </x:c>
      <x:c r="Q674" s="16" t="n">
        <x:f>O674-P674</x:f>
        <x:v>355.74</x:v>
      </x:c>
      <x:c r="R674" s="2" t="n">
        <x:v>70</x:v>
      </x:c>
      <x:c r="S674" s="2" t="n">
        <x:v>71</x:v>
      </x:c>
      <x:c r="T674" s="2" t="n">
        <x:f>R674+S674+J674-I674</x:f>
        <x:v>108</x:v>
      </x:c>
      <x:c r="U674" s="2" t="n">
        <x:v>0</x:v>
      </x:c>
      <x:c r="V674" s="2" t="n">
        <x:v>4</x:v>
      </x:c>
      <x:c r="W674" s="2" t="n">
        <x:v>20</x:v>
      </x:c>
      <x:c r="X674" s="14" t="b">
        <x:v>1</x:v>
      </x:c>
      <x:c r="Y674" s="14" t="b">
        <x:v>0</x:v>
      </x:c>
      <x:c r="Z674" s="2" t="n">
        <x:f>ABS(T674-AA674)</x:f>
        <x:v>0</x:v>
      </x:c>
      <x:c r="AA674" s="2" t="n">
        <x:v>108</x:v>
      </x:c>
      <x:c r="AB674" s="2" t="n">
        <x:f>ABS(K674-W674)</x:f>
        <x:v>13</x:v>
      </x:c>
      <x:c r="AC674" s="2" t="n">
        <x:f>COUNTIF($A$2:$A$1921,A674)-1</x:f>
        <x:v>0</x:v>
      </x:c>
      <x:c r="AD674" s="2" t="n">
        <x:f>IF(AND(D674=D673,H674=H673,C674=C673+1),ABS(R674-T673),0)</x:f>
        <x:v>0</x:v>
      </x:c>
    </x:row>
    <x:row r="675" ht="23" customHeight="1">
      <x:c r="A675" s="2" t="str">
        <x:v>DEMO-203-1-14</x:v>
      </x:c>
      <x:c r="B675" s="15" t="d">
        <x:v>2026-08-03T00:00:00.000Z</x:v>
      </x:c>
      <x:c r="C675" s="2" t="n">
        <x:v>14</x:v>
      </x:c>
      <x:c r="D675" s="2" t="str">
        <x:v>DEMO-203</x:v>
      </x:c>
      <x:c r="E675" s="2" t="str">
        <x:v>Tiny Joy Kit</x:v>
      </x:c>
      <x:c r="F675" s="2" t="str">
        <x:v>Gifting</x:v>
      </x:c>
      <x:c r="G675" s="2" t="str">
        <x:v>Stores</x:v>
      </x:c>
      <x:c r="H675" s="2" t="str">
        <x:v>Riverside</x:v>
      </x:c>
      <x:c r="I675" s="2" t="n">
        <x:v>30</x:v>
      </x:c>
      <x:c r="J675" s="2" t="n">
        <x:v>0</x:v>
      </x:c>
      <x:c r="K675" s="2" t="n">
        <x:f>I675-J675</x:f>
        <x:v>30</x:v>
      </x:c>
      <x:c r="L675" s="16" t="n">
        <x:v>22</x:v>
      </x:c>
      <x:c r="M675" s="16" t="n">
        <x:v>19.8</x:v>
      </x:c>
      <x:c r="N675" s="16" t="n">
        <x:v>9.02</x:v>
      </x:c>
      <x:c r="O675" s="16" t="n">
        <x:f>K675*M675</x:f>
        <x:v>594</x:v>
      </x:c>
      <x:c r="P675" s="16" t="n">
        <x:f>K675*N675</x:f>
        <x:v>270.59999999999997</x:v>
      </x:c>
      <x:c r="Q675" s="16" t="n">
        <x:f>O675-P675</x:f>
        <x:v>323.40000000000003</x:v>
      </x:c>
      <x:c r="R675" s="2" t="n">
        <x:v>108</x:v>
      </x:c>
      <x:c r="S675" s="2" t="n">
        <x:v>0</x:v>
      </x:c>
      <x:c r="T675" s="2" t="n">
        <x:f>R675+S675+J675-I675</x:f>
        <x:v>78</x:v>
      </x:c>
      <x:c r="U675" s="2" t="n">
        <x:v>0</x:v>
      </x:c>
      <x:c r="V675" s="2" t="n">
        <x:v>4</x:v>
      </x:c>
      <x:c r="W675" s="2" t="n">
        <x:v>25</x:v>
      </x:c>
      <x:c r="X675" s="14" t="b">
        <x:v>1</x:v>
      </x:c>
      <x:c r="Y675" s="14" t="b">
        <x:v>0</x:v>
      </x:c>
      <x:c r="Z675" s="2" t="n">
        <x:f>ABS(T675-AA675)</x:f>
        <x:v>0</x:v>
      </x:c>
      <x:c r="AA675" s="2" t="n">
        <x:v>78</x:v>
      </x:c>
      <x:c r="AB675" s="2" t="n">
        <x:f>ABS(K675-W675)</x:f>
        <x:v>5</x:v>
      </x:c>
      <x:c r="AC675" s="2" t="n">
        <x:f>COUNTIF($A$2:$A$1921,A675)-1</x:f>
        <x:v>0</x:v>
      </x:c>
      <x:c r="AD675" s="2" t="n">
        <x:f>IF(AND(D675=D674,H675=H674,C675=C674+1),ABS(R675-T674),0)</x:f>
        <x:v>0</x:v>
      </x:c>
    </x:row>
    <x:row r="676" ht="23" customHeight="1">
      <x:c r="A676" s="2" t="str">
        <x:v>DEMO-203-1-15</x:v>
      </x:c>
      <x:c r="B676" s="15" t="d">
        <x:v>2026-08-10T00:00:00.000Z</x:v>
      </x:c>
      <x:c r="C676" s="2" t="n">
        <x:v>15</x:v>
      </x:c>
      <x:c r="D676" s="2" t="str">
        <x:v>DEMO-203</x:v>
      </x:c>
      <x:c r="E676" s="2" t="str">
        <x:v>Tiny Joy Kit</x:v>
      </x:c>
      <x:c r="F676" s="2" t="str">
        <x:v>Gifting</x:v>
      </x:c>
      <x:c r="G676" s="2" t="str">
        <x:v>Stores</x:v>
      </x:c>
      <x:c r="H676" s="2" t="str">
        <x:v>Riverside</x:v>
      </x:c>
      <x:c r="I676" s="2" t="n">
        <x:v>16</x:v>
      </x:c>
      <x:c r="J676" s="2" t="n">
        <x:v>0</x:v>
      </x:c>
      <x:c r="K676" s="2" t="n">
        <x:f>I676-J676</x:f>
        <x:v>16</x:v>
      </x:c>
      <x:c r="L676" s="16" t="n">
        <x:v>22</x:v>
      </x:c>
      <x:c r="M676" s="16" t="n">
        <x:v>22</x:v>
      </x:c>
      <x:c r="N676" s="16" t="n">
        <x:v>9.02</x:v>
      </x:c>
      <x:c r="O676" s="16" t="n">
        <x:f>K676*M676</x:f>
        <x:v>352</x:v>
      </x:c>
      <x:c r="P676" s="16" t="n">
        <x:f>K676*N676</x:f>
        <x:v>144.32</x:v>
      </x:c>
      <x:c r="Q676" s="16" t="n">
        <x:f>O676-P676</x:f>
        <x:v>207.68</x:v>
      </x:c>
      <x:c r="R676" s="2" t="n">
        <x:v>78</x:v>
      </x:c>
      <x:c r="S676" s="2" t="n">
        <x:v>0</x:v>
      </x:c>
      <x:c r="T676" s="2" t="n">
        <x:f>R676+S676+J676-I676</x:f>
        <x:v>62</x:v>
      </x:c>
      <x:c r="U676" s="2" t="n">
        <x:v>0</x:v>
      </x:c>
      <x:c r="V676" s="2" t="n">
        <x:v>4</x:v>
      </x:c>
      <x:c r="W676" s="2" t="n">
        <x:v>28</x:v>
      </x:c>
      <x:c r="X676" s="14" t="b">
        <x:v>0</x:v>
      </x:c>
      <x:c r="Y676" s="14" t="b">
        <x:v>0</x:v>
      </x:c>
      <x:c r="Z676" s="2" t="n">
        <x:f>ABS(T676-AA676)</x:f>
        <x:v>0</x:v>
      </x:c>
      <x:c r="AA676" s="2" t="n">
        <x:v>62</x:v>
      </x:c>
      <x:c r="AB676" s="2" t="n">
        <x:f>ABS(K676-W676)</x:f>
        <x:v>12</x:v>
      </x:c>
      <x:c r="AC676" s="2" t="n">
        <x:f>COUNTIF($A$2:$A$1921,A676)-1</x:f>
        <x:v>0</x:v>
      </x:c>
      <x:c r="AD676" s="2" t="n">
        <x:f>IF(AND(D676=D675,H676=H675,C676=C675+1),ABS(R676-T675),0)</x:f>
        <x:v>0</x:v>
      </x:c>
    </x:row>
    <x:row r="677" ht="23" customHeight="1">
      <x:c r="A677" s="2" t="str">
        <x:v>DEMO-203-1-16</x:v>
      </x:c>
      <x:c r="B677" s="15" t="d">
        <x:v>2026-08-17T00:00:00.000Z</x:v>
      </x:c>
      <x:c r="C677" s="2" t="n">
        <x:v>16</x:v>
      </x:c>
      <x:c r="D677" s="2" t="str">
        <x:v>DEMO-203</x:v>
      </x:c>
      <x:c r="E677" s="2" t="str">
        <x:v>Tiny Joy Kit</x:v>
      </x:c>
      <x:c r="F677" s="2" t="str">
        <x:v>Gifting</x:v>
      </x:c>
      <x:c r="G677" s="2" t="str">
        <x:v>Stores</x:v>
      </x:c>
      <x:c r="H677" s="2" t="str">
        <x:v>Riverside</x:v>
      </x:c>
      <x:c r="I677" s="2" t="n">
        <x:v>14</x:v>
      </x:c>
      <x:c r="J677" s="2" t="n">
        <x:v>0</x:v>
      </x:c>
      <x:c r="K677" s="2" t="n">
        <x:f>I677-J677</x:f>
        <x:v>14</x:v>
      </x:c>
      <x:c r="L677" s="16" t="n">
        <x:v>22</x:v>
      </x:c>
      <x:c r="M677" s="16" t="n">
        <x:v>22</x:v>
      </x:c>
      <x:c r="N677" s="16" t="n">
        <x:v>9.02</x:v>
      </x:c>
      <x:c r="O677" s="16" t="n">
        <x:f>K677*M677</x:f>
        <x:v>308</x:v>
      </x:c>
      <x:c r="P677" s="16" t="n">
        <x:f>K677*N677</x:f>
        <x:v>126.28</x:v>
      </x:c>
      <x:c r="Q677" s="16" t="n">
        <x:f>O677-P677</x:f>
        <x:v>181.72</x:v>
      </x:c>
      <x:c r="R677" s="2" t="n">
        <x:v>62</x:v>
      </x:c>
      <x:c r="S677" s="2" t="n">
        <x:v>0</x:v>
      </x:c>
      <x:c r="T677" s="2" t="n">
        <x:f>R677+S677+J677-I677</x:f>
        <x:v>48</x:v>
      </x:c>
      <x:c r="U677" s="2" t="n">
        <x:v>0</x:v>
      </x:c>
      <x:c r="V677" s="2" t="n">
        <x:v>4</x:v>
      </x:c>
      <x:c r="W677" s="2" t="n">
        <x:v>28</x:v>
      </x:c>
      <x:c r="X677" s="14" t="b">
        <x:v>0</x:v>
      </x:c>
      <x:c r="Y677" s="14" t="b">
        <x:v>0</x:v>
      </x:c>
      <x:c r="Z677" s="2" t="n">
        <x:f>ABS(T677-AA677)</x:f>
        <x:v>0</x:v>
      </x:c>
      <x:c r="AA677" s="2" t="n">
        <x:v>48</x:v>
      </x:c>
      <x:c r="AB677" s="2" t="n">
        <x:f>ABS(K677-W677)</x:f>
        <x:v>14</x:v>
      </x:c>
      <x:c r="AC677" s="2" t="n">
        <x:f>COUNTIF($A$2:$A$1921,A677)-1</x:f>
        <x:v>0</x:v>
      </x:c>
      <x:c r="AD677" s="2" t="n">
        <x:f>IF(AND(D677=D676,H677=H676,C677=C676+1),ABS(R677-T676),0)</x:f>
        <x:v>0</x:v>
      </x:c>
    </x:row>
    <x:row r="678" ht="23" customHeight="1">
      <x:c r="A678" s="2" t="str">
        <x:v>DEMO-203-1-17</x:v>
      </x:c>
      <x:c r="B678" s="15" t="d">
        <x:v>2026-08-24T00:00:00.000Z</x:v>
      </x:c>
      <x:c r="C678" s="2" t="n">
        <x:v>17</x:v>
      </x:c>
      <x:c r="D678" s="2" t="str">
        <x:v>DEMO-203</x:v>
      </x:c>
      <x:c r="E678" s="2" t="str">
        <x:v>Tiny Joy Kit</x:v>
      </x:c>
      <x:c r="F678" s="2" t="str">
        <x:v>Gifting</x:v>
      </x:c>
      <x:c r="G678" s="2" t="str">
        <x:v>Stores</x:v>
      </x:c>
      <x:c r="H678" s="2" t="str">
        <x:v>Riverside</x:v>
      </x:c>
      <x:c r="I678" s="2" t="n">
        <x:v>14</x:v>
      </x:c>
      <x:c r="J678" s="2" t="n">
        <x:v>0</x:v>
      </x:c>
      <x:c r="K678" s="2" t="n">
        <x:f>I678-J678</x:f>
        <x:v>14</x:v>
      </x:c>
      <x:c r="L678" s="16" t="n">
        <x:v>22</x:v>
      </x:c>
      <x:c r="M678" s="16" t="n">
        <x:v>22</x:v>
      </x:c>
      <x:c r="N678" s="16" t="n">
        <x:v>9.02</x:v>
      </x:c>
      <x:c r="O678" s="16" t="n">
        <x:f>K678*M678</x:f>
        <x:v>308</x:v>
      </x:c>
      <x:c r="P678" s="16" t="n">
        <x:f>K678*N678</x:f>
        <x:v>126.28</x:v>
      </x:c>
      <x:c r="Q678" s="16" t="n">
        <x:f>O678-P678</x:f>
        <x:v>181.72</x:v>
      </x:c>
      <x:c r="R678" s="2" t="n">
        <x:v>48</x:v>
      </x:c>
      <x:c r="S678" s="2" t="n">
        <x:v>71</x:v>
      </x:c>
      <x:c r="T678" s="2" t="n">
        <x:f>R678+S678+J678-I678</x:f>
        <x:v>105</x:v>
      </x:c>
      <x:c r="U678" s="2" t="n">
        <x:v>0</x:v>
      </x:c>
      <x:c r="V678" s="2" t="n">
        <x:v>4</x:v>
      </x:c>
      <x:c r="W678" s="2" t="n">
        <x:v>23</x:v>
      </x:c>
      <x:c r="X678" s="14" t="b">
        <x:v>0</x:v>
      </x:c>
      <x:c r="Y678" s="14" t="b">
        <x:v>0</x:v>
      </x:c>
      <x:c r="Z678" s="2" t="n">
        <x:f>ABS(T678-AA678)</x:f>
        <x:v>0</x:v>
      </x:c>
      <x:c r="AA678" s="2" t="n">
        <x:v>105</x:v>
      </x:c>
      <x:c r="AB678" s="2" t="n">
        <x:f>ABS(K678-W678)</x:f>
        <x:v>9</x:v>
      </x:c>
      <x:c r="AC678" s="2" t="n">
        <x:f>COUNTIF($A$2:$A$1921,A678)-1</x:f>
        <x:v>0</x:v>
      </x:c>
      <x:c r="AD678" s="2" t="n">
        <x:f>IF(AND(D678=D677,H678=H677,C678=C677+1),ABS(R678-T677),0)</x:f>
        <x:v>0</x:v>
      </x:c>
    </x:row>
    <x:row r="679" ht="23" customHeight="1">
      <x:c r="A679" s="2" t="str">
        <x:v>DEMO-203-1-18</x:v>
      </x:c>
      <x:c r="B679" s="15" t="d">
        <x:v>2026-08-31T00:00:00.000Z</x:v>
      </x:c>
      <x:c r="C679" s="2" t="n">
        <x:v>18</x:v>
      </x:c>
      <x:c r="D679" s="2" t="str">
        <x:v>DEMO-203</x:v>
      </x:c>
      <x:c r="E679" s="2" t="str">
        <x:v>Tiny Joy Kit</x:v>
      </x:c>
      <x:c r="F679" s="2" t="str">
        <x:v>Gifting</x:v>
      </x:c>
      <x:c r="G679" s="2" t="str">
        <x:v>Stores</x:v>
      </x:c>
      <x:c r="H679" s="2" t="str">
        <x:v>Riverside</x:v>
      </x:c>
      <x:c r="I679" s="2" t="n">
        <x:v>15</x:v>
      </x:c>
      <x:c r="J679" s="2" t="n">
        <x:v>1</x:v>
      </x:c>
      <x:c r="K679" s="2" t="n">
        <x:f>I679-J679</x:f>
        <x:v>14</x:v>
      </x:c>
      <x:c r="L679" s="16" t="n">
        <x:v>22</x:v>
      </x:c>
      <x:c r="M679" s="16" t="n">
        <x:v>22</x:v>
      </x:c>
      <x:c r="N679" s="16" t="n">
        <x:v>9.02</x:v>
      </x:c>
      <x:c r="O679" s="16" t="n">
        <x:f>K679*M679</x:f>
        <x:v>308</x:v>
      </x:c>
      <x:c r="P679" s="16" t="n">
        <x:f>K679*N679</x:f>
        <x:v>126.28</x:v>
      </x:c>
      <x:c r="Q679" s="16" t="n">
        <x:f>O679-P679</x:f>
        <x:v>181.72</x:v>
      </x:c>
      <x:c r="R679" s="2" t="n">
        <x:v>105</x:v>
      </x:c>
      <x:c r="S679" s="2" t="n">
        <x:v>0</x:v>
      </x:c>
      <x:c r="T679" s="2" t="n">
        <x:f>R679+S679+J679-I679</x:f>
        <x:v>91</x:v>
      </x:c>
      <x:c r="U679" s="2" t="n">
        <x:v>0</x:v>
      </x:c>
      <x:c r="V679" s="2" t="n">
        <x:v>4</x:v>
      </x:c>
      <x:c r="W679" s="2" t="n">
        <x:v>19</x:v>
      </x:c>
      <x:c r="X679" s="14" t="b">
        <x:v>0</x:v>
      </x:c>
      <x:c r="Y679" s="14" t="b">
        <x:v>0</x:v>
      </x:c>
      <x:c r="Z679" s="2" t="n">
        <x:f>ABS(T679-AA679)</x:f>
        <x:v>0</x:v>
      </x:c>
      <x:c r="AA679" s="2" t="n">
        <x:v>91</x:v>
      </x:c>
      <x:c r="AB679" s="2" t="n">
        <x:f>ABS(K679-W679)</x:f>
        <x:v>5</x:v>
      </x:c>
      <x:c r="AC679" s="2" t="n">
        <x:f>COUNTIF($A$2:$A$1921,A679)-1</x:f>
        <x:v>0</x:v>
      </x:c>
      <x:c r="AD679" s="2" t="n">
        <x:f>IF(AND(D679=D678,H679=H678,C679=C678+1),ABS(R679-T678),0)</x:f>
        <x:v>0</x:v>
      </x:c>
    </x:row>
    <x:row r="680" ht="23" customHeight="1">
      <x:c r="A680" s="2" t="str">
        <x:v>DEMO-203-1-19</x:v>
      </x:c>
      <x:c r="B680" s="15" t="d">
        <x:v>2026-09-07T00:00:00.000Z</x:v>
      </x:c>
      <x:c r="C680" s="2" t="n">
        <x:v>19</x:v>
      </x:c>
      <x:c r="D680" s="2" t="str">
        <x:v>DEMO-203</x:v>
      </x:c>
      <x:c r="E680" s="2" t="str">
        <x:v>Tiny Joy Kit</x:v>
      </x:c>
      <x:c r="F680" s="2" t="str">
        <x:v>Gifting</x:v>
      </x:c>
      <x:c r="G680" s="2" t="str">
        <x:v>Stores</x:v>
      </x:c>
      <x:c r="H680" s="2" t="str">
        <x:v>Riverside</x:v>
      </x:c>
      <x:c r="I680" s="2" t="n">
        <x:v>20</x:v>
      </x:c>
      <x:c r="J680" s="2" t="n">
        <x:v>1</x:v>
      </x:c>
      <x:c r="K680" s="2" t="n">
        <x:f>I680-J680</x:f>
        <x:v>19</x:v>
      </x:c>
      <x:c r="L680" s="16" t="n">
        <x:v>22</x:v>
      </x:c>
      <x:c r="M680" s="16" t="n">
        <x:v>22</x:v>
      </x:c>
      <x:c r="N680" s="16" t="n">
        <x:v>9.02</x:v>
      </x:c>
      <x:c r="O680" s="16" t="n">
        <x:f>K680*M680</x:f>
        <x:v>418</x:v>
      </x:c>
      <x:c r="P680" s="16" t="n">
        <x:f>K680*N680</x:f>
        <x:v>171.38</x:v>
      </x:c>
      <x:c r="Q680" s="16" t="n">
        <x:f>O680-P680</x:f>
        <x:v>246.62</x:v>
      </x:c>
      <x:c r="R680" s="2" t="n">
        <x:v>91</x:v>
      </x:c>
      <x:c r="S680" s="2" t="n">
        <x:v>0</x:v>
      </x:c>
      <x:c r="T680" s="2" t="n">
        <x:f>R680+S680+J680-I680</x:f>
        <x:v>72</x:v>
      </x:c>
      <x:c r="U680" s="2" t="n">
        <x:v>0</x:v>
      </x:c>
      <x:c r="V680" s="2" t="n">
        <x:v>4</x:v>
      </x:c>
      <x:c r="W680" s="2" t="n">
        <x:v>15</x:v>
      </x:c>
      <x:c r="X680" s="14" t="b">
        <x:v>0</x:v>
      </x:c>
      <x:c r="Y680" s="14" t="b">
        <x:v>0</x:v>
      </x:c>
      <x:c r="Z680" s="2" t="n">
        <x:f>ABS(T680-AA680)</x:f>
        <x:v>0</x:v>
      </x:c>
      <x:c r="AA680" s="2" t="n">
        <x:v>72</x:v>
      </x:c>
      <x:c r="AB680" s="2" t="n">
        <x:f>ABS(K680-W680)</x:f>
        <x:v>4</x:v>
      </x:c>
      <x:c r="AC680" s="2" t="n">
        <x:f>COUNTIF($A$2:$A$1921,A680)-1</x:f>
        <x:v>0</x:v>
      </x:c>
      <x:c r="AD680" s="2" t="n">
        <x:f>IF(AND(D680=D679,H680=H679,C680=C679+1),ABS(R680-T679),0)</x:f>
        <x:v>0</x:v>
      </x:c>
    </x:row>
    <x:row r="681" ht="23" customHeight="1">
      <x:c r="A681" s="2" t="str">
        <x:v>DEMO-203-1-20</x:v>
      </x:c>
      <x:c r="B681" s="15" t="d">
        <x:v>2026-09-14T00:00:00.000Z</x:v>
      </x:c>
      <x:c r="C681" s="2" t="n">
        <x:v>20</x:v>
      </x:c>
      <x:c r="D681" s="2" t="str">
        <x:v>DEMO-203</x:v>
      </x:c>
      <x:c r="E681" s="2" t="str">
        <x:v>Tiny Joy Kit</x:v>
      </x:c>
      <x:c r="F681" s="2" t="str">
        <x:v>Gifting</x:v>
      </x:c>
      <x:c r="G681" s="2" t="str">
        <x:v>Stores</x:v>
      </x:c>
      <x:c r="H681" s="2" t="str">
        <x:v>Riverside</x:v>
      </x:c>
      <x:c r="I681" s="2" t="n">
        <x:v>15</x:v>
      </x:c>
      <x:c r="J681" s="2" t="n">
        <x:v>0</x:v>
      </x:c>
      <x:c r="K681" s="2" t="n">
        <x:f>I681-J681</x:f>
        <x:v>15</x:v>
      </x:c>
      <x:c r="L681" s="16" t="n">
        <x:v>22</x:v>
      </x:c>
      <x:c r="M681" s="16" t="n">
        <x:v>22</x:v>
      </x:c>
      <x:c r="N681" s="16" t="n">
        <x:v>9.02</x:v>
      </x:c>
      <x:c r="O681" s="16" t="n">
        <x:f>K681*M681</x:f>
        <x:v>330</x:v>
      </x:c>
      <x:c r="P681" s="16" t="n">
        <x:f>K681*N681</x:f>
        <x:v>135.29999999999998</x:v>
      </x:c>
      <x:c r="Q681" s="16" t="n">
        <x:f>O681-P681</x:f>
        <x:v>194.70000000000002</x:v>
      </x:c>
      <x:c r="R681" s="2" t="n">
        <x:v>72</x:v>
      </x:c>
      <x:c r="S681" s="2" t="n">
        <x:v>0</x:v>
      </x:c>
      <x:c r="T681" s="2" t="n">
        <x:f>R681+S681+J681-I681</x:f>
        <x:v>57</x:v>
      </x:c>
      <x:c r="U681" s="2" t="n">
        <x:v>18</x:v>
      </x:c>
      <x:c r="V681" s="2" t="n">
        <x:v>4</x:v>
      </x:c>
      <x:c r="W681" s="2" t="n">
        <x:v>15</x:v>
      </x:c>
      <x:c r="X681" s="14" t="b">
        <x:v>0</x:v>
      </x:c>
      <x:c r="Y681" s="14" t="b">
        <x:v>0</x:v>
      </x:c>
      <x:c r="Z681" s="2" t="n">
        <x:f>ABS(T681-AA681)</x:f>
        <x:v>0</x:v>
      </x:c>
      <x:c r="AA681" s="2" t="n">
        <x:v>57</x:v>
      </x:c>
      <x:c r="AB681" s="2" t="n">
        <x:f>ABS(K681-W681)</x:f>
        <x:v>0</x:v>
      </x:c>
      <x:c r="AC681" s="2" t="n">
        <x:f>COUNTIF($A$2:$A$1921,A681)-1</x:f>
        <x:v>0</x:v>
      </x:c>
      <x:c r="AD681" s="2" t="n">
        <x:f>IF(AND(D681=D680,H681=H680,C681=C680+1),ABS(R681-T680),0)</x:f>
        <x:v>0</x:v>
      </x:c>
    </x:row>
    <x:row r="682" ht="23" customHeight="1">
      <x:c r="A682" s="2" t="str">
        <x:v>DEMO-203-2-1</x:v>
      </x:c>
      <x:c r="B682" s="15" t="d">
        <x:v>2026-05-04T00:00:00.000Z</x:v>
      </x:c>
      <x:c r="C682" s="2" t="n">
        <x:v>1</x:v>
      </x:c>
      <x:c r="D682" s="2" t="str">
        <x:v>DEMO-203</x:v>
      </x:c>
      <x:c r="E682" s="2" t="str">
        <x:v>Tiny Joy Kit</x:v>
      </x:c>
      <x:c r="F682" s="2" t="str">
        <x:v>Gifting</x:v>
      </x:c>
      <x:c r="G682" s="2" t="str">
        <x:v>Stores</x:v>
      </x:c>
      <x:c r="H682" s="2" t="str">
        <x:v>Central Market</x:v>
      </x:c>
      <x:c r="I682" s="2" t="n">
        <x:v>18</x:v>
      </x:c>
      <x:c r="J682" s="2" t="n">
        <x:v>0</x:v>
      </x:c>
      <x:c r="K682" s="2" t="n">
        <x:f>I682-J682</x:f>
        <x:v>18</x:v>
      </x:c>
      <x:c r="L682" s="16" t="n">
        <x:v>22</x:v>
      </x:c>
      <x:c r="M682" s="16" t="n">
        <x:v>22</x:v>
      </x:c>
      <x:c r="N682" s="16" t="n">
        <x:v>9.02</x:v>
      </x:c>
      <x:c r="O682" s="16" t="n">
        <x:f>K682*M682</x:f>
        <x:v>396</x:v>
      </x:c>
      <x:c r="P682" s="16" t="n">
        <x:f>K682*N682</x:f>
        <x:v>162.35999999999999</x:v>
      </x:c>
      <x:c r="Q682" s="16" t="n">
        <x:f>O682-P682</x:f>
        <x:v>233.64000000000001</x:v>
      </x:c>
      <x:c r="R682" s="2" t="n">
        <x:v>90</x:v>
      </x:c>
      <x:c r="S682" s="2" t="n">
        <x:v>71</x:v>
      </x:c>
      <x:c r="T682" s="2" t="n">
        <x:f>R682+S682+J682-I682</x:f>
        <x:v>143</x:v>
      </x:c>
      <x:c r="U682" s="2" t="n">
        <x:v>0</x:v>
      </x:c>
      <x:c r="V682" s="2" t="n">
        <x:v>4</x:v>
      </x:c>
      <x:c r="W682" s="2" t="n">
        <x:v>17</x:v>
      </x:c>
      <x:c r="X682" s="14" t="b">
        <x:v>0</x:v>
      </x:c>
      <x:c r="Y682" s="14" t="b">
        <x:v>0</x:v>
      </x:c>
      <x:c r="Z682" s="2" t="n">
        <x:f>ABS(T682-AA682)</x:f>
        <x:v>0</x:v>
      </x:c>
      <x:c r="AA682" s="2" t="n">
        <x:v>143</x:v>
      </x:c>
      <x:c r="AB682" s="2" t="n">
        <x:f>ABS(K682-W682)</x:f>
        <x:v>1</x:v>
      </x:c>
      <x:c r="AC682" s="2" t="n">
        <x:f>COUNTIF($A$2:$A$1921,A682)-1</x:f>
        <x:v>0</x:v>
      </x:c>
      <x:c r="AD682" s="2" t="n">
        <x:f>IF(AND(D682=D681,H682=H681,C682=C681+1),ABS(R682-T681),0)</x:f>
        <x:v>0</x:v>
      </x:c>
    </x:row>
    <x:row r="683" ht="23" customHeight="1">
      <x:c r="A683" s="2" t="str">
        <x:v>DEMO-203-2-2</x:v>
      </x:c>
      <x:c r="B683" s="15" t="d">
        <x:v>2026-05-11T00:00:00.000Z</x:v>
      </x:c>
      <x:c r="C683" s="2" t="n">
        <x:v>2</x:v>
      </x:c>
      <x:c r="D683" s="2" t="str">
        <x:v>DEMO-203</x:v>
      </x:c>
      <x:c r="E683" s="2" t="str">
        <x:v>Tiny Joy Kit</x:v>
      </x:c>
      <x:c r="F683" s="2" t="str">
        <x:v>Gifting</x:v>
      </x:c>
      <x:c r="G683" s="2" t="str">
        <x:v>Stores</x:v>
      </x:c>
      <x:c r="H683" s="2" t="str">
        <x:v>Central Market</x:v>
      </x:c>
      <x:c r="I683" s="2" t="n">
        <x:v>15</x:v>
      </x:c>
      <x:c r="J683" s="2" t="n">
        <x:v>1</x:v>
      </x:c>
      <x:c r="K683" s="2" t="n">
        <x:f>I683-J683</x:f>
        <x:v>14</x:v>
      </x:c>
      <x:c r="L683" s="16" t="n">
        <x:v>22</x:v>
      </x:c>
      <x:c r="M683" s="16" t="n">
        <x:v>22</x:v>
      </x:c>
      <x:c r="N683" s="16" t="n">
        <x:v>9.02</x:v>
      </x:c>
      <x:c r="O683" s="16" t="n">
        <x:f>K683*M683</x:f>
        <x:v>308</x:v>
      </x:c>
      <x:c r="P683" s="16" t="n">
        <x:f>K683*N683</x:f>
        <x:v>126.28</x:v>
      </x:c>
      <x:c r="Q683" s="16" t="n">
        <x:f>O683-P683</x:f>
        <x:v>181.72</x:v>
      </x:c>
      <x:c r="R683" s="2" t="n">
        <x:v>143</x:v>
      </x:c>
      <x:c r="S683" s="2" t="n">
        <x:v>0</x:v>
      </x:c>
      <x:c r="T683" s="2" t="n">
        <x:f>R683+S683+J683-I683</x:f>
        <x:v>129</x:v>
      </x:c>
      <x:c r="U683" s="2" t="n">
        <x:v>0</x:v>
      </x:c>
      <x:c r="V683" s="2" t="n">
        <x:v>4</x:v>
      </x:c>
      <x:c r="W683" s="2" t="n">
        <x:v>18</x:v>
      </x:c>
      <x:c r="X683" s="14" t="b">
        <x:v>0</x:v>
      </x:c>
      <x:c r="Y683" s="14" t="b">
        <x:v>0</x:v>
      </x:c>
      <x:c r="Z683" s="2" t="n">
        <x:f>ABS(T683-AA683)</x:f>
        <x:v>0</x:v>
      </x:c>
      <x:c r="AA683" s="2" t="n">
        <x:v>129</x:v>
      </x:c>
      <x:c r="AB683" s="2" t="n">
        <x:f>ABS(K683-W683)</x:f>
        <x:v>4</x:v>
      </x:c>
      <x:c r="AC683" s="2" t="n">
        <x:f>COUNTIF($A$2:$A$1921,A683)-1</x:f>
        <x:v>0</x:v>
      </x:c>
      <x:c r="AD683" s="2" t="n">
        <x:f>IF(AND(D683=D682,H683=H682,C683=C682+1),ABS(R683-T682),0)</x:f>
        <x:v>0</x:v>
      </x:c>
    </x:row>
    <x:row r="684" ht="23" customHeight="1">
      <x:c r="A684" s="2" t="str">
        <x:v>DEMO-203-2-3</x:v>
      </x:c>
      <x:c r="B684" s="15" t="d">
        <x:v>2026-05-18T00:00:00.000Z</x:v>
      </x:c>
      <x:c r="C684" s="2" t="n">
        <x:v>3</x:v>
      </x:c>
      <x:c r="D684" s="2" t="str">
        <x:v>DEMO-203</x:v>
      </x:c>
      <x:c r="E684" s="2" t="str">
        <x:v>Tiny Joy Kit</x:v>
      </x:c>
      <x:c r="F684" s="2" t="str">
        <x:v>Gifting</x:v>
      </x:c>
      <x:c r="G684" s="2" t="str">
        <x:v>Stores</x:v>
      </x:c>
      <x:c r="H684" s="2" t="str">
        <x:v>Central Market</x:v>
      </x:c>
      <x:c r="I684" s="2" t="n">
        <x:v>16</x:v>
      </x:c>
      <x:c r="J684" s="2" t="n">
        <x:v>0</x:v>
      </x:c>
      <x:c r="K684" s="2" t="n">
        <x:f>I684-J684</x:f>
        <x:v>16</x:v>
      </x:c>
      <x:c r="L684" s="16" t="n">
        <x:v>22</x:v>
      </x:c>
      <x:c r="M684" s="16" t="n">
        <x:v>22</x:v>
      </x:c>
      <x:c r="N684" s="16" t="n">
        <x:v>9.02</x:v>
      </x:c>
      <x:c r="O684" s="16" t="n">
        <x:f>K684*M684</x:f>
        <x:v>352</x:v>
      </x:c>
      <x:c r="P684" s="16" t="n">
        <x:f>K684*N684</x:f>
        <x:v>144.32</x:v>
      </x:c>
      <x:c r="Q684" s="16" t="n">
        <x:f>O684-P684</x:f>
        <x:v>207.68</x:v>
      </x:c>
      <x:c r="R684" s="2" t="n">
        <x:v>129</x:v>
      </x:c>
      <x:c r="S684" s="2" t="n">
        <x:v>0</x:v>
      </x:c>
      <x:c r="T684" s="2" t="n">
        <x:f>R684+S684+J684-I684</x:f>
        <x:v>113</x:v>
      </x:c>
      <x:c r="U684" s="2" t="n">
        <x:v>0</x:v>
      </x:c>
      <x:c r="V684" s="2" t="n">
        <x:v>4</x:v>
      </x:c>
      <x:c r="W684" s="2" t="n">
        <x:v>16</x:v>
      </x:c>
      <x:c r="X684" s="14" t="b">
        <x:v>0</x:v>
      </x:c>
      <x:c r="Y684" s="14" t="b">
        <x:v>0</x:v>
      </x:c>
      <x:c r="Z684" s="2" t="n">
        <x:f>ABS(T684-AA684)</x:f>
        <x:v>0</x:v>
      </x:c>
      <x:c r="AA684" s="2" t="n">
        <x:v>113</x:v>
      </x:c>
      <x:c r="AB684" s="2" t="n">
        <x:f>ABS(K684-W684)</x:f>
        <x:v>0</x:v>
      </x:c>
      <x:c r="AC684" s="2" t="n">
        <x:f>COUNTIF($A$2:$A$1921,A684)-1</x:f>
        <x:v>0</x:v>
      </x:c>
      <x:c r="AD684" s="2" t="n">
        <x:f>IF(AND(D684=D683,H684=H683,C684=C683+1),ABS(R684-T683),0)</x:f>
        <x:v>0</x:v>
      </x:c>
    </x:row>
    <x:row r="685" ht="23" customHeight="1">
      <x:c r="A685" s="2" t="str">
        <x:v>DEMO-203-2-4</x:v>
      </x:c>
      <x:c r="B685" s="15" t="d">
        <x:v>2026-05-25T00:00:00.000Z</x:v>
      </x:c>
      <x:c r="C685" s="2" t="n">
        <x:v>4</x:v>
      </x:c>
      <x:c r="D685" s="2" t="str">
        <x:v>DEMO-203</x:v>
      </x:c>
      <x:c r="E685" s="2" t="str">
        <x:v>Tiny Joy Kit</x:v>
      </x:c>
      <x:c r="F685" s="2" t="str">
        <x:v>Gifting</x:v>
      </x:c>
      <x:c r="G685" s="2" t="str">
        <x:v>Stores</x:v>
      </x:c>
      <x:c r="H685" s="2" t="str">
        <x:v>Central Market</x:v>
      </x:c>
      <x:c r="I685" s="2" t="n">
        <x:v>20</x:v>
      </x:c>
      <x:c r="J685" s="2" t="n">
        <x:v>0</x:v>
      </x:c>
      <x:c r="K685" s="2" t="n">
        <x:f>I685-J685</x:f>
        <x:v>20</x:v>
      </x:c>
      <x:c r="L685" s="16" t="n">
        <x:v>22</x:v>
      </x:c>
      <x:c r="M685" s="16" t="n">
        <x:v>22</x:v>
      </x:c>
      <x:c r="N685" s="16" t="n">
        <x:v>9.02</x:v>
      </x:c>
      <x:c r="O685" s="16" t="n">
        <x:f>K685*M685</x:f>
        <x:v>440</x:v>
      </x:c>
      <x:c r="P685" s="16" t="n">
        <x:f>K685*N685</x:f>
        <x:v>180.39999999999998</x:v>
      </x:c>
      <x:c r="Q685" s="16" t="n">
        <x:f>O685-P685</x:f>
        <x:v>259.6</x:v>
      </x:c>
      <x:c r="R685" s="2" t="n">
        <x:v>113</x:v>
      </x:c>
      <x:c r="S685" s="2" t="n">
        <x:v>0</x:v>
      </x:c>
      <x:c r="T685" s="2" t="n">
        <x:f>R685+S685+J685-I685</x:f>
        <x:v>93</x:v>
      </x:c>
      <x:c r="U685" s="2" t="n">
        <x:v>0</x:v>
      </x:c>
      <x:c r="V685" s="2" t="n">
        <x:v>4</x:v>
      </x:c>
      <x:c r="W685" s="2" t="n">
        <x:v>16</x:v>
      </x:c>
      <x:c r="X685" s="14" t="b">
        <x:v>0</x:v>
      </x:c>
      <x:c r="Y685" s="14" t="b">
        <x:v>0</x:v>
      </x:c>
      <x:c r="Z685" s="2" t="n">
        <x:f>ABS(T685-AA685)</x:f>
        <x:v>0</x:v>
      </x:c>
      <x:c r="AA685" s="2" t="n">
        <x:v>93</x:v>
      </x:c>
      <x:c r="AB685" s="2" t="n">
        <x:f>ABS(K685-W685)</x:f>
        <x:v>4</x:v>
      </x:c>
      <x:c r="AC685" s="2" t="n">
        <x:f>COUNTIF($A$2:$A$1921,A685)-1</x:f>
        <x:v>0</x:v>
      </x:c>
      <x:c r="AD685" s="2" t="n">
        <x:f>IF(AND(D685=D684,H685=H684,C685=C684+1),ABS(R685-T684),0)</x:f>
        <x:v>0</x:v>
      </x:c>
    </x:row>
    <x:row r="686" ht="23" customHeight="1">
      <x:c r="A686" s="2" t="str">
        <x:v>DEMO-203-2-5</x:v>
      </x:c>
      <x:c r="B686" s="15" t="d">
        <x:v>2026-06-01T00:00:00.000Z</x:v>
      </x:c>
      <x:c r="C686" s="2" t="n">
        <x:v>5</x:v>
      </x:c>
      <x:c r="D686" s="2" t="str">
        <x:v>DEMO-203</x:v>
      </x:c>
      <x:c r="E686" s="2" t="str">
        <x:v>Tiny Joy Kit</x:v>
      </x:c>
      <x:c r="F686" s="2" t="str">
        <x:v>Gifting</x:v>
      </x:c>
      <x:c r="G686" s="2" t="str">
        <x:v>Stores</x:v>
      </x:c>
      <x:c r="H686" s="2" t="str">
        <x:v>Central Market</x:v>
      </x:c>
      <x:c r="I686" s="2" t="n">
        <x:v>15</x:v>
      </x:c>
      <x:c r="J686" s="2" t="n">
        <x:v>1</x:v>
      </x:c>
      <x:c r="K686" s="2" t="n">
        <x:f>I686-J686</x:f>
        <x:v>14</x:v>
      </x:c>
      <x:c r="L686" s="16" t="n">
        <x:v>22</x:v>
      </x:c>
      <x:c r="M686" s="16" t="n">
        <x:v>22</x:v>
      </x:c>
      <x:c r="N686" s="16" t="n">
        <x:v>9.02</x:v>
      </x:c>
      <x:c r="O686" s="16" t="n">
        <x:f>K686*M686</x:f>
        <x:v>308</x:v>
      </x:c>
      <x:c r="P686" s="16" t="n">
        <x:f>K686*N686</x:f>
        <x:v>126.28</x:v>
      </x:c>
      <x:c r="Q686" s="16" t="n">
        <x:f>O686-P686</x:f>
        <x:v>181.72</x:v>
      </x:c>
      <x:c r="R686" s="2" t="n">
        <x:v>93</x:v>
      </x:c>
      <x:c r="S686" s="2" t="n">
        <x:v>71</x:v>
      </x:c>
      <x:c r="T686" s="2" t="n">
        <x:f>R686+S686+J686-I686</x:f>
        <x:v>150</x:v>
      </x:c>
      <x:c r="U686" s="2" t="n">
        <x:v>0</x:v>
      </x:c>
      <x:c r="V686" s="2" t="n">
        <x:v>4</x:v>
      </x:c>
      <x:c r="W686" s="2" t="n">
        <x:v>17</x:v>
      </x:c>
      <x:c r="X686" s="14" t="b">
        <x:v>0</x:v>
      </x:c>
      <x:c r="Y686" s="14" t="b">
        <x:v>0</x:v>
      </x:c>
      <x:c r="Z686" s="2" t="n">
        <x:f>ABS(T686-AA686)</x:f>
        <x:v>0</x:v>
      </x:c>
      <x:c r="AA686" s="2" t="n">
        <x:v>150</x:v>
      </x:c>
      <x:c r="AB686" s="2" t="n">
        <x:f>ABS(K686-W686)</x:f>
        <x:v>3</x:v>
      </x:c>
      <x:c r="AC686" s="2" t="n">
        <x:f>COUNTIF($A$2:$A$1921,A686)-1</x:f>
        <x:v>0</x:v>
      </x:c>
      <x:c r="AD686" s="2" t="n">
        <x:f>IF(AND(D686=D685,H686=H685,C686=C685+1),ABS(R686-T685),0)</x:f>
        <x:v>0</x:v>
      </x:c>
    </x:row>
    <x:row r="687" ht="23" customHeight="1">
      <x:c r="A687" s="2" t="str">
        <x:v>DEMO-203-2-6</x:v>
      </x:c>
      <x:c r="B687" s="15" t="d">
        <x:v>2026-06-08T00:00:00.000Z</x:v>
      </x:c>
      <x:c r="C687" s="2" t="n">
        <x:v>6</x:v>
      </x:c>
      <x:c r="D687" s="2" t="str">
        <x:v>DEMO-203</x:v>
      </x:c>
      <x:c r="E687" s="2" t="str">
        <x:v>Tiny Joy Kit</x:v>
      </x:c>
      <x:c r="F687" s="2" t="str">
        <x:v>Gifting</x:v>
      </x:c>
      <x:c r="G687" s="2" t="str">
        <x:v>Stores</x:v>
      </x:c>
      <x:c r="H687" s="2" t="str">
        <x:v>Central Market</x:v>
      </x:c>
      <x:c r="I687" s="2" t="n">
        <x:v>15</x:v>
      </x:c>
      <x:c r="J687" s="2" t="n">
        <x:v>1</x:v>
      </x:c>
      <x:c r="K687" s="2" t="n">
        <x:f>I687-J687</x:f>
        <x:v>14</x:v>
      </x:c>
      <x:c r="L687" s="16" t="n">
        <x:v>22</x:v>
      </x:c>
      <x:c r="M687" s="16" t="n">
        <x:v>22</x:v>
      </x:c>
      <x:c r="N687" s="16" t="n">
        <x:v>9.02</x:v>
      </x:c>
      <x:c r="O687" s="16" t="n">
        <x:f>K687*M687</x:f>
        <x:v>308</x:v>
      </x:c>
      <x:c r="P687" s="16" t="n">
        <x:f>K687*N687</x:f>
        <x:v>126.28</x:v>
      </x:c>
      <x:c r="Q687" s="16" t="n">
        <x:f>O687-P687</x:f>
        <x:v>181.72</x:v>
      </x:c>
      <x:c r="R687" s="2" t="n">
        <x:v>150</x:v>
      </x:c>
      <x:c r="S687" s="2" t="n">
        <x:v>0</x:v>
      </x:c>
      <x:c r="T687" s="2" t="n">
        <x:f>R687+S687+J687-I687</x:f>
        <x:v>136</x:v>
      </x:c>
      <x:c r="U687" s="2" t="n">
        <x:v>0</x:v>
      </x:c>
      <x:c r="V687" s="2" t="n">
        <x:v>4</x:v>
      </x:c>
      <x:c r="W687" s="2" t="n">
        <x:v>16</x:v>
      </x:c>
      <x:c r="X687" s="14" t="b">
        <x:v>0</x:v>
      </x:c>
      <x:c r="Y687" s="14" t="b">
        <x:v>0</x:v>
      </x:c>
      <x:c r="Z687" s="2" t="n">
        <x:f>ABS(T687-AA687)</x:f>
        <x:v>0</x:v>
      </x:c>
      <x:c r="AA687" s="2" t="n">
        <x:v>136</x:v>
      </x:c>
      <x:c r="AB687" s="2" t="n">
        <x:f>ABS(K687-W687)</x:f>
        <x:v>2</x:v>
      </x:c>
      <x:c r="AC687" s="2" t="n">
        <x:f>COUNTIF($A$2:$A$1921,A687)-1</x:f>
        <x:v>0</x:v>
      </x:c>
      <x:c r="AD687" s="2" t="n">
        <x:f>IF(AND(D687=D686,H687=H686,C687=C686+1),ABS(R687-T686),0)</x:f>
        <x:v>0</x:v>
      </x:c>
    </x:row>
    <x:row r="688" ht="23" customHeight="1">
      <x:c r="A688" s="2" t="str">
        <x:v>DEMO-203-2-7</x:v>
      </x:c>
      <x:c r="B688" s="15" t="d">
        <x:v>2026-06-15T00:00:00.000Z</x:v>
      </x:c>
      <x:c r="C688" s="2" t="n">
        <x:v>7</x:v>
      </x:c>
      <x:c r="D688" s="2" t="str">
        <x:v>DEMO-203</x:v>
      </x:c>
      <x:c r="E688" s="2" t="str">
        <x:v>Tiny Joy Kit</x:v>
      </x:c>
      <x:c r="F688" s="2" t="str">
        <x:v>Gifting</x:v>
      </x:c>
      <x:c r="G688" s="2" t="str">
        <x:v>Stores</x:v>
      </x:c>
      <x:c r="H688" s="2" t="str">
        <x:v>Central Market</x:v>
      </x:c>
      <x:c r="I688" s="2" t="n">
        <x:v>19</x:v>
      </x:c>
      <x:c r="J688" s="2" t="n">
        <x:v>1</x:v>
      </x:c>
      <x:c r="K688" s="2" t="n">
        <x:f>I688-J688</x:f>
        <x:v>18</x:v>
      </x:c>
      <x:c r="L688" s="16" t="n">
        <x:v>22</x:v>
      </x:c>
      <x:c r="M688" s="16" t="n">
        <x:v>22</x:v>
      </x:c>
      <x:c r="N688" s="16" t="n">
        <x:v>9.02</x:v>
      </x:c>
      <x:c r="O688" s="16" t="n">
        <x:f>K688*M688</x:f>
        <x:v>396</x:v>
      </x:c>
      <x:c r="P688" s="16" t="n">
        <x:f>K688*N688</x:f>
        <x:v>162.35999999999999</x:v>
      </x:c>
      <x:c r="Q688" s="16" t="n">
        <x:f>O688-P688</x:f>
        <x:v>233.64000000000001</x:v>
      </x:c>
      <x:c r="R688" s="2" t="n">
        <x:v>136</x:v>
      </x:c>
      <x:c r="S688" s="2" t="n">
        <x:v>0</x:v>
      </x:c>
      <x:c r="T688" s="2" t="n">
        <x:f>R688+S688+J688-I688</x:f>
        <x:v>118</x:v>
      </x:c>
      <x:c r="U688" s="2" t="n">
        <x:v>0</x:v>
      </x:c>
      <x:c r="V688" s="2" t="n">
        <x:v>4</x:v>
      </x:c>
      <x:c r="W688" s="2" t="n">
        <x:v>16</x:v>
      </x:c>
      <x:c r="X688" s="14" t="b">
        <x:v>0</x:v>
      </x:c>
      <x:c r="Y688" s="14" t="b">
        <x:v>0</x:v>
      </x:c>
      <x:c r="Z688" s="2" t="n">
        <x:f>ABS(T688-AA688)</x:f>
        <x:v>0</x:v>
      </x:c>
      <x:c r="AA688" s="2" t="n">
        <x:v>118</x:v>
      </x:c>
      <x:c r="AB688" s="2" t="n">
        <x:f>ABS(K688-W688)</x:f>
        <x:v>2</x:v>
      </x:c>
      <x:c r="AC688" s="2" t="n">
        <x:f>COUNTIF($A$2:$A$1921,A688)-1</x:f>
        <x:v>0</x:v>
      </x:c>
      <x:c r="AD688" s="2" t="n">
        <x:f>IF(AND(D688=D687,H688=H687,C688=C687+1),ABS(R688-T687),0)</x:f>
        <x:v>0</x:v>
      </x:c>
    </x:row>
    <x:row r="689" ht="23" customHeight="1">
      <x:c r="A689" s="2" t="str">
        <x:v>DEMO-203-2-8</x:v>
      </x:c>
      <x:c r="B689" s="15" t="d">
        <x:v>2026-06-22T00:00:00.000Z</x:v>
      </x:c>
      <x:c r="C689" s="2" t="n">
        <x:v>8</x:v>
      </x:c>
      <x:c r="D689" s="2" t="str">
        <x:v>DEMO-203</x:v>
      </x:c>
      <x:c r="E689" s="2" t="str">
        <x:v>Tiny Joy Kit</x:v>
      </x:c>
      <x:c r="F689" s="2" t="str">
        <x:v>Gifting</x:v>
      </x:c>
      <x:c r="G689" s="2" t="str">
        <x:v>Stores</x:v>
      </x:c>
      <x:c r="H689" s="2" t="str">
        <x:v>Central Market</x:v>
      </x:c>
      <x:c r="I689" s="2" t="n">
        <x:v>17</x:v>
      </x:c>
      <x:c r="J689" s="2" t="n">
        <x:v>0</x:v>
      </x:c>
      <x:c r="K689" s="2" t="n">
        <x:f>I689-J689</x:f>
        <x:v>17</x:v>
      </x:c>
      <x:c r="L689" s="16" t="n">
        <x:v>22</x:v>
      </x:c>
      <x:c r="M689" s="16" t="n">
        <x:v>22</x:v>
      </x:c>
      <x:c r="N689" s="16" t="n">
        <x:v>9.02</x:v>
      </x:c>
      <x:c r="O689" s="16" t="n">
        <x:f>K689*M689</x:f>
        <x:v>374</x:v>
      </x:c>
      <x:c r="P689" s="16" t="n">
        <x:f>K689*N689</x:f>
        <x:v>153.34</x:v>
      </x:c>
      <x:c r="Q689" s="16" t="n">
        <x:f>O689-P689</x:f>
        <x:v>220.66</x:v>
      </x:c>
      <x:c r="R689" s="2" t="n">
        <x:v>118</x:v>
      </x:c>
      <x:c r="S689" s="2" t="n">
        <x:v>0</x:v>
      </x:c>
      <x:c r="T689" s="2" t="n">
        <x:f>R689+S689+J689-I689</x:f>
        <x:v>101</x:v>
      </x:c>
      <x:c r="U689" s="2" t="n">
        <x:v>0</x:v>
      </x:c>
      <x:c r="V689" s="2" t="n">
        <x:v>4</x:v>
      </x:c>
      <x:c r="W689" s="2" t="n">
        <x:v>17</x:v>
      </x:c>
      <x:c r="X689" s="14" t="b">
        <x:v>0</x:v>
      </x:c>
      <x:c r="Y689" s="14" t="b">
        <x:v>0</x:v>
      </x:c>
      <x:c r="Z689" s="2" t="n">
        <x:f>ABS(T689-AA689)</x:f>
        <x:v>0</x:v>
      </x:c>
      <x:c r="AA689" s="2" t="n">
        <x:v>101</x:v>
      </x:c>
      <x:c r="AB689" s="2" t="n">
        <x:f>ABS(K689-W689)</x:f>
        <x:v>0</x:v>
      </x:c>
      <x:c r="AC689" s="2" t="n">
        <x:f>COUNTIF($A$2:$A$1921,A689)-1</x:f>
        <x:v>0</x:v>
      </x:c>
      <x:c r="AD689" s="2" t="n">
        <x:f>IF(AND(D689=D688,H689=H688,C689=C688+1),ABS(R689-T688),0)</x:f>
        <x:v>0</x:v>
      </x:c>
    </x:row>
    <x:row r="690" ht="23" customHeight="1">
      <x:c r="A690" s="2" t="str">
        <x:v>DEMO-203-2-9</x:v>
      </x:c>
      <x:c r="B690" s="15" t="d">
        <x:v>2026-06-29T00:00:00.000Z</x:v>
      </x:c>
      <x:c r="C690" s="2" t="n">
        <x:v>9</x:v>
      </x:c>
      <x:c r="D690" s="2" t="str">
        <x:v>DEMO-203</x:v>
      </x:c>
      <x:c r="E690" s="2" t="str">
        <x:v>Tiny Joy Kit</x:v>
      </x:c>
      <x:c r="F690" s="2" t="str">
        <x:v>Gifting</x:v>
      </x:c>
      <x:c r="G690" s="2" t="str">
        <x:v>Stores</x:v>
      </x:c>
      <x:c r="H690" s="2" t="str">
        <x:v>Central Market</x:v>
      </x:c>
      <x:c r="I690" s="2" t="n">
        <x:v>16</x:v>
      </x:c>
      <x:c r="J690" s="2" t="n">
        <x:v>0</x:v>
      </x:c>
      <x:c r="K690" s="2" t="n">
        <x:f>I690-J690</x:f>
        <x:v>16</x:v>
      </x:c>
      <x:c r="L690" s="16" t="n">
        <x:v>22</x:v>
      </x:c>
      <x:c r="M690" s="16" t="n">
        <x:v>22</x:v>
      </x:c>
      <x:c r="N690" s="16" t="n">
        <x:v>9.02</x:v>
      </x:c>
      <x:c r="O690" s="16" t="n">
        <x:f>K690*M690</x:f>
        <x:v>352</x:v>
      </x:c>
      <x:c r="P690" s="16" t="n">
        <x:f>K690*N690</x:f>
        <x:v>144.32</x:v>
      </x:c>
      <x:c r="Q690" s="16" t="n">
        <x:f>O690-P690</x:f>
        <x:v>207.68</x:v>
      </x:c>
      <x:c r="R690" s="2" t="n">
        <x:v>101</x:v>
      </x:c>
      <x:c r="S690" s="2" t="n">
        <x:v>71</x:v>
      </x:c>
      <x:c r="T690" s="2" t="n">
        <x:f>R690+S690+J690-I690</x:f>
        <x:v>156</x:v>
      </x:c>
      <x:c r="U690" s="2" t="n">
        <x:v>0</x:v>
      </x:c>
      <x:c r="V690" s="2" t="n">
        <x:v>4</x:v>
      </x:c>
      <x:c r="W690" s="2" t="n">
        <x:v>16</x:v>
      </x:c>
      <x:c r="X690" s="14" t="b">
        <x:v>0</x:v>
      </x:c>
      <x:c r="Y690" s="14" t="b">
        <x:v>0</x:v>
      </x:c>
      <x:c r="Z690" s="2" t="n">
        <x:f>ABS(T690-AA690)</x:f>
        <x:v>0</x:v>
      </x:c>
      <x:c r="AA690" s="2" t="n">
        <x:v>156</x:v>
      </x:c>
      <x:c r="AB690" s="2" t="n">
        <x:f>ABS(K690-W690)</x:f>
        <x:v>0</x:v>
      </x:c>
      <x:c r="AC690" s="2" t="n">
        <x:f>COUNTIF($A$2:$A$1921,A690)-1</x:f>
        <x:v>0</x:v>
      </x:c>
      <x:c r="AD690" s="2" t="n">
        <x:f>IF(AND(D690=D689,H690=H689,C690=C689+1),ABS(R690-T689),0)</x:f>
        <x:v>0</x:v>
      </x:c>
    </x:row>
    <x:row r="691" ht="23" customHeight="1">
      <x:c r="A691" s="2" t="str">
        <x:v>DEMO-203-2-10</x:v>
      </x:c>
      <x:c r="B691" s="15" t="d">
        <x:v>2026-07-06T00:00:00.000Z</x:v>
      </x:c>
      <x:c r="C691" s="2" t="n">
        <x:v>10</x:v>
      </x:c>
      <x:c r="D691" s="2" t="str">
        <x:v>DEMO-203</x:v>
      </x:c>
      <x:c r="E691" s="2" t="str">
        <x:v>Tiny Joy Kit</x:v>
      </x:c>
      <x:c r="F691" s="2" t="str">
        <x:v>Gifting</x:v>
      </x:c>
      <x:c r="G691" s="2" t="str">
        <x:v>Stores</x:v>
      </x:c>
      <x:c r="H691" s="2" t="str">
        <x:v>Central Market</x:v>
      </x:c>
      <x:c r="I691" s="2" t="n">
        <x:v>20</x:v>
      </x:c>
      <x:c r="J691" s="2" t="n">
        <x:v>0</x:v>
      </x:c>
      <x:c r="K691" s="2" t="n">
        <x:f>I691-J691</x:f>
        <x:v>20</x:v>
      </x:c>
      <x:c r="L691" s="16" t="n">
        <x:v>22</x:v>
      </x:c>
      <x:c r="M691" s="16" t="n">
        <x:v>22</x:v>
      </x:c>
      <x:c r="N691" s="16" t="n">
        <x:v>9.02</x:v>
      </x:c>
      <x:c r="O691" s="16" t="n">
        <x:f>K691*M691</x:f>
        <x:v>440</x:v>
      </x:c>
      <x:c r="P691" s="16" t="n">
        <x:f>K691*N691</x:f>
        <x:v>180.39999999999998</x:v>
      </x:c>
      <x:c r="Q691" s="16" t="n">
        <x:f>O691-P691</x:f>
        <x:v>259.6</x:v>
      </x:c>
      <x:c r="R691" s="2" t="n">
        <x:v>156</x:v>
      </x:c>
      <x:c r="S691" s="2" t="n">
        <x:v>0</x:v>
      </x:c>
      <x:c r="T691" s="2" t="n">
        <x:f>R691+S691+J691-I691</x:f>
        <x:v>136</x:v>
      </x:c>
      <x:c r="U691" s="2" t="n">
        <x:v>0</x:v>
      </x:c>
      <x:c r="V691" s="2" t="n">
        <x:v>4</x:v>
      </x:c>
      <x:c r="W691" s="2" t="n">
        <x:v>16</x:v>
      </x:c>
      <x:c r="X691" s="14" t="b">
        <x:v>0</x:v>
      </x:c>
      <x:c r="Y691" s="14" t="b">
        <x:v>0</x:v>
      </x:c>
      <x:c r="Z691" s="2" t="n">
        <x:f>ABS(T691-AA691)</x:f>
        <x:v>0</x:v>
      </x:c>
      <x:c r="AA691" s="2" t="n">
        <x:v>136</x:v>
      </x:c>
      <x:c r="AB691" s="2" t="n">
        <x:f>ABS(K691-W691)</x:f>
        <x:v>4</x:v>
      </x:c>
      <x:c r="AC691" s="2" t="n">
        <x:f>COUNTIF($A$2:$A$1921,A691)-1</x:f>
        <x:v>0</x:v>
      </x:c>
      <x:c r="AD691" s="2" t="n">
        <x:f>IF(AND(D691=D690,H691=H690,C691=C690+1),ABS(R691-T690),0)</x:f>
        <x:v>0</x:v>
      </x:c>
    </x:row>
    <x:row r="692" ht="23" customHeight="1">
      <x:c r="A692" s="2" t="str">
        <x:v>DEMO-203-2-11</x:v>
      </x:c>
      <x:c r="B692" s="15" t="d">
        <x:v>2026-07-13T00:00:00.000Z</x:v>
      </x:c>
      <x:c r="C692" s="2" t="n">
        <x:v>11</x:v>
      </x:c>
      <x:c r="D692" s="2" t="str">
        <x:v>DEMO-203</x:v>
      </x:c>
      <x:c r="E692" s="2" t="str">
        <x:v>Tiny Joy Kit</x:v>
      </x:c>
      <x:c r="F692" s="2" t="str">
        <x:v>Gifting</x:v>
      </x:c>
      <x:c r="G692" s="2" t="str">
        <x:v>Stores</x:v>
      </x:c>
      <x:c r="H692" s="2" t="str">
        <x:v>Central Market</x:v>
      </x:c>
      <x:c r="I692" s="2" t="n">
        <x:v>20</x:v>
      </x:c>
      <x:c r="J692" s="2" t="n">
        <x:v>0</x:v>
      </x:c>
      <x:c r="K692" s="2" t="n">
        <x:f>I692-J692</x:f>
        <x:v>20</x:v>
      </x:c>
      <x:c r="L692" s="16" t="n">
        <x:v>22</x:v>
      </x:c>
      <x:c r="M692" s="16" t="n">
        <x:v>22</x:v>
      </x:c>
      <x:c r="N692" s="16" t="n">
        <x:v>9.02</x:v>
      </x:c>
      <x:c r="O692" s="16" t="n">
        <x:f>K692*M692</x:f>
        <x:v>440</x:v>
      </x:c>
      <x:c r="P692" s="16" t="n">
        <x:f>K692*N692</x:f>
        <x:v>180.39999999999998</x:v>
      </x:c>
      <x:c r="Q692" s="16" t="n">
        <x:f>O692-P692</x:f>
        <x:v>259.6</x:v>
      </x:c>
      <x:c r="R692" s="2" t="n">
        <x:v>136</x:v>
      </x:c>
      <x:c r="S692" s="2" t="n">
        <x:v>0</x:v>
      </x:c>
      <x:c r="T692" s="2" t="n">
        <x:f>R692+S692+J692-I692</x:f>
        <x:v>116</x:v>
      </x:c>
      <x:c r="U692" s="2" t="n">
        <x:v>0</x:v>
      </x:c>
      <x:c r="V692" s="2" t="n">
        <x:v>4</x:v>
      </x:c>
      <x:c r="W692" s="2" t="n">
        <x:v>18</x:v>
      </x:c>
      <x:c r="X692" s="14" t="b">
        <x:v>0</x:v>
      </x:c>
      <x:c r="Y692" s="14" t="b">
        <x:v>0</x:v>
      </x:c>
      <x:c r="Z692" s="2" t="n">
        <x:f>ABS(T692-AA692)</x:f>
        <x:v>0</x:v>
      </x:c>
      <x:c r="AA692" s="2" t="n">
        <x:v>116</x:v>
      </x:c>
      <x:c r="AB692" s="2" t="n">
        <x:f>ABS(K692-W692)</x:f>
        <x:v>2</x:v>
      </x:c>
      <x:c r="AC692" s="2" t="n">
        <x:f>COUNTIF($A$2:$A$1921,A692)-1</x:f>
        <x:v>0</x:v>
      </x:c>
      <x:c r="AD692" s="2" t="n">
        <x:f>IF(AND(D692=D691,H692=H691,C692=C691+1),ABS(R692-T691),0)</x:f>
        <x:v>0</x:v>
      </x:c>
    </x:row>
    <x:row r="693" ht="23" customHeight="1">
      <x:c r="A693" s="2" t="str">
        <x:v>DEMO-203-2-12</x:v>
      </x:c>
      <x:c r="B693" s="15" t="d">
        <x:v>2026-07-20T00:00:00.000Z</x:v>
      </x:c>
      <x:c r="C693" s="2" t="n">
        <x:v>12</x:v>
      </x:c>
      <x:c r="D693" s="2" t="str">
        <x:v>DEMO-203</x:v>
      </x:c>
      <x:c r="E693" s="2" t="str">
        <x:v>Tiny Joy Kit</x:v>
      </x:c>
      <x:c r="F693" s="2" t="str">
        <x:v>Gifting</x:v>
      </x:c>
      <x:c r="G693" s="2" t="str">
        <x:v>Stores</x:v>
      </x:c>
      <x:c r="H693" s="2" t="str">
        <x:v>Central Market</x:v>
      </x:c>
      <x:c r="I693" s="2" t="n">
        <x:v>34</x:v>
      </x:c>
      <x:c r="J693" s="2" t="n">
        <x:v>0</x:v>
      </x:c>
      <x:c r="K693" s="2" t="n">
        <x:f>I693-J693</x:f>
        <x:v>34</x:v>
      </x:c>
      <x:c r="L693" s="16" t="n">
        <x:v>22</x:v>
      </x:c>
      <x:c r="M693" s="16" t="n">
        <x:v>19.8</x:v>
      </x:c>
      <x:c r="N693" s="16" t="n">
        <x:v>9.02</x:v>
      </x:c>
      <x:c r="O693" s="16" t="n">
        <x:f>K693*M693</x:f>
        <x:v>673.2</x:v>
      </x:c>
      <x:c r="P693" s="16" t="n">
        <x:f>K693*N693</x:f>
        <x:v>306.68</x:v>
      </x:c>
      <x:c r="Q693" s="16" t="n">
        <x:f>O693-P693</x:f>
        <x:v>366.52000000000004</x:v>
      </x:c>
      <x:c r="R693" s="2" t="n">
        <x:v>116</x:v>
      </x:c>
      <x:c r="S693" s="2" t="n">
        <x:v>0</x:v>
      </x:c>
      <x:c r="T693" s="2" t="n">
        <x:f>R693+S693+J693-I693</x:f>
        <x:v>82</x:v>
      </x:c>
      <x:c r="U693" s="2" t="n">
        <x:v>0</x:v>
      </x:c>
      <x:c r="V693" s="2" t="n">
        <x:v>4</x:v>
      </x:c>
      <x:c r="W693" s="2" t="n">
        <x:v>18</x:v>
      </x:c>
      <x:c r="X693" s="14" t="b">
        <x:v>1</x:v>
      </x:c>
      <x:c r="Y693" s="14" t="b">
        <x:v>0</x:v>
      </x:c>
      <x:c r="Z693" s="2" t="n">
        <x:f>ABS(T693-AA693)</x:f>
        <x:v>0</x:v>
      </x:c>
      <x:c r="AA693" s="2" t="n">
        <x:v>82</x:v>
      </x:c>
      <x:c r="AB693" s="2" t="n">
        <x:f>ABS(K693-W693)</x:f>
        <x:v>16</x:v>
      </x:c>
      <x:c r="AC693" s="2" t="n">
        <x:f>COUNTIF($A$2:$A$1921,A693)-1</x:f>
        <x:v>0</x:v>
      </x:c>
      <x:c r="AD693" s="2" t="n">
        <x:f>IF(AND(D693=D692,H693=H692,C693=C692+1),ABS(R693-T692),0)</x:f>
        <x:v>0</x:v>
      </x:c>
    </x:row>
    <x:row r="694" ht="23" customHeight="1">
      <x:c r="A694" s="2" t="str">
        <x:v>DEMO-203-2-13</x:v>
      </x:c>
      <x:c r="B694" s="15" t="d">
        <x:v>2026-07-27T00:00:00.000Z</x:v>
      </x:c>
      <x:c r="C694" s="2" t="n">
        <x:v>13</x:v>
      </x:c>
      <x:c r="D694" s="2" t="str">
        <x:v>DEMO-203</x:v>
      </x:c>
      <x:c r="E694" s="2" t="str">
        <x:v>Tiny Joy Kit</x:v>
      </x:c>
      <x:c r="F694" s="2" t="str">
        <x:v>Gifting</x:v>
      </x:c>
      <x:c r="G694" s="2" t="str">
        <x:v>Stores</x:v>
      </x:c>
      <x:c r="H694" s="2" t="str">
        <x:v>Central Market</x:v>
      </x:c>
      <x:c r="I694" s="2" t="n">
        <x:v>40</x:v>
      </x:c>
      <x:c r="J694" s="2" t="n">
        <x:v>0</x:v>
      </x:c>
      <x:c r="K694" s="2" t="n">
        <x:f>I694-J694</x:f>
        <x:v>40</x:v>
      </x:c>
      <x:c r="L694" s="16" t="n">
        <x:v>22</x:v>
      </x:c>
      <x:c r="M694" s="16" t="n">
        <x:v>19.8</x:v>
      </x:c>
      <x:c r="N694" s="16" t="n">
        <x:v>9.02</x:v>
      </x:c>
      <x:c r="O694" s="16" t="n">
        <x:f>K694*M694</x:f>
        <x:v>792</x:v>
      </x:c>
      <x:c r="P694" s="16" t="n">
        <x:f>K694*N694</x:f>
        <x:v>360.79999999999995</x:v>
      </x:c>
      <x:c r="Q694" s="16" t="n">
        <x:f>O694-P694</x:f>
        <x:v>431.20000000000005</x:v>
      </x:c>
      <x:c r="R694" s="2" t="n">
        <x:v>82</x:v>
      </x:c>
      <x:c r="S694" s="2" t="n">
        <x:v>71</x:v>
      </x:c>
      <x:c r="T694" s="2" t="n">
        <x:f>R694+S694+J694-I694</x:f>
        <x:v>113</x:v>
      </x:c>
      <x:c r="U694" s="2" t="n">
        <x:v>0</x:v>
      </x:c>
      <x:c r="V694" s="2" t="n">
        <x:v>4</x:v>
      </x:c>
      <x:c r="W694" s="2" t="n">
        <x:v>23</x:v>
      </x:c>
      <x:c r="X694" s="14" t="b">
        <x:v>1</x:v>
      </x:c>
      <x:c r="Y694" s="14" t="b">
        <x:v>0</x:v>
      </x:c>
      <x:c r="Z694" s="2" t="n">
        <x:f>ABS(T694-AA694)</x:f>
        <x:v>0</x:v>
      </x:c>
      <x:c r="AA694" s="2" t="n">
        <x:v>113</x:v>
      </x:c>
      <x:c r="AB694" s="2" t="n">
        <x:f>ABS(K694-W694)</x:f>
        <x:v>17</x:v>
      </x:c>
      <x:c r="AC694" s="2" t="n">
        <x:f>COUNTIF($A$2:$A$1921,A694)-1</x:f>
        <x:v>0</x:v>
      </x:c>
      <x:c r="AD694" s="2" t="n">
        <x:f>IF(AND(D694=D693,H694=H693,C694=C693+1),ABS(R694-T693),0)</x:f>
        <x:v>0</x:v>
      </x:c>
    </x:row>
    <x:row r="695" ht="23" customHeight="1">
      <x:c r="A695" s="2" t="str">
        <x:v>DEMO-203-2-14</x:v>
      </x:c>
      <x:c r="B695" s="15" t="d">
        <x:v>2026-08-03T00:00:00.000Z</x:v>
      </x:c>
      <x:c r="C695" s="2" t="n">
        <x:v>14</x:v>
      </x:c>
      <x:c r="D695" s="2" t="str">
        <x:v>DEMO-203</x:v>
      </x:c>
      <x:c r="E695" s="2" t="str">
        <x:v>Tiny Joy Kit</x:v>
      </x:c>
      <x:c r="F695" s="2" t="str">
        <x:v>Gifting</x:v>
      </x:c>
      <x:c r="G695" s="2" t="str">
        <x:v>Stores</x:v>
      </x:c>
      <x:c r="H695" s="2" t="str">
        <x:v>Central Market</x:v>
      </x:c>
      <x:c r="I695" s="2" t="n">
        <x:v>35</x:v>
      </x:c>
      <x:c r="J695" s="2" t="n">
        <x:v>1</x:v>
      </x:c>
      <x:c r="K695" s="2" t="n">
        <x:f>I695-J695</x:f>
        <x:v>34</x:v>
      </x:c>
      <x:c r="L695" s="16" t="n">
        <x:v>22</x:v>
      </x:c>
      <x:c r="M695" s="16" t="n">
        <x:v>19.8</x:v>
      </x:c>
      <x:c r="N695" s="16" t="n">
        <x:v>9.02</x:v>
      </x:c>
      <x:c r="O695" s="16" t="n">
        <x:f>K695*M695</x:f>
        <x:v>673.2</x:v>
      </x:c>
      <x:c r="P695" s="16" t="n">
        <x:f>K695*N695</x:f>
        <x:v>306.68</x:v>
      </x:c>
      <x:c r="Q695" s="16" t="n">
        <x:f>O695-P695</x:f>
        <x:v>366.52000000000004</x:v>
      </x:c>
      <x:c r="R695" s="2" t="n">
        <x:v>113</x:v>
      </x:c>
      <x:c r="S695" s="2" t="n">
        <x:v>0</x:v>
      </x:c>
      <x:c r="T695" s="2" t="n">
        <x:f>R695+S695+J695-I695</x:f>
        <x:v>79</x:v>
      </x:c>
      <x:c r="U695" s="2" t="n">
        <x:v>0</x:v>
      </x:c>
      <x:c r="V695" s="2" t="n">
        <x:v>4</x:v>
      </x:c>
      <x:c r="W695" s="2" t="n">
        <x:v>29</x:v>
      </x:c>
      <x:c r="X695" s="14" t="b">
        <x:v>1</x:v>
      </x:c>
      <x:c r="Y695" s="14" t="b">
        <x:v>0</x:v>
      </x:c>
      <x:c r="Z695" s="2" t="n">
        <x:f>ABS(T695-AA695)</x:f>
        <x:v>0</x:v>
      </x:c>
      <x:c r="AA695" s="2" t="n">
        <x:v>79</x:v>
      </x:c>
      <x:c r="AB695" s="2" t="n">
        <x:f>ABS(K695-W695)</x:f>
        <x:v>5</x:v>
      </x:c>
      <x:c r="AC695" s="2" t="n">
        <x:f>COUNTIF($A$2:$A$1921,A695)-1</x:f>
        <x:v>0</x:v>
      </x:c>
      <x:c r="AD695" s="2" t="n">
        <x:f>IF(AND(D695=D694,H695=H694,C695=C694+1),ABS(R695-T694),0)</x:f>
        <x:v>0</x:v>
      </x:c>
    </x:row>
    <x:row r="696" ht="23" customHeight="1">
      <x:c r="A696" s="2" t="str">
        <x:v>DEMO-203-2-15</x:v>
      </x:c>
      <x:c r="B696" s="15" t="d">
        <x:v>2026-08-10T00:00:00.000Z</x:v>
      </x:c>
      <x:c r="C696" s="2" t="n">
        <x:v>15</x:v>
      </x:c>
      <x:c r="D696" s="2" t="str">
        <x:v>DEMO-203</x:v>
      </x:c>
      <x:c r="E696" s="2" t="str">
        <x:v>Tiny Joy Kit</x:v>
      </x:c>
      <x:c r="F696" s="2" t="str">
        <x:v>Gifting</x:v>
      </x:c>
      <x:c r="G696" s="2" t="str">
        <x:v>Stores</x:v>
      </x:c>
      <x:c r="H696" s="2" t="str">
        <x:v>Central Market</x:v>
      </x:c>
      <x:c r="I696" s="2" t="n">
        <x:v>19</x:v>
      </x:c>
      <x:c r="J696" s="2" t="n">
        <x:v>0</x:v>
      </x:c>
      <x:c r="K696" s="2" t="n">
        <x:f>I696-J696</x:f>
        <x:v>19</x:v>
      </x:c>
      <x:c r="L696" s="16" t="n">
        <x:v>22</x:v>
      </x:c>
      <x:c r="M696" s="16" t="n">
        <x:v>22</x:v>
      </x:c>
      <x:c r="N696" s="16" t="n">
        <x:v>9.02</x:v>
      </x:c>
      <x:c r="O696" s="16" t="n">
        <x:f>K696*M696</x:f>
        <x:v>418</x:v>
      </x:c>
      <x:c r="P696" s="16" t="n">
        <x:f>K696*N696</x:f>
        <x:v>171.38</x:v>
      </x:c>
      <x:c r="Q696" s="16" t="n">
        <x:f>O696-P696</x:f>
        <x:v>246.62</x:v>
      </x:c>
      <x:c r="R696" s="2" t="n">
        <x:v>79</x:v>
      </x:c>
      <x:c r="S696" s="2" t="n">
        <x:v>0</x:v>
      </x:c>
      <x:c r="T696" s="2" t="n">
        <x:f>R696+S696+J696-I696</x:f>
        <x:v>60</x:v>
      </x:c>
      <x:c r="U696" s="2" t="n">
        <x:v>0</x:v>
      </x:c>
      <x:c r="V696" s="2" t="n">
        <x:v>4</x:v>
      </x:c>
      <x:c r="W696" s="2" t="n">
        <x:v>32</x:v>
      </x:c>
      <x:c r="X696" s="14" t="b">
        <x:v>0</x:v>
      </x:c>
      <x:c r="Y696" s="14" t="b">
        <x:v>0</x:v>
      </x:c>
      <x:c r="Z696" s="2" t="n">
        <x:f>ABS(T696-AA696)</x:f>
        <x:v>0</x:v>
      </x:c>
      <x:c r="AA696" s="2" t="n">
        <x:v>60</x:v>
      </x:c>
      <x:c r="AB696" s="2" t="n">
        <x:f>ABS(K696-W696)</x:f>
        <x:v>13</x:v>
      </x:c>
      <x:c r="AC696" s="2" t="n">
        <x:f>COUNTIF($A$2:$A$1921,A696)-1</x:f>
        <x:v>0</x:v>
      </x:c>
      <x:c r="AD696" s="2" t="n">
        <x:f>IF(AND(D696=D695,H696=H695,C696=C695+1),ABS(R696-T695),0)</x:f>
        <x:v>0</x:v>
      </x:c>
    </x:row>
    <x:row r="697" ht="23" customHeight="1">
      <x:c r="A697" s="2" t="str">
        <x:v>DEMO-203-2-16</x:v>
      </x:c>
      <x:c r="B697" s="15" t="d">
        <x:v>2026-08-17T00:00:00.000Z</x:v>
      </x:c>
      <x:c r="C697" s="2" t="n">
        <x:v>16</x:v>
      </x:c>
      <x:c r="D697" s="2" t="str">
        <x:v>DEMO-203</x:v>
      </x:c>
      <x:c r="E697" s="2" t="str">
        <x:v>Tiny Joy Kit</x:v>
      </x:c>
      <x:c r="F697" s="2" t="str">
        <x:v>Gifting</x:v>
      </x:c>
      <x:c r="G697" s="2" t="str">
        <x:v>Stores</x:v>
      </x:c>
      <x:c r="H697" s="2" t="str">
        <x:v>Central Market</x:v>
      </x:c>
      <x:c r="I697" s="2" t="n">
        <x:v>14</x:v>
      </x:c>
      <x:c r="J697" s="2" t="n">
        <x:v>0</x:v>
      </x:c>
      <x:c r="K697" s="2" t="n">
        <x:f>I697-J697</x:f>
        <x:v>14</x:v>
      </x:c>
      <x:c r="L697" s="16" t="n">
        <x:v>22</x:v>
      </x:c>
      <x:c r="M697" s="16" t="n">
        <x:v>22</x:v>
      </x:c>
      <x:c r="N697" s="16" t="n">
        <x:v>9.02</x:v>
      </x:c>
      <x:c r="O697" s="16" t="n">
        <x:f>K697*M697</x:f>
        <x:v>308</x:v>
      </x:c>
      <x:c r="P697" s="16" t="n">
        <x:f>K697*N697</x:f>
        <x:v>126.28</x:v>
      </x:c>
      <x:c r="Q697" s="16" t="n">
        <x:f>O697-P697</x:f>
        <x:v>181.72</x:v>
      </x:c>
      <x:c r="R697" s="2" t="n">
        <x:v>60</x:v>
      </x:c>
      <x:c r="S697" s="2" t="n">
        <x:v>0</x:v>
      </x:c>
      <x:c r="T697" s="2" t="n">
        <x:f>R697+S697+J697-I697</x:f>
        <x:v>46</x:v>
      </x:c>
      <x:c r="U697" s="2" t="n">
        <x:v>0</x:v>
      </x:c>
      <x:c r="V697" s="2" t="n">
        <x:v>4</x:v>
      </x:c>
      <x:c r="W697" s="2" t="n">
        <x:v>32</x:v>
      </x:c>
      <x:c r="X697" s="14" t="b">
        <x:v>0</x:v>
      </x:c>
      <x:c r="Y697" s="14" t="b">
        <x:v>0</x:v>
      </x:c>
      <x:c r="Z697" s="2" t="n">
        <x:f>ABS(T697-AA697)</x:f>
        <x:v>0</x:v>
      </x:c>
      <x:c r="AA697" s="2" t="n">
        <x:v>46</x:v>
      </x:c>
      <x:c r="AB697" s="2" t="n">
        <x:f>ABS(K697-W697)</x:f>
        <x:v>18</x:v>
      </x:c>
      <x:c r="AC697" s="2" t="n">
        <x:f>COUNTIF($A$2:$A$1921,A697)-1</x:f>
        <x:v>0</x:v>
      </x:c>
      <x:c r="AD697" s="2" t="n">
        <x:f>IF(AND(D697=D696,H697=H696,C697=C696+1),ABS(R697-T696),0)</x:f>
        <x:v>0</x:v>
      </x:c>
    </x:row>
    <x:row r="698" ht="23" customHeight="1">
      <x:c r="A698" s="2" t="str">
        <x:v>DEMO-203-2-17</x:v>
      </x:c>
      <x:c r="B698" s="15" t="d">
        <x:v>2026-08-24T00:00:00.000Z</x:v>
      </x:c>
      <x:c r="C698" s="2" t="n">
        <x:v>17</x:v>
      </x:c>
      <x:c r="D698" s="2" t="str">
        <x:v>DEMO-203</x:v>
      </x:c>
      <x:c r="E698" s="2" t="str">
        <x:v>Tiny Joy Kit</x:v>
      </x:c>
      <x:c r="F698" s="2" t="str">
        <x:v>Gifting</x:v>
      </x:c>
      <x:c r="G698" s="2" t="str">
        <x:v>Stores</x:v>
      </x:c>
      <x:c r="H698" s="2" t="str">
        <x:v>Central Market</x:v>
      </x:c>
      <x:c r="I698" s="2" t="n">
        <x:v>19</x:v>
      </x:c>
      <x:c r="J698" s="2" t="n">
        <x:v>0</x:v>
      </x:c>
      <x:c r="K698" s="2" t="n">
        <x:f>I698-J698</x:f>
        <x:v>19</x:v>
      </x:c>
      <x:c r="L698" s="16" t="n">
        <x:v>22</x:v>
      </x:c>
      <x:c r="M698" s="16" t="n">
        <x:v>22</x:v>
      </x:c>
      <x:c r="N698" s="16" t="n">
        <x:v>9.02</x:v>
      </x:c>
      <x:c r="O698" s="16" t="n">
        <x:f>K698*M698</x:f>
        <x:v>418</x:v>
      </x:c>
      <x:c r="P698" s="16" t="n">
        <x:f>K698*N698</x:f>
        <x:v>171.38</x:v>
      </x:c>
      <x:c r="Q698" s="16" t="n">
        <x:f>O698-P698</x:f>
        <x:v>246.62</x:v>
      </x:c>
      <x:c r="R698" s="2" t="n">
        <x:v>46</x:v>
      </x:c>
      <x:c r="S698" s="2" t="n">
        <x:v>71</x:v>
      </x:c>
      <x:c r="T698" s="2" t="n">
        <x:f>R698+S698+J698-I698</x:f>
        <x:v>98</x:v>
      </x:c>
      <x:c r="U698" s="2" t="n">
        <x:v>0</x:v>
      </x:c>
      <x:c r="V698" s="2" t="n">
        <x:v>4</x:v>
      </x:c>
      <x:c r="W698" s="2" t="n">
        <x:v>27</x:v>
      </x:c>
      <x:c r="X698" s="14" t="b">
        <x:v>0</x:v>
      </x:c>
      <x:c r="Y698" s="14" t="b">
        <x:v>0</x:v>
      </x:c>
      <x:c r="Z698" s="2" t="n">
        <x:f>ABS(T698-AA698)</x:f>
        <x:v>0</x:v>
      </x:c>
      <x:c r="AA698" s="2" t="n">
        <x:v>98</x:v>
      </x:c>
      <x:c r="AB698" s="2" t="n">
        <x:f>ABS(K698-W698)</x:f>
        <x:v>8</x:v>
      </x:c>
      <x:c r="AC698" s="2" t="n">
        <x:f>COUNTIF($A$2:$A$1921,A698)-1</x:f>
        <x:v>0</x:v>
      </x:c>
      <x:c r="AD698" s="2" t="n">
        <x:f>IF(AND(D698=D697,H698=H697,C698=C697+1),ABS(R698-T697),0)</x:f>
        <x:v>0</x:v>
      </x:c>
    </x:row>
    <x:row r="699" ht="23" customHeight="1">
      <x:c r="A699" s="2" t="str">
        <x:v>DEMO-203-2-18</x:v>
      </x:c>
      <x:c r="B699" s="15" t="d">
        <x:v>2026-08-31T00:00:00.000Z</x:v>
      </x:c>
      <x:c r="C699" s="2" t="n">
        <x:v>18</x:v>
      </x:c>
      <x:c r="D699" s="2" t="str">
        <x:v>DEMO-203</x:v>
      </x:c>
      <x:c r="E699" s="2" t="str">
        <x:v>Tiny Joy Kit</x:v>
      </x:c>
      <x:c r="F699" s="2" t="str">
        <x:v>Gifting</x:v>
      </x:c>
      <x:c r="G699" s="2" t="str">
        <x:v>Stores</x:v>
      </x:c>
      <x:c r="H699" s="2" t="str">
        <x:v>Central Market</x:v>
      </x:c>
      <x:c r="I699" s="2" t="n">
        <x:v>18</x:v>
      </x:c>
      <x:c r="J699" s="2" t="n">
        <x:v>0</x:v>
      </x:c>
      <x:c r="K699" s="2" t="n">
        <x:f>I699-J699</x:f>
        <x:v>18</x:v>
      </x:c>
      <x:c r="L699" s="16" t="n">
        <x:v>22</x:v>
      </x:c>
      <x:c r="M699" s="16" t="n">
        <x:v>22</x:v>
      </x:c>
      <x:c r="N699" s="16" t="n">
        <x:v>9.02</x:v>
      </x:c>
      <x:c r="O699" s="16" t="n">
        <x:f>K699*M699</x:f>
        <x:v>396</x:v>
      </x:c>
      <x:c r="P699" s="16" t="n">
        <x:f>K699*N699</x:f>
        <x:v>162.35999999999999</x:v>
      </x:c>
      <x:c r="Q699" s="16" t="n">
        <x:f>O699-P699</x:f>
        <x:v>233.64000000000001</x:v>
      </x:c>
      <x:c r="R699" s="2" t="n">
        <x:v>98</x:v>
      </x:c>
      <x:c r="S699" s="2" t="n">
        <x:v>0</x:v>
      </x:c>
      <x:c r="T699" s="2" t="n">
        <x:f>R699+S699+J699-I699</x:f>
        <x:v>80</x:v>
      </x:c>
      <x:c r="U699" s="2" t="n">
        <x:v>0</x:v>
      </x:c>
      <x:c r="V699" s="2" t="n">
        <x:v>4</x:v>
      </x:c>
      <x:c r="W699" s="2" t="n">
        <x:v>22</x:v>
      </x:c>
      <x:c r="X699" s="14" t="b">
        <x:v>0</x:v>
      </x:c>
      <x:c r="Y699" s="14" t="b">
        <x:v>0</x:v>
      </x:c>
      <x:c r="Z699" s="2" t="n">
        <x:f>ABS(T699-AA699)</x:f>
        <x:v>0</x:v>
      </x:c>
      <x:c r="AA699" s="2" t="n">
        <x:v>80</x:v>
      </x:c>
      <x:c r="AB699" s="2" t="n">
        <x:f>ABS(K699-W699)</x:f>
        <x:v>4</x:v>
      </x:c>
      <x:c r="AC699" s="2" t="n">
        <x:f>COUNTIF($A$2:$A$1921,A699)-1</x:f>
        <x:v>0</x:v>
      </x:c>
      <x:c r="AD699" s="2" t="n">
        <x:f>IF(AND(D699=D698,H699=H698,C699=C698+1),ABS(R699-T698),0)</x:f>
        <x:v>0</x:v>
      </x:c>
    </x:row>
    <x:row r="700" ht="23" customHeight="1">
      <x:c r="A700" s="2" t="str">
        <x:v>DEMO-203-2-19</x:v>
      </x:c>
      <x:c r="B700" s="15" t="d">
        <x:v>2026-09-07T00:00:00.000Z</x:v>
      </x:c>
      <x:c r="C700" s="2" t="n">
        <x:v>19</x:v>
      </x:c>
      <x:c r="D700" s="2" t="str">
        <x:v>DEMO-203</x:v>
      </x:c>
      <x:c r="E700" s="2" t="str">
        <x:v>Tiny Joy Kit</x:v>
      </x:c>
      <x:c r="F700" s="2" t="str">
        <x:v>Gifting</x:v>
      </x:c>
      <x:c r="G700" s="2" t="str">
        <x:v>Stores</x:v>
      </x:c>
      <x:c r="H700" s="2" t="str">
        <x:v>Central Market</x:v>
      </x:c>
      <x:c r="I700" s="2" t="n">
        <x:v>20</x:v>
      </x:c>
      <x:c r="J700" s="2" t="n">
        <x:v>1</x:v>
      </x:c>
      <x:c r="K700" s="2" t="n">
        <x:f>I700-J700</x:f>
        <x:v>19</x:v>
      </x:c>
      <x:c r="L700" s="16" t="n">
        <x:v>22</x:v>
      </x:c>
      <x:c r="M700" s="16" t="n">
        <x:v>22</x:v>
      </x:c>
      <x:c r="N700" s="16" t="n">
        <x:v>9.02</x:v>
      </x:c>
      <x:c r="O700" s="16" t="n">
        <x:f>K700*M700</x:f>
        <x:v>418</x:v>
      </x:c>
      <x:c r="P700" s="16" t="n">
        <x:f>K700*N700</x:f>
        <x:v>171.38</x:v>
      </x:c>
      <x:c r="Q700" s="16" t="n">
        <x:f>O700-P700</x:f>
        <x:v>246.62</x:v>
      </x:c>
      <x:c r="R700" s="2" t="n">
        <x:v>80</x:v>
      </x:c>
      <x:c r="S700" s="2" t="n">
        <x:v>0</x:v>
      </x:c>
      <x:c r="T700" s="2" t="n">
        <x:f>R700+S700+J700-I700</x:f>
        <x:v>61</x:v>
      </x:c>
      <x:c r="U700" s="2" t="n">
        <x:v>0</x:v>
      </x:c>
      <x:c r="V700" s="2" t="n">
        <x:v>4</x:v>
      </x:c>
      <x:c r="W700" s="2" t="n">
        <x:v>18</x:v>
      </x:c>
      <x:c r="X700" s="14" t="b">
        <x:v>0</x:v>
      </x:c>
      <x:c r="Y700" s="14" t="b">
        <x:v>0</x:v>
      </x:c>
      <x:c r="Z700" s="2" t="n">
        <x:f>ABS(T700-AA700)</x:f>
        <x:v>0</x:v>
      </x:c>
      <x:c r="AA700" s="2" t="n">
        <x:v>61</x:v>
      </x:c>
      <x:c r="AB700" s="2" t="n">
        <x:f>ABS(K700-W700)</x:f>
        <x:v>1</x:v>
      </x:c>
      <x:c r="AC700" s="2" t="n">
        <x:f>COUNTIF($A$2:$A$1921,A700)-1</x:f>
        <x:v>0</x:v>
      </x:c>
      <x:c r="AD700" s="2" t="n">
        <x:f>IF(AND(D700=D699,H700=H699,C700=C699+1),ABS(R700-T699),0)</x:f>
        <x:v>0</x:v>
      </x:c>
    </x:row>
    <x:row r="701" ht="23" customHeight="1">
      <x:c r="A701" s="2" t="str">
        <x:v>DEMO-203-2-20</x:v>
      </x:c>
      <x:c r="B701" s="15" t="d">
        <x:v>2026-09-14T00:00:00.000Z</x:v>
      </x:c>
      <x:c r="C701" s="2" t="n">
        <x:v>20</x:v>
      </x:c>
      <x:c r="D701" s="2" t="str">
        <x:v>DEMO-203</x:v>
      </x:c>
      <x:c r="E701" s="2" t="str">
        <x:v>Tiny Joy Kit</x:v>
      </x:c>
      <x:c r="F701" s="2" t="str">
        <x:v>Gifting</x:v>
      </x:c>
      <x:c r="G701" s="2" t="str">
        <x:v>Stores</x:v>
      </x:c>
      <x:c r="H701" s="2" t="str">
        <x:v>Central Market</x:v>
      </x:c>
      <x:c r="I701" s="2" t="n">
        <x:v>16</x:v>
      </x:c>
      <x:c r="J701" s="2" t="n">
        <x:v>1</x:v>
      </x:c>
      <x:c r="K701" s="2" t="n">
        <x:f>I701-J701</x:f>
        <x:v>15</x:v>
      </x:c>
      <x:c r="L701" s="16" t="n">
        <x:v>22</x:v>
      </x:c>
      <x:c r="M701" s="16" t="n">
        <x:v>22</x:v>
      </x:c>
      <x:c r="N701" s="16" t="n">
        <x:v>9.02</x:v>
      </x:c>
      <x:c r="O701" s="16" t="n">
        <x:f>K701*M701</x:f>
        <x:v>330</x:v>
      </x:c>
      <x:c r="P701" s="16" t="n">
        <x:f>K701*N701</x:f>
        <x:v>135.29999999999998</x:v>
      </x:c>
      <x:c r="Q701" s="16" t="n">
        <x:f>O701-P701</x:f>
        <x:v>194.70000000000002</x:v>
      </x:c>
      <x:c r="R701" s="2" t="n">
        <x:v>61</x:v>
      </x:c>
      <x:c r="S701" s="2" t="n">
        <x:v>0</x:v>
      </x:c>
      <x:c r="T701" s="2" t="n">
        <x:f>R701+S701+J701-I701</x:f>
        <x:v>46</x:v>
      </x:c>
      <x:c r="U701" s="2" t="n">
        <x:v>18</x:v>
      </x:c>
      <x:c r="V701" s="2" t="n">
        <x:v>4</x:v>
      </x:c>
      <x:c r="W701" s="2" t="n">
        <x:v>18</x:v>
      </x:c>
      <x:c r="X701" s="14" t="b">
        <x:v>0</x:v>
      </x:c>
      <x:c r="Y701" s="14" t="b">
        <x:v>0</x:v>
      </x:c>
      <x:c r="Z701" s="2" t="n">
        <x:f>ABS(T701-AA701)</x:f>
        <x:v>0</x:v>
      </x:c>
      <x:c r="AA701" s="2" t="n">
        <x:v>46</x:v>
      </x:c>
      <x:c r="AB701" s="2" t="n">
        <x:f>ABS(K701-W701)</x:f>
        <x:v>3</x:v>
      </x:c>
      <x:c r="AC701" s="2" t="n">
        <x:f>COUNTIF($A$2:$A$1921,A701)-1</x:f>
        <x:v>0</x:v>
      </x:c>
      <x:c r="AD701" s="2" t="n">
        <x:f>IF(AND(D701=D700,H701=H700,C701=C700+1),ABS(R701-T700),0)</x:f>
        <x:v>0</x:v>
      </x:c>
    </x:row>
    <x:row r="702" ht="23" customHeight="1">
      <x:c r="A702" s="2" t="str">
        <x:v>DEMO-203-3-1</x:v>
      </x:c>
      <x:c r="B702" s="15" t="d">
        <x:v>2026-05-04T00:00:00.000Z</x:v>
      </x:c>
      <x:c r="C702" s="2" t="n">
        <x:v>1</x:v>
      </x:c>
      <x:c r="D702" s="2" t="str">
        <x:v>DEMO-203</x:v>
      </x:c>
      <x:c r="E702" s="2" t="str">
        <x:v>Tiny Joy Kit</x:v>
      </x:c>
      <x:c r="F702" s="2" t="str">
        <x:v>Gifting</x:v>
      </x:c>
      <x:c r="G702" s="2" t="str">
        <x:v>Online</x:v>
      </x:c>
      <x:c r="H702" s="2" t="str">
        <x:v>Online</x:v>
      </x:c>
      <x:c r="I702" s="2" t="n">
        <x:v>34</x:v>
      </x:c>
      <x:c r="J702" s="2" t="n">
        <x:v>1</x:v>
      </x:c>
      <x:c r="K702" s="2" t="n">
        <x:f>I702-J702</x:f>
        <x:v>33</x:v>
      </x:c>
      <x:c r="L702" s="16" t="n">
        <x:v>22</x:v>
      </x:c>
      <x:c r="M702" s="16" t="n">
        <x:v>22</x:v>
      </x:c>
      <x:c r="N702" s="16" t="n">
        <x:v>9.02</x:v>
      </x:c>
      <x:c r="O702" s="16" t="n">
        <x:f>K702*M702</x:f>
        <x:v>726</x:v>
      </x:c>
      <x:c r="P702" s="16" t="n">
        <x:f>K702*N702</x:f>
        <x:v>297.65999999999997</x:v>
      </x:c>
      <x:c r="Q702" s="16" t="n">
        <x:f>O702-P702</x:f>
        <x:v>428.34000000000003</x:v>
      </x:c>
      <x:c r="R702" s="2" t="n">
        <x:v>90</x:v>
      </x:c>
      <x:c r="S702" s="2" t="n">
        <x:v>121</x:v>
      </x:c>
      <x:c r="T702" s="2" t="n">
        <x:f>R702+S702+J702-I702</x:f>
        <x:v>178</x:v>
      </x:c>
      <x:c r="U702" s="2" t="n">
        <x:v>0</x:v>
      </x:c>
      <x:c r="V702" s="2" t="n">
        <x:v>4</x:v>
      </x:c>
      <x:c r="W702" s="2" t="n">
        <x:v>29</x:v>
      </x:c>
      <x:c r="X702" s="14" t="b">
        <x:v>0</x:v>
      </x:c>
      <x:c r="Y702" s="14" t="b">
        <x:v>0</x:v>
      </x:c>
      <x:c r="Z702" s="2" t="n">
        <x:f>ABS(T702-AA702)</x:f>
        <x:v>0</x:v>
      </x:c>
      <x:c r="AA702" s="2" t="n">
        <x:v>178</x:v>
      </x:c>
      <x:c r="AB702" s="2" t="n">
        <x:f>ABS(K702-W702)</x:f>
        <x:v>4</x:v>
      </x:c>
      <x:c r="AC702" s="2" t="n">
        <x:f>COUNTIF($A$2:$A$1921,A702)-1</x:f>
        <x:v>0</x:v>
      </x:c>
      <x:c r="AD702" s="2" t="n">
        <x:f>IF(AND(D702=D701,H702=H701,C702=C701+1),ABS(R702-T701),0)</x:f>
        <x:v>0</x:v>
      </x:c>
    </x:row>
    <x:row r="703" ht="23" customHeight="1">
      <x:c r="A703" s="2" t="str">
        <x:v>DEMO-203-3-2</x:v>
      </x:c>
      <x:c r="B703" s="15" t="d">
        <x:v>2026-05-11T00:00:00.000Z</x:v>
      </x:c>
      <x:c r="C703" s="2" t="n">
        <x:v>2</x:v>
      </x:c>
      <x:c r="D703" s="2" t="str">
        <x:v>DEMO-203</x:v>
      </x:c>
      <x:c r="E703" s="2" t="str">
        <x:v>Tiny Joy Kit</x:v>
      </x:c>
      <x:c r="F703" s="2" t="str">
        <x:v>Gifting</x:v>
      </x:c>
      <x:c r="G703" s="2" t="str">
        <x:v>Online</x:v>
      </x:c>
      <x:c r="H703" s="2" t="str">
        <x:v>Online</x:v>
      </x:c>
      <x:c r="I703" s="2" t="n">
        <x:v>32</x:v>
      </x:c>
      <x:c r="J703" s="2" t="n">
        <x:v>0</x:v>
      </x:c>
      <x:c r="K703" s="2" t="n">
        <x:f>I703-J703</x:f>
        <x:v>32</x:v>
      </x:c>
      <x:c r="L703" s="16" t="n">
        <x:v>22</x:v>
      </x:c>
      <x:c r="M703" s="16" t="n">
        <x:v>22</x:v>
      </x:c>
      <x:c r="N703" s="16" t="n">
        <x:v>9.02</x:v>
      </x:c>
      <x:c r="O703" s="16" t="n">
        <x:f>K703*M703</x:f>
        <x:v>704</x:v>
      </x:c>
      <x:c r="P703" s="16" t="n">
        <x:f>K703*N703</x:f>
        <x:v>288.64</x:v>
      </x:c>
      <x:c r="Q703" s="16" t="n">
        <x:f>O703-P703</x:f>
        <x:v>415.36</x:v>
      </x:c>
      <x:c r="R703" s="2" t="n">
        <x:v>178</x:v>
      </x:c>
      <x:c r="S703" s="2" t="n">
        <x:v>0</x:v>
      </x:c>
      <x:c r="T703" s="2" t="n">
        <x:f>R703+S703+J703-I703</x:f>
        <x:v>146</x:v>
      </x:c>
      <x:c r="U703" s="2" t="n">
        <x:v>0</x:v>
      </x:c>
      <x:c r="V703" s="2" t="n">
        <x:v>4</x:v>
      </x:c>
      <x:c r="W703" s="2" t="n">
        <x:v>33</x:v>
      </x:c>
      <x:c r="X703" s="14" t="b">
        <x:v>0</x:v>
      </x:c>
      <x:c r="Y703" s="14" t="b">
        <x:v>0</x:v>
      </x:c>
      <x:c r="Z703" s="2" t="n">
        <x:f>ABS(T703-AA703)</x:f>
        <x:v>0</x:v>
      </x:c>
      <x:c r="AA703" s="2" t="n">
        <x:v>146</x:v>
      </x:c>
      <x:c r="AB703" s="2" t="n">
        <x:f>ABS(K703-W703)</x:f>
        <x:v>1</x:v>
      </x:c>
      <x:c r="AC703" s="2" t="n">
        <x:f>COUNTIF($A$2:$A$1921,A703)-1</x:f>
        <x:v>0</x:v>
      </x:c>
      <x:c r="AD703" s="2" t="n">
        <x:f>IF(AND(D703=D702,H703=H702,C703=C702+1),ABS(R703-T702),0)</x:f>
        <x:v>0</x:v>
      </x:c>
    </x:row>
    <x:row r="704" ht="23" customHeight="1">
      <x:c r="A704" s="2" t="str">
        <x:v>DEMO-203-3-3</x:v>
      </x:c>
      <x:c r="B704" s="15" t="d">
        <x:v>2026-05-18T00:00:00.000Z</x:v>
      </x:c>
      <x:c r="C704" s="2" t="n">
        <x:v>3</x:v>
      </x:c>
      <x:c r="D704" s="2" t="str">
        <x:v>DEMO-203</x:v>
      </x:c>
      <x:c r="E704" s="2" t="str">
        <x:v>Tiny Joy Kit</x:v>
      </x:c>
      <x:c r="F704" s="2" t="str">
        <x:v>Gifting</x:v>
      </x:c>
      <x:c r="G704" s="2" t="str">
        <x:v>Online</x:v>
      </x:c>
      <x:c r="H704" s="2" t="str">
        <x:v>Online</x:v>
      </x:c>
      <x:c r="I704" s="2" t="n">
        <x:v>25</x:v>
      </x:c>
      <x:c r="J704" s="2" t="n">
        <x:v>0</x:v>
      </x:c>
      <x:c r="K704" s="2" t="n">
        <x:f>I704-J704</x:f>
        <x:v>25</x:v>
      </x:c>
      <x:c r="L704" s="16" t="n">
        <x:v>22</x:v>
      </x:c>
      <x:c r="M704" s="16" t="n">
        <x:v>22</x:v>
      </x:c>
      <x:c r="N704" s="16" t="n">
        <x:v>9.02</x:v>
      </x:c>
      <x:c r="O704" s="16" t="n">
        <x:f>K704*M704</x:f>
        <x:v>550</x:v>
      </x:c>
      <x:c r="P704" s="16" t="n">
        <x:f>K704*N704</x:f>
        <x:v>225.5</x:v>
      </x:c>
      <x:c r="Q704" s="16" t="n">
        <x:f>O704-P704</x:f>
        <x:v>324.5</x:v>
      </x:c>
      <x:c r="R704" s="2" t="n">
        <x:v>146</x:v>
      </x:c>
      <x:c r="S704" s="2" t="n">
        <x:v>0</x:v>
      </x:c>
      <x:c r="T704" s="2" t="n">
        <x:f>R704+S704+J704-I704</x:f>
        <x:v>121</x:v>
      </x:c>
      <x:c r="U704" s="2" t="n">
        <x:v>0</x:v>
      </x:c>
      <x:c r="V704" s="2" t="n">
        <x:v>4</x:v>
      </x:c>
      <x:c r="W704" s="2" t="n">
        <x:v>33</x:v>
      </x:c>
      <x:c r="X704" s="14" t="b">
        <x:v>0</x:v>
      </x:c>
      <x:c r="Y704" s="14" t="b">
        <x:v>0</x:v>
      </x:c>
      <x:c r="Z704" s="2" t="n">
        <x:f>ABS(T704-AA704)</x:f>
        <x:v>0</x:v>
      </x:c>
      <x:c r="AA704" s="2" t="n">
        <x:v>121</x:v>
      </x:c>
      <x:c r="AB704" s="2" t="n">
        <x:f>ABS(K704-W704)</x:f>
        <x:v>8</x:v>
      </x:c>
      <x:c r="AC704" s="2" t="n">
        <x:f>COUNTIF($A$2:$A$1921,A704)-1</x:f>
        <x:v>0</x:v>
      </x:c>
      <x:c r="AD704" s="2" t="n">
        <x:f>IF(AND(D704=D703,H704=H703,C704=C703+1),ABS(R704-T703),0)</x:f>
        <x:v>0</x:v>
      </x:c>
    </x:row>
    <x:row r="705" ht="23" customHeight="1">
      <x:c r="A705" s="2" t="str">
        <x:v>DEMO-203-3-4</x:v>
      </x:c>
      <x:c r="B705" s="15" t="d">
        <x:v>2026-05-25T00:00:00.000Z</x:v>
      </x:c>
      <x:c r="C705" s="2" t="n">
        <x:v>4</x:v>
      </x:c>
      <x:c r="D705" s="2" t="str">
        <x:v>DEMO-203</x:v>
      </x:c>
      <x:c r="E705" s="2" t="str">
        <x:v>Tiny Joy Kit</x:v>
      </x:c>
      <x:c r="F705" s="2" t="str">
        <x:v>Gifting</x:v>
      </x:c>
      <x:c r="G705" s="2" t="str">
        <x:v>Online</x:v>
      </x:c>
      <x:c r="H705" s="2" t="str">
        <x:v>Online</x:v>
      </x:c>
      <x:c r="I705" s="2" t="n">
        <x:v>27</x:v>
      </x:c>
      <x:c r="J705" s="2" t="n">
        <x:v>1</x:v>
      </x:c>
      <x:c r="K705" s="2" t="n">
        <x:f>I705-J705</x:f>
        <x:v>26</x:v>
      </x:c>
      <x:c r="L705" s="16" t="n">
        <x:v>22</x:v>
      </x:c>
      <x:c r="M705" s="16" t="n">
        <x:v>22</x:v>
      </x:c>
      <x:c r="N705" s="16" t="n">
        <x:v>9.02</x:v>
      </x:c>
      <x:c r="O705" s="16" t="n">
        <x:f>K705*M705</x:f>
        <x:v>572</x:v>
      </x:c>
      <x:c r="P705" s="16" t="n">
        <x:f>K705*N705</x:f>
        <x:v>234.51999999999998</x:v>
      </x:c>
      <x:c r="Q705" s="16" t="n">
        <x:f>O705-P705</x:f>
        <x:v>337.48</x:v>
      </x:c>
      <x:c r="R705" s="2" t="n">
        <x:v>121</x:v>
      </x:c>
      <x:c r="S705" s="2" t="n">
        <x:v>0</x:v>
      </x:c>
      <x:c r="T705" s="2" t="n">
        <x:f>R705+S705+J705-I705</x:f>
        <x:v>95</x:v>
      </x:c>
      <x:c r="U705" s="2" t="n">
        <x:v>0</x:v>
      </x:c>
      <x:c r="V705" s="2" t="n">
        <x:v>4</x:v>
      </x:c>
      <x:c r="W705" s="2" t="n">
        <x:v>30</x:v>
      </x:c>
      <x:c r="X705" s="14" t="b">
        <x:v>0</x:v>
      </x:c>
      <x:c r="Y705" s="14" t="b">
        <x:v>0</x:v>
      </x:c>
      <x:c r="Z705" s="2" t="n">
        <x:f>ABS(T705-AA705)</x:f>
        <x:v>0</x:v>
      </x:c>
      <x:c r="AA705" s="2" t="n">
        <x:v>95</x:v>
      </x:c>
      <x:c r="AB705" s="2" t="n">
        <x:f>ABS(K705-W705)</x:f>
        <x:v>4</x:v>
      </x:c>
      <x:c r="AC705" s="2" t="n">
        <x:f>COUNTIF($A$2:$A$1921,A705)-1</x:f>
        <x:v>0</x:v>
      </x:c>
      <x:c r="AD705" s="2" t="n">
        <x:f>IF(AND(D705=D704,H705=H704,C705=C704+1),ABS(R705-T704),0)</x:f>
        <x:v>0</x:v>
      </x:c>
    </x:row>
    <x:row r="706" ht="23" customHeight="1">
      <x:c r="A706" s="2" t="str">
        <x:v>DEMO-203-3-5</x:v>
      </x:c>
      <x:c r="B706" s="15" t="d">
        <x:v>2026-06-01T00:00:00.000Z</x:v>
      </x:c>
      <x:c r="C706" s="2" t="n">
        <x:v>5</x:v>
      </x:c>
      <x:c r="D706" s="2" t="str">
        <x:v>DEMO-203</x:v>
      </x:c>
      <x:c r="E706" s="2" t="str">
        <x:v>Tiny Joy Kit</x:v>
      </x:c>
      <x:c r="F706" s="2" t="str">
        <x:v>Gifting</x:v>
      </x:c>
      <x:c r="G706" s="2" t="str">
        <x:v>Online</x:v>
      </x:c>
      <x:c r="H706" s="2" t="str">
        <x:v>Online</x:v>
      </x:c>
      <x:c r="I706" s="2" t="n">
        <x:v>29</x:v>
      </x:c>
      <x:c r="J706" s="2" t="n">
        <x:v>1</x:v>
      </x:c>
      <x:c r="K706" s="2" t="n">
        <x:f>I706-J706</x:f>
        <x:v>28</x:v>
      </x:c>
      <x:c r="L706" s="16" t="n">
        <x:v>22</x:v>
      </x:c>
      <x:c r="M706" s="16" t="n">
        <x:v>22</x:v>
      </x:c>
      <x:c r="N706" s="16" t="n">
        <x:v>9.02</x:v>
      </x:c>
      <x:c r="O706" s="16" t="n">
        <x:f>K706*M706</x:f>
        <x:v>616</x:v>
      </x:c>
      <x:c r="P706" s="16" t="n">
        <x:f>K706*N706</x:f>
        <x:v>252.56</x:v>
      </x:c>
      <x:c r="Q706" s="16" t="n">
        <x:f>O706-P706</x:f>
        <x:v>363.44</x:v>
      </x:c>
      <x:c r="R706" s="2" t="n">
        <x:v>95</x:v>
      </x:c>
      <x:c r="S706" s="2" t="n">
        <x:v>121</x:v>
      </x:c>
      <x:c r="T706" s="2" t="n">
        <x:f>R706+S706+J706-I706</x:f>
        <x:v>188</x:v>
      </x:c>
      <x:c r="U706" s="2" t="n">
        <x:v>0</x:v>
      </x:c>
      <x:c r="V706" s="2" t="n">
        <x:v>4</x:v>
      </x:c>
      <x:c r="W706" s="2" t="n">
        <x:v>29</x:v>
      </x:c>
      <x:c r="X706" s="14" t="b">
        <x:v>0</x:v>
      </x:c>
      <x:c r="Y706" s="14" t="b">
        <x:v>0</x:v>
      </x:c>
      <x:c r="Z706" s="2" t="n">
        <x:f>ABS(T706-AA706)</x:f>
        <x:v>0</x:v>
      </x:c>
      <x:c r="AA706" s="2" t="n">
        <x:v>188</x:v>
      </x:c>
      <x:c r="AB706" s="2" t="n">
        <x:f>ABS(K706-W706)</x:f>
        <x:v>1</x:v>
      </x:c>
      <x:c r="AC706" s="2" t="n">
        <x:f>COUNTIF($A$2:$A$1921,A706)-1</x:f>
        <x:v>0</x:v>
      </x:c>
      <x:c r="AD706" s="2" t="n">
        <x:f>IF(AND(D706=D705,H706=H705,C706=C705+1),ABS(R706-T705),0)</x:f>
        <x:v>0</x:v>
      </x:c>
    </x:row>
    <x:row r="707" ht="23" customHeight="1">
      <x:c r="A707" s="2" t="str">
        <x:v>DEMO-203-3-6</x:v>
      </x:c>
      <x:c r="B707" s="15" t="d">
        <x:v>2026-06-08T00:00:00.000Z</x:v>
      </x:c>
      <x:c r="C707" s="2" t="n">
        <x:v>6</x:v>
      </x:c>
      <x:c r="D707" s="2" t="str">
        <x:v>DEMO-203</x:v>
      </x:c>
      <x:c r="E707" s="2" t="str">
        <x:v>Tiny Joy Kit</x:v>
      </x:c>
      <x:c r="F707" s="2" t="str">
        <x:v>Gifting</x:v>
      </x:c>
      <x:c r="G707" s="2" t="str">
        <x:v>Online</x:v>
      </x:c>
      <x:c r="H707" s="2" t="str">
        <x:v>Online</x:v>
      </x:c>
      <x:c r="I707" s="2" t="n">
        <x:v>24</x:v>
      </x:c>
      <x:c r="J707" s="2" t="n">
        <x:v>1</x:v>
      </x:c>
      <x:c r="K707" s="2" t="n">
        <x:f>I707-J707</x:f>
        <x:v>23</x:v>
      </x:c>
      <x:c r="L707" s="16" t="n">
        <x:v>22</x:v>
      </x:c>
      <x:c r="M707" s="16" t="n">
        <x:v>22</x:v>
      </x:c>
      <x:c r="N707" s="16" t="n">
        <x:v>9.02</x:v>
      </x:c>
      <x:c r="O707" s="16" t="n">
        <x:f>K707*M707</x:f>
        <x:v>506</x:v>
      </x:c>
      <x:c r="P707" s="16" t="n">
        <x:f>K707*N707</x:f>
        <x:v>207.45999999999998</x:v>
      </x:c>
      <x:c r="Q707" s="16" t="n">
        <x:f>O707-P707</x:f>
        <x:v>298.54</x:v>
      </x:c>
      <x:c r="R707" s="2" t="n">
        <x:v>188</x:v>
      </x:c>
      <x:c r="S707" s="2" t="n">
        <x:v>0</x:v>
      </x:c>
      <x:c r="T707" s="2" t="n">
        <x:f>R707+S707+J707-I707</x:f>
        <x:v>165</x:v>
      </x:c>
      <x:c r="U707" s="2" t="n">
        <x:v>0</x:v>
      </x:c>
      <x:c r="V707" s="2" t="n">
        <x:v>4</x:v>
      </x:c>
      <x:c r="W707" s="2" t="n">
        <x:v>28</x:v>
      </x:c>
      <x:c r="X707" s="14" t="b">
        <x:v>0</x:v>
      </x:c>
      <x:c r="Y707" s="14" t="b">
        <x:v>0</x:v>
      </x:c>
      <x:c r="Z707" s="2" t="n">
        <x:f>ABS(T707-AA707)</x:f>
        <x:v>0</x:v>
      </x:c>
      <x:c r="AA707" s="2" t="n">
        <x:v>165</x:v>
      </x:c>
      <x:c r="AB707" s="2" t="n">
        <x:f>ABS(K707-W707)</x:f>
        <x:v>5</x:v>
      </x:c>
      <x:c r="AC707" s="2" t="n">
        <x:f>COUNTIF($A$2:$A$1921,A707)-1</x:f>
        <x:v>0</x:v>
      </x:c>
      <x:c r="AD707" s="2" t="n">
        <x:f>IF(AND(D707=D706,H707=H706,C707=C706+1),ABS(R707-T706),0)</x:f>
        <x:v>0</x:v>
      </x:c>
    </x:row>
    <x:row r="708" ht="23" customHeight="1">
      <x:c r="A708" s="2" t="str">
        <x:v>DEMO-203-3-7</x:v>
      </x:c>
      <x:c r="B708" s="15" t="d">
        <x:v>2026-06-15T00:00:00.000Z</x:v>
      </x:c>
      <x:c r="C708" s="2" t="n">
        <x:v>7</x:v>
      </x:c>
      <x:c r="D708" s="2" t="str">
        <x:v>DEMO-203</x:v>
      </x:c>
      <x:c r="E708" s="2" t="str">
        <x:v>Tiny Joy Kit</x:v>
      </x:c>
      <x:c r="F708" s="2" t="str">
        <x:v>Gifting</x:v>
      </x:c>
      <x:c r="G708" s="2" t="str">
        <x:v>Online</x:v>
      </x:c>
      <x:c r="H708" s="2" t="str">
        <x:v>Online</x:v>
      </x:c>
      <x:c r="I708" s="2" t="n">
        <x:v>31</x:v>
      </x:c>
      <x:c r="J708" s="2" t="n">
        <x:v>0</x:v>
      </x:c>
      <x:c r="K708" s="2" t="n">
        <x:f>I708-J708</x:f>
        <x:v>31</x:v>
      </x:c>
      <x:c r="L708" s="16" t="n">
        <x:v>22</x:v>
      </x:c>
      <x:c r="M708" s="16" t="n">
        <x:v>22</x:v>
      </x:c>
      <x:c r="N708" s="16" t="n">
        <x:v>9.02</x:v>
      </x:c>
      <x:c r="O708" s="16" t="n">
        <x:f>K708*M708</x:f>
        <x:v>682</x:v>
      </x:c>
      <x:c r="P708" s="16" t="n">
        <x:f>K708*N708</x:f>
        <x:v>279.62</x:v>
      </x:c>
      <x:c r="Q708" s="16" t="n">
        <x:f>O708-P708</x:f>
        <x:v>402.38</x:v>
      </x:c>
      <x:c r="R708" s="2" t="n">
        <x:v>165</x:v>
      </x:c>
      <x:c r="S708" s="2" t="n">
        <x:v>0</x:v>
      </x:c>
      <x:c r="T708" s="2" t="n">
        <x:f>R708+S708+J708-I708</x:f>
        <x:v>134</x:v>
      </x:c>
      <x:c r="U708" s="2" t="n">
        <x:v>0</x:v>
      </x:c>
      <x:c r="V708" s="2" t="n">
        <x:v>4</x:v>
      </x:c>
      <x:c r="W708" s="2" t="n">
        <x:v>26</x:v>
      </x:c>
      <x:c r="X708" s="14" t="b">
        <x:v>0</x:v>
      </x:c>
      <x:c r="Y708" s="14" t="b">
        <x:v>0</x:v>
      </x:c>
      <x:c r="Z708" s="2" t="n">
        <x:f>ABS(T708-AA708)</x:f>
        <x:v>0</x:v>
      </x:c>
      <x:c r="AA708" s="2" t="n">
        <x:v>134</x:v>
      </x:c>
      <x:c r="AB708" s="2" t="n">
        <x:f>ABS(K708-W708)</x:f>
        <x:v>5</x:v>
      </x:c>
      <x:c r="AC708" s="2" t="n">
        <x:f>COUNTIF($A$2:$A$1921,A708)-1</x:f>
        <x:v>0</x:v>
      </x:c>
      <x:c r="AD708" s="2" t="n">
        <x:f>IF(AND(D708=D707,H708=H707,C708=C707+1),ABS(R708-T707),0)</x:f>
        <x:v>0</x:v>
      </x:c>
    </x:row>
    <x:row r="709" ht="23" customHeight="1">
      <x:c r="A709" s="2" t="str">
        <x:v>DEMO-203-3-8</x:v>
      </x:c>
      <x:c r="B709" s="15" t="d">
        <x:v>2026-06-22T00:00:00.000Z</x:v>
      </x:c>
      <x:c r="C709" s="2" t="n">
        <x:v>8</x:v>
      </x:c>
      <x:c r="D709" s="2" t="str">
        <x:v>DEMO-203</x:v>
      </x:c>
      <x:c r="E709" s="2" t="str">
        <x:v>Tiny Joy Kit</x:v>
      </x:c>
      <x:c r="F709" s="2" t="str">
        <x:v>Gifting</x:v>
      </x:c>
      <x:c r="G709" s="2" t="str">
        <x:v>Online</x:v>
      </x:c>
      <x:c r="H709" s="2" t="str">
        <x:v>Online</x:v>
      </x:c>
      <x:c r="I709" s="2" t="n">
        <x:v>26</x:v>
      </x:c>
      <x:c r="J709" s="2" t="n">
        <x:v>0</x:v>
      </x:c>
      <x:c r="K709" s="2" t="n">
        <x:f>I709-J709</x:f>
        <x:v>26</x:v>
      </x:c>
      <x:c r="L709" s="16" t="n">
        <x:v>22</x:v>
      </x:c>
      <x:c r="M709" s="16" t="n">
        <x:v>22</x:v>
      </x:c>
      <x:c r="N709" s="16" t="n">
        <x:v>9.02</x:v>
      </x:c>
      <x:c r="O709" s="16" t="n">
        <x:f>K709*M709</x:f>
        <x:v>572</x:v>
      </x:c>
      <x:c r="P709" s="16" t="n">
        <x:f>K709*N709</x:f>
        <x:v>234.51999999999998</x:v>
      </x:c>
      <x:c r="Q709" s="16" t="n">
        <x:f>O709-P709</x:f>
        <x:v>337.48</x:v>
      </x:c>
      <x:c r="R709" s="2" t="n">
        <x:v>134</x:v>
      </x:c>
      <x:c r="S709" s="2" t="n">
        <x:v>0</x:v>
      </x:c>
      <x:c r="T709" s="2" t="n">
        <x:f>R709+S709+J709-I709</x:f>
        <x:v>108</x:v>
      </x:c>
      <x:c r="U709" s="2" t="n">
        <x:v>0</x:v>
      </x:c>
      <x:c r="V709" s="2" t="n">
        <x:v>4</x:v>
      </x:c>
      <x:c r="W709" s="2" t="n">
        <x:v>27</x:v>
      </x:c>
      <x:c r="X709" s="14" t="b">
        <x:v>0</x:v>
      </x:c>
      <x:c r="Y709" s="14" t="b">
        <x:v>0</x:v>
      </x:c>
      <x:c r="Z709" s="2" t="n">
        <x:f>ABS(T709-AA709)</x:f>
        <x:v>0</x:v>
      </x:c>
      <x:c r="AA709" s="2" t="n">
        <x:v>108</x:v>
      </x:c>
      <x:c r="AB709" s="2" t="n">
        <x:f>ABS(K709-W709)</x:f>
        <x:v>1</x:v>
      </x:c>
      <x:c r="AC709" s="2" t="n">
        <x:f>COUNTIF($A$2:$A$1921,A709)-1</x:f>
        <x:v>0</x:v>
      </x:c>
      <x:c r="AD709" s="2" t="n">
        <x:f>IF(AND(D709=D708,H709=H708,C709=C708+1),ABS(R709-T708),0)</x:f>
        <x:v>0</x:v>
      </x:c>
    </x:row>
    <x:row r="710" ht="23" customHeight="1">
      <x:c r="A710" s="2" t="str">
        <x:v>DEMO-203-3-9</x:v>
      </x:c>
      <x:c r="B710" s="15" t="d">
        <x:v>2026-06-29T00:00:00.000Z</x:v>
      </x:c>
      <x:c r="C710" s="2" t="n">
        <x:v>9</x:v>
      </x:c>
      <x:c r="D710" s="2" t="str">
        <x:v>DEMO-203</x:v>
      </x:c>
      <x:c r="E710" s="2" t="str">
        <x:v>Tiny Joy Kit</x:v>
      </x:c>
      <x:c r="F710" s="2" t="str">
        <x:v>Gifting</x:v>
      </x:c>
      <x:c r="G710" s="2" t="str">
        <x:v>Online</x:v>
      </x:c>
      <x:c r="H710" s="2" t="str">
        <x:v>Online</x:v>
      </x:c>
      <x:c r="I710" s="2" t="n">
        <x:v>26</x:v>
      </x:c>
      <x:c r="J710" s="2" t="n">
        <x:v>1</x:v>
      </x:c>
      <x:c r="K710" s="2" t="n">
        <x:f>I710-J710</x:f>
        <x:v>25</x:v>
      </x:c>
      <x:c r="L710" s="16" t="n">
        <x:v>22</x:v>
      </x:c>
      <x:c r="M710" s="16" t="n">
        <x:v>22</x:v>
      </x:c>
      <x:c r="N710" s="16" t="n">
        <x:v>9.02</x:v>
      </x:c>
      <x:c r="O710" s="16" t="n">
        <x:f>K710*M710</x:f>
        <x:v>550</x:v>
      </x:c>
      <x:c r="P710" s="16" t="n">
        <x:f>K710*N710</x:f>
        <x:v>225.5</x:v>
      </x:c>
      <x:c r="Q710" s="16" t="n">
        <x:f>O710-P710</x:f>
        <x:v>324.5</x:v>
      </x:c>
      <x:c r="R710" s="2" t="n">
        <x:v>108</x:v>
      </x:c>
      <x:c r="S710" s="2" t="n">
        <x:v>121</x:v>
      </x:c>
      <x:c r="T710" s="2" t="n">
        <x:f>R710+S710+J710-I710</x:f>
        <x:v>204</x:v>
      </x:c>
      <x:c r="U710" s="2" t="n">
        <x:v>0</x:v>
      </x:c>
      <x:c r="V710" s="2" t="n">
        <x:v>4</x:v>
      </x:c>
      <x:c r="W710" s="2" t="n">
        <x:v>27</x:v>
      </x:c>
      <x:c r="X710" s="14" t="b">
        <x:v>0</x:v>
      </x:c>
      <x:c r="Y710" s="14" t="b">
        <x:v>0</x:v>
      </x:c>
      <x:c r="Z710" s="2" t="n">
        <x:f>ABS(T710-AA710)</x:f>
        <x:v>0</x:v>
      </x:c>
      <x:c r="AA710" s="2" t="n">
        <x:v>204</x:v>
      </x:c>
      <x:c r="AB710" s="2" t="n">
        <x:f>ABS(K710-W710)</x:f>
        <x:v>2</x:v>
      </x:c>
      <x:c r="AC710" s="2" t="n">
        <x:f>COUNTIF($A$2:$A$1921,A710)-1</x:f>
        <x:v>0</x:v>
      </x:c>
      <x:c r="AD710" s="2" t="n">
        <x:f>IF(AND(D710=D709,H710=H709,C710=C709+1),ABS(R710-T709),0)</x:f>
        <x:v>0</x:v>
      </x:c>
    </x:row>
    <x:row r="711" ht="23" customHeight="1">
      <x:c r="A711" s="2" t="str">
        <x:v>DEMO-203-3-10</x:v>
      </x:c>
      <x:c r="B711" s="15" t="d">
        <x:v>2026-07-06T00:00:00.000Z</x:v>
      </x:c>
      <x:c r="C711" s="2" t="n">
        <x:v>10</x:v>
      </x:c>
      <x:c r="D711" s="2" t="str">
        <x:v>DEMO-203</x:v>
      </x:c>
      <x:c r="E711" s="2" t="str">
        <x:v>Tiny Joy Kit</x:v>
      </x:c>
      <x:c r="F711" s="2" t="str">
        <x:v>Gifting</x:v>
      </x:c>
      <x:c r="G711" s="2" t="str">
        <x:v>Online</x:v>
      </x:c>
      <x:c r="H711" s="2" t="str">
        <x:v>Online</x:v>
      </x:c>
      <x:c r="I711" s="2" t="n">
        <x:v>26</x:v>
      </x:c>
      <x:c r="J711" s="2" t="n">
        <x:v>0</x:v>
      </x:c>
      <x:c r="K711" s="2" t="n">
        <x:f>I711-J711</x:f>
        <x:v>26</x:v>
      </x:c>
      <x:c r="L711" s="16" t="n">
        <x:v>22</x:v>
      </x:c>
      <x:c r="M711" s="16" t="n">
        <x:v>22</x:v>
      </x:c>
      <x:c r="N711" s="16" t="n">
        <x:v>9.02</x:v>
      </x:c>
      <x:c r="O711" s="16" t="n">
        <x:f>K711*M711</x:f>
        <x:v>572</x:v>
      </x:c>
      <x:c r="P711" s="16" t="n">
        <x:f>K711*N711</x:f>
        <x:v>234.51999999999998</x:v>
      </x:c>
      <x:c r="Q711" s="16" t="n">
        <x:f>O711-P711</x:f>
        <x:v>337.48</x:v>
      </x:c>
      <x:c r="R711" s="2" t="n">
        <x:v>204</x:v>
      </x:c>
      <x:c r="S711" s="2" t="n">
        <x:v>0</x:v>
      </x:c>
      <x:c r="T711" s="2" t="n">
        <x:f>R711+S711+J711-I711</x:f>
        <x:v>178</x:v>
      </x:c>
      <x:c r="U711" s="2" t="n">
        <x:v>0</x:v>
      </x:c>
      <x:c r="V711" s="2" t="n">
        <x:v>4</x:v>
      </x:c>
      <x:c r="W711" s="2" t="n">
        <x:v>26</x:v>
      </x:c>
      <x:c r="X711" s="14" t="b">
        <x:v>0</x:v>
      </x:c>
      <x:c r="Y711" s="14" t="b">
        <x:v>0</x:v>
      </x:c>
      <x:c r="Z711" s="2" t="n">
        <x:f>ABS(T711-AA711)</x:f>
        <x:v>0</x:v>
      </x:c>
      <x:c r="AA711" s="2" t="n">
        <x:v>178</x:v>
      </x:c>
      <x:c r="AB711" s="2" t="n">
        <x:f>ABS(K711-W711)</x:f>
        <x:v>0</x:v>
      </x:c>
      <x:c r="AC711" s="2" t="n">
        <x:f>COUNTIF($A$2:$A$1921,A711)-1</x:f>
        <x:v>0</x:v>
      </x:c>
      <x:c r="AD711" s="2" t="n">
        <x:f>IF(AND(D711=D710,H711=H710,C711=C710+1),ABS(R711-T710),0)</x:f>
        <x:v>0</x:v>
      </x:c>
    </x:row>
    <x:row r="712" ht="23" customHeight="1">
      <x:c r="A712" s="2" t="str">
        <x:v>DEMO-203-3-11</x:v>
      </x:c>
      <x:c r="B712" s="15" t="d">
        <x:v>2026-07-13T00:00:00.000Z</x:v>
      </x:c>
      <x:c r="C712" s="2" t="n">
        <x:v>11</x:v>
      </x:c>
      <x:c r="D712" s="2" t="str">
        <x:v>DEMO-203</x:v>
      </x:c>
      <x:c r="E712" s="2" t="str">
        <x:v>Tiny Joy Kit</x:v>
      </x:c>
      <x:c r="F712" s="2" t="str">
        <x:v>Gifting</x:v>
      </x:c>
      <x:c r="G712" s="2" t="str">
        <x:v>Online</x:v>
      </x:c>
      <x:c r="H712" s="2" t="str">
        <x:v>Online</x:v>
      </x:c>
      <x:c r="I712" s="2" t="n">
        <x:v>23</x:v>
      </x:c>
      <x:c r="J712" s="2" t="n">
        <x:v>0</x:v>
      </x:c>
      <x:c r="K712" s="2" t="n">
        <x:f>I712-J712</x:f>
        <x:v>23</x:v>
      </x:c>
      <x:c r="L712" s="16" t="n">
        <x:v>22</x:v>
      </x:c>
      <x:c r="M712" s="16" t="n">
        <x:v>22</x:v>
      </x:c>
      <x:c r="N712" s="16" t="n">
        <x:v>9.02</x:v>
      </x:c>
      <x:c r="O712" s="16" t="n">
        <x:f>K712*M712</x:f>
        <x:v>506</x:v>
      </x:c>
      <x:c r="P712" s="16" t="n">
        <x:f>K712*N712</x:f>
        <x:v>207.45999999999998</x:v>
      </x:c>
      <x:c r="Q712" s="16" t="n">
        <x:f>O712-P712</x:f>
        <x:v>298.54</x:v>
      </x:c>
      <x:c r="R712" s="2" t="n">
        <x:v>178</x:v>
      </x:c>
      <x:c r="S712" s="2" t="n">
        <x:v>0</x:v>
      </x:c>
      <x:c r="T712" s="2" t="n">
        <x:f>R712+S712+J712-I712</x:f>
        <x:v>155</x:v>
      </x:c>
      <x:c r="U712" s="2" t="n">
        <x:v>0</x:v>
      </x:c>
      <x:c r="V712" s="2" t="n">
        <x:v>4</x:v>
      </x:c>
      <x:c r="W712" s="2" t="n">
        <x:v>27</x:v>
      </x:c>
      <x:c r="X712" s="14" t="b">
        <x:v>0</x:v>
      </x:c>
      <x:c r="Y712" s="14" t="b">
        <x:v>0</x:v>
      </x:c>
      <x:c r="Z712" s="2" t="n">
        <x:f>ABS(T712-AA712)</x:f>
        <x:v>0</x:v>
      </x:c>
      <x:c r="AA712" s="2" t="n">
        <x:v>155</x:v>
      </x:c>
      <x:c r="AB712" s="2" t="n">
        <x:f>ABS(K712-W712)</x:f>
        <x:v>4</x:v>
      </x:c>
      <x:c r="AC712" s="2" t="n">
        <x:f>COUNTIF($A$2:$A$1921,A712)-1</x:f>
        <x:v>0</x:v>
      </x:c>
      <x:c r="AD712" s="2" t="n">
        <x:f>IF(AND(D712=D711,H712=H711,C712=C711+1),ABS(R712-T711),0)</x:f>
        <x:v>0</x:v>
      </x:c>
    </x:row>
    <x:row r="713" ht="23" customHeight="1">
      <x:c r="A713" s="2" t="str">
        <x:v>DEMO-203-3-12</x:v>
      </x:c>
      <x:c r="B713" s="15" t="d">
        <x:v>2026-07-20T00:00:00.000Z</x:v>
      </x:c>
      <x:c r="C713" s="2" t="n">
        <x:v>12</x:v>
      </x:c>
      <x:c r="D713" s="2" t="str">
        <x:v>DEMO-203</x:v>
      </x:c>
      <x:c r="E713" s="2" t="str">
        <x:v>Tiny Joy Kit</x:v>
      </x:c>
      <x:c r="F713" s="2" t="str">
        <x:v>Gifting</x:v>
      </x:c>
      <x:c r="G713" s="2" t="str">
        <x:v>Online</x:v>
      </x:c>
      <x:c r="H713" s="2" t="str">
        <x:v>Online</x:v>
      </x:c>
      <x:c r="I713" s="2" t="n">
        <x:v>67</x:v>
      </x:c>
      <x:c r="J713" s="2" t="n">
        <x:v>0</x:v>
      </x:c>
      <x:c r="K713" s="2" t="n">
        <x:f>I713-J713</x:f>
        <x:v>67</x:v>
      </x:c>
      <x:c r="L713" s="16" t="n">
        <x:v>22</x:v>
      </x:c>
      <x:c r="M713" s="16" t="n">
        <x:v>19.8</x:v>
      </x:c>
      <x:c r="N713" s="16" t="n">
        <x:v>9.02</x:v>
      </x:c>
      <x:c r="O713" s="16" t="n">
        <x:f>K713*M713</x:f>
        <x:v>1326.6000000000001</x:v>
      </x:c>
      <x:c r="P713" s="16" t="n">
        <x:f>K713*N713</x:f>
        <x:v>604.3399999999999</x:v>
      </x:c>
      <x:c r="Q713" s="16" t="n">
        <x:f>O713-P713</x:f>
        <x:v>722.2600000000002</x:v>
      </x:c>
      <x:c r="R713" s="2" t="n">
        <x:v>155</x:v>
      </x:c>
      <x:c r="S713" s="2" t="n">
        <x:v>0</x:v>
      </x:c>
      <x:c r="T713" s="2" t="n">
        <x:f>R713+S713+J713-I713</x:f>
        <x:v>88</x:v>
      </x:c>
      <x:c r="U713" s="2" t="n">
        <x:v>0</x:v>
      </x:c>
      <x:c r="V713" s="2" t="n">
        <x:v>4</x:v>
      </x:c>
      <x:c r="W713" s="2" t="n">
        <x:v>25</x:v>
      </x:c>
      <x:c r="X713" s="14" t="b">
        <x:v>1</x:v>
      </x:c>
      <x:c r="Y713" s="14" t="b">
        <x:v>0</x:v>
      </x:c>
      <x:c r="Z713" s="2" t="n">
        <x:f>ABS(T713-AA713)</x:f>
        <x:v>0</x:v>
      </x:c>
      <x:c r="AA713" s="2" t="n">
        <x:v>88</x:v>
      </x:c>
      <x:c r="AB713" s="2" t="n">
        <x:f>ABS(K713-W713)</x:f>
        <x:v>42</x:v>
      </x:c>
      <x:c r="AC713" s="2" t="n">
        <x:f>COUNTIF($A$2:$A$1921,A713)-1</x:f>
        <x:v>0</x:v>
      </x:c>
      <x:c r="AD713" s="2" t="n">
        <x:f>IF(AND(D713=D712,H713=H712,C713=C712+1),ABS(R713-T712),0)</x:f>
        <x:v>0</x:v>
      </x:c>
    </x:row>
    <x:row r="714" ht="23" customHeight="1">
      <x:c r="A714" s="2" t="str">
        <x:v>DEMO-203-3-13</x:v>
      </x:c>
      <x:c r="B714" s="15" t="d">
        <x:v>2026-07-27T00:00:00.000Z</x:v>
      </x:c>
      <x:c r="C714" s="2" t="n">
        <x:v>13</x:v>
      </x:c>
      <x:c r="D714" s="2" t="str">
        <x:v>DEMO-203</x:v>
      </x:c>
      <x:c r="E714" s="2" t="str">
        <x:v>Tiny Joy Kit</x:v>
      </x:c>
      <x:c r="F714" s="2" t="str">
        <x:v>Gifting</x:v>
      </x:c>
      <x:c r="G714" s="2" t="str">
        <x:v>Online</x:v>
      </x:c>
      <x:c r="H714" s="2" t="str">
        <x:v>Online</x:v>
      </x:c>
      <x:c r="I714" s="2" t="n">
        <x:v>66</x:v>
      </x:c>
      <x:c r="J714" s="2" t="n">
        <x:v>0</x:v>
      </x:c>
      <x:c r="K714" s="2" t="n">
        <x:f>I714-J714</x:f>
        <x:v>66</x:v>
      </x:c>
      <x:c r="L714" s="16" t="n">
        <x:v>22</x:v>
      </x:c>
      <x:c r="M714" s="16" t="n">
        <x:v>19.8</x:v>
      </x:c>
      <x:c r="N714" s="16" t="n">
        <x:v>9.02</x:v>
      </x:c>
      <x:c r="O714" s="16" t="n">
        <x:f>K714*M714</x:f>
        <x:v>1306.8</x:v>
      </x:c>
      <x:c r="P714" s="16" t="n">
        <x:f>K714*N714</x:f>
        <x:v>595.3199999999999</x:v>
      </x:c>
      <x:c r="Q714" s="16" t="n">
        <x:f>O714-P714</x:f>
        <x:v>711.48</x:v>
      </x:c>
      <x:c r="R714" s="2" t="n">
        <x:v>88</x:v>
      </x:c>
      <x:c r="S714" s="2" t="n">
        <x:v>121</x:v>
      </x:c>
      <x:c r="T714" s="2" t="n">
        <x:f>R714+S714+J714-I714</x:f>
        <x:v>143</x:v>
      </x:c>
      <x:c r="U714" s="2" t="n">
        <x:v>0</x:v>
      </x:c>
      <x:c r="V714" s="2" t="n">
        <x:v>4</x:v>
      </x:c>
      <x:c r="W714" s="2" t="n">
        <x:v>35</x:v>
      </x:c>
      <x:c r="X714" s="14" t="b">
        <x:v>1</x:v>
      </x:c>
      <x:c r="Y714" s="14" t="b">
        <x:v>0</x:v>
      </x:c>
      <x:c r="Z714" s="2" t="n">
        <x:f>ABS(T714-AA714)</x:f>
        <x:v>0</x:v>
      </x:c>
      <x:c r="AA714" s="2" t="n">
        <x:v>143</x:v>
      </x:c>
      <x:c r="AB714" s="2" t="n">
        <x:f>ABS(K714-W714)</x:f>
        <x:v>31</x:v>
      </x:c>
      <x:c r="AC714" s="2" t="n">
        <x:f>COUNTIF($A$2:$A$1921,A714)-1</x:f>
        <x:v>0</x:v>
      </x:c>
      <x:c r="AD714" s="2" t="n">
        <x:f>IF(AND(D714=D713,H714=H713,C714=C713+1),ABS(R714-T713),0)</x:f>
        <x:v>0</x:v>
      </x:c>
    </x:row>
    <x:row r="715" ht="23" customHeight="1">
      <x:c r="A715" s="2" t="str">
        <x:v>DEMO-203-3-14</x:v>
      </x:c>
      <x:c r="B715" s="15" t="d">
        <x:v>2026-08-03T00:00:00.000Z</x:v>
      </x:c>
      <x:c r="C715" s="2" t="n">
        <x:v>14</x:v>
      </x:c>
      <x:c r="D715" s="2" t="str">
        <x:v>DEMO-203</x:v>
      </x:c>
      <x:c r="E715" s="2" t="str">
        <x:v>Tiny Joy Kit</x:v>
      </x:c>
      <x:c r="F715" s="2" t="str">
        <x:v>Gifting</x:v>
      </x:c>
      <x:c r="G715" s="2" t="str">
        <x:v>Online</x:v>
      </x:c>
      <x:c r="H715" s="2" t="str">
        <x:v>Online</x:v>
      </x:c>
      <x:c r="I715" s="2" t="n">
        <x:v>66</x:v>
      </x:c>
      <x:c r="J715" s="2" t="n">
        <x:v>0</x:v>
      </x:c>
      <x:c r="K715" s="2" t="n">
        <x:f>I715-J715</x:f>
        <x:v>66</x:v>
      </x:c>
      <x:c r="L715" s="16" t="n">
        <x:v>22</x:v>
      </x:c>
      <x:c r="M715" s="16" t="n">
        <x:v>19.8</x:v>
      </x:c>
      <x:c r="N715" s="16" t="n">
        <x:v>9.02</x:v>
      </x:c>
      <x:c r="O715" s="16" t="n">
        <x:f>K715*M715</x:f>
        <x:v>1306.8</x:v>
      </x:c>
      <x:c r="P715" s="16" t="n">
        <x:f>K715*N715</x:f>
        <x:v>595.3199999999999</x:v>
      </x:c>
      <x:c r="Q715" s="16" t="n">
        <x:f>O715-P715</x:f>
        <x:v>711.48</x:v>
      </x:c>
      <x:c r="R715" s="2" t="n">
        <x:v>143</x:v>
      </x:c>
      <x:c r="S715" s="2" t="n">
        <x:v>0</x:v>
      </x:c>
      <x:c r="T715" s="2" t="n">
        <x:f>R715+S715+J715-I715</x:f>
        <x:v>77</x:v>
      </x:c>
      <x:c r="U715" s="2" t="n">
        <x:v>0</x:v>
      </x:c>
      <x:c r="V715" s="2" t="n">
        <x:v>4</x:v>
      </x:c>
      <x:c r="W715" s="2" t="n">
        <x:v>46</x:v>
      </x:c>
      <x:c r="X715" s="14" t="b">
        <x:v>1</x:v>
      </x:c>
      <x:c r="Y715" s="14" t="b">
        <x:v>0</x:v>
      </x:c>
      <x:c r="Z715" s="2" t="n">
        <x:f>ABS(T715-AA715)</x:f>
        <x:v>0</x:v>
      </x:c>
      <x:c r="AA715" s="2" t="n">
        <x:v>77</x:v>
      </x:c>
      <x:c r="AB715" s="2" t="n">
        <x:f>ABS(K715-W715)</x:f>
        <x:v>20</x:v>
      </x:c>
      <x:c r="AC715" s="2" t="n">
        <x:f>COUNTIF($A$2:$A$1921,A715)-1</x:f>
        <x:v>0</x:v>
      </x:c>
      <x:c r="AD715" s="2" t="n">
        <x:f>IF(AND(D715=D714,H715=H714,C715=C714+1),ABS(R715-T714),0)</x:f>
        <x:v>0</x:v>
      </x:c>
    </x:row>
    <x:row r="716" ht="23" customHeight="1">
      <x:c r="A716" s="2" t="str">
        <x:v>DEMO-203-3-15</x:v>
      </x:c>
      <x:c r="B716" s="15" t="d">
        <x:v>2026-08-10T00:00:00.000Z</x:v>
      </x:c>
      <x:c r="C716" s="2" t="n">
        <x:v>15</x:v>
      </x:c>
      <x:c r="D716" s="2" t="str">
        <x:v>DEMO-203</x:v>
      </x:c>
      <x:c r="E716" s="2" t="str">
        <x:v>Tiny Joy Kit</x:v>
      </x:c>
      <x:c r="F716" s="2" t="str">
        <x:v>Gifting</x:v>
      </x:c>
      <x:c r="G716" s="2" t="str">
        <x:v>Online</x:v>
      </x:c>
      <x:c r="H716" s="2" t="str">
        <x:v>Online</x:v>
      </x:c>
      <x:c r="I716" s="2" t="n">
        <x:v>31</x:v>
      </x:c>
      <x:c r="J716" s="2" t="n">
        <x:v>0</x:v>
      </x:c>
      <x:c r="K716" s="2" t="n">
        <x:f>I716-J716</x:f>
        <x:v>31</x:v>
      </x:c>
      <x:c r="L716" s="16" t="n">
        <x:v>22</x:v>
      </x:c>
      <x:c r="M716" s="16" t="n">
        <x:v>22</x:v>
      </x:c>
      <x:c r="N716" s="16" t="n">
        <x:v>9.02</x:v>
      </x:c>
      <x:c r="O716" s="16" t="n">
        <x:f>K716*M716</x:f>
        <x:v>682</x:v>
      </x:c>
      <x:c r="P716" s="16" t="n">
        <x:f>K716*N716</x:f>
        <x:v>279.62</x:v>
      </x:c>
      <x:c r="Q716" s="16" t="n">
        <x:f>O716-P716</x:f>
        <x:v>402.38</x:v>
      </x:c>
      <x:c r="R716" s="2" t="n">
        <x:v>77</x:v>
      </x:c>
      <x:c r="S716" s="2" t="n">
        <x:v>0</x:v>
      </x:c>
      <x:c r="T716" s="2" t="n">
        <x:f>R716+S716+J716-I716</x:f>
        <x:v>46</x:v>
      </x:c>
      <x:c r="U716" s="2" t="n">
        <x:v>0</x:v>
      </x:c>
      <x:c r="V716" s="2" t="n">
        <x:v>4</x:v>
      </x:c>
      <x:c r="W716" s="2" t="n">
        <x:v>56</x:v>
      </x:c>
      <x:c r="X716" s="14" t="b">
        <x:v>0</x:v>
      </x:c>
      <x:c r="Y716" s="14" t="b">
        <x:v>0</x:v>
      </x:c>
      <x:c r="Z716" s="2" t="n">
        <x:f>ABS(T716-AA716)</x:f>
        <x:v>0</x:v>
      </x:c>
      <x:c r="AA716" s="2" t="n">
        <x:v>46</x:v>
      </x:c>
      <x:c r="AB716" s="2" t="n">
        <x:f>ABS(K716-W716)</x:f>
        <x:v>25</x:v>
      </x:c>
      <x:c r="AC716" s="2" t="n">
        <x:f>COUNTIF($A$2:$A$1921,A716)-1</x:f>
        <x:v>0</x:v>
      </x:c>
      <x:c r="AD716" s="2" t="n">
        <x:f>IF(AND(D716=D715,H716=H715,C716=C715+1),ABS(R716-T715),0)</x:f>
        <x:v>0</x:v>
      </x:c>
    </x:row>
    <x:row r="717" ht="23" customHeight="1">
      <x:c r="A717" s="2" t="str">
        <x:v>DEMO-203-3-16</x:v>
      </x:c>
      <x:c r="B717" s="15" t="d">
        <x:v>2026-08-17T00:00:00.000Z</x:v>
      </x:c>
      <x:c r="C717" s="2" t="n">
        <x:v>16</x:v>
      </x:c>
      <x:c r="D717" s="2" t="str">
        <x:v>DEMO-203</x:v>
      </x:c>
      <x:c r="E717" s="2" t="str">
        <x:v>Tiny Joy Kit</x:v>
      </x:c>
      <x:c r="F717" s="2" t="str">
        <x:v>Gifting</x:v>
      </x:c>
      <x:c r="G717" s="2" t="str">
        <x:v>Online</x:v>
      </x:c>
      <x:c r="H717" s="2" t="str">
        <x:v>Online</x:v>
      </x:c>
      <x:c r="I717" s="2" t="n">
        <x:v>26</x:v>
      </x:c>
      <x:c r="J717" s="2" t="n">
        <x:v>1</x:v>
      </x:c>
      <x:c r="K717" s="2" t="n">
        <x:f>I717-J717</x:f>
        <x:v>25</x:v>
      </x:c>
      <x:c r="L717" s="16" t="n">
        <x:v>22</x:v>
      </x:c>
      <x:c r="M717" s="16" t="n">
        <x:v>22</x:v>
      </x:c>
      <x:c r="N717" s="16" t="n">
        <x:v>9.02</x:v>
      </x:c>
      <x:c r="O717" s="16" t="n">
        <x:f>K717*M717</x:f>
        <x:v>550</x:v>
      </x:c>
      <x:c r="P717" s="16" t="n">
        <x:f>K717*N717</x:f>
        <x:v>225.5</x:v>
      </x:c>
      <x:c r="Q717" s="16" t="n">
        <x:f>O717-P717</x:f>
        <x:v>324.5</x:v>
      </x:c>
      <x:c r="R717" s="2" t="n">
        <x:v>46</x:v>
      </x:c>
      <x:c r="S717" s="2" t="n">
        <x:v>0</x:v>
      </x:c>
      <x:c r="T717" s="2" t="n">
        <x:f>R717+S717+J717-I717</x:f>
        <x:v>21</x:v>
      </x:c>
      <x:c r="U717" s="2" t="n">
        <x:v>0</x:v>
      </x:c>
      <x:c r="V717" s="2" t="n">
        <x:v>4</x:v>
      </x:c>
      <x:c r="W717" s="2" t="n">
        <x:v>58</x:v>
      </x:c>
      <x:c r="X717" s="14" t="b">
        <x:v>0</x:v>
      </x:c>
      <x:c r="Y717" s="14" t="b">
        <x:v>0</x:v>
      </x:c>
      <x:c r="Z717" s="2" t="n">
        <x:f>ABS(T717-AA717)</x:f>
        <x:v>0</x:v>
      </x:c>
      <x:c r="AA717" s="2" t="n">
        <x:v>21</x:v>
      </x:c>
      <x:c r="AB717" s="2" t="n">
        <x:f>ABS(K717-W717)</x:f>
        <x:v>33</x:v>
      </x:c>
      <x:c r="AC717" s="2" t="n">
        <x:f>COUNTIF($A$2:$A$1921,A717)-1</x:f>
        <x:v>0</x:v>
      </x:c>
      <x:c r="AD717" s="2" t="n">
        <x:f>IF(AND(D717=D716,H717=H716,C717=C716+1),ABS(R717-T716),0)</x:f>
        <x:v>0</x:v>
      </x:c>
    </x:row>
    <x:row r="718" ht="23" customHeight="1">
      <x:c r="A718" s="2" t="str">
        <x:v>DEMO-203-3-17</x:v>
      </x:c>
      <x:c r="B718" s="15" t="d">
        <x:v>2026-08-24T00:00:00.000Z</x:v>
      </x:c>
      <x:c r="C718" s="2" t="n">
        <x:v>17</x:v>
      </x:c>
      <x:c r="D718" s="2" t="str">
        <x:v>DEMO-203</x:v>
      </x:c>
      <x:c r="E718" s="2" t="str">
        <x:v>Tiny Joy Kit</x:v>
      </x:c>
      <x:c r="F718" s="2" t="str">
        <x:v>Gifting</x:v>
      </x:c>
      <x:c r="G718" s="2" t="str">
        <x:v>Online</x:v>
      </x:c>
      <x:c r="H718" s="2" t="str">
        <x:v>Online</x:v>
      </x:c>
      <x:c r="I718" s="2" t="n">
        <x:v>26</x:v>
      </x:c>
      <x:c r="J718" s="2" t="n">
        <x:v>0</x:v>
      </x:c>
      <x:c r="K718" s="2" t="n">
        <x:f>I718-J718</x:f>
        <x:v>26</x:v>
      </x:c>
      <x:c r="L718" s="16" t="n">
        <x:v>22</x:v>
      </x:c>
      <x:c r="M718" s="16" t="n">
        <x:v>22</x:v>
      </x:c>
      <x:c r="N718" s="16" t="n">
        <x:v>9.02</x:v>
      </x:c>
      <x:c r="O718" s="16" t="n">
        <x:f>K718*M718</x:f>
        <x:v>572</x:v>
      </x:c>
      <x:c r="P718" s="16" t="n">
        <x:f>K718*N718</x:f>
        <x:v>234.51999999999998</x:v>
      </x:c>
      <x:c r="Q718" s="16" t="n">
        <x:f>O718-P718</x:f>
        <x:v>337.48</x:v>
      </x:c>
      <x:c r="R718" s="2" t="n">
        <x:v>21</x:v>
      </x:c>
      <x:c r="S718" s="2" t="n">
        <x:v>121</x:v>
      </x:c>
      <x:c r="T718" s="2" t="n">
        <x:f>R718+S718+J718-I718</x:f>
        <x:v>116</x:v>
      </x:c>
      <x:c r="U718" s="2" t="n">
        <x:v>0</x:v>
      </x:c>
      <x:c r="V718" s="2" t="n">
        <x:v>4</x:v>
      </x:c>
      <x:c r="W718" s="2" t="n">
        <x:v>47</x:v>
      </x:c>
      <x:c r="X718" s="14" t="b">
        <x:v>0</x:v>
      </x:c>
      <x:c r="Y718" s="14" t="b">
        <x:v>0</x:v>
      </x:c>
      <x:c r="Z718" s="2" t="n">
        <x:f>ABS(T718-AA718)</x:f>
        <x:v>0</x:v>
      </x:c>
      <x:c r="AA718" s="2" t="n">
        <x:v>116</x:v>
      </x:c>
      <x:c r="AB718" s="2" t="n">
        <x:f>ABS(K718-W718)</x:f>
        <x:v>21</x:v>
      </x:c>
      <x:c r="AC718" s="2" t="n">
        <x:f>COUNTIF($A$2:$A$1921,A718)-1</x:f>
        <x:v>0</x:v>
      </x:c>
      <x:c r="AD718" s="2" t="n">
        <x:f>IF(AND(D718=D717,H718=H717,C718=C717+1),ABS(R718-T717),0)</x:f>
        <x:v>0</x:v>
      </x:c>
    </x:row>
    <x:row r="719" ht="23" customHeight="1">
      <x:c r="A719" s="2" t="str">
        <x:v>DEMO-203-3-18</x:v>
      </x:c>
      <x:c r="B719" s="15" t="d">
        <x:v>2026-08-31T00:00:00.000Z</x:v>
      </x:c>
      <x:c r="C719" s="2" t="n">
        <x:v>18</x:v>
      </x:c>
      <x:c r="D719" s="2" t="str">
        <x:v>DEMO-203</x:v>
      </x:c>
      <x:c r="E719" s="2" t="str">
        <x:v>Tiny Joy Kit</x:v>
      </x:c>
      <x:c r="F719" s="2" t="str">
        <x:v>Gifting</x:v>
      </x:c>
      <x:c r="G719" s="2" t="str">
        <x:v>Online</x:v>
      </x:c>
      <x:c r="H719" s="2" t="str">
        <x:v>Online</x:v>
      </x:c>
      <x:c r="I719" s="2" t="n">
        <x:v>34</x:v>
      </x:c>
      <x:c r="J719" s="2" t="n">
        <x:v>0</x:v>
      </x:c>
      <x:c r="K719" s="2" t="n">
        <x:f>I719-J719</x:f>
        <x:v>34</x:v>
      </x:c>
      <x:c r="L719" s="16" t="n">
        <x:v>22</x:v>
      </x:c>
      <x:c r="M719" s="16" t="n">
        <x:v>22</x:v>
      </x:c>
      <x:c r="N719" s="16" t="n">
        <x:v>9.02</x:v>
      </x:c>
      <x:c r="O719" s="16" t="n">
        <x:f>K719*M719</x:f>
        <x:v>748</x:v>
      </x:c>
      <x:c r="P719" s="16" t="n">
        <x:f>K719*N719</x:f>
        <x:v>306.68</x:v>
      </x:c>
      <x:c r="Q719" s="16" t="n">
        <x:f>O719-P719</x:f>
        <x:v>441.32</x:v>
      </x:c>
      <x:c r="R719" s="2" t="n">
        <x:v>116</x:v>
      </x:c>
      <x:c r="S719" s="2" t="n">
        <x:v>0</x:v>
      </x:c>
      <x:c r="T719" s="2" t="n">
        <x:f>R719+S719+J719-I719</x:f>
        <x:v>82</x:v>
      </x:c>
      <x:c r="U719" s="2" t="n">
        <x:v>0</x:v>
      </x:c>
      <x:c r="V719" s="2" t="n">
        <x:v>4</x:v>
      </x:c>
      <x:c r="W719" s="2" t="n">
        <x:v>37</x:v>
      </x:c>
      <x:c r="X719" s="14" t="b">
        <x:v>0</x:v>
      </x:c>
      <x:c r="Y719" s="14" t="b">
        <x:v>0</x:v>
      </x:c>
      <x:c r="Z719" s="2" t="n">
        <x:f>ABS(T719-AA719)</x:f>
        <x:v>0</x:v>
      </x:c>
      <x:c r="AA719" s="2" t="n">
        <x:v>82</x:v>
      </x:c>
      <x:c r="AB719" s="2" t="n">
        <x:f>ABS(K719-W719)</x:f>
        <x:v>3</x:v>
      </x:c>
      <x:c r="AC719" s="2" t="n">
        <x:f>COUNTIF($A$2:$A$1921,A719)-1</x:f>
        <x:v>0</x:v>
      </x:c>
      <x:c r="AD719" s="2" t="n">
        <x:f>IF(AND(D719=D718,H719=H718,C719=C718+1),ABS(R719-T718),0)</x:f>
        <x:v>0</x:v>
      </x:c>
    </x:row>
    <x:row r="720" ht="23" customHeight="1">
      <x:c r="A720" s="2" t="str">
        <x:v>DEMO-203-3-19</x:v>
      </x:c>
      <x:c r="B720" s="15" t="d">
        <x:v>2026-09-07T00:00:00.000Z</x:v>
      </x:c>
      <x:c r="C720" s="2" t="n">
        <x:v>19</x:v>
      </x:c>
      <x:c r="D720" s="2" t="str">
        <x:v>DEMO-203</x:v>
      </x:c>
      <x:c r="E720" s="2" t="str">
        <x:v>Tiny Joy Kit</x:v>
      </x:c>
      <x:c r="F720" s="2" t="str">
        <x:v>Gifting</x:v>
      </x:c>
      <x:c r="G720" s="2" t="str">
        <x:v>Online</x:v>
      </x:c>
      <x:c r="H720" s="2" t="str">
        <x:v>Online</x:v>
      </x:c>
      <x:c r="I720" s="2" t="n">
        <x:v>28</x:v>
      </x:c>
      <x:c r="J720" s="2" t="n">
        <x:v>1</x:v>
      </x:c>
      <x:c r="K720" s="2" t="n">
        <x:f>I720-J720</x:f>
        <x:v>27</x:v>
      </x:c>
      <x:c r="L720" s="16" t="n">
        <x:v>22</x:v>
      </x:c>
      <x:c r="M720" s="16" t="n">
        <x:v>22</x:v>
      </x:c>
      <x:c r="N720" s="16" t="n">
        <x:v>9.02</x:v>
      </x:c>
      <x:c r="O720" s="16" t="n">
        <x:f>K720*M720</x:f>
        <x:v>594</x:v>
      </x:c>
      <x:c r="P720" s="16" t="n">
        <x:f>K720*N720</x:f>
        <x:v>243.54</x:v>
      </x:c>
      <x:c r="Q720" s="16" t="n">
        <x:f>O720-P720</x:f>
        <x:v>350.46000000000004</x:v>
      </x:c>
      <x:c r="R720" s="2" t="n">
        <x:v>82</x:v>
      </x:c>
      <x:c r="S720" s="2" t="n">
        <x:v>0</x:v>
      </x:c>
      <x:c r="T720" s="2" t="n">
        <x:f>R720+S720+J720-I720</x:f>
        <x:v>55</x:v>
      </x:c>
      <x:c r="U720" s="2" t="n">
        <x:v>0</x:v>
      </x:c>
      <x:c r="V720" s="2" t="n">
        <x:v>4</x:v>
      </x:c>
      <x:c r="W720" s="2" t="n">
        <x:v>29</x:v>
      </x:c>
      <x:c r="X720" s="14" t="b">
        <x:v>0</x:v>
      </x:c>
      <x:c r="Y720" s="14" t="b">
        <x:v>0</x:v>
      </x:c>
      <x:c r="Z720" s="2" t="n">
        <x:f>ABS(T720-AA720)</x:f>
        <x:v>0</x:v>
      </x:c>
      <x:c r="AA720" s="2" t="n">
        <x:v>55</x:v>
      </x:c>
      <x:c r="AB720" s="2" t="n">
        <x:f>ABS(K720-W720)</x:f>
        <x:v>2</x:v>
      </x:c>
      <x:c r="AC720" s="2" t="n">
        <x:f>COUNTIF($A$2:$A$1921,A720)-1</x:f>
        <x:v>0</x:v>
      </x:c>
      <x:c r="AD720" s="2" t="n">
        <x:f>IF(AND(D720=D719,H720=H719,C720=C719+1),ABS(R720-T719),0)</x:f>
        <x:v>0</x:v>
      </x:c>
    </x:row>
    <x:row r="721" ht="23" customHeight="1">
      <x:c r="A721" s="2" t="str">
        <x:v>DEMO-203-3-20</x:v>
      </x:c>
      <x:c r="B721" s="15" t="d">
        <x:v>2026-09-14T00:00:00.000Z</x:v>
      </x:c>
      <x:c r="C721" s="2" t="n">
        <x:v>20</x:v>
      </x:c>
      <x:c r="D721" s="2" t="str">
        <x:v>DEMO-203</x:v>
      </x:c>
      <x:c r="E721" s="2" t="str">
        <x:v>Tiny Joy Kit</x:v>
      </x:c>
      <x:c r="F721" s="2" t="str">
        <x:v>Gifting</x:v>
      </x:c>
      <x:c r="G721" s="2" t="str">
        <x:v>Online</x:v>
      </x:c>
      <x:c r="H721" s="2" t="str">
        <x:v>Online</x:v>
      </x:c>
      <x:c r="I721" s="2" t="n">
        <x:v>34</x:v>
      </x:c>
      <x:c r="J721" s="2" t="n">
        <x:v>0</x:v>
      </x:c>
      <x:c r="K721" s="2" t="n">
        <x:f>I721-J721</x:f>
        <x:v>34</x:v>
      </x:c>
      <x:c r="L721" s="16" t="n">
        <x:v>22</x:v>
      </x:c>
      <x:c r="M721" s="16" t="n">
        <x:v>22</x:v>
      </x:c>
      <x:c r="N721" s="16" t="n">
        <x:v>9.02</x:v>
      </x:c>
      <x:c r="O721" s="16" t="n">
        <x:f>K721*M721</x:f>
        <x:v>748</x:v>
      </x:c>
      <x:c r="P721" s="16" t="n">
        <x:f>K721*N721</x:f>
        <x:v>306.68</x:v>
      </x:c>
      <x:c r="Q721" s="16" t="n">
        <x:f>O721-P721</x:f>
        <x:v>441.32</x:v>
      </x:c>
      <x:c r="R721" s="2" t="n">
        <x:v>55</x:v>
      </x:c>
      <x:c r="S721" s="2" t="n">
        <x:v>0</x:v>
      </x:c>
      <x:c r="T721" s="2" t="n">
        <x:f>R721+S721+J721-I721</x:f>
        <x:v>21</x:v>
      </x:c>
      <x:c r="U721" s="2" t="n">
        <x:v>18</x:v>
      </x:c>
      <x:c r="V721" s="2" t="n">
        <x:v>4</x:v>
      </x:c>
      <x:c r="W721" s="2" t="n">
        <x:v>28</x:v>
      </x:c>
      <x:c r="X721" s="14" t="b">
        <x:v>0</x:v>
      </x:c>
      <x:c r="Y721" s="14" t="b">
        <x:v>0</x:v>
      </x:c>
      <x:c r="Z721" s="2" t="n">
        <x:f>ABS(T721-AA721)</x:f>
        <x:v>0</x:v>
      </x:c>
      <x:c r="AA721" s="2" t="n">
        <x:v>21</x:v>
      </x:c>
      <x:c r="AB721" s="2" t="n">
        <x:f>ABS(K721-W721)</x:f>
        <x:v>6</x:v>
      </x:c>
      <x:c r="AC721" s="2" t="n">
        <x:f>COUNTIF($A$2:$A$1921,A721)-1</x:f>
        <x:v>0</x:v>
      </x:c>
      <x:c r="AD721" s="2" t="n">
        <x:f>IF(AND(D721=D720,H721=H720,C721=C720+1),ABS(R721-T720),0)</x:f>
        <x:v>0</x:v>
      </x:c>
    </x:row>
    <x:row r="722" ht="23" customHeight="1">
      <x:c r="A722" s="2" t="str">
        <x:v>DEMO-204-0-1</x:v>
      </x:c>
      <x:c r="B722" s="15" t="d">
        <x:v>2026-05-04T00:00:00.000Z</x:v>
      </x:c>
      <x:c r="C722" s="2" t="n">
        <x:v>1</x:v>
      </x:c>
      <x:c r="D722" s="2" t="str">
        <x:v>DEMO-204</x:v>
      </x:c>
      <x:c r="E722" s="2" t="str">
        <x:v>Wish Jar</x:v>
      </x:c>
      <x:c r="F722" s="2" t="str">
        <x:v>Gifting</x:v>
      </x:c>
      <x:c r="G722" s="2" t="str">
        <x:v>Stores</x:v>
      </x:c>
      <x:c r="H722" s="2" t="str">
        <x:v>North Arcade</x:v>
      </x:c>
      <x:c r="I722" s="2" t="n">
        <x:v>9</x:v>
      </x:c>
      <x:c r="J722" s="2" t="n">
        <x:v>1</x:v>
      </x:c>
      <x:c r="K722" s="2" t="n">
        <x:f>I722-J722</x:f>
        <x:v>8</x:v>
      </x:c>
      <x:c r="L722" s="16" t="n">
        <x:v>24</x:v>
      </x:c>
      <x:c r="M722" s="16" t="n">
        <x:v>24</x:v>
      </x:c>
      <x:c r="N722" s="16" t="n">
        <x:v>10.44</x:v>
      </x:c>
      <x:c r="O722" s="16" t="n">
        <x:f>K722*M722</x:f>
        <x:v>192</x:v>
      </x:c>
      <x:c r="P722" s="16" t="n">
        <x:f>K722*N722</x:f>
        <x:v>83.52</x:v>
      </x:c>
      <x:c r="Q722" s="16" t="n">
        <x:f>O722-P722</x:f>
        <x:v>108.48</x:v>
      </x:c>
      <x:c r="R722" s="2" t="n">
        <x:v>90</x:v>
      </x:c>
      <x:c r="S722" s="2" t="n">
        <x:v>34</x:v>
      </x:c>
      <x:c r="T722" s="2" t="n">
        <x:f>R722+S722+J722-I722</x:f>
        <x:v>116</x:v>
      </x:c>
      <x:c r="U722" s="2" t="n">
        <x:v>0</x:v>
      </x:c>
      <x:c r="V722" s="2" t="n">
        <x:v>2</x:v>
      </x:c>
      <x:c r="W722" s="2" t="n">
        <x:v>8</x:v>
      </x:c>
      <x:c r="X722" s="14" t="b">
        <x:v>0</x:v>
      </x:c>
      <x:c r="Y722" s="14" t="b">
        <x:v>0</x:v>
      </x:c>
      <x:c r="Z722" s="2" t="n">
        <x:f>ABS(T722-AA722)</x:f>
        <x:v>0</x:v>
      </x:c>
      <x:c r="AA722" s="2" t="n">
        <x:v>116</x:v>
      </x:c>
      <x:c r="AB722" s="2" t="n">
        <x:f>ABS(K722-W722)</x:f>
        <x:v>0</x:v>
      </x:c>
      <x:c r="AC722" s="2" t="n">
        <x:f>COUNTIF($A$2:$A$1921,A722)-1</x:f>
        <x:v>0</x:v>
      </x:c>
      <x:c r="AD722" s="2" t="n">
        <x:f>IF(AND(D722=D721,H722=H721,C722=C721+1),ABS(R722-T721),0)</x:f>
        <x:v>0</x:v>
      </x:c>
    </x:row>
    <x:row r="723" ht="23" customHeight="1">
      <x:c r="A723" s="2" t="str">
        <x:v>DEMO-204-0-2</x:v>
      </x:c>
      <x:c r="B723" s="15" t="d">
        <x:v>2026-05-11T00:00:00.000Z</x:v>
      </x:c>
      <x:c r="C723" s="2" t="n">
        <x:v>2</x:v>
      </x:c>
      <x:c r="D723" s="2" t="str">
        <x:v>DEMO-204</x:v>
      </x:c>
      <x:c r="E723" s="2" t="str">
        <x:v>Wish Jar</x:v>
      </x:c>
      <x:c r="F723" s="2" t="str">
        <x:v>Gifting</x:v>
      </x:c>
      <x:c r="G723" s="2" t="str">
        <x:v>Stores</x:v>
      </x:c>
      <x:c r="H723" s="2" t="str">
        <x:v>North Arcade</x:v>
      </x:c>
      <x:c r="I723" s="2" t="n">
        <x:v>8</x:v>
      </x:c>
      <x:c r="J723" s="2" t="n">
        <x:v>0</x:v>
      </x:c>
      <x:c r="K723" s="2" t="n">
        <x:f>I723-J723</x:f>
        <x:v>8</x:v>
      </x:c>
      <x:c r="L723" s="16" t="n">
        <x:v>24</x:v>
      </x:c>
      <x:c r="M723" s="16" t="n">
        <x:v>24</x:v>
      </x:c>
      <x:c r="N723" s="16" t="n">
        <x:v>10.44</x:v>
      </x:c>
      <x:c r="O723" s="16" t="n">
        <x:f>K723*M723</x:f>
        <x:v>192</x:v>
      </x:c>
      <x:c r="P723" s="16" t="n">
        <x:f>K723*N723</x:f>
        <x:v>83.52</x:v>
      </x:c>
      <x:c r="Q723" s="16" t="n">
        <x:f>O723-P723</x:f>
        <x:v>108.48</x:v>
      </x:c>
      <x:c r="R723" s="2" t="n">
        <x:v>116</x:v>
      </x:c>
      <x:c r="S723" s="2" t="n">
        <x:v>0</x:v>
      </x:c>
      <x:c r="T723" s="2" t="n">
        <x:f>R723+S723+J723-I723</x:f>
        <x:v>108</x:v>
      </x:c>
      <x:c r="U723" s="2" t="n">
        <x:v>0</x:v>
      </x:c>
      <x:c r="V723" s="2" t="n">
        <x:v>2</x:v>
      </x:c>
      <x:c r="W723" s="2" t="n">
        <x:v>8</x:v>
      </x:c>
      <x:c r="X723" s="14" t="b">
        <x:v>0</x:v>
      </x:c>
      <x:c r="Y723" s="14" t="b">
        <x:v>0</x:v>
      </x:c>
      <x:c r="Z723" s="2" t="n">
        <x:f>ABS(T723-AA723)</x:f>
        <x:v>0</x:v>
      </x:c>
      <x:c r="AA723" s="2" t="n">
        <x:v>108</x:v>
      </x:c>
      <x:c r="AB723" s="2" t="n">
        <x:f>ABS(K723-W723)</x:f>
        <x:v>0</x:v>
      </x:c>
      <x:c r="AC723" s="2" t="n">
        <x:f>COUNTIF($A$2:$A$1921,A723)-1</x:f>
        <x:v>0</x:v>
      </x:c>
      <x:c r="AD723" s="2" t="n">
        <x:f>IF(AND(D723=D722,H723=H722,C723=C722+1),ABS(R723-T722),0)</x:f>
        <x:v>0</x:v>
      </x:c>
    </x:row>
    <x:row r="724" ht="23" customHeight="1">
      <x:c r="A724" s="2" t="str">
        <x:v>DEMO-204-0-3</x:v>
      </x:c>
      <x:c r="B724" s="15" t="d">
        <x:v>2026-05-18T00:00:00.000Z</x:v>
      </x:c>
      <x:c r="C724" s="2" t="n">
        <x:v>3</x:v>
      </x:c>
      <x:c r="D724" s="2" t="str">
        <x:v>DEMO-204</x:v>
      </x:c>
      <x:c r="E724" s="2" t="str">
        <x:v>Wish Jar</x:v>
      </x:c>
      <x:c r="F724" s="2" t="str">
        <x:v>Gifting</x:v>
      </x:c>
      <x:c r="G724" s="2" t="str">
        <x:v>Stores</x:v>
      </x:c>
      <x:c r="H724" s="2" t="str">
        <x:v>North Arcade</x:v>
      </x:c>
      <x:c r="I724" s="2" t="n">
        <x:v>9</x:v>
      </x:c>
      <x:c r="J724" s="2" t="n">
        <x:v>0</x:v>
      </x:c>
      <x:c r="K724" s="2" t="n">
        <x:f>I724-J724</x:f>
        <x:v>9</x:v>
      </x:c>
      <x:c r="L724" s="16" t="n">
        <x:v>24</x:v>
      </x:c>
      <x:c r="M724" s="16" t="n">
        <x:v>24</x:v>
      </x:c>
      <x:c r="N724" s="16" t="n">
        <x:v>10.44</x:v>
      </x:c>
      <x:c r="O724" s="16" t="n">
        <x:f>K724*M724</x:f>
        <x:v>216</x:v>
      </x:c>
      <x:c r="P724" s="16" t="n">
        <x:f>K724*N724</x:f>
        <x:v>93.96</x:v>
      </x:c>
      <x:c r="Q724" s="16" t="n">
        <x:f>O724-P724</x:f>
        <x:v>122.04</x:v>
      </x:c>
      <x:c r="R724" s="2" t="n">
        <x:v>108</x:v>
      </x:c>
      <x:c r="S724" s="2" t="n">
        <x:v>0</x:v>
      </x:c>
      <x:c r="T724" s="2" t="n">
        <x:f>R724+S724+J724-I724</x:f>
        <x:v>99</x:v>
      </x:c>
      <x:c r="U724" s="2" t="n">
        <x:v>0</x:v>
      </x:c>
      <x:c r="V724" s="2" t="n">
        <x:v>2</x:v>
      </x:c>
      <x:c r="W724" s="2" t="n">
        <x:v>8</x:v>
      </x:c>
      <x:c r="X724" s="14" t="b">
        <x:v>0</x:v>
      </x:c>
      <x:c r="Y724" s="14" t="b">
        <x:v>0</x:v>
      </x:c>
      <x:c r="Z724" s="2" t="n">
        <x:f>ABS(T724-AA724)</x:f>
        <x:v>0</x:v>
      </x:c>
      <x:c r="AA724" s="2" t="n">
        <x:v>99</x:v>
      </x:c>
      <x:c r="AB724" s="2" t="n">
        <x:f>ABS(K724-W724)</x:f>
        <x:v>1</x:v>
      </x:c>
      <x:c r="AC724" s="2" t="n">
        <x:f>COUNTIF($A$2:$A$1921,A724)-1</x:f>
        <x:v>0</x:v>
      </x:c>
      <x:c r="AD724" s="2" t="n">
        <x:f>IF(AND(D724=D723,H724=H723,C724=C723+1),ABS(R724-T723),0)</x:f>
        <x:v>0</x:v>
      </x:c>
    </x:row>
    <x:row r="725" ht="23" customHeight="1">
      <x:c r="A725" s="2" t="str">
        <x:v>DEMO-204-0-4</x:v>
      </x:c>
      <x:c r="B725" s="15" t="d">
        <x:v>2026-05-25T00:00:00.000Z</x:v>
      </x:c>
      <x:c r="C725" s="2" t="n">
        <x:v>4</x:v>
      </x:c>
      <x:c r="D725" s="2" t="str">
        <x:v>DEMO-204</x:v>
      </x:c>
      <x:c r="E725" s="2" t="str">
        <x:v>Wish Jar</x:v>
      </x:c>
      <x:c r="F725" s="2" t="str">
        <x:v>Gifting</x:v>
      </x:c>
      <x:c r="G725" s="2" t="str">
        <x:v>Stores</x:v>
      </x:c>
      <x:c r="H725" s="2" t="str">
        <x:v>North Arcade</x:v>
      </x:c>
      <x:c r="I725" s="2" t="n">
        <x:v>9</x:v>
      </x:c>
      <x:c r="J725" s="2" t="n">
        <x:v>0</x:v>
      </x:c>
      <x:c r="K725" s="2" t="n">
        <x:f>I725-J725</x:f>
        <x:v>9</x:v>
      </x:c>
      <x:c r="L725" s="16" t="n">
        <x:v>24</x:v>
      </x:c>
      <x:c r="M725" s="16" t="n">
        <x:v>24</x:v>
      </x:c>
      <x:c r="N725" s="16" t="n">
        <x:v>10.44</x:v>
      </x:c>
      <x:c r="O725" s="16" t="n">
        <x:f>K725*M725</x:f>
        <x:v>216</x:v>
      </x:c>
      <x:c r="P725" s="16" t="n">
        <x:f>K725*N725</x:f>
        <x:v>93.96</x:v>
      </x:c>
      <x:c r="Q725" s="16" t="n">
        <x:f>O725-P725</x:f>
        <x:v>122.04</x:v>
      </x:c>
      <x:c r="R725" s="2" t="n">
        <x:v>99</x:v>
      </x:c>
      <x:c r="S725" s="2" t="n">
        <x:v>0</x:v>
      </x:c>
      <x:c r="T725" s="2" t="n">
        <x:f>R725+S725+J725-I725</x:f>
        <x:v>90</x:v>
      </x:c>
      <x:c r="U725" s="2" t="n">
        <x:v>0</x:v>
      </x:c>
      <x:c r="V725" s="2" t="n">
        <x:v>2</x:v>
      </x:c>
      <x:c r="W725" s="2" t="n">
        <x:v>8</x:v>
      </x:c>
      <x:c r="X725" s="14" t="b">
        <x:v>0</x:v>
      </x:c>
      <x:c r="Y725" s="14" t="b">
        <x:v>0</x:v>
      </x:c>
      <x:c r="Z725" s="2" t="n">
        <x:f>ABS(T725-AA725)</x:f>
        <x:v>0</x:v>
      </x:c>
      <x:c r="AA725" s="2" t="n">
        <x:v>90</x:v>
      </x:c>
      <x:c r="AB725" s="2" t="n">
        <x:f>ABS(K725-W725)</x:f>
        <x:v>1</x:v>
      </x:c>
      <x:c r="AC725" s="2" t="n">
        <x:f>COUNTIF($A$2:$A$1921,A725)-1</x:f>
        <x:v>0</x:v>
      </x:c>
      <x:c r="AD725" s="2" t="n">
        <x:f>IF(AND(D725=D724,H725=H724,C725=C724+1),ABS(R725-T724),0)</x:f>
        <x:v>0</x:v>
      </x:c>
    </x:row>
    <x:row r="726" ht="23" customHeight="1">
      <x:c r="A726" s="2" t="str">
        <x:v>DEMO-204-0-5</x:v>
      </x:c>
      <x:c r="B726" s="15" t="d">
        <x:v>2026-06-01T00:00:00.000Z</x:v>
      </x:c>
      <x:c r="C726" s="2" t="n">
        <x:v>5</x:v>
      </x:c>
      <x:c r="D726" s="2" t="str">
        <x:v>DEMO-204</x:v>
      </x:c>
      <x:c r="E726" s="2" t="str">
        <x:v>Wish Jar</x:v>
      </x:c>
      <x:c r="F726" s="2" t="str">
        <x:v>Gifting</x:v>
      </x:c>
      <x:c r="G726" s="2" t="str">
        <x:v>Stores</x:v>
      </x:c>
      <x:c r="H726" s="2" t="str">
        <x:v>North Arcade</x:v>
      </x:c>
      <x:c r="I726" s="2" t="n">
        <x:v>7</x:v>
      </x:c>
      <x:c r="J726" s="2" t="n">
        <x:v>0</x:v>
      </x:c>
      <x:c r="K726" s="2" t="n">
        <x:f>I726-J726</x:f>
        <x:v>7</x:v>
      </x:c>
      <x:c r="L726" s="16" t="n">
        <x:v>24</x:v>
      </x:c>
      <x:c r="M726" s="16" t="n">
        <x:v>24</x:v>
      </x:c>
      <x:c r="N726" s="16" t="n">
        <x:v>10.44</x:v>
      </x:c>
      <x:c r="O726" s="16" t="n">
        <x:f>K726*M726</x:f>
        <x:v>168</x:v>
      </x:c>
      <x:c r="P726" s="16" t="n">
        <x:f>K726*N726</x:f>
        <x:v>73.08</x:v>
      </x:c>
      <x:c r="Q726" s="16" t="n">
        <x:f>O726-P726</x:f>
        <x:v>94.92</x:v>
      </x:c>
      <x:c r="R726" s="2" t="n">
        <x:v>90</x:v>
      </x:c>
      <x:c r="S726" s="2" t="n">
        <x:v>34</x:v>
      </x:c>
      <x:c r="T726" s="2" t="n">
        <x:f>R726+S726+J726-I726</x:f>
        <x:v>117</x:v>
      </x:c>
      <x:c r="U726" s="2" t="n">
        <x:v>0</x:v>
      </x:c>
      <x:c r="V726" s="2" t="n">
        <x:v>2</x:v>
      </x:c>
      <x:c r="W726" s="2" t="n">
        <x:v>9</x:v>
      </x:c>
      <x:c r="X726" s="14" t="b">
        <x:v>0</x:v>
      </x:c>
      <x:c r="Y726" s="14" t="b">
        <x:v>0</x:v>
      </x:c>
      <x:c r="Z726" s="2" t="n">
        <x:f>ABS(T726-AA726)</x:f>
        <x:v>0</x:v>
      </x:c>
      <x:c r="AA726" s="2" t="n">
        <x:v>117</x:v>
      </x:c>
      <x:c r="AB726" s="2" t="n">
        <x:f>ABS(K726-W726)</x:f>
        <x:v>2</x:v>
      </x:c>
      <x:c r="AC726" s="2" t="n">
        <x:f>COUNTIF($A$2:$A$1921,A726)-1</x:f>
        <x:v>0</x:v>
      </x:c>
      <x:c r="AD726" s="2" t="n">
        <x:f>IF(AND(D726=D725,H726=H725,C726=C725+1),ABS(R726-T725),0)</x:f>
        <x:v>0</x:v>
      </x:c>
    </x:row>
    <x:row r="727" ht="23" customHeight="1">
      <x:c r="A727" s="2" t="str">
        <x:v>DEMO-204-0-6</x:v>
      </x:c>
      <x:c r="B727" s="15" t="d">
        <x:v>2026-06-08T00:00:00.000Z</x:v>
      </x:c>
      <x:c r="C727" s="2" t="n">
        <x:v>6</x:v>
      </x:c>
      <x:c r="D727" s="2" t="str">
        <x:v>DEMO-204</x:v>
      </x:c>
      <x:c r="E727" s="2" t="str">
        <x:v>Wish Jar</x:v>
      </x:c>
      <x:c r="F727" s="2" t="str">
        <x:v>Gifting</x:v>
      </x:c>
      <x:c r="G727" s="2" t="str">
        <x:v>Stores</x:v>
      </x:c>
      <x:c r="H727" s="2" t="str">
        <x:v>North Arcade</x:v>
      </x:c>
      <x:c r="I727" s="2" t="n">
        <x:v>7</x:v>
      </x:c>
      <x:c r="J727" s="2" t="n">
        <x:v>1</x:v>
      </x:c>
      <x:c r="K727" s="2" t="n">
        <x:f>I727-J727</x:f>
        <x:v>6</x:v>
      </x:c>
      <x:c r="L727" s="16" t="n">
        <x:v>24</x:v>
      </x:c>
      <x:c r="M727" s="16" t="n">
        <x:v>24</x:v>
      </x:c>
      <x:c r="N727" s="16" t="n">
        <x:v>10.44</x:v>
      </x:c>
      <x:c r="O727" s="16" t="n">
        <x:f>K727*M727</x:f>
        <x:v>144</x:v>
      </x:c>
      <x:c r="P727" s="16" t="n">
        <x:f>K727*N727</x:f>
        <x:v>62.64</x:v>
      </x:c>
      <x:c r="Q727" s="16" t="n">
        <x:f>O727-P727</x:f>
        <x:v>81.36</x:v>
      </x:c>
      <x:c r="R727" s="2" t="n">
        <x:v>117</x:v>
      </x:c>
      <x:c r="S727" s="2" t="n">
        <x:v>0</x:v>
      </x:c>
      <x:c r="T727" s="2" t="n">
        <x:f>R727+S727+J727-I727</x:f>
        <x:v>111</x:v>
      </x:c>
      <x:c r="U727" s="2" t="n">
        <x:v>0</x:v>
      </x:c>
      <x:c r="V727" s="2" t="n">
        <x:v>2</x:v>
      </x:c>
      <x:c r="W727" s="2" t="n">
        <x:v>8</x:v>
      </x:c>
      <x:c r="X727" s="14" t="b">
        <x:v>0</x:v>
      </x:c>
      <x:c r="Y727" s="14" t="b">
        <x:v>0</x:v>
      </x:c>
      <x:c r="Z727" s="2" t="n">
        <x:f>ABS(T727-AA727)</x:f>
        <x:v>0</x:v>
      </x:c>
      <x:c r="AA727" s="2" t="n">
        <x:v>111</x:v>
      </x:c>
      <x:c r="AB727" s="2" t="n">
        <x:f>ABS(K727-W727)</x:f>
        <x:v>2</x:v>
      </x:c>
      <x:c r="AC727" s="2" t="n">
        <x:f>COUNTIF($A$2:$A$1921,A727)-1</x:f>
        <x:v>0</x:v>
      </x:c>
      <x:c r="AD727" s="2" t="n">
        <x:f>IF(AND(D727=D726,H727=H726,C727=C726+1),ABS(R727-T726),0)</x:f>
        <x:v>0</x:v>
      </x:c>
    </x:row>
    <x:row r="728" ht="23" customHeight="1">
      <x:c r="A728" s="2" t="str">
        <x:v>DEMO-204-0-7</x:v>
      </x:c>
      <x:c r="B728" s="15" t="d">
        <x:v>2026-06-15T00:00:00.000Z</x:v>
      </x:c>
      <x:c r="C728" s="2" t="n">
        <x:v>7</x:v>
      </x:c>
      <x:c r="D728" s="2" t="str">
        <x:v>DEMO-204</x:v>
      </x:c>
      <x:c r="E728" s="2" t="str">
        <x:v>Wish Jar</x:v>
      </x:c>
      <x:c r="F728" s="2" t="str">
        <x:v>Gifting</x:v>
      </x:c>
      <x:c r="G728" s="2" t="str">
        <x:v>Stores</x:v>
      </x:c>
      <x:c r="H728" s="2" t="str">
        <x:v>North Arcade</x:v>
      </x:c>
      <x:c r="I728" s="2" t="n">
        <x:v>8</x:v>
      </x:c>
      <x:c r="J728" s="2" t="n">
        <x:v>0</x:v>
      </x:c>
      <x:c r="K728" s="2" t="n">
        <x:f>I728-J728</x:f>
        <x:v>8</x:v>
      </x:c>
      <x:c r="L728" s="16" t="n">
        <x:v>24</x:v>
      </x:c>
      <x:c r="M728" s="16" t="n">
        <x:v>24</x:v>
      </x:c>
      <x:c r="N728" s="16" t="n">
        <x:v>10.44</x:v>
      </x:c>
      <x:c r="O728" s="16" t="n">
        <x:f>K728*M728</x:f>
        <x:v>192</x:v>
      </x:c>
      <x:c r="P728" s="16" t="n">
        <x:f>K728*N728</x:f>
        <x:v>83.52</x:v>
      </x:c>
      <x:c r="Q728" s="16" t="n">
        <x:f>O728-P728</x:f>
        <x:v>108.48</x:v>
      </x:c>
      <x:c r="R728" s="2" t="n">
        <x:v>111</x:v>
      </x:c>
      <x:c r="S728" s="2" t="n">
        <x:v>0</x:v>
      </x:c>
      <x:c r="T728" s="2" t="n">
        <x:f>R728+S728+J728-I728</x:f>
        <x:v>103</x:v>
      </x:c>
      <x:c r="U728" s="2" t="n">
        <x:v>0</x:v>
      </x:c>
      <x:c r="V728" s="2" t="n">
        <x:v>2</x:v>
      </x:c>
      <x:c r="W728" s="2" t="n">
        <x:v>8</x:v>
      </x:c>
      <x:c r="X728" s="14" t="b">
        <x:v>0</x:v>
      </x:c>
      <x:c r="Y728" s="14" t="b">
        <x:v>0</x:v>
      </x:c>
      <x:c r="Z728" s="2" t="n">
        <x:f>ABS(T728-AA728)</x:f>
        <x:v>0</x:v>
      </x:c>
      <x:c r="AA728" s="2" t="n">
        <x:v>103</x:v>
      </x:c>
      <x:c r="AB728" s="2" t="n">
        <x:f>ABS(K728-W728)</x:f>
        <x:v>0</x:v>
      </x:c>
      <x:c r="AC728" s="2" t="n">
        <x:f>COUNTIF($A$2:$A$1921,A728)-1</x:f>
        <x:v>0</x:v>
      </x:c>
      <x:c r="AD728" s="2" t="n">
        <x:f>IF(AND(D728=D727,H728=H727,C728=C727+1),ABS(R728-T727),0)</x:f>
        <x:v>0</x:v>
      </x:c>
    </x:row>
    <x:row r="729" ht="23" customHeight="1">
      <x:c r="A729" s="2" t="str">
        <x:v>DEMO-204-0-8</x:v>
      </x:c>
      <x:c r="B729" s="15" t="d">
        <x:v>2026-06-22T00:00:00.000Z</x:v>
      </x:c>
      <x:c r="C729" s="2" t="n">
        <x:v>8</x:v>
      </x:c>
      <x:c r="D729" s="2" t="str">
        <x:v>DEMO-204</x:v>
      </x:c>
      <x:c r="E729" s="2" t="str">
        <x:v>Wish Jar</x:v>
      </x:c>
      <x:c r="F729" s="2" t="str">
        <x:v>Gifting</x:v>
      </x:c>
      <x:c r="G729" s="2" t="str">
        <x:v>Stores</x:v>
      </x:c>
      <x:c r="H729" s="2" t="str">
        <x:v>North Arcade</x:v>
      </x:c>
      <x:c r="I729" s="2" t="n">
        <x:v>8</x:v>
      </x:c>
      <x:c r="J729" s="2" t="n">
        <x:v>0</x:v>
      </x:c>
      <x:c r="K729" s="2" t="n">
        <x:f>I729-J729</x:f>
        <x:v>8</x:v>
      </x:c>
      <x:c r="L729" s="16" t="n">
        <x:v>24</x:v>
      </x:c>
      <x:c r="M729" s="16" t="n">
        <x:v>24</x:v>
      </x:c>
      <x:c r="N729" s="16" t="n">
        <x:v>10.44</x:v>
      </x:c>
      <x:c r="O729" s="16" t="n">
        <x:f>K729*M729</x:f>
        <x:v>192</x:v>
      </x:c>
      <x:c r="P729" s="16" t="n">
        <x:f>K729*N729</x:f>
        <x:v>83.52</x:v>
      </x:c>
      <x:c r="Q729" s="16" t="n">
        <x:f>O729-P729</x:f>
        <x:v>108.48</x:v>
      </x:c>
      <x:c r="R729" s="2" t="n">
        <x:v>103</x:v>
      </x:c>
      <x:c r="S729" s="2" t="n">
        <x:v>0</x:v>
      </x:c>
      <x:c r="T729" s="2" t="n">
        <x:f>R729+S729+J729-I729</x:f>
        <x:v>95</x:v>
      </x:c>
      <x:c r="U729" s="2" t="n">
        <x:v>0</x:v>
      </x:c>
      <x:c r="V729" s="2" t="n">
        <x:v>2</x:v>
      </x:c>
      <x:c r="W729" s="2" t="n">
        <x:v>8</x:v>
      </x:c>
      <x:c r="X729" s="14" t="b">
        <x:v>0</x:v>
      </x:c>
      <x:c r="Y729" s="14" t="b">
        <x:v>0</x:v>
      </x:c>
      <x:c r="Z729" s="2" t="n">
        <x:f>ABS(T729-AA729)</x:f>
        <x:v>0</x:v>
      </x:c>
      <x:c r="AA729" s="2" t="n">
        <x:v>95</x:v>
      </x:c>
      <x:c r="AB729" s="2" t="n">
        <x:f>ABS(K729-W729)</x:f>
        <x:v>0</x:v>
      </x:c>
      <x:c r="AC729" s="2" t="n">
        <x:f>COUNTIF($A$2:$A$1921,A729)-1</x:f>
        <x:v>0</x:v>
      </x:c>
      <x:c r="AD729" s="2" t="n">
        <x:f>IF(AND(D729=D728,H729=H728,C729=C728+1),ABS(R729-T728),0)</x:f>
        <x:v>0</x:v>
      </x:c>
    </x:row>
    <x:row r="730" ht="23" customHeight="1">
      <x:c r="A730" s="2" t="str">
        <x:v>DEMO-204-0-9</x:v>
      </x:c>
      <x:c r="B730" s="15" t="d">
        <x:v>2026-06-29T00:00:00.000Z</x:v>
      </x:c>
      <x:c r="C730" s="2" t="n">
        <x:v>9</x:v>
      </x:c>
      <x:c r="D730" s="2" t="str">
        <x:v>DEMO-204</x:v>
      </x:c>
      <x:c r="E730" s="2" t="str">
        <x:v>Wish Jar</x:v>
      </x:c>
      <x:c r="F730" s="2" t="str">
        <x:v>Gifting</x:v>
      </x:c>
      <x:c r="G730" s="2" t="str">
        <x:v>Stores</x:v>
      </x:c>
      <x:c r="H730" s="2" t="str">
        <x:v>North Arcade</x:v>
      </x:c>
      <x:c r="I730" s="2" t="n">
        <x:v>8</x:v>
      </x:c>
      <x:c r="J730" s="2" t="n">
        <x:v>0</x:v>
      </x:c>
      <x:c r="K730" s="2" t="n">
        <x:f>I730-J730</x:f>
        <x:v>8</x:v>
      </x:c>
      <x:c r="L730" s="16" t="n">
        <x:v>24</x:v>
      </x:c>
      <x:c r="M730" s="16" t="n">
        <x:v>24</x:v>
      </x:c>
      <x:c r="N730" s="16" t="n">
        <x:v>10.44</x:v>
      </x:c>
      <x:c r="O730" s="16" t="n">
        <x:f>K730*M730</x:f>
        <x:v>192</x:v>
      </x:c>
      <x:c r="P730" s="16" t="n">
        <x:f>K730*N730</x:f>
        <x:v>83.52</x:v>
      </x:c>
      <x:c r="Q730" s="16" t="n">
        <x:f>O730-P730</x:f>
        <x:v>108.48</x:v>
      </x:c>
      <x:c r="R730" s="2" t="n">
        <x:v>95</x:v>
      </x:c>
      <x:c r="S730" s="2" t="n">
        <x:v>34</x:v>
      </x:c>
      <x:c r="T730" s="2" t="n">
        <x:f>R730+S730+J730-I730</x:f>
        <x:v>121</x:v>
      </x:c>
      <x:c r="U730" s="2" t="n">
        <x:v>0</x:v>
      </x:c>
      <x:c r="V730" s="2" t="n">
        <x:v>2</x:v>
      </x:c>
      <x:c r="W730" s="2" t="n">
        <x:v>7</x:v>
      </x:c>
      <x:c r="X730" s="14" t="b">
        <x:v>0</x:v>
      </x:c>
      <x:c r="Y730" s="14" t="b">
        <x:v>0</x:v>
      </x:c>
      <x:c r="Z730" s="2" t="n">
        <x:f>ABS(T730-AA730)</x:f>
        <x:v>0</x:v>
      </x:c>
      <x:c r="AA730" s="2" t="n">
        <x:v>121</x:v>
      </x:c>
      <x:c r="AB730" s="2" t="n">
        <x:f>ABS(K730-W730)</x:f>
        <x:v>1</x:v>
      </x:c>
      <x:c r="AC730" s="2" t="n">
        <x:f>COUNTIF($A$2:$A$1921,A730)-1</x:f>
        <x:v>0</x:v>
      </x:c>
      <x:c r="AD730" s="2" t="n">
        <x:f>IF(AND(D730=D729,H730=H729,C730=C729+1),ABS(R730-T729),0)</x:f>
        <x:v>0</x:v>
      </x:c>
    </x:row>
    <x:row r="731" ht="23" customHeight="1">
      <x:c r="A731" s="2" t="str">
        <x:v>DEMO-204-0-10</x:v>
      </x:c>
      <x:c r="B731" s="15" t="d">
        <x:v>2026-07-06T00:00:00.000Z</x:v>
      </x:c>
      <x:c r="C731" s="2" t="n">
        <x:v>10</x:v>
      </x:c>
      <x:c r="D731" s="2" t="str">
        <x:v>DEMO-204</x:v>
      </x:c>
      <x:c r="E731" s="2" t="str">
        <x:v>Wish Jar</x:v>
      </x:c>
      <x:c r="F731" s="2" t="str">
        <x:v>Gifting</x:v>
      </x:c>
      <x:c r="G731" s="2" t="str">
        <x:v>Stores</x:v>
      </x:c>
      <x:c r="H731" s="2" t="str">
        <x:v>North Arcade</x:v>
      </x:c>
      <x:c r="I731" s="2" t="n">
        <x:v>8</x:v>
      </x:c>
      <x:c r="J731" s="2" t="n">
        <x:v>0</x:v>
      </x:c>
      <x:c r="K731" s="2" t="n">
        <x:f>I731-J731</x:f>
        <x:v>8</x:v>
      </x:c>
      <x:c r="L731" s="16" t="n">
        <x:v>24</x:v>
      </x:c>
      <x:c r="M731" s="16" t="n">
        <x:v>24</x:v>
      </x:c>
      <x:c r="N731" s="16" t="n">
        <x:v>10.44</x:v>
      </x:c>
      <x:c r="O731" s="16" t="n">
        <x:f>K731*M731</x:f>
        <x:v>192</x:v>
      </x:c>
      <x:c r="P731" s="16" t="n">
        <x:f>K731*N731</x:f>
        <x:v>83.52</x:v>
      </x:c>
      <x:c r="Q731" s="16" t="n">
        <x:f>O731-P731</x:f>
        <x:v>108.48</x:v>
      </x:c>
      <x:c r="R731" s="2" t="n">
        <x:v>121</x:v>
      </x:c>
      <x:c r="S731" s="2" t="n">
        <x:v>0</x:v>
      </x:c>
      <x:c r="T731" s="2" t="n">
        <x:f>R731+S731+J731-I731</x:f>
        <x:v>113</x:v>
      </x:c>
      <x:c r="U731" s="2" t="n">
        <x:v>0</x:v>
      </x:c>
      <x:c r="V731" s="2" t="n">
        <x:v>2</x:v>
      </x:c>
      <x:c r="W731" s="2" t="n">
        <x:v>8</x:v>
      </x:c>
      <x:c r="X731" s="14" t="b">
        <x:v>0</x:v>
      </x:c>
      <x:c r="Y731" s="14" t="b">
        <x:v>0</x:v>
      </x:c>
      <x:c r="Z731" s="2" t="n">
        <x:f>ABS(T731-AA731)</x:f>
        <x:v>0</x:v>
      </x:c>
      <x:c r="AA731" s="2" t="n">
        <x:v>113</x:v>
      </x:c>
      <x:c r="AB731" s="2" t="n">
        <x:f>ABS(K731-W731)</x:f>
        <x:v>0</x:v>
      </x:c>
      <x:c r="AC731" s="2" t="n">
        <x:f>COUNTIF($A$2:$A$1921,A731)-1</x:f>
        <x:v>0</x:v>
      </x:c>
      <x:c r="AD731" s="2" t="n">
        <x:f>IF(AND(D731=D730,H731=H730,C731=C730+1),ABS(R731-T730),0)</x:f>
        <x:v>0</x:v>
      </x:c>
    </x:row>
    <x:row r="732" ht="23" customHeight="1">
      <x:c r="A732" s="2" t="str">
        <x:v>DEMO-204-0-11</x:v>
      </x:c>
      <x:c r="B732" s="15" t="d">
        <x:v>2026-07-13T00:00:00.000Z</x:v>
      </x:c>
      <x:c r="C732" s="2" t="n">
        <x:v>11</x:v>
      </x:c>
      <x:c r="D732" s="2" t="str">
        <x:v>DEMO-204</x:v>
      </x:c>
      <x:c r="E732" s="2" t="str">
        <x:v>Wish Jar</x:v>
      </x:c>
      <x:c r="F732" s="2" t="str">
        <x:v>Gifting</x:v>
      </x:c>
      <x:c r="G732" s="2" t="str">
        <x:v>Stores</x:v>
      </x:c>
      <x:c r="H732" s="2" t="str">
        <x:v>North Arcade</x:v>
      </x:c>
      <x:c r="I732" s="2" t="n">
        <x:v>7</x:v>
      </x:c>
      <x:c r="J732" s="2" t="n">
        <x:v>0</x:v>
      </x:c>
      <x:c r="K732" s="2" t="n">
        <x:f>I732-J732</x:f>
        <x:v>7</x:v>
      </x:c>
      <x:c r="L732" s="16" t="n">
        <x:v>24</x:v>
      </x:c>
      <x:c r="M732" s="16" t="n">
        <x:v>24</x:v>
      </x:c>
      <x:c r="N732" s="16" t="n">
        <x:v>10.44</x:v>
      </x:c>
      <x:c r="O732" s="16" t="n">
        <x:f>K732*M732</x:f>
        <x:v>168</x:v>
      </x:c>
      <x:c r="P732" s="16" t="n">
        <x:f>K732*N732</x:f>
        <x:v>73.08</x:v>
      </x:c>
      <x:c r="Q732" s="16" t="n">
        <x:f>O732-P732</x:f>
        <x:v>94.92</x:v>
      </x:c>
      <x:c r="R732" s="2" t="n">
        <x:v>113</x:v>
      </x:c>
      <x:c r="S732" s="2" t="n">
        <x:v>0</x:v>
      </x:c>
      <x:c r="T732" s="2" t="n">
        <x:f>R732+S732+J732-I732</x:f>
        <x:v>106</x:v>
      </x:c>
      <x:c r="U732" s="2" t="n">
        <x:v>0</x:v>
      </x:c>
      <x:c r="V732" s="2" t="n">
        <x:v>2</x:v>
      </x:c>
      <x:c r="W732" s="2" t="n">
        <x:v>8</x:v>
      </x:c>
      <x:c r="X732" s="14" t="b">
        <x:v>0</x:v>
      </x:c>
      <x:c r="Y732" s="14" t="b">
        <x:v>0</x:v>
      </x:c>
      <x:c r="Z732" s="2" t="n">
        <x:f>ABS(T732-AA732)</x:f>
        <x:v>0</x:v>
      </x:c>
      <x:c r="AA732" s="2" t="n">
        <x:v>106</x:v>
      </x:c>
      <x:c r="AB732" s="2" t="n">
        <x:f>ABS(K732-W732)</x:f>
        <x:v>1</x:v>
      </x:c>
      <x:c r="AC732" s="2" t="n">
        <x:f>COUNTIF($A$2:$A$1921,A732)-1</x:f>
        <x:v>0</x:v>
      </x:c>
      <x:c r="AD732" s="2" t="n">
        <x:f>IF(AND(D732=D731,H732=H731,C732=C731+1),ABS(R732-T731),0)</x:f>
        <x:v>0</x:v>
      </x:c>
    </x:row>
    <x:row r="733" ht="23" customHeight="1">
      <x:c r="A733" s="2" t="str">
        <x:v>DEMO-204-0-12</x:v>
      </x:c>
      <x:c r="B733" s="15" t="d">
        <x:v>2026-07-20T00:00:00.000Z</x:v>
      </x:c>
      <x:c r="C733" s="2" t="n">
        <x:v>12</x:v>
      </x:c>
      <x:c r="D733" s="2" t="str">
        <x:v>DEMO-204</x:v>
      </x:c>
      <x:c r="E733" s="2" t="str">
        <x:v>Wish Jar</x:v>
      </x:c>
      <x:c r="F733" s="2" t="str">
        <x:v>Gifting</x:v>
      </x:c>
      <x:c r="G733" s="2" t="str">
        <x:v>Stores</x:v>
      </x:c>
      <x:c r="H733" s="2" t="str">
        <x:v>North Arcade</x:v>
      </x:c>
      <x:c r="I733" s="2" t="n">
        <x:v>16</x:v>
      </x:c>
      <x:c r="J733" s="2" t="n">
        <x:v>0</x:v>
      </x:c>
      <x:c r="K733" s="2" t="n">
        <x:f>I733-J733</x:f>
        <x:v>16</x:v>
      </x:c>
      <x:c r="L733" s="16" t="n">
        <x:v>24</x:v>
      </x:c>
      <x:c r="M733" s="16" t="n">
        <x:v>21.6</x:v>
      </x:c>
      <x:c r="N733" s="16" t="n">
        <x:v>10.44</x:v>
      </x:c>
      <x:c r="O733" s="16" t="n">
        <x:f>K733*M733</x:f>
        <x:v>345.6</x:v>
      </x:c>
      <x:c r="P733" s="16" t="n">
        <x:f>K733*N733</x:f>
        <x:v>167.04</x:v>
      </x:c>
      <x:c r="Q733" s="16" t="n">
        <x:f>O733-P733</x:f>
        <x:v>178.56000000000003</x:v>
      </x:c>
      <x:c r="R733" s="2" t="n">
        <x:v>106</x:v>
      </x:c>
      <x:c r="S733" s="2" t="n">
        <x:v>0</x:v>
      </x:c>
      <x:c r="T733" s="2" t="n">
        <x:f>R733+S733+J733-I733</x:f>
        <x:v>90</x:v>
      </x:c>
      <x:c r="U733" s="2" t="n">
        <x:v>0</x:v>
      </x:c>
      <x:c r="V733" s="2" t="n">
        <x:v>2</x:v>
      </x:c>
      <x:c r="W733" s="2" t="n">
        <x:v>8</x:v>
      </x:c>
      <x:c r="X733" s="14" t="b">
        <x:v>1</x:v>
      </x:c>
      <x:c r="Y733" s="14" t="b">
        <x:v>0</x:v>
      </x:c>
      <x:c r="Z733" s="2" t="n">
        <x:f>ABS(T733-AA733)</x:f>
        <x:v>0</x:v>
      </x:c>
      <x:c r="AA733" s="2" t="n">
        <x:v>90</x:v>
      </x:c>
      <x:c r="AB733" s="2" t="n">
        <x:f>ABS(K733-W733)</x:f>
        <x:v>8</x:v>
      </x:c>
      <x:c r="AC733" s="2" t="n">
        <x:f>COUNTIF($A$2:$A$1921,A733)-1</x:f>
        <x:v>0</x:v>
      </x:c>
      <x:c r="AD733" s="2" t="n">
        <x:f>IF(AND(D733=D732,H733=H732,C733=C732+1),ABS(R733-T732),0)</x:f>
        <x:v>0</x:v>
      </x:c>
    </x:row>
    <x:row r="734" ht="23" customHeight="1">
      <x:c r="A734" s="2" t="str">
        <x:v>DEMO-204-0-13</x:v>
      </x:c>
      <x:c r="B734" s="15" t="d">
        <x:v>2026-07-27T00:00:00.000Z</x:v>
      </x:c>
      <x:c r="C734" s="2" t="n">
        <x:v>13</x:v>
      </x:c>
      <x:c r="D734" s="2" t="str">
        <x:v>DEMO-204</x:v>
      </x:c>
      <x:c r="E734" s="2" t="str">
        <x:v>Wish Jar</x:v>
      </x:c>
      <x:c r="F734" s="2" t="str">
        <x:v>Gifting</x:v>
      </x:c>
      <x:c r="G734" s="2" t="str">
        <x:v>Stores</x:v>
      </x:c>
      <x:c r="H734" s="2" t="str">
        <x:v>North Arcade</x:v>
      </x:c>
      <x:c r="I734" s="2" t="n">
        <x:v>16</x:v>
      </x:c>
      <x:c r="J734" s="2" t="n">
        <x:v>0</x:v>
      </x:c>
      <x:c r="K734" s="2" t="n">
        <x:f>I734-J734</x:f>
        <x:v>16</x:v>
      </x:c>
      <x:c r="L734" s="16" t="n">
        <x:v>24</x:v>
      </x:c>
      <x:c r="M734" s="16" t="n">
        <x:v>21.6</x:v>
      </x:c>
      <x:c r="N734" s="16" t="n">
        <x:v>10.44</x:v>
      </x:c>
      <x:c r="O734" s="16" t="n">
        <x:f>K734*M734</x:f>
        <x:v>345.6</x:v>
      </x:c>
      <x:c r="P734" s="16" t="n">
        <x:f>K734*N734</x:f>
        <x:v>167.04</x:v>
      </x:c>
      <x:c r="Q734" s="16" t="n">
        <x:f>O734-P734</x:f>
        <x:v>178.56000000000003</x:v>
      </x:c>
      <x:c r="R734" s="2" t="n">
        <x:v>90</x:v>
      </x:c>
      <x:c r="S734" s="2" t="n">
        <x:v>34</x:v>
      </x:c>
      <x:c r="T734" s="2" t="n">
        <x:f>R734+S734+J734-I734</x:f>
        <x:v>108</x:v>
      </x:c>
      <x:c r="U734" s="2" t="n">
        <x:v>0</x:v>
      </x:c>
      <x:c r="V734" s="2" t="n">
        <x:v>2</x:v>
      </x:c>
      <x:c r="W734" s="2" t="n">
        <x:v>10</x:v>
      </x:c>
      <x:c r="X734" s="14" t="b">
        <x:v>1</x:v>
      </x:c>
      <x:c r="Y734" s="14" t="b">
        <x:v>0</x:v>
      </x:c>
      <x:c r="Z734" s="2" t="n">
        <x:f>ABS(T734-AA734)</x:f>
        <x:v>0</x:v>
      </x:c>
      <x:c r="AA734" s="2" t="n">
        <x:v>108</x:v>
      </x:c>
      <x:c r="AB734" s="2" t="n">
        <x:f>ABS(K734-W734)</x:f>
        <x:v>6</x:v>
      </x:c>
      <x:c r="AC734" s="2" t="n">
        <x:f>COUNTIF($A$2:$A$1921,A734)-1</x:f>
        <x:v>0</x:v>
      </x:c>
      <x:c r="AD734" s="2" t="n">
        <x:f>IF(AND(D734=D733,H734=H733,C734=C733+1),ABS(R734-T733),0)</x:f>
        <x:v>0</x:v>
      </x:c>
    </x:row>
    <x:row r="735" ht="23" customHeight="1">
      <x:c r="A735" s="2" t="str">
        <x:v>DEMO-204-0-14</x:v>
      </x:c>
      <x:c r="B735" s="15" t="d">
        <x:v>2026-08-03T00:00:00.000Z</x:v>
      </x:c>
      <x:c r="C735" s="2" t="n">
        <x:v>14</x:v>
      </x:c>
      <x:c r="D735" s="2" t="str">
        <x:v>DEMO-204</x:v>
      </x:c>
      <x:c r="E735" s="2" t="str">
        <x:v>Wish Jar</x:v>
      </x:c>
      <x:c r="F735" s="2" t="str">
        <x:v>Gifting</x:v>
      </x:c>
      <x:c r="G735" s="2" t="str">
        <x:v>Stores</x:v>
      </x:c>
      <x:c r="H735" s="2" t="str">
        <x:v>North Arcade</x:v>
      </x:c>
      <x:c r="I735" s="2" t="n">
        <x:v>16</x:v>
      </x:c>
      <x:c r="J735" s="2" t="n">
        <x:v>0</x:v>
      </x:c>
      <x:c r="K735" s="2" t="n">
        <x:f>I735-J735</x:f>
        <x:v>16</x:v>
      </x:c>
      <x:c r="L735" s="16" t="n">
        <x:v>24</x:v>
      </x:c>
      <x:c r="M735" s="16" t="n">
        <x:v>21.6</x:v>
      </x:c>
      <x:c r="N735" s="16" t="n">
        <x:v>10.44</x:v>
      </x:c>
      <x:c r="O735" s="16" t="n">
        <x:f>K735*M735</x:f>
        <x:v>345.6</x:v>
      </x:c>
      <x:c r="P735" s="16" t="n">
        <x:f>K735*N735</x:f>
        <x:v>167.04</x:v>
      </x:c>
      <x:c r="Q735" s="16" t="n">
        <x:f>O735-P735</x:f>
        <x:v>178.56000000000003</x:v>
      </x:c>
      <x:c r="R735" s="2" t="n">
        <x:v>108</x:v>
      </x:c>
      <x:c r="S735" s="2" t="n">
        <x:v>0</x:v>
      </x:c>
      <x:c r="T735" s="2" t="n">
        <x:f>R735+S735+J735-I735</x:f>
        <x:v>92</x:v>
      </x:c>
      <x:c r="U735" s="2" t="n">
        <x:v>0</x:v>
      </x:c>
      <x:c r="V735" s="2" t="n">
        <x:v>2</x:v>
      </x:c>
      <x:c r="W735" s="2" t="n">
        <x:v>12</x:v>
      </x:c>
      <x:c r="X735" s="14" t="b">
        <x:v>1</x:v>
      </x:c>
      <x:c r="Y735" s="14" t="b">
        <x:v>0</x:v>
      </x:c>
      <x:c r="Z735" s="2" t="n">
        <x:f>ABS(T735-AA735)</x:f>
        <x:v>0</x:v>
      </x:c>
      <x:c r="AA735" s="2" t="n">
        <x:v>92</x:v>
      </x:c>
      <x:c r="AB735" s="2" t="n">
        <x:f>ABS(K735-W735)</x:f>
        <x:v>4</x:v>
      </x:c>
      <x:c r="AC735" s="2" t="n">
        <x:f>COUNTIF($A$2:$A$1921,A735)-1</x:f>
        <x:v>0</x:v>
      </x:c>
      <x:c r="AD735" s="2" t="n">
        <x:f>IF(AND(D735=D734,H735=H734,C735=C734+1),ABS(R735-T734),0)</x:f>
        <x:v>0</x:v>
      </x:c>
    </x:row>
    <x:row r="736" ht="23" customHeight="1">
      <x:c r="A736" s="2" t="str">
        <x:v>DEMO-204-0-15</x:v>
      </x:c>
      <x:c r="B736" s="15" t="d">
        <x:v>2026-08-10T00:00:00.000Z</x:v>
      </x:c>
      <x:c r="C736" s="2" t="n">
        <x:v>15</x:v>
      </x:c>
      <x:c r="D736" s="2" t="str">
        <x:v>DEMO-204</x:v>
      </x:c>
      <x:c r="E736" s="2" t="str">
        <x:v>Wish Jar</x:v>
      </x:c>
      <x:c r="F736" s="2" t="str">
        <x:v>Gifting</x:v>
      </x:c>
      <x:c r="G736" s="2" t="str">
        <x:v>Stores</x:v>
      </x:c>
      <x:c r="H736" s="2" t="str">
        <x:v>North Arcade</x:v>
      </x:c>
      <x:c r="I736" s="2" t="n">
        <x:v>8</x:v>
      </x:c>
      <x:c r="J736" s="2" t="n">
        <x:v>0</x:v>
      </x:c>
      <x:c r="K736" s="2" t="n">
        <x:f>I736-J736</x:f>
        <x:v>8</x:v>
      </x:c>
      <x:c r="L736" s="16" t="n">
        <x:v>24</x:v>
      </x:c>
      <x:c r="M736" s="16" t="n">
        <x:v>24</x:v>
      </x:c>
      <x:c r="N736" s="16" t="n">
        <x:v>10.44</x:v>
      </x:c>
      <x:c r="O736" s="16" t="n">
        <x:f>K736*M736</x:f>
        <x:v>192</x:v>
      </x:c>
      <x:c r="P736" s="16" t="n">
        <x:f>K736*N736</x:f>
        <x:v>83.52</x:v>
      </x:c>
      <x:c r="Q736" s="16" t="n">
        <x:f>O736-P736</x:f>
        <x:v>108.48</x:v>
      </x:c>
      <x:c r="R736" s="2" t="n">
        <x:v>92</x:v>
      </x:c>
      <x:c r="S736" s="2" t="n">
        <x:v>0</x:v>
      </x:c>
      <x:c r="T736" s="2" t="n">
        <x:f>R736+S736+J736-I736</x:f>
        <x:v>84</x:v>
      </x:c>
      <x:c r="U736" s="2" t="n">
        <x:v>0</x:v>
      </x:c>
      <x:c r="V736" s="2" t="n">
        <x:v>2</x:v>
      </x:c>
      <x:c r="W736" s="2" t="n">
        <x:v>14</x:v>
      </x:c>
      <x:c r="X736" s="14" t="b">
        <x:v>0</x:v>
      </x:c>
      <x:c r="Y736" s="14" t="b">
        <x:v>0</x:v>
      </x:c>
      <x:c r="Z736" s="2" t="n">
        <x:f>ABS(T736-AA736)</x:f>
        <x:v>0</x:v>
      </x:c>
      <x:c r="AA736" s="2" t="n">
        <x:v>84</x:v>
      </x:c>
      <x:c r="AB736" s="2" t="n">
        <x:f>ABS(K736-W736)</x:f>
        <x:v>6</x:v>
      </x:c>
      <x:c r="AC736" s="2" t="n">
        <x:f>COUNTIF($A$2:$A$1921,A736)-1</x:f>
        <x:v>0</x:v>
      </x:c>
      <x:c r="AD736" s="2" t="n">
        <x:f>IF(AND(D736=D735,H736=H735,C736=C735+1),ABS(R736-T735),0)</x:f>
        <x:v>0</x:v>
      </x:c>
    </x:row>
    <x:row r="737" ht="23" customHeight="1">
      <x:c r="A737" s="2" t="str">
        <x:v>DEMO-204-0-16</x:v>
      </x:c>
      <x:c r="B737" s="15" t="d">
        <x:v>2026-08-17T00:00:00.000Z</x:v>
      </x:c>
      <x:c r="C737" s="2" t="n">
        <x:v>16</x:v>
      </x:c>
      <x:c r="D737" s="2" t="str">
        <x:v>DEMO-204</x:v>
      </x:c>
      <x:c r="E737" s="2" t="str">
        <x:v>Wish Jar</x:v>
      </x:c>
      <x:c r="F737" s="2" t="str">
        <x:v>Gifting</x:v>
      </x:c>
      <x:c r="G737" s="2" t="str">
        <x:v>Stores</x:v>
      </x:c>
      <x:c r="H737" s="2" t="str">
        <x:v>North Arcade</x:v>
      </x:c>
      <x:c r="I737" s="2" t="n">
        <x:v>7</x:v>
      </x:c>
      <x:c r="J737" s="2" t="n">
        <x:v>0</x:v>
      </x:c>
      <x:c r="K737" s="2" t="n">
        <x:f>I737-J737</x:f>
        <x:v>7</x:v>
      </x:c>
      <x:c r="L737" s="16" t="n">
        <x:v>24</x:v>
      </x:c>
      <x:c r="M737" s="16" t="n">
        <x:v>24</x:v>
      </x:c>
      <x:c r="N737" s="16" t="n">
        <x:v>10.44</x:v>
      </x:c>
      <x:c r="O737" s="16" t="n">
        <x:f>K737*M737</x:f>
        <x:v>168</x:v>
      </x:c>
      <x:c r="P737" s="16" t="n">
        <x:f>K737*N737</x:f>
        <x:v>73.08</x:v>
      </x:c>
      <x:c r="Q737" s="16" t="n">
        <x:f>O737-P737</x:f>
        <x:v>94.92</x:v>
      </x:c>
      <x:c r="R737" s="2" t="n">
        <x:v>84</x:v>
      </x:c>
      <x:c r="S737" s="2" t="n">
        <x:v>0</x:v>
      </x:c>
      <x:c r="T737" s="2" t="n">
        <x:f>R737+S737+J737-I737</x:f>
        <x:v>77</x:v>
      </x:c>
      <x:c r="U737" s="2" t="n">
        <x:v>0</x:v>
      </x:c>
      <x:c r="V737" s="2" t="n">
        <x:v>2</x:v>
      </x:c>
      <x:c r="W737" s="2" t="n">
        <x:v>14</x:v>
      </x:c>
      <x:c r="X737" s="14" t="b">
        <x:v>0</x:v>
      </x:c>
      <x:c r="Y737" s="14" t="b">
        <x:v>0</x:v>
      </x:c>
      <x:c r="Z737" s="2" t="n">
        <x:f>ABS(T737-AA737)</x:f>
        <x:v>0</x:v>
      </x:c>
      <x:c r="AA737" s="2" t="n">
        <x:v>77</x:v>
      </x:c>
      <x:c r="AB737" s="2" t="n">
        <x:f>ABS(K737-W737)</x:f>
        <x:v>7</x:v>
      </x:c>
      <x:c r="AC737" s="2" t="n">
        <x:f>COUNTIF($A$2:$A$1921,A737)-1</x:f>
        <x:v>0</x:v>
      </x:c>
      <x:c r="AD737" s="2" t="n">
        <x:f>IF(AND(D737=D736,H737=H736,C737=C736+1),ABS(R737-T736),0)</x:f>
        <x:v>0</x:v>
      </x:c>
    </x:row>
    <x:row r="738" ht="23" customHeight="1">
      <x:c r="A738" s="2" t="str">
        <x:v>DEMO-204-0-17</x:v>
      </x:c>
      <x:c r="B738" s="15" t="d">
        <x:v>2026-08-24T00:00:00.000Z</x:v>
      </x:c>
      <x:c r="C738" s="2" t="n">
        <x:v>17</x:v>
      </x:c>
      <x:c r="D738" s="2" t="str">
        <x:v>DEMO-204</x:v>
      </x:c>
      <x:c r="E738" s="2" t="str">
        <x:v>Wish Jar</x:v>
      </x:c>
      <x:c r="F738" s="2" t="str">
        <x:v>Gifting</x:v>
      </x:c>
      <x:c r="G738" s="2" t="str">
        <x:v>Stores</x:v>
      </x:c>
      <x:c r="H738" s="2" t="str">
        <x:v>North Arcade</x:v>
      </x:c>
      <x:c r="I738" s="2" t="n">
        <x:v>8</x:v>
      </x:c>
      <x:c r="J738" s="2" t="n">
        <x:v>1</x:v>
      </x:c>
      <x:c r="K738" s="2" t="n">
        <x:f>I738-J738</x:f>
        <x:v>7</x:v>
      </x:c>
      <x:c r="L738" s="16" t="n">
        <x:v>24</x:v>
      </x:c>
      <x:c r="M738" s="16" t="n">
        <x:v>24</x:v>
      </x:c>
      <x:c r="N738" s="16" t="n">
        <x:v>10.44</x:v>
      </x:c>
      <x:c r="O738" s="16" t="n">
        <x:f>K738*M738</x:f>
        <x:v>168</x:v>
      </x:c>
      <x:c r="P738" s="16" t="n">
        <x:f>K738*N738</x:f>
        <x:v>73.08</x:v>
      </x:c>
      <x:c r="Q738" s="16" t="n">
        <x:f>O738-P738</x:f>
        <x:v>94.92</x:v>
      </x:c>
      <x:c r="R738" s="2" t="n">
        <x:v>77</x:v>
      </x:c>
      <x:c r="S738" s="2" t="n">
        <x:v>34</x:v>
      </x:c>
      <x:c r="T738" s="2" t="n">
        <x:f>R738+S738+J738-I738</x:f>
        <x:v>104</x:v>
      </x:c>
      <x:c r="U738" s="2" t="n">
        <x:v>0</x:v>
      </x:c>
      <x:c r="V738" s="2" t="n">
        <x:v>2</x:v>
      </x:c>
      <x:c r="W738" s="2" t="n">
        <x:v>12</x:v>
      </x:c>
      <x:c r="X738" s="14" t="b">
        <x:v>0</x:v>
      </x:c>
      <x:c r="Y738" s="14" t="b">
        <x:v>0</x:v>
      </x:c>
      <x:c r="Z738" s="2" t="n">
        <x:f>ABS(T738-AA738)</x:f>
        <x:v>0</x:v>
      </x:c>
      <x:c r="AA738" s="2" t="n">
        <x:v>104</x:v>
      </x:c>
      <x:c r="AB738" s="2" t="n">
        <x:f>ABS(K738-W738)</x:f>
        <x:v>5</x:v>
      </x:c>
      <x:c r="AC738" s="2" t="n">
        <x:f>COUNTIF($A$2:$A$1921,A738)-1</x:f>
        <x:v>0</x:v>
      </x:c>
      <x:c r="AD738" s="2" t="n">
        <x:f>IF(AND(D738=D737,H738=H737,C738=C737+1),ABS(R738-T737),0)</x:f>
        <x:v>0</x:v>
      </x:c>
    </x:row>
    <x:row r="739" ht="23" customHeight="1">
      <x:c r="A739" s="2" t="str">
        <x:v>DEMO-204-0-18</x:v>
      </x:c>
      <x:c r="B739" s="15" t="d">
        <x:v>2026-08-31T00:00:00.000Z</x:v>
      </x:c>
      <x:c r="C739" s="2" t="n">
        <x:v>18</x:v>
      </x:c>
      <x:c r="D739" s="2" t="str">
        <x:v>DEMO-204</x:v>
      </x:c>
      <x:c r="E739" s="2" t="str">
        <x:v>Wish Jar</x:v>
      </x:c>
      <x:c r="F739" s="2" t="str">
        <x:v>Gifting</x:v>
      </x:c>
      <x:c r="G739" s="2" t="str">
        <x:v>Stores</x:v>
      </x:c>
      <x:c r="H739" s="2" t="str">
        <x:v>North Arcade</x:v>
      </x:c>
      <x:c r="I739" s="2" t="n">
        <x:v>6</x:v>
      </x:c>
      <x:c r="J739" s="2" t="n">
        <x:v>0</x:v>
      </x:c>
      <x:c r="K739" s="2" t="n">
        <x:f>I739-J739</x:f>
        <x:v>6</x:v>
      </x:c>
      <x:c r="L739" s="16" t="n">
        <x:v>24</x:v>
      </x:c>
      <x:c r="M739" s="16" t="n">
        <x:v>24</x:v>
      </x:c>
      <x:c r="N739" s="16" t="n">
        <x:v>10.44</x:v>
      </x:c>
      <x:c r="O739" s="16" t="n">
        <x:f>K739*M739</x:f>
        <x:v>144</x:v>
      </x:c>
      <x:c r="P739" s="16" t="n">
        <x:f>K739*N739</x:f>
        <x:v>62.64</x:v>
      </x:c>
      <x:c r="Q739" s="16" t="n">
        <x:f>O739-P739</x:f>
        <x:v>81.36</x:v>
      </x:c>
      <x:c r="R739" s="2" t="n">
        <x:v>104</x:v>
      </x:c>
      <x:c r="S739" s="2" t="n">
        <x:v>0</x:v>
      </x:c>
      <x:c r="T739" s="2" t="n">
        <x:f>R739+S739+J739-I739</x:f>
        <x:v>98</x:v>
      </x:c>
      <x:c r="U739" s="2" t="n">
        <x:v>0</x:v>
      </x:c>
      <x:c r="V739" s="2" t="n">
        <x:v>2</x:v>
      </x:c>
      <x:c r="W739" s="2" t="n">
        <x:v>10</x:v>
      </x:c>
      <x:c r="X739" s="14" t="b">
        <x:v>0</x:v>
      </x:c>
      <x:c r="Y739" s="14" t="b">
        <x:v>0</x:v>
      </x:c>
      <x:c r="Z739" s="2" t="n">
        <x:f>ABS(T739-AA739)</x:f>
        <x:v>0</x:v>
      </x:c>
      <x:c r="AA739" s="2" t="n">
        <x:v>98</x:v>
      </x:c>
      <x:c r="AB739" s="2" t="n">
        <x:f>ABS(K739-W739)</x:f>
        <x:v>4</x:v>
      </x:c>
      <x:c r="AC739" s="2" t="n">
        <x:f>COUNTIF($A$2:$A$1921,A739)-1</x:f>
        <x:v>0</x:v>
      </x:c>
      <x:c r="AD739" s="2" t="n">
        <x:f>IF(AND(D739=D738,H739=H738,C739=C738+1),ABS(R739-T738),0)</x:f>
        <x:v>0</x:v>
      </x:c>
    </x:row>
    <x:row r="740" ht="23" customHeight="1">
      <x:c r="A740" s="2" t="str">
        <x:v>DEMO-204-0-19</x:v>
      </x:c>
      <x:c r="B740" s="15" t="d">
        <x:v>2026-09-07T00:00:00.000Z</x:v>
      </x:c>
      <x:c r="C740" s="2" t="n">
        <x:v>19</x:v>
      </x:c>
      <x:c r="D740" s="2" t="str">
        <x:v>DEMO-204</x:v>
      </x:c>
      <x:c r="E740" s="2" t="str">
        <x:v>Wish Jar</x:v>
      </x:c>
      <x:c r="F740" s="2" t="str">
        <x:v>Gifting</x:v>
      </x:c>
      <x:c r="G740" s="2" t="str">
        <x:v>Stores</x:v>
      </x:c>
      <x:c r="H740" s="2" t="str">
        <x:v>North Arcade</x:v>
      </x:c>
      <x:c r="I740" s="2" t="n">
        <x:v>7</x:v>
      </x:c>
      <x:c r="J740" s="2" t="n">
        <x:v>0</x:v>
      </x:c>
      <x:c r="K740" s="2" t="n">
        <x:f>I740-J740</x:f>
        <x:v>7</x:v>
      </x:c>
      <x:c r="L740" s="16" t="n">
        <x:v>24</x:v>
      </x:c>
      <x:c r="M740" s="16" t="n">
        <x:v>24</x:v>
      </x:c>
      <x:c r="N740" s="16" t="n">
        <x:v>10.44</x:v>
      </x:c>
      <x:c r="O740" s="16" t="n">
        <x:f>K740*M740</x:f>
        <x:v>168</x:v>
      </x:c>
      <x:c r="P740" s="16" t="n">
        <x:f>K740*N740</x:f>
        <x:v>73.08</x:v>
      </x:c>
      <x:c r="Q740" s="16" t="n">
        <x:f>O740-P740</x:f>
        <x:v>94.92</x:v>
      </x:c>
      <x:c r="R740" s="2" t="n">
        <x:v>98</x:v>
      </x:c>
      <x:c r="S740" s="2" t="n">
        <x:v>0</x:v>
      </x:c>
      <x:c r="T740" s="2" t="n">
        <x:f>R740+S740+J740-I740</x:f>
        <x:v>91</x:v>
      </x:c>
      <x:c r="U740" s="2" t="n">
        <x:v>0</x:v>
      </x:c>
      <x:c r="V740" s="2" t="n">
        <x:v>2</x:v>
      </x:c>
      <x:c r="W740" s="2" t="n">
        <x:v>7</x:v>
      </x:c>
      <x:c r="X740" s="14" t="b">
        <x:v>0</x:v>
      </x:c>
      <x:c r="Y740" s="14" t="b">
        <x:v>0</x:v>
      </x:c>
      <x:c r="Z740" s="2" t="n">
        <x:f>ABS(T740-AA740)</x:f>
        <x:v>0</x:v>
      </x:c>
      <x:c r="AA740" s="2" t="n">
        <x:v>91</x:v>
      </x:c>
      <x:c r="AB740" s="2" t="n">
        <x:f>ABS(K740-W740)</x:f>
        <x:v>0</x:v>
      </x:c>
      <x:c r="AC740" s="2" t="n">
        <x:f>COUNTIF($A$2:$A$1921,A740)-1</x:f>
        <x:v>0</x:v>
      </x:c>
      <x:c r="AD740" s="2" t="n">
        <x:f>IF(AND(D740=D739,H740=H739,C740=C739+1),ABS(R740-T739),0)</x:f>
        <x:v>0</x:v>
      </x:c>
    </x:row>
    <x:row r="741" ht="23" customHeight="1">
      <x:c r="A741" s="2" t="str">
        <x:v>DEMO-204-0-20</x:v>
      </x:c>
      <x:c r="B741" s="15" t="d">
        <x:v>2026-09-14T00:00:00.000Z</x:v>
      </x:c>
      <x:c r="C741" s="2" t="n">
        <x:v>20</x:v>
      </x:c>
      <x:c r="D741" s="2" t="str">
        <x:v>DEMO-204</x:v>
      </x:c>
      <x:c r="E741" s="2" t="str">
        <x:v>Wish Jar</x:v>
      </x:c>
      <x:c r="F741" s="2" t="str">
        <x:v>Gifting</x:v>
      </x:c>
      <x:c r="G741" s="2" t="str">
        <x:v>Stores</x:v>
      </x:c>
      <x:c r="H741" s="2" t="str">
        <x:v>North Arcade</x:v>
      </x:c>
      <x:c r="I741" s="2" t="n">
        <x:v>8</x:v>
      </x:c>
      <x:c r="J741" s="2" t="n">
        <x:v>0</x:v>
      </x:c>
      <x:c r="K741" s="2" t="n">
        <x:f>I741-J741</x:f>
        <x:v>8</x:v>
      </x:c>
      <x:c r="L741" s="16" t="n">
        <x:v>24</x:v>
      </x:c>
      <x:c r="M741" s="16" t="n">
        <x:v>24</x:v>
      </x:c>
      <x:c r="N741" s="16" t="n">
        <x:v>10.44</x:v>
      </x:c>
      <x:c r="O741" s="16" t="n">
        <x:f>K741*M741</x:f>
        <x:v>192</x:v>
      </x:c>
      <x:c r="P741" s="16" t="n">
        <x:f>K741*N741</x:f>
        <x:v>83.52</x:v>
      </x:c>
      <x:c r="Q741" s="16" t="n">
        <x:f>O741-P741</x:f>
        <x:v>108.48</x:v>
      </x:c>
      <x:c r="R741" s="2" t="n">
        <x:v>91</x:v>
      </x:c>
      <x:c r="S741" s="2" t="n">
        <x:v>0</x:v>
      </x:c>
      <x:c r="T741" s="2" t="n">
        <x:f>R741+S741+J741-I741</x:f>
        <x:v>83</x:v>
      </x:c>
      <x:c r="U741" s="2" t="n">
        <x:v>18</x:v>
      </x:c>
      <x:c r="V741" s="2" t="n">
        <x:v>2</x:v>
      </x:c>
      <x:c r="W741" s="2" t="n">
        <x:v>7</x:v>
      </x:c>
      <x:c r="X741" s="14" t="b">
        <x:v>0</x:v>
      </x:c>
      <x:c r="Y741" s="14" t="b">
        <x:v>0</x:v>
      </x:c>
      <x:c r="Z741" s="2" t="n">
        <x:f>ABS(T741-AA741)</x:f>
        <x:v>0</x:v>
      </x:c>
      <x:c r="AA741" s="2" t="n">
        <x:v>83</x:v>
      </x:c>
      <x:c r="AB741" s="2" t="n">
        <x:f>ABS(K741-W741)</x:f>
        <x:v>1</x:v>
      </x:c>
      <x:c r="AC741" s="2" t="n">
        <x:f>COUNTIF($A$2:$A$1921,A741)-1</x:f>
        <x:v>0</x:v>
      </x:c>
      <x:c r="AD741" s="2" t="n">
        <x:f>IF(AND(D741=D740,H741=H740,C741=C740+1),ABS(R741-T740),0)</x:f>
        <x:v>0</x:v>
      </x:c>
    </x:row>
    <x:row r="742" ht="23" customHeight="1">
      <x:c r="A742" s="2" t="str">
        <x:v>DEMO-204-1-1</x:v>
      </x:c>
      <x:c r="B742" s="15" t="d">
        <x:v>2026-05-04T00:00:00.000Z</x:v>
      </x:c>
      <x:c r="C742" s="2" t="n">
        <x:v>1</x:v>
      </x:c>
      <x:c r="D742" s="2" t="str">
        <x:v>DEMO-204</x:v>
      </x:c>
      <x:c r="E742" s="2" t="str">
        <x:v>Wish Jar</x:v>
      </x:c>
      <x:c r="F742" s="2" t="str">
        <x:v>Gifting</x:v>
      </x:c>
      <x:c r="G742" s="2" t="str">
        <x:v>Stores</x:v>
      </x:c>
      <x:c r="H742" s="2" t="str">
        <x:v>Riverside</x:v>
      </x:c>
      <x:c r="I742" s="2" t="n">
        <x:v>9</x:v>
      </x:c>
      <x:c r="J742" s="2" t="n">
        <x:v>0</x:v>
      </x:c>
      <x:c r="K742" s="2" t="n">
        <x:f>I742-J742</x:f>
        <x:v>9</x:v>
      </x:c>
      <x:c r="L742" s="16" t="n">
        <x:v>24</x:v>
      </x:c>
      <x:c r="M742" s="16" t="n">
        <x:v>24</x:v>
      </x:c>
      <x:c r="N742" s="16" t="n">
        <x:v>10.44</x:v>
      </x:c>
      <x:c r="O742" s="16" t="n">
        <x:f>K742*M742</x:f>
        <x:v>216</x:v>
      </x:c>
      <x:c r="P742" s="16" t="n">
        <x:f>K742*N742</x:f>
        <x:v>93.96</x:v>
      </x:c>
      <x:c r="Q742" s="16" t="n">
        <x:f>O742-P742</x:f>
        <x:v>122.04</x:v>
      </x:c>
      <x:c r="R742" s="2" t="n">
        <x:v>90</x:v>
      </x:c>
      <x:c r="S742" s="2" t="n">
        <x:v>34</x:v>
      </x:c>
      <x:c r="T742" s="2" t="n">
        <x:f>R742+S742+J742-I742</x:f>
        <x:v>115</x:v>
      </x:c>
      <x:c r="U742" s="2" t="n">
        <x:v>0</x:v>
      </x:c>
      <x:c r="V742" s="2" t="n">
        <x:v>2</x:v>
      </x:c>
      <x:c r="W742" s="2" t="n">
        <x:v>8</x:v>
      </x:c>
      <x:c r="X742" s="14" t="b">
        <x:v>0</x:v>
      </x:c>
      <x:c r="Y742" s="14" t="b">
        <x:v>0</x:v>
      </x:c>
      <x:c r="Z742" s="2" t="n">
        <x:f>ABS(T742-AA742)</x:f>
        <x:v>0</x:v>
      </x:c>
      <x:c r="AA742" s="2" t="n">
        <x:v>115</x:v>
      </x:c>
      <x:c r="AB742" s="2" t="n">
        <x:f>ABS(K742-W742)</x:f>
        <x:v>1</x:v>
      </x:c>
      <x:c r="AC742" s="2" t="n">
        <x:f>COUNTIF($A$2:$A$1921,A742)-1</x:f>
        <x:v>0</x:v>
      </x:c>
      <x:c r="AD742" s="2" t="n">
        <x:f>IF(AND(D742=D741,H742=H741,C742=C741+1),ABS(R742-T741),0)</x:f>
        <x:v>0</x:v>
      </x:c>
    </x:row>
    <x:row r="743" ht="23" customHeight="1">
      <x:c r="A743" s="2" t="str">
        <x:v>DEMO-204-1-2</x:v>
      </x:c>
      <x:c r="B743" s="15" t="d">
        <x:v>2026-05-11T00:00:00.000Z</x:v>
      </x:c>
      <x:c r="C743" s="2" t="n">
        <x:v>2</x:v>
      </x:c>
      <x:c r="D743" s="2" t="str">
        <x:v>DEMO-204</x:v>
      </x:c>
      <x:c r="E743" s="2" t="str">
        <x:v>Wish Jar</x:v>
      </x:c>
      <x:c r="F743" s="2" t="str">
        <x:v>Gifting</x:v>
      </x:c>
      <x:c r="G743" s="2" t="str">
        <x:v>Stores</x:v>
      </x:c>
      <x:c r="H743" s="2" t="str">
        <x:v>Riverside</x:v>
      </x:c>
      <x:c r="I743" s="2" t="n">
        <x:v>9</x:v>
      </x:c>
      <x:c r="J743" s="2" t="n">
        <x:v>1</x:v>
      </x:c>
      <x:c r="K743" s="2" t="n">
        <x:f>I743-J743</x:f>
        <x:v>8</x:v>
      </x:c>
      <x:c r="L743" s="16" t="n">
        <x:v>24</x:v>
      </x:c>
      <x:c r="M743" s="16" t="n">
        <x:v>24</x:v>
      </x:c>
      <x:c r="N743" s="16" t="n">
        <x:v>10.44</x:v>
      </x:c>
      <x:c r="O743" s="16" t="n">
        <x:f>K743*M743</x:f>
        <x:v>192</x:v>
      </x:c>
      <x:c r="P743" s="16" t="n">
        <x:f>K743*N743</x:f>
        <x:v>83.52</x:v>
      </x:c>
      <x:c r="Q743" s="16" t="n">
        <x:f>O743-P743</x:f>
        <x:v>108.48</x:v>
      </x:c>
      <x:c r="R743" s="2" t="n">
        <x:v>115</x:v>
      </x:c>
      <x:c r="S743" s="2" t="n">
        <x:v>0</x:v>
      </x:c>
      <x:c r="T743" s="2" t="n">
        <x:f>R743+S743+J743-I743</x:f>
        <x:v>107</x:v>
      </x:c>
      <x:c r="U743" s="2" t="n">
        <x:v>0</x:v>
      </x:c>
      <x:c r="V743" s="2" t="n">
        <x:v>2</x:v>
      </x:c>
      <x:c r="W743" s="2" t="n">
        <x:v>9</x:v>
      </x:c>
      <x:c r="X743" s="14" t="b">
        <x:v>0</x:v>
      </x:c>
      <x:c r="Y743" s="14" t="b">
        <x:v>0</x:v>
      </x:c>
      <x:c r="Z743" s="2" t="n">
        <x:f>ABS(T743-AA743)</x:f>
        <x:v>0</x:v>
      </x:c>
      <x:c r="AA743" s="2" t="n">
        <x:v>107</x:v>
      </x:c>
      <x:c r="AB743" s="2" t="n">
        <x:f>ABS(K743-W743)</x:f>
        <x:v>1</x:v>
      </x:c>
      <x:c r="AC743" s="2" t="n">
        <x:f>COUNTIF($A$2:$A$1921,A743)-1</x:f>
        <x:v>0</x:v>
      </x:c>
      <x:c r="AD743" s="2" t="n">
        <x:f>IF(AND(D743=D742,H743=H742,C743=C742+1),ABS(R743-T742),0)</x:f>
        <x:v>0</x:v>
      </x:c>
    </x:row>
    <x:row r="744" ht="23" customHeight="1">
      <x:c r="A744" s="2" t="str">
        <x:v>DEMO-204-1-3</x:v>
      </x:c>
      <x:c r="B744" s="15" t="d">
        <x:v>2026-05-18T00:00:00.000Z</x:v>
      </x:c>
      <x:c r="C744" s="2" t="n">
        <x:v>3</x:v>
      </x:c>
      <x:c r="D744" s="2" t="str">
        <x:v>DEMO-204</x:v>
      </x:c>
      <x:c r="E744" s="2" t="str">
        <x:v>Wish Jar</x:v>
      </x:c>
      <x:c r="F744" s="2" t="str">
        <x:v>Gifting</x:v>
      </x:c>
      <x:c r="G744" s="2" t="str">
        <x:v>Stores</x:v>
      </x:c>
      <x:c r="H744" s="2" t="str">
        <x:v>Riverside</x:v>
      </x:c>
      <x:c r="I744" s="2" t="n">
        <x:v>7</x:v>
      </x:c>
      <x:c r="J744" s="2" t="n">
        <x:v>1</x:v>
      </x:c>
      <x:c r="K744" s="2" t="n">
        <x:f>I744-J744</x:f>
        <x:v>6</x:v>
      </x:c>
      <x:c r="L744" s="16" t="n">
        <x:v>24</x:v>
      </x:c>
      <x:c r="M744" s="16" t="n">
        <x:v>24</x:v>
      </x:c>
      <x:c r="N744" s="16" t="n">
        <x:v>10.44</x:v>
      </x:c>
      <x:c r="O744" s="16" t="n">
        <x:f>K744*M744</x:f>
        <x:v>144</x:v>
      </x:c>
      <x:c r="P744" s="16" t="n">
        <x:f>K744*N744</x:f>
        <x:v>62.64</x:v>
      </x:c>
      <x:c r="Q744" s="16" t="n">
        <x:f>O744-P744</x:f>
        <x:v>81.36</x:v>
      </x:c>
      <x:c r="R744" s="2" t="n">
        <x:v>107</x:v>
      </x:c>
      <x:c r="S744" s="2" t="n">
        <x:v>0</x:v>
      </x:c>
      <x:c r="T744" s="2" t="n">
        <x:f>R744+S744+J744-I744</x:f>
        <x:v>101</x:v>
      </x:c>
      <x:c r="U744" s="2" t="n">
        <x:v>0</x:v>
      </x:c>
      <x:c r="V744" s="2" t="n">
        <x:v>2</x:v>
      </x:c>
      <x:c r="W744" s="2" t="n">
        <x:v>9</x:v>
      </x:c>
      <x:c r="X744" s="14" t="b">
        <x:v>0</x:v>
      </x:c>
      <x:c r="Y744" s="14" t="b">
        <x:v>0</x:v>
      </x:c>
      <x:c r="Z744" s="2" t="n">
        <x:f>ABS(T744-AA744)</x:f>
        <x:v>0</x:v>
      </x:c>
      <x:c r="AA744" s="2" t="n">
        <x:v>101</x:v>
      </x:c>
      <x:c r="AB744" s="2" t="n">
        <x:f>ABS(K744-W744)</x:f>
        <x:v>3</x:v>
      </x:c>
      <x:c r="AC744" s="2" t="n">
        <x:f>COUNTIF($A$2:$A$1921,A744)-1</x:f>
        <x:v>0</x:v>
      </x:c>
      <x:c r="AD744" s="2" t="n">
        <x:f>IF(AND(D744=D743,H744=H743,C744=C743+1),ABS(R744-T743),0)</x:f>
        <x:v>0</x:v>
      </x:c>
    </x:row>
    <x:row r="745" ht="23" customHeight="1">
      <x:c r="A745" s="2" t="str">
        <x:v>DEMO-204-1-4</x:v>
      </x:c>
      <x:c r="B745" s="15" t="d">
        <x:v>2026-05-25T00:00:00.000Z</x:v>
      </x:c>
      <x:c r="C745" s="2" t="n">
        <x:v>4</x:v>
      </x:c>
      <x:c r="D745" s="2" t="str">
        <x:v>DEMO-204</x:v>
      </x:c>
      <x:c r="E745" s="2" t="str">
        <x:v>Wish Jar</x:v>
      </x:c>
      <x:c r="F745" s="2" t="str">
        <x:v>Gifting</x:v>
      </x:c>
      <x:c r="G745" s="2" t="str">
        <x:v>Stores</x:v>
      </x:c>
      <x:c r="H745" s="2" t="str">
        <x:v>Riverside</x:v>
      </x:c>
      <x:c r="I745" s="2" t="n">
        <x:v>9</x:v>
      </x:c>
      <x:c r="J745" s="2" t="n">
        <x:v>0</x:v>
      </x:c>
      <x:c r="K745" s="2" t="n">
        <x:f>I745-J745</x:f>
        <x:v>9</x:v>
      </x:c>
      <x:c r="L745" s="16" t="n">
        <x:v>24</x:v>
      </x:c>
      <x:c r="M745" s="16" t="n">
        <x:v>24</x:v>
      </x:c>
      <x:c r="N745" s="16" t="n">
        <x:v>10.44</x:v>
      </x:c>
      <x:c r="O745" s="16" t="n">
        <x:f>K745*M745</x:f>
        <x:v>216</x:v>
      </x:c>
      <x:c r="P745" s="16" t="n">
        <x:f>K745*N745</x:f>
        <x:v>93.96</x:v>
      </x:c>
      <x:c r="Q745" s="16" t="n">
        <x:f>O745-P745</x:f>
        <x:v>122.04</x:v>
      </x:c>
      <x:c r="R745" s="2" t="n">
        <x:v>101</x:v>
      </x:c>
      <x:c r="S745" s="2" t="n">
        <x:v>0</x:v>
      </x:c>
      <x:c r="T745" s="2" t="n">
        <x:f>R745+S745+J745-I745</x:f>
        <x:v>92</x:v>
      </x:c>
      <x:c r="U745" s="2" t="n">
        <x:v>0</x:v>
      </x:c>
      <x:c r="V745" s="2" t="n">
        <x:v>2</x:v>
      </x:c>
      <x:c r="W745" s="2" t="n">
        <x:v>8</x:v>
      </x:c>
      <x:c r="X745" s="14" t="b">
        <x:v>0</x:v>
      </x:c>
      <x:c r="Y745" s="14" t="b">
        <x:v>0</x:v>
      </x:c>
      <x:c r="Z745" s="2" t="n">
        <x:f>ABS(T745-AA745)</x:f>
        <x:v>0</x:v>
      </x:c>
      <x:c r="AA745" s="2" t="n">
        <x:v>92</x:v>
      </x:c>
      <x:c r="AB745" s="2" t="n">
        <x:f>ABS(K745-W745)</x:f>
        <x:v>1</x:v>
      </x:c>
      <x:c r="AC745" s="2" t="n">
        <x:f>COUNTIF($A$2:$A$1921,A745)-1</x:f>
        <x:v>0</x:v>
      </x:c>
      <x:c r="AD745" s="2" t="n">
        <x:f>IF(AND(D745=D744,H745=H744,C745=C744+1),ABS(R745-T744),0)</x:f>
        <x:v>0</x:v>
      </x:c>
    </x:row>
    <x:row r="746" ht="23" customHeight="1">
      <x:c r="A746" s="2" t="str">
        <x:v>DEMO-204-1-5</x:v>
      </x:c>
      <x:c r="B746" s="15" t="d">
        <x:v>2026-06-01T00:00:00.000Z</x:v>
      </x:c>
      <x:c r="C746" s="2" t="n">
        <x:v>5</x:v>
      </x:c>
      <x:c r="D746" s="2" t="str">
        <x:v>DEMO-204</x:v>
      </x:c>
      <x:c r="E746" s="2" t="str">
        <x:v>Wish Jar</x:v>
      </x:c>
      <x:c r="F746" s="2" t="str">
        <x:v>Gifting</x:v>
      </x:c>
      <x:c r="G746" s="2" t="str">
        <x:v>Stores</x:v>
      </x:c>
      <x:c r="H746" s="2" t="str">
        <x:v>Riverside</x:v>
      </x:c>
      <x:c r="I746" s="2" t="n">
        <x:v>9</x:v>
      </x:c>
      <x:c r="J746" s="2" t="n">
        <x:v>0</x:v>
      </x:c>
      <x:c r="K746" s="2" t="n">
        <x:f>I746-J746</x:f>
        <x:v>9</x:v>
      </x:c>
      <x:c r="L746" s="16" t="n">
        <x:v>24</x:v>
      </x:c>
      <x:c r="M746" s="16" t="n">
        <x:v>24</x:v>
      </x:c>
      <x:c r="N746" s="16" t="n">
        <x:v>10.44</x:v>
      </x:c>
      <x:c r="O746" s="16" t="n">
        <x:f>K746*M746</x:f>
        <x:v>216</x:v>
      </x:c>
      <x:c r="P746" s="16" t="n">
        <x:f>K746*N746</x:f>
        <x:v>93.96</x:v>
      </x:c>
      <x:c r="Q746" s="16" t="n">
        <x:f>O746-P746</x:f>
        <x:v>122.04</x:v>
      </x:c>
      <x:c r="R746" s="2" t="n">
        <x:v>92</x:v>
      </x:c>
      <x:c r="S746" s="2" t="n">
        <x:v>34</x:v>
      </x:c>
      <x:c r="T746" s="2" t="n">
        <x:f>R746+S746+J746-I746</x:f>
        <x:v>117</x:v>
      </x:c>
      <x:c r="U746" s="2" t="n">
        <x:v>0</x:v>
      </x:c>
      <x:c r="V746" s="2" t="n">
        <x:v>2</x:v>
      </x:c>
      <x:c r="W746" s="2" t="n">
        <x:v>8</x:v>
      </x:c>
      <x:c r="X746" s="14" t="b">
        <x:v>0</x:v>
      </x:c>
      <x:c r="Y746" s="14" t="b">
        <x:v>0</x:v>
      </x:c>
      <x:c r="Z746" s="2" t="n">
        <x:f>ABS(T746-AA746)</x:f>
        <x:v>0</x:v>
      </x:c>
      <x:c r="AA746" s="2" t="n">
        <x:v>117</x:v>
      </x:c>
      <x:c r="AB746" s="2" t="n">
        <x:f>ABS(K746-W746)</x:f>
        <x:v>1</x:v>
      </x:c>
      <x:c r="AC746" s="2" t="n">
        <x:f>COUNTIF($A$2:$A$1921,A746)-1</x:f>
        <x:v>0</x:v>
      </x:c>
      <x:c r="AD746" s="2" t="n">
        <x:f>IF(AND(D746=D745,H746=H745,C746=C745+1),ABS(R746-T745),0)</x:f>
        <x:v>0</x:v>
      </x:c>
    </x:row>
    <x:row r="747" ht="23" customHeight="1">
      <x:c r="A747" s="2" t="str">
        <x:v>DEMO-204-1-6</x:v>
      </x:c>
      <x:c r="B747" s="15" t="d">
        <x:v>2026-06-08T00:00:00.000Z</x:v>
      </x:c>
      <x:c r="C747" s="2" t="n">
        <x:v>6</x:v>
      </x:c>
      <x:c r="D747" s="2" t="str">
        <x:v>DEMO-204</x:v>
      </x:c>
      <x:c r="E747" s="2" t="str">
        <x:v>Wish Jar</x:v>
      </x:c>
      <x:c r="F747" s="2" t="str">
        <x:v>Gifting</x:v>
      </x:c>
      <x:c r="G747" s="2" t="str">
        <x:v>Stores</x:v>
      </x:c>
      <x:c r="H747" s="2" t="str">
        <x:v>Riverside</x:v>
      </x:c>
      <x:c r="I747" s="2" t="n">
        <x:v>9</x:v>
      </x:c>
      <x:c r="J747" s="2" t="n">
        <x:v>1</x:v>
      </x:c>
      <x:c r="K747" s="2" t="n">
        <x:f>I747-J747</x:f>
        <x:v>8</x:v>
      </x:c>
      <x:c r="L747" s="16" t="n">
        <x:v>24</x:v>
      </x:c>
      <x:c r="M747" s="16" t="n">
        <x:v>24</x:v>
      </x:c>
      <x:c r="N747" s="16" t="n">
        <x:v>10.44</x:v>
      </x:c>
      <x:c r="O747" s="16" t="n">
        <x:f>K747*M747</x:f>
        <x:v>192</x:v>
      </x:c>
      <x:c r="P747" s="16" t="n">
        <x:f>K747*N747</x:f>
        <x:v>83.52</x:v>
      </x:c>
      <x:c r="Q747" s="16" t="n">
        <x:f>O747-P747</x:f>
        <x:v>108.48</x:v>
      </x:c>
      <x:c r="R747" s="2" t="n">
        <x:v>117</x:v>
      </x:c>
      <x:c r="S747" s="2" t="n">
        <x:v>0</x:v>
      </x:c>
      <x:c r="T747" s="2" t="n">
        <x:f>R747+S747+J747-I747</x:f>
        <x:v>109</x:v>
      </x:c>
      <x:c r="U747" s="2" t="n">
        <x:v>0</x:v>
      </x:c>
      <x:c r="V747" s="2" t="n">
        <x:v>2</x:v>
      </x:c>
      <x:c r="W747" s="2" t="n">
        <x:v>8</x:v>
      </x:c>
      <x:c r="X747" s="14" t="b">
        <x:v>0</x:v>
      </x:c>
      <x:c r="Y747" s="14" t="b">
        <x:v>0</x:v>
      </x:c>
      <x:c r="Z747" s="2" t="n">
        <x:f>ABS(T747-AA747)</x:f>
        <x:v>0</x:v>
      </x:c>
      <x:c r="AA747" s="2" t="n">
        <x:v>109</x:v>
      </x:c>
      <x:c r="AB747" s="2" t="n">
        <x:f>ABS(K747-W747)</x:f>
        <x:v>0</x:v>
      </x:c>
      <x:c r="AC747" s="2" t="n">
        <x:f>COUNTIF($A$2:$A$1921,A747)-1</x:f>
        <x:v>0</x:v>
      </x:c>
      <x:c r="AD747" s="2" t="n">
        <x:f>IF(AND(D747=D746,H747=H746,C747=C746+1),ABS(R747-T746),0)</x:f>
        <x:v>0</x:v>
      </x:c>
    </x:row>
    <x:row r="748" ht="23" customHeight="1">
      <x:c r="A748" s="2" t="str">
        <x:v>DEMO-204-1-7</x:v>
      </x:c>
      <x:c r="B748" s="15" t="d">
        <x:v>2026-06-15T00:00:00.000Z</x:v>
      </x:c>
      <x:c r="C748" s="2" t="n">
        <x:v>7</x:v>
      </x:c>
      <x:c r="D748" s="2" t="str">
        <x:v>DEMO-204</x:v>
      </x:c>
      <x:c r="E748" s="2" t="str">
        <x:v>Wish Jar</x:v>
      </x:c>
      <x:c r="F748" s="2" t="str">
        <x:v>Gifting</x:v>
      </x:c>
      <x:c r="G748" s="2" t="str">
        <x:v>Stores</x:v>
      </x:c>
      <x:c r="H748" s="2" t="str">
        <x:v>Riverside</x:v>
      </x:c>
      <x:c r="I748" s="2" t="n">
        <x:v>8</x:v>
      </x:c>
      <x:c r="J748" s="2" t="n">
        <x:v>0</x:v>
      </x:c>
      <x:c r="K748" s="2" t="n">
        <x:f>I748-J748</x:f>
        <x:v>8</x:v>
      </x:c>
      <x:c r="L748" s="16" t="n">
        <x:v>24</x:v>
      </x:c>
      <x:c r="M748" s="16" t="n">
        <x:v>24</x:v>
      </x:c>
      <x:c r="N748" s="16" t="n">
        <x:v>10.44</x:v>
      </x:c>
      <x:c r="O748" s="16" t="n">
        <x:f>K748*M748</x:f>
        <x:v>192</x:v>
      </x:c>
      <x:c r="P748" s="16" t="n">
        <x:f>K748*N748</x:f>
        <x:v>83.52</x:v>
      </x:c>
      <x:c r="Q748" s="16" t="n">
        <x:f>O748-P748</x:f>
        <x:v>108.48</x:v>
      </x:c>
      <x:c r="R748" s="2" t="n">
        <x:v>109</x:v>
      </x:c>
      <x:c r="S748" s="2" t="n">
        <x:v>0</x:v>
      </x:c>
      <x:c r="T748" s="2" t="n">
        <x:f>R748+S748+J748-I748</x:f>
        <x:v>101</x:v>
      </x:c>
      <x:c r="U748" s="2" t="n">
        <x:v>0</x:v>
      </x:c>
      <x:c r="V748" s="2" t="n">
        <x:v>2</x:v>
      </x:c>
      <x:c r="W748" s="2" t="n">
        <x:v>8</x:v>
      </x:c>
      <x:c r="X748" s="14" t="b">
        <x:v>0</x:v>
      </x:c>
      <x:c r="Y748" s="14" t="b">
        <x:v>0</x:v>
      </x:c>
      <x:c r="Z748" s="2" t="n">
        <x:f>ABS(T748-AA748)</x:f>
        <x:v>0</x:v>
      </x:c>
      <x:c r="AA748" s="2" t="n">
        <x:v>101</x:v>
      </x:c>
      <x:c r="AB748" s="2" t="n">
        <x:f>ABS(K748-W748)</x:f>
        <x:v>0</x:v>
      </x:c>
      <x:c r="AC748" s="2" t="n">
        <x:f>COUNTIF($A$2:$A$1921,A748)-1</x:f>
        <x:v>0</x:v>
      </x:c>
      <x:c r="AD748" s="2" t="n">
        <x:f>IF(AND(D748=D747,H748=H747,C748=C747+1),ABS(R748-T747),0)</x:f>
        <x:v>0</x:v>
      </x:c>
    </x:row>
    <x:row r="749" ht="23" customHeight="1">
      <x:c r="A749" s="2" t="str">
        <x:v>DEMO-204-1-8</x:v>
      </x:c>
      <x:c r="B749" s="15" t="d">
        <x:v>2026-06-22T00:00:00.000Z</x:v>
      </x:c>
      <x:c r="C749" s="2" t="n">
        <x:v>8</x:v>
      </x:c>
      <x:c r="D749" s="2" t="str">
        <x:v>DEMO-204</x:v>
      </x:c>
      <x:c r="E749" s="2" t="str">
        <x:v>Wish Jar</x:v>
      </x:c>
      <x:c r="F749" s="2" t="str">
        <x:v>Gifting</x:v>
      </x:c>
      <x:c r="G749" s="2" t="str">
        <x:v>Stores</x:v>
      </x:c>
      <x:c r="H749" s="2" t="str">
        <x:v>Riverside</x:v>
      </x:c>
      <x:c r="I749" s="2" t="n">
        <x:v>9</x:v>
      </x:c>
      <x:c r="J749" s="2" t="n">
        <x:v>0</x:v>
      </x:c>
      <x:c r="K749" s="2" t="n">
        <x:f>I749-J749</x:f>
        <x:v>9</x:v>
      </x:c>
      <x:c r="L749" s="16" t="n">
        <x:v>24</x:v>
      </x:c>
      <x:c r="M749" s="16" t="n">
        <x:v>24</x:v>
      </x:c>
      <x:c r="N749" s="16" t="n">
        <x:v>10.44</x:v>
      </x:c>
      <x:c r="O749" s="16" t="n">
        <x:f>K749*M749</x:f>
        <x:v>216</x:v>
      </x:c>
      <x:c r="P749" s="16" t="n">
        <x:f>K749*N749</x:f>
        <x:v>93.96</x:v>
      </x:c>
      <x:c r="Q749" s="16" t="n">
        <x:f>O749-P749</x:f>
        <x:v>122.04</x:v>
      </x:c>
      <x:c r="R749" s="2" t="n">
        <x:v>101</x:v>
      </x:c>
      <x:c r="S749" s="2" t="n">
        <x:v>0</x:v>
      </x:c>
      <x:c r="T749" s="2" t="n">
        <x:f>R749+S749+J749-I749</x:f>
        <x:v>92</x:v>
      </x:c>
      <x:c r="U749" s="2" t="n">
        <x:v>0</x:v>
      </x:c>
      <x:c r="V749" s="2" t="n">
        <x:v>2</x:v>
      </x:c>
      <x:c r="W749" s="2" t="n">
        <x:v>9</x:v>
      </x:c>
      <x:c r="X749" s="14" t="b">
        <x:v>0</x:v>
      </x:c>
      <x:c r="Y749" s="14" t="b">
        <x:v>0</x:v>
      </x:c>
      <x:c r="Z749" s="2" t="n">
        <x:f>ABS(T749-AA749)</x:f>
        <x:v>0</x:v>
      </x:c>
      <x:c r="AA749" s="2" t="n">
        <x:v>92</x:v>
      </x:c>
      <x:c r="AB749" s="2" t="n">
        <x:f>ABS(K749-W749)</x:f>
        <x:v>0</x:v>
      </x:c>
      <x:c r="AC749" s="2" t="n">
        <x:f>COUNTIF($A$2:$A$1921,A749)-1</x:f>
        <x:v>0</x:v>
      </x:c>
      <x:c r="AD749" s="2" t="n">
        <x:f>IF(AND(D749=D748,H749=H748,C749=C748+1),ABS(R749-T748),0)</x:f>
        <x:v>0</x:v>
      </x:c>
    </x:row>
    <x:row r="750" ht="23" customHeight="1">
      <x:c r="A750" s="2" t="str">
        <x:v>DEMO-204-1-9</x:v>
      </x:c>
      <x:c r="B750" s="15" t="d">
        <x:v>2026-06-29T00:00:00.000Z</x:v>
      </x:c>
      <x:c r="C750" s="2" t="n">
        <x:v>9</x:v>
      </x:c>
      <x:c r="D750" s="2" t="str">
        <x:v>DEMO-204</x:v>
      </x:c>
      <x:c r="E750" s="2" t="str">
        <x:v>Wish Jar</x:v>
      </x:c>
      <x:c r="F750" s="2" t="str">
        <x:v>Gifting</x:v>
      </x:c>
      <x:c r="G750" s="2" t="str">
        <x:v>Stores</x:v>
      </x:c>
      <x:c r="H750" s="2" t="str">
        <x:v>Riverside</x:v>
      </x:c>
      <x:c r="I750" s="2" t="n">
        <x:v>9</x:v>
      </x:c>
      <x:c r="J750" s="2" t="n">
        <x:v>0</x:v>
      </x:c>
      <x:c r="K750" s="2" t="n">
        <x:f>I750-J750</x:f>
        <x:v>9</x:v>
      </x:c>
      <x:c r="L750" s="16" t="n">
        <x:v>24</x:v>
      </x:c>
      <x:c r="M750" s="16" t="n">
        <x:v>24</x:v>
      </x:c>
      <x:c r="N750" s="16" t="n">
        <x:v>10.44</x:v>
      </x:c>
      <x:c r="O750" s="16" t="n">
        <x:f>K750*M750</x:f>
        <x:v>216</x:v>
      </x:c>
      <x:c r="P750" s="16" t="n">
        <x:f>K750*N750</x:f>
        <x:v>93.96</x:v>
      </x:c>
      <x:c r="Q750" s="16" t="n">
        <x:f>O750-P750</x:f>
        <x:v>122.04</x:v>
      </x:c>
      <x:c r="R750" s="2" t="n">
        <x:v>92</x:v>
      </x:c>
      <x:c r="S750" s="2" t="n">
        <x:v>34</x:v>
      </x:c>
      <x:c r="T750" s="2" t="n">
        <x:f>R750+S750+J750-I750</x:f>
        <x:v>117</x:v>
      </x:c>
      <x:c r="U750" s="2" t="n">
        <x:v>0</x:v>
      </x:c>
      <x:c r="V750" s="2" t="n">
        <x:v>2</x:v>
      </x:c>
      <x:c r="W750" s="2" t="n">
        <x:v>9</x:v>
      </x:c>
      <x:c r="X750" s="14" t="b">
        <x:v>0</x:v>
      </x:c>
      <x:c r="Y750" s="14" t="b">
        <x:v>0</x:v>
      </x:c>
      <x:c r="Z750" s="2" t="n">
        <x:f>ABS(T750-AA750)</x:f>
        <x:v>0</x:v>
      </x:c>
      <x:c r="AA750" s="2" t="n">
        <x:v>117</x:v>
      </x:c>
      <x:c r="AB750" s="2" t="n">
        <x:f>ABS(K750-W750)</x:f>
        <x:v>0</x:v>
      </x:c>
      <x:c r="AC750" s="2" t="n">
        <x:f>COUNTIF($A$2:$A$1921,A750)-1</x:f>
        <x:v>0</x:v>
      </x:c>
      <x:c r="AD750" s="2" t="n">
        <x:f>IF(AND(D750=D749,H750=H749,C750=C749+1),ABS(R750-T749),0)</x:f>
        <x:v>0</x:v>
      </x:c>
    </x:row>
    <x:row r="751" ht="23" customHeight="1">
      <x:c r="A751" s="2" t="str">
        <x:v>DEMO-204-1-10</x:v>
      </x:c>
      <x:c r="B751" s="15" t="d">
        <x:v>2026-07-06T00:00:00.000Z</x:v>
      </x:c>
      <x:c r="C751" s="2" t="n">
        <x:v>10</x:v>
      </x:c>
      <x:c r="D751" s="2" t="str">
        <x:v>DEMO-204</x:v>
      </x:c>
      <x:c r="E751" s="2" t="str">
        <x:v>Wish Jar</x:v>
      </x:c>
      <x:c r="F751" s="2" t="str">
        <x:v>Gifting</x:v>
      </x:c>
      <x:c r="G751" s="2" t="str">
        <x:v>Stores</x:v>
      </x:c>
      <x:c r="H751" s="2" t="str">
        <x:v>Riverside</x:v>
      </x:c>
      <x:c r="I751" s="2" t="n">
        <x:v>7</x:v>
      </x:c>
      <x:c r="J751" s="2" t="n">
        <x:v>0</x:v>
      </x:c>
      <x:c r="K751" s="2" t="n">
        <x:f>I751-J751</x:f>
        <x:v>7</x:v>
      </x:c>
      <x:c r="L751" s="16" t="n">
        <x:v>24</x:v>
      </x:c>
      <x:c r="M751" s="16" t="n">
        <x:v>24</x:v>
      </x:c>
      <x:c r="N751" s="16" t="n">
        <x:v>10.44</x:v>
      </x:c>
      <x:c r="O751" s="16" t="n">
        <x:f>K751*M751</x:f>
        <x:v>168</x:v>
      </x:c>
      <x:c r="P751" s="16" t="n">
        <x:f>K751*N751</x:f>
        <x:v>73.08</x:v>
      </x:c>
      <x:c r="Q751" s="16" t="n">
        <x:f>O751-P751</x:f>
        <x:v>94.92</x:v>
      </x:c>
      <x:c r="R751" s="2" t="n">
        <x:v>117</x:v>
      </x:c>
      <x:c r="S751" s="2" t="n">
        <x:v>0</x:v>
      </x:c>
      <x:c r="T751" s="2" t="n">
        <x:f>R751+S751+J751-I751</x:f>
        <x:v>110</x:v>
      </x:c>
      <x:c r="U751" s="2" t="n">
        <x:v>0</x:v>
      </x:c>
      <x:c r="V751" s="2" t="n">
        <x:v>2</x:v>
      </x:c>
      <x:c r="W751" s="2" t="n">
        <x:v>9</x:v>
      </x:c>
      <x:c r="X751" s="14" t="b">
        <x:v>0</x:v>
      </x:c>
      <x:c r="Y751" s="14" t="b">
        <x:v>0</x:v>
      </x:c>
      <x:c r="Z751" s="2" t="n">
        <x:f>ABS(T751-AA751)</x:f>
        <x:v>0</x:v>
      </x:c>
      <x:c r="AA751" s="2" t="n">
        <x:v>110</x:v>
      </x:c>
      <x:c r="AB751" s="2" t="n">
        <x:f>ABS(K751-W751)</x:f>
        <x:v>2</x:v>
      </x:c>
      <x:c r="AC751" s="2" t="n">
        <x:f>COUNTIF($A$2:$A$1921,A751)-1</x:f>
        <x:v>0</x:v>
      </x:c>
      <x:c r="AD751" s="2" t="n">
        <x:f>IF(AND(D751=D750,H751=H750,C751=C750+1),ABS(R751-T750),0)</x:f>
        <x:v>0</x:v>
      </x:c>
    </x:row>
    <x:row r="752" ht="23" customHeight="1">
      <x:c r="A752" s="2" t="str">
        <x:v>DEMO-204-1-11</x:v>
      </x:c>
      <x:c r="B752" s="15" t="d">
        <x:v>2026-07-13T00:00:00.000Z</x:v>
      </x:c>
      <x:c r="C752" s="2" t="n">
        <x:v>11</x:v>
      </x:c>
      <x:c r="D752" s="2" t="str">
        <x:v>DEMO-204</x:v>
      </x:c>
      <x:c r="E752" s="2" t="str">
        <x:v>Wish Jar</x:v>
      </x:c>
      <x:c r="F752" s="2" t="str">
        <x:v>Gifting</x:v>
      </x:c>
      <x:c r="G752" s="2" t="str">
        <x:v>Stores</x:v>
      </x:c>
      <x:c r="H752" s="2" t="str">
        <x:v>Riverside</x:v>
      </x:c>
      <x:c r="I752" s="2" t="n">
        <x:v>8</x:v>
      </x:c>
      <x:c r="J752" s="2" t="n">
        <x:v>0</x:v>
      </x:c>
      <x:c r="K752" s="2" t="n">
        <x:f>I752-J752</x:f>
        <x:v>8</x:v>
      </x:c>
      <x:c r="L752" s="16" t="n">
        <x:v>24</x:v>
      </x:c>
      <x:c r="M752" s="16" t="n">
        <x:v>24</x:v>
      </x:c>
      <x:c r="N752" s="16" t="n">
        <x:v>10.44</x:v>
      </x:c>
      <x:c r="O752" s="16" t="n">
        <x:f>K752*M752</x:f>
        <x:v>192</x:v>
      </x:c>
      <x:c r="P752" s="16" t="n">
        <x:f>K752*N752</x:f>
        <x:v>83.52</x:v>
      </x:c>
      <x:c r="Q752" s="16" t="n">
        <x:f>O752-P752</x:f>
        <x:v>108.48</x:v>
      </x:c>
      <x:c r="R752" s="2" t="n">
        <x:v>110</x:v>
      </x:c>
      <x:c r="S752" s="2" t="n">
        <x:v>0</x:v>
      </x:c>
      <x:c r="T752" s="2" t="n">
        <x:f>R752+S752+J752-I752</x:f>
        <x:v>102</x:v>
      </x:c>
      <x:c r="U752" s="2" t="n">
        <x:v>0</x:v>
      </x:c>
      <x:c r="V752" s="2" t="n">
        <x:v>2</x:v>
      </x:c>
      <x:c r="W752" s="2" t="n">
        <x:v>8</x:v>
      </x:c>
      <x:c r="X752" s="14" t="b">
        <x:v>0</x:v>
      </x:c>
      <x:c r="Y752" s="14" t="b">
        <x:v>0</x:v>
      </x:c>
      <x:c r="Z752" s="2" t="n">
        <x:f>ABS(T752-AA752)</x:f>
        <x:v>0</x:v>
      </x:c>
      <x:c r="AA752" s="2" t="n">
        <x:v>102</x:v>
      </x:c>
      <x:c r="AB752" s="2" t="n">
        <x:f>ABS(K752-W752)</x:f>
        <x:v>0</x:v>
      </x:c>
      <x:c r="AC752" s="2" t="n">
        <x:f>COUNTIF($A$2:$A$1921,A752)-1</x:f>
        <x:v>0</x:v>
      </x:c>
      <x:c r="AD752" s="2" t="n">
        <x:f>IF(AND(D752=D751,H752=H751,C752=C751+1),ABS(R752-T751),0)</x:f>
        <x:v>0</x:v>
      </x:c>
    </x:row>
    <x:row r="753" ht="23" customHeight="1">
      <x:c r="A753" s="2" t="str">
        <x:v>DEMO-204-1-12</x:v>
      </x:c>
      <x:c r="B753" s="15" t="d">
        <x:v>2026-07-20T00:00:00.000Z</x:v>
      </x:c>
      <x:c r="C753" s="2" t="n">
        <x:v>12</x:v>
      </x:c>
      <x:c r="D753" s="2" t="str">
        <x:v>DEMO-204</x:v>
      </x:c>
      <x:c r="E753" s="2" t="str">
        <x:v>Wish Jar</x:v>
      </x:c>
      <x:c r="F753" s="2" t="str">
        <x:v>Gifting</x:v>
      </x:c>
      <x:c r="G753" s="2" t="str">
        <x:v>Stores</x:v>
      </x:c>
      <x:c r="H753" s="2" t="str">
        <x:v>Riverside</x:v>
      </x:c>
      <x:c r="I753" s="2" t="n">
        <x:v>20</x:v>
      </x:c>
      <x:c r="J753" s="2" t="n">
        <x:v>0</x:v>
      </x:c>
      <x:c r="K753" s="2" t="n">
        <x:f>I753-J753</x:f>
        <x:v>20</x:v>
      </x:c>
      <x:c r="L753" s="16" t="n">
        <x:v>24</x:v>
      </x:c>
      <x:c r="M753" s="16" t="n">
        <x:v>21.6</x:v>
      </x:c>
      <x:c r="N753" s="16" t="n">
        <x:v>10.44</x:v>
      </x:c>
      <x:c r="O753" s="16" t="n">
        <x:f>K753*M753</x:f>
        <x:v>432</x:v>
      </x:c>
      <x:c r="P753" s="16" t="n">
        <x:f>K753*N753</x:f>
        <x:v>208.79999999999998</x:v>
      </x:c>
      <x:c r="Q753" s="16" t="n">
        <x:f>O753-P753</x:f>
        <x:v>223.20000000000002</x:v>
      </x:c>
      <x:c r="R753" s="2" t="n">
        <x:v>102</x:v>
      </x:c>
      <x:c r="S753" s="2" t="n">
        <x:v>0</x:v>
      </x:c>
      <x:c r="T753" s="2" t="n">
        <x:f>R753+S753+J753-I753</x:f>
        <x:v>82</x:v>
      </x:c>
      <x:c r="U753" s="2" t="n">
        <x:v>0</x:v>
      </x:c>
      <x:c r="V753" s="2" t="n">
        <x:v>2</x:v>
      </x:c>
      <x:c r="W753" s="2" t="n">
        <x:v>8</x:v>
      </x:c>
      <x:c r="X753" s="14" t="b">
        <x:v>1</x:v>
      </x:c>
      <x:c r="Y753" s="14" t="b">
        <x:v>0</x:v>
      </x:c>
      <x:c r="Z753" s="2" t="n">
        <x:f>ABS(T753-AA753)</x:f>
        <x:v>0</x:v>
      </x:c>
      <x:c r="AA753" s="2" t="n">
        <x:v>82</x:v>
      </x:c>
      <x:c r="AB753" s="2" t="n">
        <x:f>ABS(K753-W753)</x:f>
        <x:v>12</x:v>
      </x:c>
      <x:c r="AC753" s="2" t="n">
        <x:f>COUNTIF($A$2:$A$1921,A753)-1</x:f>
        <x:v>0</x:v>
      </x:c>
      <x:c r="AD753" s="2" t="n">
        <x:f>IF(AND(D753=D752,H753=H752,C753=C752+1),ABS(R753-T752),0)</x:f>
        <x:v>0</x:v>
      </x:c>
    </x:row>
    <x:row r="754" ht="23" customHeight="1">
      <x:c r="A754" s="2" t="str">
        <x:v>DEMO-204-1-13</x:v>
      </x:c>
      <x:c r="B754" s="15" t="d">
        <x:v>2026-07-27T00:00:00.000Z</x:v>
      </x:c>
      <x:c r="C754" s="2" t="n">
        <x:v>13</x:v>
      </x:c>
      <x:c r="D754" s="2" t="str">
        <x:v>DEMO-204</x:v>
      </x:c>
      <x:c r="E754" s="2" t="str">
        <x:v>Wish Jar</x:v>
      </x:c>
      <x:c r="F754" s="2" t="str">
        <x:v>Gifting</x:v>
      </x:c>
      <x:c r="G754" s="2" t="str">
        <x:v>Stores</x:v>
      </x:c>
      <x:c r="H754" s="2" t="str">
        <x:v>Riverside</x:v>
      </x:c>
      <x:c r="I754" s="2" t="n">
        <x:v>17</x:v>
      </x:c>
      <x:c r="J754" s="2" t="n">
        <x:v>0</x:v>
      </x:c>
      <x:c r="K754" s="2" t="n">
        <x:f>I754-J754</x:f>
        <x:v>17</x:v>
      </x:c>
      <x:c r="L754" s="16" t="n">
        <x:v>24</x:v>
      </x:c>
      <x:c r="M754" s="16" t="n">
        <x:v>21.6</x:v>
      </x:c>
      <x:c r="N754" s="16" t="n">
        <x:v>10.44</x:v>
      </x:c>
      <x:c r="O754" s="16" t="n">
        <x:f>K754*M754</x:f>
        <x:v>367.20000000000005</x:v>
      </x:c>
      <x:c r="P754" s="16" t="n">
        <x:f>K754*N754</x:f>
        <x:v>177.48</x:v>
      </x:c>
      <x:c r="Q754" s="16" t="n">
        <x:f>O754-P754</x:f>
        <x:v>189.72000000000006</x:v>
      </x:c>
      <x:c r="R754" s="2" t="n">
        <x:v>82</x:v>
      </x:c>
      <x:c r="S754" s="2" t="n">
        <x:v>34</x:v>
      </x:c>
      <x:c r="T754" s="2" t="n">
        <x:f>R754+S754+J754-I754</x:f>
        <x:v>99</x:v>
      </x:c>
      <x:c r="U754" s="2" t="n">
        <x:v>0</x:v>
      </x:c>
      <x:c r="V754" s="2" t="n">
        <x:v>2</x:v>
      </x:c>
      <x:c r="W754" s="2" t="n">
        <x:v>11</x:v>
      </x:c>
      <x:c r="X754" s="14" t="b">
        <x:v>1</x:v>
      </x:c>
      <x:c r="Y754" s="14" t="b">
        <x:v>0</x:v>
      </x:c>
      <x:c r="Z754" s="2" t="n">
        <x:f>ABS(T754-AA754)</x:f>
        <x:v>0</x:v>
      </x:c>
      <x:c r="AA754" s="2" t="n">
        <x:v>99</x:v>
      </x:c>
      <x:c r="AB754" s="2" t="n">
        <x:f>ABS(K754-W754)</x:f>
        <x:v>6</x:v>
      </x:c>
      <x:c r="AC754" s="2" t="n">
        <x:f>COUNTIF($A$2:$A$1921,A754)-1</x:f>
        <x:v>0</x:v>
      </x:c>
      <x:c r="AD754" s="2" t="n">
        <x:f>IF(AND(D754=D753,H754=H753,C754=C753+1),ABS(R754-T753),0)</x:f>
        <x:v>0</x:v>
      </x:c>
    </x:row>
    <x:row r="755" ht="23" customHeight="1">
      <x:c r="A755" s="2" t="str">
        <x:v>DEMO-204-1-14</x:v>
      </x:c>
      <x:c r="B755" s="15" t="d">
        <x:v>2026-08-03T00:00:00.000Z</x:v>
      </x:c>
      <x:c r="C755" s="2" t="n">
        <x:v>14</x:v>
      </x:c>
      <x:c r="D755" s="2" t="str">
        <x:v>DEMO-204</x:v>
      </x:c>
      <x:c r="E755" s="2" t="str">
        <x:v>Wish Jar</x:v>
      </x:c>
      <x:c r="F755" s="2" t="str">
        <x:v>Gifting</x:v>
      </x:c>
      <x:c r="G755" s="2" t="str">
        <x:v>Stores</x:v>
      </x:c>
      <x:c r="H755" s="2" t="str">
        <x:v>Riverside</x:v>
      </x:c>
      <x:c r="I755" s="2" t="n">
        <x:v>18</x:v>
      </x:c>
      <x:c r="J755" s="2" t="n">
        <x:v>1</x:v>
      </x:c>
      <x:c r="K755" s="2" t="n">
        <x:f>I755-J755</x:f>
        <x:v>17</x:v>
      </x:c>
      <x:c r="L755" s="16" t="n">
        <x:v>24</x:v>
      </x:c>
      <x:c r="M755" s="16" t="n">
        <x:v>21.6</x:v>
      </x:c>
      <x:c r="N755" s="16" t="n">
        <x:v>10.44</x:v>
      </x:c>
      <x:c r="O755" s="16" t="n">
        <x:f>K755*M755</x:f>
        <x:v>367.20000000000005</x:v>
      </x:c>
      <x:c r="P755" s="16" t="n">
        <x:f>K755*N755</x:f>
        <x:v>177.48</x:v>
      </x:c>
      <x:c r="Q755" s="16" t="n">
        <x:f>O755-P755</x:f>
        <x:v>189.72000000000006</x:v>
      </x:c>
      <x:c r="R755" s="2" t="n">
        <x:v>99</x:v>
      </x:c>
      <x:c r="S755" s="2" t="n">
        <x:v>0</x:v>
      </x:c>
      <x:c r="T755" s="2" t="n">
        <x:f>R755+S755+J755-I755</x:f>
        <x:v>82</x:v>
      </x:c>
      <x:c r="U755" s="2" t="n">
        <x:v>0</x:v>
      </x:c>
      <x:c r="V755" s="2" t="n">
        <x:v>2</x:v>
      </x:c>
      <x:c r="W755" s="2" t="n">
        <x:v>13</x:v>
      </x:c>
      <x:c r="X755" s="14" t="b">
        <x:v>1</x:v>
      </x:c>
      <x:c r="Y755" s="14" t="b">
        <x:v>0</x:v>
      </x:c>
      <x:c r="Z755" s="2" t="n">
        <x:f>ABS(T755-AA755)</x:f>
        <x:v>0</x:v>
      </x:c>
      <x:c r="AA755" s="2" t="n">
        <x:v>82</x:v>
      </x:c>
      <x:c r="AB755" s="2" t="n">
        <x:f>ABS(K755-W755)</x:f>
        <x:v>4</x:v>
      </x:c>
      <x:c r="AC755" s="2" t="n">
        <x:f>COUNTIF($A$2:$A$1921,A755)-1</x:f>
        <x:v>0</x:v>
      </x:c>
      <x:c r="AD755" s="2" t="n">
        <x:f>IF(AND(D755=D754,H755=H754,C755=C754+1),ABS(R755-T754),0)</x:f>
        <x:v>0</x:v>
      </x:c>
    </x:row>
    <x:row r="756" ht="23" customHeight="1">
      <x:c r="A756" s="2" t="str">
        <x:v>DEMO-204-1-15</x:v>
      </x:c>
      <x:c r="B756" s="15" t="d">
        <x:v>2026-08-10T00:00:00.000Z</x:v>
      </x:c>
      <x:c r="C756" s="2" t="n">
        <x:v>15</x:v>
      </x:c>
      <x:c r="D756" s="2" t="str">
        <x:v>DEMO-204</x:v>
      </x:c>
      <x:c r="E756" s="2" t="str">
        <x:v>Wish Jar</x:v>
      </x:c>
      <x:c r="F756" s="2" t="str">
        <x:v>Gifting</x:v>
      </x:c>
      <x:c r="G756" s="2" t="str">
        <x:v>Stores</x:v>
      </x:c>
      <x:c r="H756" s="2" t="str">
        <x:v>Riverside</x:v>
      </x:c>
      <x:c r="I756" s="2" t="n">
        <x:v>8</x:v>
      </x:c>
      <x:c r="J756" s="2" t="n">
        <x:v>0</x:v>
      </x:c>
      <x:c r="K756" s="2" t="n">
        <x:f>I756-J756</x:f>
        <x:v>8</x:v>
      </x:c>
      <x:c r="L756" s="16" t="n">
        <x:v>24</x:v>
      </x:c>
      <x:c r="M756" s="16" t="n">
        <x:v>24</x:v>
      </x:c>
      <x:c r="N756" s="16" t="n">
        <x:v>10.44</x:v>
      </x:c>
      <x:c r="O756" s="16" t="n">
        <x:f>K756*M756</x:f>
        <x:v>192</x:v>
      </x:c>
      <x:c r="P756" s="16" t="n">
        <x:f>K756*N756</x:f>
        <x:v>83.52</x:v>
      </x:c>
      <x:c r="Q756" s="16" t="n">
        <x:f>O756-P756</x:f>
        <x:v>108.48</x:v>
      </x:c>
      <x:c r="R756" s="2" t="n">
        <x:v>82</x:v>
      </x:c>
      <x:c r="S756" s="2" t="n">
        <x:v>0</x:v>
      </x:c>
      <x:c r="T756" s="2" t="n">
        <x:f>R756+S756+J756-I756</x:f>
        <x:v>74</x:v>
      </x:c>
      <x:c r="U756" s="2" t="n">
        <x:v>0</x:v>
      </x:c>
      <x:c r="V756" s="2" t="n">
        <x:v>2</x:v>
      </x:c>
      <x:c r="W756" s="2" t="n">
        <x:v>16</x:v>
      </x:c>
      <x:c r="X756" s="14" t="b">
        <x:v>0</x:v>
      </x:c>
      <x:c r="Y756" s="14" t="b">
        <x:v>0</x:v>
      </x:c>
      <x:c r="Z756" s="2" t="n">
        <x:f>ABS(T756-AA756)</x:f>
        <x:v>0</x:v>
      </x:c>
      <x:c r="AA756" s="2" t="n">
        <x:v>74</x:v>
      </x:c>
      <x:c r="AB756" s="2" t="n">
        <x:f>ABS(K756-W756)</x:f>
        <x:v>8</x:v>
      </x:c>
      <x:c r="AC756" s="2" t="n">
        <x:f>COUNTIF($A$2:$A$1921,A756)-1</x:f>
        <x:v>0</x:v>
      </x:c>
      <x:c r="AD756" s="2" t="n">
        <x:f>IF(AND(D756=D755,H756=H755,C756=C755+1),ABS(R756-T755),0)</x:f>
        <x:v>0</x:v>
      </x:c>
    </x:row>
    <x:row r="757" ht="23" customHeight="1">
      <x:c r="A757" s="2" t="str">
        <x:v>DEMO-204-1-16</x:v>
      </x:c>
      <x:c r="B757" s="15" t="d">
        <x:v>2026-08-17T00:00:00.000Z</x:v>
      </x:c>
      <x:c r="C757" s="2" t="n">
        <x:v>16</x:v>
      </x:c>
      <x:c r="D757" s="2" t="str">
        <x:v>DEMO-204</x:v>
      </x:c>
      <x:c r="E757" s="2" t="str">
        <x:v>Wish Jar</x:v>
      </x:c>
      <x:c r="F757" s="2" t="str">
        <x:v>Gifting</x:v>
      </x:c>
      <x:c r="G757" s="2" t="str">
        <x:v>Stores</x:v>
      </x:c>
      <x:c r="H757" s="2" t="str">
        <x:v>Riverside</x:v>
      </x:c>
      <x:c r="I757" s="2" t="n">
        <x:v>9</x:v>
      </x:c>
      <x:c r="J757" s="2" t="n">
        <x:v>0</x:v>
      </x:c>
      <x:c r="K757" s="2" t="n">
        <x:f>I757-J757</x:f>
        <x:v>9</x:v>
      </x:c>
      <x:c r="L757" s="16" t="n">
        <x:v>24</x:v>
      </x:c>
      <x:c r="M757" s="16" t="n">
        <x:v>24</x:v>
      </x:c>
      <x:c r="N757" s="16" t="n">
        <x:v>10.44</x:v>
      </x:c>
      <x:c r="O757" s="16" t="n">
        <x:f>K757*M757</x:f>
        <x:v>216</x:v>
      </x:c>
      <x:c r="P757" s="16" t="n">
        <x:f>K757*N757</x:f>
        <x:v>93.96</x:v>
      </x:c>
      <x:c r="Q757" s="16" t="n">
        <x:f>O757-P757</x:f>
        <x:v>122.04</x:v>
      </x:c>
      <x:c r="R757" s="2" t="n">
        <x:v>74</x:v>
      </x:c>
      <x:c r="S757" s="2" t="n">
        <x:v>0</x:v>
      </x:c>
      <x:c r="T757" s="2" t="n">
        <x:f>R757+S757+J757-I757</x:f>
        <x:v>65</x:v>
      </x:c>
      <x:c r="U757" s="2" t="n">
        <x:v>0</x:v>
      </x:c>
      <x:c r="V757" s="2" t="n">
        <x:v>2</x:v>
      </x:c>
      <x:c r="W757" s="2" t="n">
        <x:v>16</x:v>
      </x:c>
      <x:c r="X757" s="14" t="b">
        <x:v>0</x:v>
      </x:c>
      <x:c r="Y757" s="14" t="b">
        <x:v>0</x:v>
      </x:c>
      <x:c r="Z757" s="2" t="n">
        <x:f>ABS(T757-AA757)</x:f>
        <x:v>0</x:v>
      </x:c>
      <x:c r="AA757" s="2" t="n">
        <x:v>65</x:v>
      </x:c>
      <x:c r="AB757" s="2" t="n">
        <x:f>ABS(K757-W757)</x:f>
        <x:v>7</x:v>
      </x:c>
      <x:c r="AC757" s="2" t="n">
        <x:f>COUNTIF($A$2:$A$1921,A757)-1</x:f>
        <x:v>0</x:v>
      </x:c>
      <x:c r="AD757" s="2" t="n">
        <x:f>IF(AND(D757=D756,H757=H756,C757=C756+1),ABS(R757-T756),0)</x:f>
        <x:v>0</x:v>
      </x:c>
    </x:row>
    <x:row r="758" ht="23" customHeight="1">
      <x:c r="A758" s="2" t="str">
        <x:v>DEMO-204-1-17</x:v>
      </x:c>
      <x:c r="B758" s="15" t="d">
        <x:v>2026-08-24T00:00:00.000Z</x:v>
      </x:c>
      <x:c r="C758" s="2" t="n">
        <x:v>17</x:v>
      </x:c>
      <x:c r="D758" s="2" t="str">
        <x:v>DEMO-204</x:v>
      </x:c>
      <x:c r="E758" s="2" t="str">
        <x:v>Wish Jar</x:v>
      </x:c>
      <x:c r="F758" s="2" t="str">
        <x:v>Gifting</x:v>
      </x:c>
      <x:c r="G758" s="2" t="str">
        <x:v>Stores</x:v>
      </x:c>
      <x:c r="H758" s="2" t="str">
        <x:v>Riverside</x:v>
      </x:c>
      <x:c r="I758" s="2" t="n">
        <x:v>8</x:v>
      </x:c>
      <x:c r="J758" s="2" t="n">
        <x:v>0</x:v>
      </x:c>
      <x:c r="K758" s="2" t="n">
        <x:f>I758-J758</x:f>
        <x:v>8</x:v>
      </x:c>
      <x:c r="L758" s="16" t="n">
        <x:v>24</x:v>
      </x:c>
      <x:c r="M758" s="16" t="n">
        <x:v>24</x:v>
      </x:c>
      <x:c r="N758" s="16" t="n">
        <x:v>10.44</x:v>
      </x:c>
      <x:c r="O758" s="16" t="n">
        <x:f>K758*M758</x:f>
        <x:v>192</x:v>
      </x:c>
      <x:c r="P758" s="16" t="n">
        <x:f>K758*N758</x:f>
        <x:v>83.52</x:v>
      </x:c>
      <x:c r="Q758" s="16" t="n">
        <x:f>O758-P758</x:f>
        <x:v>108.48</x:v>
      </x:c>
      <x:c r="R758" s="2" t="n">
        <x:v>65</x:v>
      </x:c>
      <x:c r="S758" s="2" t="n">
        <x:v>34</x:v>
      </x:c>
      <x:c r="T758" s="2" t="n">
        <x:f>R758+S758+J758-I758</x:f>
        <x:v>91</x:v>
      </x:c>
      <x:c r="U758" s="2" t="n">
        <x:v>0</x:v>
      </x:c>
      <x:c r="V758" s="2" t="n">
        <x:v>2</x:v>
      </x:c>
      <x:c r="W758" s="2" t="n">
        <x:v>13</x:v>
      </x:c>
      <x:c r="X758" s="14" t="b">
        <x:v>0</x:v>
      </x:c>
      <x:c r="Y758" s="14" t="b">
        <x:v>0</x:v>
      </x:c>
      <x:c r="Z758" s="2" t="n">
        <x:f>ABS(T758-AA758)</x:f>
        <x:v>0</x:v>
      </x:c>
      <x:c r="AA758" s="2" t="n">
        <x:v>91</x:v>
      </x:c>
      <x:c r="AB758" s="2" t="n">
        <x:f>ABS(K758-W758)</x:f>
        <x:v>5</x:v>
      </x:c>
      <x:c r="AC758" s="2" t="n">
        <x:f>COUNTIF($A$2:$A$1921,A758)-1</x:f>
        <x:v>0</x:v>
      </x:c>
      <x:c r="AD758" s="2" t="n">
        <x:f>IF(AND(D758=D757,H758=H757,C758=C757+1),ABS(R758-T757),0)</x:f>
        <x:v>0</x:v>
      </x:c>
    </x:row>
    <x:row r="759" ht="23" customHeight="1">
      <x:c r="A759" s="2" t="str">
        <x:v>DEMO-204-1-18</x:v>
      </x:c>
      <x:c r="B759" s="15" t="d">
        <x:v>2026-08-31T00:00:00.000Z</x:v>
      </x:c>
      <x:c r="C759" s="2" t="n">
        <x:v>18</x:v>
      </x:c>
      <x:c r="D759" s="2" t="str">
        <x:v>DEMO-204</x:v>
      </x:c>
      <x:c r="E759" s="2" t="str">
        <x:v>Wish Jar</x:v>
      </x:c>
      <x:c r="F759" s="2" t="str">
        <x:v>Gifting</x:v>
      </x:c>
      <x:c r="G759" s="2" t="str">
        <x:v>Stores</x:v>
      </x:c>
      <x:c r="H759" s="2" t="str">
        <x:v>Riverside</x:v>
      </x:c>
      <x:c r="I759" s="2" t="n">
        <x:v>8</x:v>
      </x:c>
      <x:c r="J759" s="2" t="n">
        <x:v>0</x:v>
      </x:c>
      <x:c r="K759" s="2" t="n">
        <x:f>I759-J759</x:f>
        <x:v>8</x:v>
      </x:c>
      <x:c r="L759" s="16" t="n">
        <x:v>24</x:v>
      </x:c>
      <x:c r="M759" s="16" t="n">
        <x:v>24</x:v>
      </x:c>
      <x:c r="N759" s="16" t="n">
        <x:v>10.44</x:v>
      </x:c>
      <x:c r="O759" s="16" t="n">
        <x:f>K759*M759</x:f>
        <x:v>192</x:v>
      </x:c>
      <x:c r="P759" s="16" t="n">
        <x:f>K759*N759</x:f>
        <x:v>83.52</x:v>
      </x:c>
      <x:c r="Q759" s="16" t="n">
        <x:f>O759-P759</x:f>
        <x:v>108.48</x:v>
      </x:c>
      <x:c r="R759" s="2" t="n">
        <x:v>91</x:v>
      </x:c>
      <x:c r="S759" s="2" t="n">
        <x:v>0</x:v>
      </x:c>
      <x:c r="T759" s="2" t="n">
        <x:f>R759+S759+J759-I759</x:f>
        <x:v>83</x:v>
      </x:c>
      <x:c r="U759" s="2" t="n">
        <x:v>0</x:v>
      </x:c>
      <x:c r="V759" s="2" t="n">
        <x:v>2</x:v>
      </x:c>
      <x:c r="W759" s="2" t="n">
        <x:v>11</x:v>
      </x:c>
      <x:c r="X759" s="14" t="b">
        <x:v>0</x:v>
      </x:c>
      <x:c r="Y759" s="14" t="b">
        <x:v>0</x:v>
      </x:c>
      <x:c r="Z759" s="2" t="n">
        <x:f>ABS(T759-AA759)</x:f>
        <x:v>0</x:v>
      </x:c>
      <x:c r="AA759" s="2" t="n">
        <x:v>83</x:v>
      </x:c>
      <x:c r="AB759" s="2" t="n">
        <x:f>ABS(K759-W759)</x:f>
        <x:v>3</x:v>
      </x:c>
      <x:c r="AC759" s="2" t="n">
        <x:f>COUNTIF($A$2:$A$1921,A759)-1</x:f>
        <x:v>0</x:v>
      </x:c>
      <x:c r="AD759" s="2" t="n">
        <x:f>IF(AND(D759=D758,H759=H758,C759=C758+1),ABS(R759-T758),0)</x:f>
        <x:v>0</x:v>
      </x:c>
    </x:row>
    <x:row r="760" ht="23" customHeight="1">
      <x:c r="A760" s="2" t="str">
        <x:v>DEMO-204-1-19</x:v>
      </x:c>
      <x:c r="B760" s="15" t="d">
        <x:v>2026-09-07T00:00:00.000Z</x:v>
      </x:c>
      <x:c r="C760" s="2" t="n">
        <x:v>19</x:v>
      </x:c>
      <x:c r="D760" s="2" t="str">
        <x:v>DEMO-204</x:v>
      </x:c>
      <x:c r="E760" s="2" t="str">
        <x:v>Wish Jar</x:v>
      </x:c>
      <x:c r="F760" s="2" t="str">
        <x:v>Gifting</x:v>
      </x:c>
      <x:c r="G760" s="2" t="str">
        <x:v>Stores</x:v>
      </x:c>
      <x:c r="H760" s="2" t="str">
        <x:v>Riverside</x:v>
      </x:c>
      <x:c r="I760" s="2" t="n">
        <x:v>8</x:v>
      </x:c>
      <x:c r="J760" s="2" t="n">
        <x:v>0</x:v>
      </x:c>
      <x:c r="K760" s="2" t="n">
        <x:f>I760-J760</x:f>
        <x:v>8</x:v>
      </x:c>
      <x:c r="L760" s="16" t="n">
        <x:v>24</x:v>
      </x:c>
      <x:c r="M760" s="16" t="n">
        <x:v>24</x:v>
      </x:c>
      <x:c r="N760" s="16" t="n">
        <x:v>10.44</x:v>
      </x:c>
      <x:c r="O760" s="16" t="n">
        <x:f>K760*M760</x:f>
        <x:v>192</x:v>
      </x:c>
      <x:c r="P760" s="16" t="n">
        <x:f>K760*N760</x:f>
        <x:v>83.52</x:v>
      </x:c>
      <x:c r="Q760" s="16" t="n">
        <x:f>O760-P760</x:f>
        <x:v>108.48</x:v>
      </x:c>
      <x:c r="R760" s="2" t="n">
        <x:v>83</x:v>
      </x:c>
      <x:c r="S760" s="2" t="n">
        <x:v>0</x:v>
      </x:c>
      <x:c r="T760" s="2" t="n">
        <x:f>R760+S760+J760-I760</x:f>
        <x:v>75</x:v>
      </x:c>
      <x:c r="U760" s="2" t="n">
        <x:v>0</x:v>
      </x:c>
      <x:c r="V760" s="2" t="n">
        <x:v>2</x:v>
      </x:c>
      <x:c r="W760" s="2" t="n">
        <x:v>8</x:v>
      </x:c>
      <x:c r="X760" s="14" t="b">
        <x:v>0</x:v>
      </x:c>
      <x:c r="Y760" s="14" t="b">
        <x:v>0</x:v>
      </x:c>
      <x:c r="Z760" s="2" t="n">
        <x:f>ABS(T760-AA760)</x:f>
        <x:v>0</x:v>
      </x:c>
      <x:c r="AA760" s="2" t="n">
        <x:v>75</x:v>
      </x:c>
      <x:c r="AB760" s="2" t="n">
        <x:f>ABS(K760-W760)</x:f>
        <x:v>0</x:v>
      </x:c>
      <x:c r="AC760" s="2" t="n">
        <x:f>COUNTIF($A$2:$A$1921,A760)-1</x:f>
        <x:v>0</x:v>
      </x:c>
      <x:c r="AD760" s="2" t="n">
        <x:f>IF(AND(D760=D759,H760=H759,C760=C759+1),ABS(R760-T759),0)</x:f>
        <x:v>0</x:v>
      </x:c>
    </x:row>
    <x:row r="761" ht="23" customHeight="1">
      <x:c r="A761" s="2" t="str">
        <x:v>DEMO-204-1-20</x:v>
      </x:c>
      <x:c r="B761" s="15" t="d">
        <x:v>2026-09-14T00:00:00.000Z</x:v>
      </x:c>
      <x:c r="C761" s="2" t="n">
        <x:v>20</x:v>
      </x:c>
      <x:c r="D761" s="2" t="str">
        <x:v>DEMO-204</x:v>
      </x:c>
      <x:c r="E761" s="2" t="str">
        <x:v>Wish Jar</x:v>
      </x:c>
      <x:c r="F761" s="2" t="str">
        <x:v>Gifting</x:v>
      </x:c>
      <x:c r="G761" s="2" t="str">
        <x:v>Stores</x:v>
      </x:c>
      <x:c r="H761" s="2" t="str">
        <x:v>Riverside</x:v>
      </x:c>
      <x:c r="I761" s="2" t="n">
        <x:v>9</x:v>
      </x:c>
      <x:c r="J761" s="2" t="n">
        <x:v>0</x:v>
      </x:c>
      <x:c r="K761" s="2" t="n">
        <x:f>I761-J761</x:f>
        <x:v>9</x:v>
      </x:c>
      <x:c r="L761" s="16" t="n">
        <x:v>24</x:v>
      </x:c>
      <x:c r="M761" s="16" t="n">
        <x:v>24</x:v>
      </x:c>
      <x:c r="N761" s="16" t="n">
        <x:v>10.44</x:v>
      </x:c>
      <x:c r="O761" s="16" t="n">
        <x:f>K761*M761</x:f>
        <x:v>216</x:v>
      </x:c>
      <x:c r="P761" s="16" t="n">
        <x:f>K761*N761</x:f>
        <x:v>93.96</x:v>
      </x:c>
      <x:c r="Q761" s="16" t="n">
        <x:f>O761-P761</x:f>
        <x:v>122.04</x:v>
      </x:c>
      <x:c r="R761" s="2" t="n">
        <x:v>75</x:v>
      </x:c>
      <x:c r="S761" s="2" t="n">
        <x:v>0</x:v>
      </x:c>
      <x:c r="T761" s="2" t="n">
        <x:f>R761+S761+J761-I761</x:f>
        <x:v>66</x:v>
      </x:c>
      <x:c r="U761" s="2" t="n">
        <x:v>18</x:v>
      </x:c>
      <x:c r="V761" s="2" t="n">
        <x:v>2</x:v>
      </x:c>
      <x:c r="W761" s="2" t="n">
        <x:v>8</x:v>
      </x:c>
      <x:c r="X761" s="14" t="b">
        <x:v>0</x:v>
      </x:c>
      <x:c r="Y761" s="14" t="b">
        <x:v>0</x:v>
      </x:c>
      <x:c r="Z761" s="2" t="n">
        <x:f>ABS(T761-AA761)</x:f>
        <x:v>0</x:v>
      </x:c>
      <x:c r="AA761" s="2" t="n">
        <x:v>66</x:v>
      </x:c>
      <x:c r="AB761" s="2" t="n">
        <x:f>ABS(K761-W761)</x:f>
        <x:v>1</x:v>
      </x:c>
      <x:c r="AC761" s="2" t="n">
        <x:f>COUNTIF($A$2:$A$1921,A761)-1</x:f>
        <x:v>0</x:v>
      </x:c>
      <x:c r="AD761" s="2" t="n">
        <x:f>IF(AND(D761=D760,H761=H760,C761=C760+1),ABS(R761-T760),0)</x:f>
        <x:v>0</x:v>
      </x:c>
    </x:row>
    <x:row r="762" ht="23" customHeight="1">
      <x:c r="A762" s="2" t="str">
        <x:v>DEMO-204-2-1</x:v>
      </x:c>
      <x:c r="B762" s="15" t="d">
        <x:v>2026-05-04T00:00:00.000Z</x:v>
      </x:c>
      <x:c r="C762" s="2" t="n">
        <x:v>1</x:v>
      </x:c>
      <x:c r="D762" s="2" t="str">
        <x:v>DEMO-204</x:v>
      </x:c>
      <x:c r="E762" s="2" t="str">
        <x:v>Wish Jar</x:v>
      </x:c>
      <x:c r="F762" s="2" t="str">
        <x:v>Gifting</x:v>
      </x:c>
      <x:c r="G762" s="2" t="str">
        <x:v>Stores</x:v>
      </x:c>
      <x:c r="H762" s="2" t="str">
        <x:v>Central Market</x:v>
      </x:c>
      <x:c r="I762" s="2" t="n">
        <x:v>8</x:v>
      </x:c>
      <x:c r="J762" s="2" t="n">
        <x:v>1</x:v>
      </x:c>
      <x:c r="K762" s="2" t="n">
        <x:f>I762-J762</x:f>
        <x:v>7</x:v>
      </x:c>
      <x:c r="L762" s="16" t="n">
        <x:v>24</x:v>
      </x:c>
      <x:c r="M762" s="16" t="n">
        <x:v>24</x:v>
      </x:c>
      <x:c r="N762" s="16" t="n">
        <x:v>10.44</x:v>
      </x:c>
      <x:c r="O762" s="16" t="n">
        <x:f>K762*M762</x:f>
        <x:v>168</x:v>
      </x:c>
      <x:c r="P762" s="16" t="n">
        <x:f>K762*N762</x:f>
        <x:v>73.08</x:v>
      </x:c>
      <x:c r="Q762" s="16" t="n">
        <x:f>O762-P762</x:f>
        <x:v>94.92</x:v>
      </x:c>
      <x:c r="R762" s="2" t="n">
        <x:v>90</x:v>
      </x:c>
      <x:c r="S762" s="2" t="n">
        <x:v>34</x:v>
      </x:c>
      <x:c r="T762" s="2" t="n">
        <x:f>R762+S762+J762-I762</x:f>
        <x:v>117</x:v>
      </x:c>
      <x:c r="U762" s="2" t="n">
        <x:v>0</x:v>
      </x:c>
      <x:c r="V762" s="2" t="n">
        <x:v>2</x:v>
      </x:c>
      <x:c r="W762" s="2" t="n">
        <x:v>8</x:v>
      </x:c>
      <x:c r="X762" s="14" t="b">
        <x:v>0</x:v>
      </x:c>
      <x:c r="Y762" s="14" t="b">
        <x:v>0</x:v>
      </x:c>
      <x:c r="Z762" s="2" t="n">
        <x:f>ABS(T762-AA762)</x:f>
        <x:v>0</x:v>
      </x:c>
      <x:c r="AA762" s="2" t="n">
        <x:v>117</x:v>
      </x:c>
      <x:c r="AB762" s="2" t="n">
        <x:f>ABS(K762-W762)</x:f>
        <x:v>1</x:v>
      </x:c>
      <x:c r="AC762" s="2" t="n">
        <x:f>COUNTIF($A$2:$A$1921,A762)-1</x:f>
        <x:v>0</x:v>
      </x:c>
      <x:c r="AD762" s="2" t="n">
        <x:f>IF(AND(D762=D761,H762=H761,C762=C761+1),ABS(R762-T761),0)</x:f>
        <x:v>0</x:v>
      </x:c>
    </x:row>
    <x:row r="763" ht="23" customHeight="1">
      <x:c r="A763" s="2" t="str">
        <x:v>DEMO-204-2-2</x:v>
      </x:c>
      <x:c r="B763" s="15" t="d">
        <x:v>2026-05-11T00:00:00.000Z</x:v>
      </x:c>
      <x:c r="C763" s="2" t="n">
        <x:v>2</x:v>
      </x:c>
      <x:c r="D763" s="2" t="str">
        <x:v>DEMO-204</x:v>
      </x:c>
      <x:c r="E763" s="2" t="str">
        <x:v>Wish Jar</x:v>
      </x:c>
      <x:c r="F763" s="2" t="str">
        <x:v>Gifting</x:v>
      </x:c>
      <x:c r="G763" s="2" t="str">
        <x:v>Stores</x:v>
      </x:c>
      <x:c r="H763" s="2" t="str">
        <x:v>Central Market</x:v>
      </x:c>
      <x:c r="I763" s="2" t="n">
        <x:v>8</x:v>
      </x:c>
      <x:c r="J763" s="2" t="n">
        <x:v>0</x:v>
      </x:c>
      <x:c r="K763" s="2" t="n">
        <x:f>I763-J763</x:f>
        <x:v>8</x:v>
      </x:c>
      <x:c r="L763" s="16" t="n">
        <x:v>24</x:v>
      </x:c>
      <x:c r="M763" s="16" t="n">
        <x:v>24</x:v>
      </x:c>
      <x:c r="N763" s="16" t="n">
        <x:v>10.44</x:v>
      </x:c>
      <x:c r="O763" s="16" t="n">
        <x:f>K763*M763</x:f>
        <x:v>192</x:v>
      </x:c>
      <x:c r="P763" s="16" t="n">
        <x:f>K763*N763</x:f>
        <x:v>83.52</x:v>
      </x:c>
      <x:c r="Q763" s="16" t="n">
        <x:f>O763-P763</x:f>
        <x:v>108.48</x:v>
      </x:c>
      <x:c r="R763" s="2" t="n">
        <x:v>117</x:v>
      </x:c>
      <x:c r="S763" s="2" t="n">
        <x:v>0</x:v>
      </x:c>
      <x:c r="T763" s="2" t="n">
        <x:f>R763+S763+J763-I763</x:f>
        <x:v>109</x:v>
      </x:c>
      <x:c r="U763" s="2" t="n">
        <x:v>0</x:v>
      </x:c>
      <x:c r="V763" s="2" t="n">
        <x:v>2</x:v>
      </x:c>
      <x:c r="W763" s="2" t="n">
        <x:v>7</x:v>
      </x:c>
      <x:c r="X763" s="14" t="b">
        <x:v>0</x:v>
      </x:c>
      <x:c r="Y763" s="14" t="b">
        <x:v>0</x:v>
      </x:c>
      <x:c r="Z763" s="2" t="n">
        <x:f>ABS(T763-AA763)</x:f>
        <x:v>0</x:v>
      </x:c>
      <x:c r="AA763" s="2" t="n">
        <x:v>109</x:v>
      </x:c>
      <x:c r="AB763" s="2" t="n">
        <x:f>ABS(K763-W763)</x:f>
        <x:v>1</x:v>
      </x:c>
      <x:c r="AC763" s="2" t="n">
        <x:f>COUNTIF($A$2:$A$1921,A763)-1</x:f>
        <x:v>0</x:v>
      </x:c>
      <x:c r="AD763" s="2" t="n">
        <x:f>IF(AND(D763=D762,H763=H762,C763=C762+1),ABS(R763-T762),0)</x:f>
        <x:v>0</x:v>
      </x:c>
    </x:row>
    <x:row r="764" ht="23" customHeight="1">
      <x:c r="A764" s="2" t="str">
        <x:v>DEMO-204-2-3</x:v>
      </x:c>
      <x:c r="B764" s="15" t="d">
        <x:v>2026-05-18T00:00:00.000Z</x:v>
      </x:c>
      <x:c r="C764" s="2" t="n">
        <x:v>3</x:v>
      </x:c>
      <x:c r="D764" s="2" t="str">
        <x:v>DEMO-204</x:v>
      </x:c>
      <x:c r="E764" s="2" t="str">
        <x:v>Wish Jar</x:v>
      </x:c>
      <x:c r="F764" s="2" t="str">
        <x:v>Gifting</x:v>
      </x:c>
      <x:c r="G764" s="2" t="str">
        <x:v>Stores</x:v>
      </x:c>
      <x:c r="H764" s="2" t="str">
        <x:v>Central Market</x:v>
      </x:c>
      <x:c r="I764" s="2" t="n">
        <x:v>9</x:v>
      </x:c>
      <x:c r="J764" s="2" t="n">
        <x:v>1</x:v>
      </x:c>
      <x:c r="K764" s="2" t="n">
        <x:f>I764-J764</x:f>
        <x:v>8</x:v>
      </x:c>
      <x:c r="L764" s="16" t="n">
        <x:v>24</x:v>
      </x:c>
      <x:c r="M764" s="16" t="n">
        <x:v>24</x:v>
      </x:c>
      <x:c r="N764" s="16" t="n">
        <x:v>10.44</x:v>
      </x:c>
      <x:c r="O764" s="16" t="n">
        <x:f>K764*M764</x:f>
        <x:v>192</x:v>
      </x:c>
      <x:c r="P764" s="16" t="n">
        <x:f>K764*N764</x:f>
        <x:v>83.52</x:v>
      </x:c>
      <x:c r="Q764" s="16" t="n">
        <x:f>O764-P764</x:f>
        <x:v>108.48</x:v>
      </x:c>
      <x:c r="R764" s="2" t="n">
        <x:v>109</x:v>
      </x:c>
      <x:c r="S764" s="2" t="n">
        <x:v>0</x:v>
      </x:c>
      <x:c r="T764" s="2" t="n">
        <x:f>R764+S764+J764-I764</x:f>
        <x:v>101</x:v>
      </x:c>
      <x:c r="U764" s="2" t="n">
        <x:v>0</x:v>
      </x:c>
      <x:c r="V764" s="2" t="n">
        <x:v>2</x:v>
      </x:c>
      <x:c r="W764" s="2" t="n">
        <x:v>8</x:v>
      </x:c>
      <x:c r="X764" s="14" t="b">
        <x:v>0</x:v>
      </x:c>
      <x:c r="Y764" s="14" t="b">
        <x:v>0</x:v>
      </x:c>
      <x:c r="Z764" s="2" t="n">
        <x:f>ABS(T764-AA764)</x:f>
        <x:v>0</x:v>
      </x:c>
      <x:c r="AA764" s="2" t="n">
        <x:v>101</x:v>
      </x:c>
      <x:c r="AB764" s="2" t="n">
        <x:f>ABS(K764-W764)</x:f>
        <x:v>0</x:v>
      </x:c>
      <x:c r="AC764" s="2" t="n">
        <x:f>COUNTIF($A$2:$A$1921,A764)-1</x:f>
        <x:v>0</x:v>
      </x:c>
      <x:c r="AD764" s="2" t="n">
        <x:f>IF(AND(D764=D763,H764=H763,C764=C763+1),ABS(R764-T763),0)</x:f>
        <x:v>0</x:v>
      </x:c>
    </x:row>
    <x:row r="765" ht="23" customHeight="1">
      <x:c r="A765" s="2" t="str">
        <x:v>DEMO-204-2-4</x:v>
      </x:c>
      <x:c r="B765" s="15" t="d">
        <x:v>2026-05-25T00:00:00.000Z</x:v>
      </x:c>
      <x:c r="C765" s="2" t="n">
        <x:v>4</x:v>
      </x:c>
      <x:c r="D765" s="2" t="str">
        <x:v>DEMO-204</x:v>
      </x:c>
      <x:c r="E765" s="2" t="str">
        <x:v>Wish Jar</x:v>
      </x:c>
      <x:c r="F765" s="2" t="str">
        <x:v>Gifting</x:v>
      </x:c>
      <x:c r="G765" s="2" t="str">
        <x:v>Stores</x:v>
      </x:c>
      <x:c r="H765" s="2" t="str">
        <x:v>Central Market</x:v>
      </x:c>
      <x:c r="I765" s="2" t="n">
        <x:v>9</x:v>
      </x:c>
      <x:c r="J765" s="2" t="n">
        <x:v>0</x:v>
      </x:c>
      <x:c r="K765" s="2" t="n">
        <x:f>I765-J765</x:f>
        <x:v>9</x:v>
      </x:c>
      <x:c r="L765" s="16" t="n">
        <x:v>24</x:v>
      </x:c>
      <x:c r="M765" s="16" t="n">
        <x:v>24</x:v>
      </x:c>
      <x:c r="N765" s="16" t="n">
        <x:v>10.44</x:v>
      </x:c>
      <x:c r="O765" s="16" t="n">
        <x:f>K765*M765</x:f>
        <x:v>216</x:v>
      </x:c>
      <x:c r="P765" s="16" t="n">
        <x:f>K765*N765</x:f>
        <x:v>93.96</x:v>
      </x:c>
      <x:c r="Q765" s="16" t="n">
        <x:f>O765-P765</x:f>
        <x:v>122.04</x:v>
      </x:c>
      <x:c r="R765" s="2" t="n">
        <x:v>101</x:v>
      </x:c>
      <x:c r="S765" s="2" t="n">
        <x:v>0</x:v>
      </x:c>
      <x:c r="T765" s="2" t="n">
        <x:f>R765+S765+J765-I765</x:f>
        <x:v>92</x:v>
      </x:c>
      <x:c r="U765" s="2" t="n">
        <x:v>0</x:v>
      </x:c>
      <x:c r="V765" s="2" t="n">
        <x:v>2</x:v>
      </x:c>
      <x:c r="W765" s="2" t="n">
        <x:v>8</x:v>
      </x:c>
      <x:c r="X765" s="14" t="b">
        <x:v>0</x:v>
      </x:c>
      <x:c r="Y765" s="14" t="b">
        <x:v>0</x:v>
      </x:c>
      <x:c r="Z765" s="2" t="n">
        <x:f>ABS(T765-AA765)</x:f>
        <x:v>0</x:v>
      </x:c>
      <x:c r="AA765" s="2" t="n">
        <x:v>92</x:v>
      </x:c>
      <x:c r="AB765" s="2" t="n">
        <x:f>ABS(K765-W765)</x:f>
        <x:v>1</x:v>
      </x:c>
      <x:c r="AC765" s="2" t="n">
        <x:f>COUNTIF($A$2:$A$1921,A765)-1</x:f>
        <x:v>0</x:v>
      </x:c>
      <x:c r="AD765" s="2" t="n">
        <x:f>IF(AND(D765=D764,H765=H764,C765=C764+1),ABS(R765-T764),0)</x:f>
        <x:v>0</x:v>
      </x:c>
    </x:row>
    <x:row r="766" ht="23" customHeight="1">
      <x:c r="A766" s="2" t="str">
        <x:v>DEMO-204-2-5</x:v>
      </x:c>
      <x:c r="B766" s="15" t="d">
        <x:v>2026-06-01T00:00:00.000Z</x:v>
      </x:c>
      <x:c r="C766" s="2" t="n">
        <x:v>5</x:v>
      </x:c>
      <x:c r="D766" s="2" t="str">
        <x:v>DEMO-204</x:v>
      </x:c>
      <x:c r="E766" s="2" t="str">
        <x:v>Wish Jar</x:v>
      </x:c>
      <x:c r="F766" s="2" t="str">
        <x:v>Gifting</x:v>
      </x:c>
      <x:c r="G766" s="2" t="str">
        <x:v>Stores</x:v>
      </x:c>
      <x:c r="H766" s="2" t="str">
        <x:v>Central Market</x:v>
      </x:c>
      <x:c r="I766" s="2" t="n">
        <x:v>7</x:v>
      </x:c>
      <x:c r="J766" s="2" t="n">
        <x:v>1</x:v>
      </x:c>
      <x:c r="K766" s="2" t="n">
        <x:f>I766-J766</x:f>
        <x:v>6</x:v>
      </x:c>
      <x:c r="L766" s="16" t="n">
        <x:v>24</x:v>
      </x:c>
      <x:c r="M766" s="16" t="n">
        <x:v>24</x:v>
      </x:c>
      <x:c r="N766" s="16" t="n">
        <x:v>10.44</x:v>
      </x:c>
      <x:c r="O766" s="16" t="n">
        <x:f>K766*M766</x:f>
        <x:v>144</x:v>
      </x:c>
      <x:c r="P766" s="16" t="n">
        <x:f>K766*N766</x:f>
        <x:v>62.64</x:v>
      </x:c>
      <x:c r="Q766" s="16" t="n">
        <x:f>O766-P766</x:f>
        <x:v>81.36</x:v>
      </x:c>
      <x:c r="R766" s="2" t="n">
        <x:v>92</x:v>
      </x:c>
      <x:c r="S766" s="2" t="n">
        <x:v>34</x:v>
      </x:c>
      <x:c r="T766" s="2" t="n">
        <x:f>R766+S766+J766-I766</x:f>
        <x:v>120</x:v>
      </x:c>
      <x:c r="U766" s="2" t="n">
        <x:v>0</x:v>
      </x:c>
      <x:c r="V766" s="2" t="n">
        <x:v>2</x:v>
      </x:c>
      <x:c r="W766" s="2" t="n">
        <x:v>8</x:v>
      </x:c>
      <x:c r="X766" s="14" t="b">
        <x:v>0</x:v>
      </x:c>
      <x:c r="Y766" s="14" t="b">
        <x:v>0</x:v>
      </x:c>
      <x:c r="Z766" s="2" t="n">
        <x:f>ABS(T766-AA766)</x:f>
        <x:v>0</x:v>
      </x:c>
      <x:c r="AA766" s="2" t="n">
        <x:v>120</x:v>
      </x:c>
      <x:c r="AB766" s="2" t="n">
        <x:f>ABS(K766-W766)</x:f>
        <x:v>2</x:v>
      </x:c>
      <x:c r="AC766" s="2" t="n">
        <x:f>COUNTIF($A$2:$A$1921,A766)-1</x:f>
        <x:v>0</x:v>
      </x:c>
      <x:c r="AD766" s="2" t="n">
        <x:f>IF(AND(D766=D765,H766=H765,C766=C765+1),ABS(R766-T765),0)</x:f>
        <x:v>0</x:v>
      </x:c>
    </x:row>
    <x:row r="767" ht="23" customHeight="1">
      <x:c r="A767" s="2" t="str">
        <x:v>DEMO-204-2-6</x:v>
      </x:c>
      <x:c r="B767" s="15" t="d">
        <x:v>2026-06-08T00:00:00.000Z</x:v>
      </x:c>
      <x:c r="C767" s="2" t="n">
        <x:v>6</x:v>
      </x:c>
      <x:c r="D767" s="2" t="str">
        <x:v>DEMO-204</x:v>
      </x:c>
      <x:c r="E767" s="2" t="str">
        <x:v>Wish Jar</x:v>
      </x:c>
      <x:c r="F767" s="2" t="str">
        <x:v>Gifting</x:v>
      </x:c>
      <x:c r="G767" s="2" t="str">
        <x:v>Stores</x:v>
      </x:c>
      <x:c r="H767" s="2" t="str">
        <x:v>Central Market</x:v>
      </x:c>
      <x:c r="I767" s="2" t="n">
        <x:v>9</x:v>
      </x:c>
      <x:c r="J767" s="2" t="n">
        <x:v>1</x:v>
      </x:c>
      <x:c r="K767" s="2" t="n">
        <x:f>I767-J767</x:f>
        <x:v>8</x:v>
      </x:c>
      <x:c r="L767" s="16" t="n">
        <x:v>24</x:v>
      </x:c>
      <x:c r="M767" s="16" t="n">
        <x:v>24</x:v>
      </x:c>
      <x:c r="N767" s="16" t="n">
        <x:v>10.44</x:v>
      </x:c>
      <x:c r="O767" s="16" t="n">
        <x:f>K767*M767</x:f>
        <x:v>192</x:v>
      </x:c>
      <x:c r="P767" s="16" t="n">
        <x:f>K767*N767</x:f>
        <x:v>83.52</x:v>
      </x:c>
      <x:c r="Q767" s="16" t="n">
        <x:f>O767-P767</x:f>
        <x:v>108.48</x:v>
      </x:c>
      <x:c r="R767" s="2" t="n">
        <x:v>120</x:v>
      </x:c>
      <x:c r="S767" s="2" t="n">
        <x:v>0</x:v>
      </x:c>
      <x:c r="T767" s="2" t="n">
        <x:f>R767+S767+J767-I767</x:f>
        <x:v>112</x:v>
      </x:c>
      <x:c r="U767" s="2" t="n">
        <x:v>0</x:v>
      </x:c>
      <x:c r="V767" s="2" t="n">
        <x:v>2</x:v>
      </x:c>
      <x:c r="W767" s="2" t="n">
        <x:v>8</x:v>
      </x:c>
      <x:c r="X767" s="14" t="b">
        <x:v>0</x:v>
      </x:c>
      <x:c r="Y767" s="14" t="b">
        <x:v>0</x:v>
      </x:c>
      <x:c r="Z767" s="2" t="n">
        <x:f>ABS(T767-AA767)</x:f>
        <x:v>0</x:v>
      </x:c>
      <x:c r="AA767" s="2" t="n">
        <x:v>112</x:v>
      </x:c>
      <x:c r="AB767" s="2" t="n">
        <x:f>ABS(K767-W767)</x:f>
        <x:v>0</x:v>
      </x:c>
      <x:c r="AC767" s="2" t="n">
        <x:f>COUNTIF($A$2:$A$1921,A767)-1</x:f>
        <x:v>0</x:v>
      </x:c>
      <x:c r="AD767" s="2" t="n">
        <x:f>IF(AND(D767=D766,H767=H766,C767=C766+1),ABS(R767-T766),0)</x:f>
        <x:v>0</x:v>
      </x:c>
    </x:row>
    <x:row r="768" ht="23" customHeight="1">
      <x:c r="A768" s="2" t="str">
        <x:v>DEMO-204-2-7</x:v>
      </x:c>
      <x:c r="B768" s="15" t="d">
        <x:v>2026-06-15T00:00:00.000Z</x:v>
      </x:c>
      <x:c r="C768" s="2" t="n">
        <x:v>7</x:v>
      </x:c>
      <x:c r="D768" s="2" t="str">
        <x:v>DEMO-204</x:v>
      </x:c>
      <x:c r="E768" s="2" t="str">
        <x:v>Wish Jar</x:v>
      </x:c>
      <x:c r="F768" s="2" t="str">
        <x:v>Gifting</x:v>
      </x:c>
      <x:c r="G768" s="2" t="str">
        <x:v>Stores</x:v>
      </x:c>
      <x:c r="H768" s="2" t="str">
        <x:v>Central Market</x:v>
      </x:c>
      <x:c r="I768" s="2" t="n">
        <x:v>9</x:v>
      </x:c>
      <x:c r="J768" s="2" t="n">
        <x:v>0</x:v>
      </x:c>
      <x:c r="K768" s="2" t="n">
        <x:f>I768-J768</x:f>
        <x:v>9</x:v>
      </x:c>
      <x:c r="L768" s="16" t="n">
        <x:v>24</x:v>
      </x:c>
      <x:c r="M768" s="16" t="n">
        <x:v>24</x:v>
      </x:c>
      <x:c r="N768" s="16" t="n">
        <x:v>10.44</x:v>
      </x:c>
      <x:c r="O768" s="16" t="n">
        <x:f>K768*M768</x:f>
        <x:v>216</x:v>
      </x:c>
      <x:c r="P768" s="16" t="n">
        <x:f>K768*N768</x:f>
        <x:v>93.96</x:v>
      </x:c>
      <x:c r="Q768" s="16" t="n">
        <x:f>O768-P768</x:f>
        <x:v>122.04</x:v>
      </x:c>
      <x:c r="R768" s="2" t="n">
        <x:v>112</x:v>
      </x:c>
      <x:c r="S768" s="2" t="n">
        <x:v>0</x:v>
      </x:c>
      <x:c r="T768" s="2" t="n">
        <x:f>R768+S768+J768-I768</x:f>
        <x:v>103</x:v>
      </x:c>
      <x:c r="U768" s="2" t="n">
        <x:v>0</x:v>
      </x:c>
      <x:c r="V768" s="2" t="n">
        <x:v>2</x:v>
      </x:c>
      <x:c r="W768" s="2" t="n">
        <x:v>8</x:v>
      </x:c>
      <x:c r="X768" s="14" t="b">
        <x:v>0</x:v>
      </x:c>
      <x:c r="Y768" s="14" t="b">
        <x:v>0</x:v>
      </x:c>
      <x:c r="Z768" s="2" t="n">
        <x:f>ABS(T768-AA768)</x:f>
        <x:v>0</x:v>
      </x:c>
      <x:c r="AA768" s="2" t="n">
        <x:v>103</x:v>
      </x:c>
      <x:c r="AB768" s="2" t="n">
        <x:f>ABS(K768-W768)</x:f>
        <x:v>1</x:v>
      </x:c>
      <x:c r="AC768" s="2" t="n">
        <x:f>COUNTIF($A$2:$A$1921,A768)-1</x:f>
        <x:v>0</x:v>
      </x:c>
      <x:c r="AD768" s="2" t="n">
        <x:f>IF(AND(D768=D767,H768=H767,C768=C767+1),ABS(R768-T767),0)</x:f>
        <x:v>0</x:v>
      </x:c>
    </x:row>
    <x:row r="769" ht="23" customHeight="1">
      <x:c r="A769" s="2" t="str">
        <x:v>DEMO-204-2-8</x:v>
      </x:c>
      <x:c r="B769" s="15" t="d">
        <x:v>2026-06-22T00:00:00.000Z</x:v>
      </x:c>
      <x:c r="C769" s="2" t="n">
        <x:v>8</x:v>
      </x:c>
      <x:c r="D769" s="2" t="str">
        <x:v>DEMO-204</x:v>
      </x:c>
      <x:c r="E769" s="2" t="str">
        <x:v>Wish Jar</x:v>
      </x:c>
      <x:c r="F769" s="2" t="str">
        <x:v>Gifting</x:v>
      </x:c>
      <x:c r="G769" s="2" t="str">
        <x:v>Stores</x:v>
      </x:c>
      <x:c r="H769" s="2" t="str">
        <x:v>Central Market</x:v>
      </x:c>
      <x:c r="I769" s="2" t="n">
        <x:v>8</x:v>
      </x:c>
      <x:c r="J769" s="2" t="n">
        <x:v>0</x:v>
      </x:c>
      <x:c r="K769" s="2" t="n">
        <x:f>I769-J769</x:f>
        <x:v>8</x:v>
      </x:c>
      <x:c r="L769" s="16" t="n">
        <x:v>24</x:v>
      </x:c>
      <x:c r="M769" s="16" t="n">
        <x:v>24</x:v>
      </x:c>
      <x:c r="N769" s="16" t="n">
        <x:v>10.44</x:v>
      </x:c>
      <x:c r="O769" s="16" t="n">
        <x:f>K769*M769</x:f>
        <x:v>192</x:v>
      </x:c>
      <x:c r="P769" s="16" t="n">
        <x:f>K769*N769</x:f>
        <x:v>83.52</x:v>
      </x:c>
      <x:c r="Q769" s="16" t="n">
        <x:f>O769-P769</x:f>
        <x:v>108.48</x:v>
      </x:c>
      <x:c r="R769" s="2" t="n">
        <x:v>103</x:v>
      </x:c>
      <x:c r="S769" s="2" t="n">
        <x:v>0</x:v>
      </x:c>
      <x:c r="T769" s="2" t="n">
        <x:f>R769+S769+J769-I769</x:f>
        <x:v>95</x:v>
      </x:c>
      <x:c r="U769" s="2" t="n">
        <x:v>0</x:v>
      </x:c>
      <x:c r="V769" s="2" t="n">
        <x:v>2</x:v>
      </x:c>
      <x:c r="W769" s="2" t="n">
        <x:v>8</x:v>
      </x:c>
      <x:c r="X769" s="14" t="b">
        <x:v>0</x:v>
      </x:c>
      <x:c r="Y769" s="14" t="b">
        <x:v>0</x:v>
      </x:c>
      <x:c r="Z769" s="2" t="n">
        <x:f>ABS(T769-AA769)</x:f>
        <x:v>0</x:v>
      </x:c>
      <x:c r="AA769" s="2" t="n">
        <x:v>95</x:v>
      </x:c>
      <x:c r="AB769" s="2" t="n">
        <x:f>ABS(K769-W769)</x:f>
        <x:v>0</x:v>
      </x:c>
      <x:c r="AC769" s="2" t="n">
        <x:f>COUNTIF($A$2:$A$1921,A769)-1</x:f>
        <x:v>0</x:v>
      </x:c>
      <x:c r="AD769" s="2" t="n">
        <x:f>IF(AND(D769=D768,H769=H768,C769=C768+1),ABS(R769-T768),0)</x:f>
        <x:v>0</x:v>
      </x:c>
    </x:row>
    <x:row r="770" ht="23" customHeight="1">
      <x:c r="A770" s="2" t="str">
        <x:v>DEMO-204-2-9</x:v>
      </x:c>
      <x:c r="B770" s="15" t="d">
        <x:v>2026-06-29T00:00:00.000Z</x:v>
      </x:c>
      <x:c r="C770" s="2" t="n">
        <x:v>9</x:v>
      </x:c>
      <x:c r="D770" s="2" t="str">
        <x:v>DEMO-204</x:v>
      </x:c>
      <x:c r="E770" s="2" t="str">
        <x:v>Wish Jar</x:v>
      </x:c>
      <x:c r="F770" s="2" t="str">
        <x:v>Gifting</x:v>
      </x:c>
      <x:c r="G770" s="2" t="str">
        <x:v>Stores</x:v>
      </x:c>
      <x:c r="H770" s="2" t="str">
        <x:v>Central Market</x:v>
      </x:c>
      <x:c r="I770" s="2" t="n">
        <x:v>8</x:v>
      </x:c>
      <x:c r="J770" s="2" t="n">
        <x:v>0</x:v>
      </x:c>
      <x:c r="K770" s="2" t="n">
        <x:f>I770-J770</x:f>
        <x:v>8</x:v>
      </x:c>
      <x:c r="L770" s="16" t="n">
        <x:v>24</x:v>
      </x:c>
      <x:c r="M770" s="16" t="n">
        <x:v>24</x:v>
      </x:c>
      <x:c r="N770" s="16" t="n">
        <x:v>10.44</x:v>
      </x:c>
      <x:c r="O770" s="16" t="n">
        <x:f>K770*M770</x:f>
        <x:v>192</x:v>
      </x:c>
      <x:c r="P770" s="16" t="n">
        <x:f>K770*N770</x:f>
        <x:v>83.52</x:v>
      </x:c>
      <x:c r="Q770" s="16" t="n">
        <x:f>O770-P770</x:f>
        <x:v>108.48</x:v>
      </x:c>
      <x:c r="R770" s="2" t="n">
        <x:v>95</x:v>
      </x:c>
      <x:c r="S770" s="2" t="n">
        <x:v>34</x:v>
      </x:c>
      <x:c r="T770" s="2" t="n">
        <x:f>R770+S770+J770-I770</x:f>
        <x:v>121</x:v>
      </x:c>
      <x:c r="U770" s="2" t="n">
        <x:v>0</x:v>
      </x:c>
      <x:c r="V770" s="2" t="n">
        <x:v>2</x:v>
      </x:c>
      <x:c r="W770" s="2" t="n">
        <x:v>8</x:v>
      </x:c>
      <x:c r="X770" s="14" t="b">
        <x:v>0</x:v>
      </x:c>
      <x:c r="Y770" s="14" t="b">
        <x:v>0</x:v>
      </x:c>
      <x:c r="Z770" s="2" t="n">
        <x:f>ABS(T770-AA770)</x:f>
        <x:v>0</x:v>
      </x:c>
      <x:c r="AA770" s="2" t="n">
        <x:v>121</x:v>
      </x:c>
      <x:c r="AB770" s="2" t="n">
        <x:f>ABS(K770-W770)</x:f>
        <x:v>0</x:v>
      </x:c>
      <x:c r="AC770" s="2" t="n">
        <x:f>COUNTIF($A$2:$A$1921,A770)-1</x:f>
        <x:v>0</x:v>
      </x:c>
      <x:c r="AD770" s="2" t="n">
        <x:f>IF(AND(D770=D769,H770=H769,C770=C769+1),ABS(R770-T769),0)</x:f>
        <x:v>0</x:v>
      </x:c>
    </x:row>
    <x:row r="771" ht="23" customHeight="1">
      <x:c r="A771" s="2" t="str">
        <x:v>DEMO-204-2-10</x:v>
      </x:c>
      <x:c r="B771" s="15" t="d">
        <x:v>2026-07-06T00:00:00.000Z</x:v>
      </x:c>
      <x:c r="C771" s="2" t="n">
        <x:v>10</x:v>
      </x:c>
      <x:c r="D771" s="2" t="str">
        <x:v>DEMO-204</x:v>
      </x:c>
      <x:c r="E771" s="2" t="str">
        <x:v>Wish Jar</x:v>
      </x:c>
      <x:c r="F771" s="2" t="str">
        <x:v>Gifting</x:v>
      </x:c>
      <x:c r="G771" s="2" t="str">
        <x:v>Stores</x:v>
      </x:c>
      <x:c r="H771" s="2" t="str">
        <x:v>Central Market</x:v>
      </x:c>
      <x:c r="I771" s="2" t="n">
        <x:v>7</x:v>
      </x:c>
      <x:c r="J771" s="2" t="n">
        <x:v>1</x:v>
      </x:c>
      <x:c r="K771" s="2" t="n">
        <x:f>I771-J771</x:f>
        <x:v>6</x:v>
      </x:c>
      <x:c r="L771" s="16" t="n">
        <x:v>24</x:v>
      </x:c>
      <x:c r="M771" s="16" t="n">
        <x:v>24</x:v>
      </x:c>
      <x:c r="N771" s="16" t="n">
        <x:v>10.44</x:v>
      </x:c>
      <x:c r="O771" s="16" t="n">
        <x:f>K771*M771</x:f>
        <x:v>144</x:v>
      </x:c>
      <x:c r="P771" s="16" t="n">
        <x:f>K771*N771</x:f>
        <x:v>62.64</x:v>
      </x:c>
      <x:c r="Q771" s="16" t="n">
        <x:f>O771-P771</x:f>
        <x:v>81.36</x:v>
      </x:c>
      <x:c r="R771" s="2" t="n">
        <x:v>121</x:v>
      </x:c>
      <x:c r="S771" s="2" t="n">
        <x:v>0</x:v>
      </x:c>
      <x:c r="T771" s="2" t="n">
        <x:f>R771+S771+J771-I771</x:f>
        <x:v>115</x:v>
      </x:c>
      <x:c r="U771" s="2" t="n">
        <x:v>0</x:v>
      </x:c>
      <x:c r="V771" s="2" t="n">
        <x:v>2</x:v>
      </x:c>
      <x:c r="W771" s="2" t="n">
        <x:v>8</x:v>
      </x:c>
      <x:c r="X771" s="14" t="b">
        <x:v>0</x:v>
      </x:c>
      <x:c r="Y771" s="14" t="b">
        <x:v>0</x:v>
      </x:c>
      <x:c r="Z771" s="2" t="n">
        <x:f>ABS(T771-AA771)</x:f>
        <x:v>0</x:v>
      </x:c>
      <x:c r="AA771" s="2" t="n">
        <x:v>115</x:v>
      </x:c>
      <x:c r="AB771" s="2" t="n">
        <x:f>ABS(K771-W771)</x:f>
        <x:v>2</x:v>
      </x:c>
      <x:c r="AC771" s="2" t="n">
        <x:f>COUNTIF($A$2:$A$1921,A771)-1</x:f>
        <x:v>0</x:v>
      </x:c>
      <x:c r="AD771" s="2" t="n">
        <x:f>IF(AND(D771=D770,H771=H770,C771=C770+1),ABS(R771-T770),0)</x:f>
        <x:v>0</x:v>
      </x:c>
    </x:row>
    <x:row r="772" ht="23" customHeight="1">
      <x:c r="A772" s="2" t="str">
        <x:v>DEMO-204-2-11</x:v>
      </x:c>
      <x:c r="B772" s="15" t="d">
        <x:v>2026-07-13T00:00:00.000Z</x:v>
      </x:c>
      <x:c r="C772" s="2" t="n">
        <x:v>11</x:v>
      </x:c>
      <x:c r="D772" s="2" t="str">
        <x:v>DEMO-204</x:v>
      </x:c>
      <x:c r="E772" s="2" t="str">
        <x:v>Wish Jar</x:v>
      </x:c>
      <x:c r="F772" s="2" t="str">
        <x:v>Gifting</x:v>
      </x:c>
      <x:c r="G772" s="2" t="str">
        <x:v>Stores</x:v>
      </x:c>
      <x:c r="H772" s="2" t="str">
        <x:v>Central Market</x:v>
      </x:c>
      <x:c r="I772" s="2" t="n">
        <x:v>7</x:v>
      </x:c>
      <x:c r="J772" s="2" t="n">
        <x:v>0</x:v>
      </x:c>
      <x:c r="K772" s="2" t="n">
        <x:f>I772-J772</x:f>
        <x:v>7</x:v>
      </x:c>
      <x:c r="L772" s="16" t="n">
        <x:v>24</x:v>
      </x:c>
      <x:c r="M772" s="16" t="n">
        <x:v>24</x:v>
      </x:c>
      <x:c r="N772" s="16" t="n">
        <x:v>10.44</x:v>
      </x:c>
      <x:c r="O772" s="16" t="n">
        <x:f>K772*M772</x:f>
        <x:v>168</x:v>
      </x:c>
      <x:c r="P772" s="16" t="n">
        <x:f>K772*N772</x:f>
        <x:v>73.08</x:v>
      </x:c>
      <x:c r="Q772" s="16" t="n">
        <x:f>O772-P772</x:f>
        <x:v>94.92</x:v>
      </x:c>
      <x:c r="R772" s="2" t="n">
        <x:v>115</x:v>
      </x:c>
      <x:c r="S772" s="2" t="n">
        <x:v>0</x:v>
      </x:c>
      <x:c r="T772" s="2" t="n">
        <x:f>R772+S772+J772-I772</x:f>
        <x:v>108</x:v>
      </x:c>
      <x:c r="U772" s="2" t="n">
        <x:v>0</x:v>
      </x:c>
      <x:c r="V772" s="2" t="n">
        <x:v>2</x:v>
      </x:c>
      <x:c r="W772" s="2" t="n">
        <x:v>8</x:v>
      </x:c>
      <x:c r="X772" s="14" t="b">
        <x:v>0</x:v>
      </x:c>
      <x:c r="Y772" s="14" t="b">
        <x:v>0</x:v>
      </x:c>
      <x:c r="Z772" s="2" t="n">
        <x:f>ABS(T772-AA772)</x:f>
        <x:v>0</x:v>
      </x:c>
      <x:c r="AA772" s="2" t="n">
        <x:v>108</x:v>
      </x:c>
      <x:c r="AB772" s="2" t="n">
        <x:f>ABS(K772-W772)</x:f>
        <x:v>1</x:v>
      </x:c>
      <x:c r="AC772" s="2" t="n">
        <x:f>COUNTIF($A$2:$A$1921,A772)-1</x:f>
        <x:v>0</x:v>
      </x:c>
      <x:c r="AD772" s="2" t="n">
        <x:f>IF(AND(D772=D771,H772=H771,C772=C771+1),ABS(R772-T771),0)</x:f>
        <x:v>0</x:v>
      </x:c>
    </x:row>
    <x:row r="773" ht="23" customHeight="1">
      <x:c r="A773" s="2" t="str">
        <x:v>DEMO-204-2-12</x:v>
      </x:c>
      <x:c r="B773" s="15" t="d">
        <x:v>2026-07-20T00:00:00.000Z</x:v>
      </x:c>
      <x:c r="C773" s="2" t="n">
        <x:v>12</x:v>
      </x:c>
      <x:c r="D773" s="2" t="str">
        <x:v>DEMO-204</x:v>
      </x:c>
      <x:c r="E773" s="2" t="str">
        <x:v>Wish Jar</x:v>
      </x:c>
      <x:c r="F773" s="2" t="str">
        <x:v>Gifting</x:v>
      </x:c>
      <x:c r="G773" s="2" t="str">
        <x:v>Stores</x:v>
      </x:c>
      <x:c r="H773" s="2" t="str">
        <x:v>Central Market</x:v>
      </x:c>
      <x:c r="I773" s="2" t="n">
        <x:v>18</x:v>
      </x:c>
      <x:c r="J773" s="2" t="n">
        <x:v>0</x:v>
      </x:c>
      <x:c r="K773" s="2" t="n">
        <x:f>I773-J773</x:f>
        <x:v>18</x:v>
      </x:c>
      <x:c r="L773" s="16" t="n">
        <x:v>24</x:v>
      </x:c>
      <x:c r="M773" s="16" t="n">
        <x:v>21.6</x:v>
      </x:c>
      <x:c r="N773" s="16" t="n">
        <x:v>10.44</x:v>
      </x:c>
      <x:c r="O773" s="16" t="n">
        <x:f>K773*M773</x:f>
        <x:v>388.8</x:v>
      </x:c>
      <x:c r="P773" s="16" t="n">
        <x:f>K773*N773</x:f>
        <x:v>187.92</x:v>
      </x:c>
      <x:c r="Q773" s="16" t="n">
        <x:f>O773-P773</x:f>
        <x:v>200.88000000000002</x:v>
      </x:c>
      <x:c r="R773" s="2" t="n">
        <x:v>108</x:v>
      </x:c>
      <x:c r="S773" s="2" t="n">
        <x:v>0</x:v>
      </x:c>
      <x:c r="T773" s="2" t="n">
        <x:f>R773+S773+J773-I773</x:f>
        <x:v>90</x:v>
      </x:c>
      <x:c r="U773" s="2" t="n">
        <x:v>0</x:v>
      </x:c>
      <x:c r="V773" s="2" t="n">
        <x:v>2</x:v>
      </x:c>
      <x:c r="W773" s="2" t="n">
        <x:v>7</x:v>
      </x:c>
      <x:c r="X773" s="14" t="b">
        <x:v>1</x:v>
      </x:c>
      <x:c r="Y773" s="14" t="b">
        <x:v>0</x:v>
      </x:c>
      <x:c r="Z773" s="2" t="n">
        <x:f>ABS(T773-AA773)</x:f>
        <x:v>0</x:v>
      </x:c>
      <x:c r="AA773" s="2" t="n">
        <x:v>90</x:v>
      </x:c>
      <x:c r="AB773" s="2" t="n">
        <x:f>ABS(K773-W773)</x:f>
        <x:v>11</x:v>
      </x:c>
      <x:c r="AC773" s="2" t="n">
        <x:f>COUNTIF($A$2:$A$1921,A773)-1</x:f>
        <x:v>0</x:v>
      </x:c>
      <x:c r="AD773" s="2" t="n">
        <x:f>IF(AND(D773=D772,H773=H772,C773=C772+1),ABS(R773-T772),0)</x:f>
        <x:v>0</x:v>
      </x:c>
    </x:row>
    <x:row r="774" ht="23" customHeight="1">
      <x:c r="A774" s="2" t="str">
        <x:v>DEMO-204-2-13</x:v>
      </x:c>
      <x:c r="B774" s="15" t="d">
        <x:v>2026-07-27T00:00:00.000Z</x:v>
      </x:c>
      <x:c r="C774" s="2" t="n">
        <x:v>13</x:v>
      </x:c>
      <x:c r="D774" s="2" t="str">
        <x:v>DEMO-204</x:v>
      </x:c>
      <x:c r="E774" s="2" t="str">
        <x:v>Wish Jar</x:v>
      </x:c>
      <x:c r="F774" s="2" t="str">
        <x:v>Gifting</x:v>
      </x:c>
      <x:c r="G774" s="2" t="str">
        <x:v>Stores</x:v>
      </x:c>
      <x:c r="H774" s="2" t="str">
        <x:v>Central Market</x:v>
      </x:c>
      <x:c r="I774" s="2" t="n">
        <x:v>20</x:v>
      </x:c>
      <x:c r="J774" s="2" t="n">
        <x:v>0</x:v>
      </x:c>
      <x:c r="K774" s="2" t="n">
        <x:f>I774-J774</x:f>
        <x:v>20</x:v>
      </x:c>
      <x:c r="L774" s="16" t="n">
        <x:v>24</x:v>
      </x:c>
      <x:c r="M774" s="16" t="n">
        <x:v>21.6</x:v>
      </x:c>
      <x:c r="N774" s="16" t="n">
        <x:v>10.44</x:v>
      </x:c>
      <x:c r="O774" s="16" t="n">
        <x:f>K774*M774</x:f>
        <x:v>432</x:v>
      </x:c>
      <x:c r="P774" s="16" t="n">
        <x:f>K774*N774</x:f>
        <x:v>208.79999999999998</x:v>
      </x:c>
      <x:c r="Q774" s="16" t="n">
        <x:f>O774-P774</x:f>
        <x:v>223.20000000000002</x:v>
      </x:c>
      <x:c r="R774" s="2" t="n">
        <x:v>90</x:v>
      </x:c>
      <x:c r="S774" s="2" t="n">
        <x:v>34</x:v>
      </x:c>
      <x:c r="T774" s="2" t="n">
        <x:f>R774+S774+J774-I774</x:f>
        <x:v>104</x:v>
      </x:c>
      <x:c r="U774" s="2" t="n">
        <x:v>0</x:v>
      </x:c>
      <x:c r="V774" s="2" t="n">
        <x:v>2</x:v>
      </x:c>
      <x:c r="W774" s="2" t="n">
        <x:v>10</x:v>
      </x:c>
      <x:c r="X774" s="14" t="b">
        <x:v>1</x:v>
      </x:c>
      <x:c r="Y774" s="14" t="b">
        <x:v>0</x:v>
      </x:c>
      <x:c r="Z774" s="2" t="n">
        <x:f>ABS(T774-AA774)</x:f>
        <x:v>0</x:v>
      </x:c>
      <x:c r="AA774" s="2" t="n">
        <x:v>104</x:v>
      </x:c>
      <x:c r="AB774" s="2" t="n">
        <x:f>ABS(K774-W774)</x:f>
        <x:v>10</x:v>
      </x:c>
      <x:c r="AC774" s="2" t="n">
        <x:f>COUNTIF($A$2:$A$1921,A774)-1</x:f>
        <x:v>0</x:v>
      </x:c>
      <x:c r="AD774" s="2" t="n">
        <x:f>IF(AND(D774=D773,H774=H773,C774=C773+1),ABS(R774-T773),0)</x:f>
        <x:v>0</x:v>
      </x:c>
    </x:row>
    <x:row r="775" ht="23" customHeight="1">
      <x:c r="A775" s="2" t="str">
        <x:v>DEMO-204-2-14</x:v>
      </x:c>
      <x:c r="B775" s="15" t="d">
        <x:v>2026-08-03T00:00:00.000Z</x:v>
      </x:c>
      <x:c r="C775" s="2" t="n">
        <x:v>14</x:v>
      </x:c>
      <x:c r="D775" s="2" t="str">
        <x:v>DEMO-204</x:v>
      </x:c>
      <x:c r="E775" s="2" t="str">
        <x:v>Wish Jar</x:v>
      </x:c>
      <x:c r="F775" s="2" t="str">
        <x:v>Gifting</x:v>
      </x:c>
      <x:c r="G775" s="2" t="str">
        <x:v>Stores</x:v>
      </x:c>
      <x:c r="H775" s="2" t="str">
        <x:v>Central Market</x:v>
      </x:c>
      <x:c r="I775" s="2" t="n">
        <x:v>14</x:v>
      </x:c>
      <x:c r="J775" s="2" t="n">
        <x:v>1</x:v>
      </x:c>
      <x:c r="K775" s="2" t="n">
        <x:f>I775-J775</x:f>
        <x:v>13</x:v>
      </x:c>
      <x:c r="L775" s="16" t="n">
        <x:v>24</x:v>
      </x:c>
      <x:c r="M775" s="16" t="n">
        <x:v>21.6</x:v>
      </x:c>
      <x:c r="N775" s="16" t="n">
        <x:v>10.44</x:v>
      </x:c>
      <x:c r="O775" s="16" t="n">
        <x:f>K775*M775</x:f>
        <x:v>280.8</x:v>
      </x:c>
      <x:c r="P775" s="16" t="n">
        <x:f>K775*N775</x:f>
        <x:v>135.72</x:v>
      </x:c>
      <x:c r="Q775" s="16" t="n">
        <x:f>O775-P775</x:f>
        <x:v>145.08</x:v>
      </x:c>
      <x:c r="R775" s="2" t="n">
        <x:v>104</x:v>
      </x:c>
      <x:c r="S775" s="2" t="n">
        <x:v>0</x:v>
      </x:c>
      <x:c r="T775" s="2" t="n">
        <x:f>R775+S775+J775-I775</x:f>
        <x:v>91</x:v>
      </x:c>
      <x:c r="U775" s="2" t="n">
        <x:v>0</x:v>
      </x:c>
      <x:c r="V775" s="2" t="n">
        <x:v>2</x:v>
      </x:c>
      <x:c r="W775" s="2" t="n">
        <x:v>13</x:v>
      </x:c>
      <x:c r="X775" s="14" t="b">
        <x:v>1</x:v>
      </x:c>
      <x:c r="Y775" s="14" t="b">
        <x:v>0</x:v>
      </x:c>
      <x:c r="Z775" s="2" t="n">
        <x:f>ABS(T775-AA775)</x:f>
        <x:v>0</x:v>
      </x:c>
      <x:c r="AA775" s="2" t="n">
        <x:v>91</x:v>
      </x:c>
      <x:c r="AB775" s="2" t="n">
        <x:f>ABS(K775-W775)</x:f>
        <x:v>0</x:v>
      </x:c>
      <x:c r="AC775" s="2" t="n">
        <x:f>COUNTIF($A$2:$A$1921,A775)-1</x:f>
        <x:v>0</x:v>
      </x:c>
      <x:c r="AD775" s="2" t="n">
        <x:f>IF(AND(D775=D774,H775=H774,C775=C774+1),ABS(R775-T774),0)</x:f>
        <x:v>0</x:v>
      </x:c>
    </x:row>
    <x:row r="776" ht="23" customHeight="1">
      <x:c r="A776" s="2" t="str">
        <x:v>DEMO-204-2-15</x:v>
      </x:c>
      <x:c r="B776" s="15" t="d">
        <x:v>2026-08-10T00:00:00.000Z</x:v>
      </x:c>
      <x:c r="C776" s="2" t="n">
        <x:v>15</x:v>
      </x:c>
      <x:c r="D776" s="2" t="str">
        <x:v>DEMO-204</x:v>
      </x:c>
      <x:c r="E776" s="2" t="str">
        <x:v>Wish Jar</x:v>
      </x:c>
      <x:c r="F776" s="2" t="str">
        <x:v>Gifting</x:v>
      </x:c>
      <x:c r="G776" s="2" t="str">
        <x:v>Stores</x:v>
      </x:c>
      <x:c r="H776" s="2" t="str">
        <x:v>Central Market</x:v>
      </x:c>
      <x:c r="I776" s="2" t="n">
        <x:v>8</x:v>
      </x:c>
      <x:c r="J776" s="2" t="n">
        <x:v>1</x:v>
      </x:c>
      <x:c r="K776" s="2" t="n">
        <x:f>I776-J776</x:f>
        <x:v>7</x:v>
      </x:c>
      <x:c r="L776" s="16" t="n">
        <x:v>24</x:v>
      </x:c>
      <x:c r="M776" s="16" t="n">
        <x:v>24</x:v>
      </x:c>
      <x:c r="N776" s="16" t="n">
        <x:v>10.44</x:v>
      </x:c>
      <x:c r="O776" s="16" t="n">
        <x:f>K776*M776</x:f>
        <x:v>168</x:v>
      </x:c>
      <x:c r="P776" s="16" t="n">
        <x:f>K776*N776</x:f>
        <x:v>73.08</x:v>
      </x:c>
      <x:c r="Q776" s="16" t="n">
        <x:f>O776-P776</x:f>
        <x:v>94.92</x:v>
      </x:c>
      <x:c r="R776" s="2" t="n">
        <x:v>91</x:v>
      </x:c>
      <x:c r="S776" s="2" t="n">
        <x:v>0</x:v>
      </x:c>
      <x:c r="T776" s="2" t="n">
        <x:f>R776+S776+J776-I776</x:f>
        <x:v>84</x:v>
      </x:c>
      <x:c r="U776" s="2" t="n">
        <x:v>0</x:v>
      </x:c>
      <x:c r="V776" s="2" t="n">
        <x:v>2</x:v>
      </x:c>
      <x:c r="W776" s="2" t="n">
        <x:v>15</x:v>
      </x:c>
      <x:c r="X776" s="14" t="b">
        <x:v>0</x:v>
      </x:c>
      <x:c r="Y776" s="14" t="b">
        <x:v>0</x:v>
      </x:c>
      <x:c r="Z776" s="2" t="n">
        <x:f>ABS(T776-AA776)</x:f>
        <x:v>0</x:v>
      </x:c>
      <x:c r="AA776" s="2" t="n">
        <x:v>84</x:v>
      </x:c>
      <x:c r="AB776" s="2" t="n">
        <x:f>ABS(K776-W776)</x:f>
        <x:v>8</x:v>
      </x:c>
      <x:c r="AC776" s="2" t="n">
        <x:f>COUNTIF($A$2:$A$1921,A776)-1</x:f>
        <x:v>0</x:v>
      </x:c>
      <x:c r="AD776" s="2" t="n">
        <x:f>IF(AND(D776=D775,H776=H775,C776=C775+1),ABS(R776-T775),0)</x:f>
        <x:v>0</x:v>
      </x:c>
    </x:row>
    <x:row r="777" ht="23" customHeight="1">
      <x:c r="A777" s="2" t="str">
        <x:v>DEMO-204-2-16</x:v>
      </x:c>
      <x:c r="B777" s="15" t="d">
        <x:v>2026-08-17T00:00:00.000Z</x:v>
      </x:c>
      <x:c r="C777" s="2" t="n">
        <x:v>16</x:v>
      </x:c>
      <x:c r="D777" s="2" t="str">
        <x:v>DEMO-204</x:v>
      </x:c>
      <x:c r="E777" s="2" t="str">
        <x:v>Wish Jar</x:v>
      </x:c>
      <x:c r="F777" s="2" t="str">
        <x:v>Gifting</x:v>
      </x:c>
      <x:c r="G777" s="2" t="str">
        <x:v>Stores</x:v>
      </x:c>
      <x:c r="H777" s="2" t="str">
        <x:v>Central Market</x:v>
      </x:c>
      <x:c r="I777" s="2" t="n">
        <x:v>8</x:v>
      </x:c>
      <x:c r="J777" s="2" t="n">
        <x:v>1</x:v>
      </x:c>
      <x:c r="K777" s="2" t="n">
        <x:f>I777-J777</x:f>
        <x:v>7</x:v>
      </x:c>
      <x:c r="L777" s="16" t="n">
        <x:v>24</x:v>
      </x:c>
      <x:c r="M777" s="16" t="n">
        <x:v>24</x:v>
      </x:c>
      <x:c r="N777" s="16" t="n">
        <x:v>10.44</x:v>
      </x:c>
      <x:c r="O777" s="16" t="n">
        <x:f>K777*M777</x:f>
        <x:v>168</x:v>
      </x:c>
      <x:c r="P777" s="16" t="n">
        <x:f>K777*N777</x:f>
        <x:v>73.08</x:v>
      </x:c>
      <x:c r="Q777" s="16" t="n">
        <x:f>O777-P777</x:f>
        <x:v>94.92</x:v>
      </x:c>
      <x:c r="R777" s="2" t="n">
        <x:v>84</x:v>
      </x:c>
      <x:c r="S777" s="2" t="n">
        <x:v>0</x:v>
      </x:c>
      <x:c r="T777" s="2" t="n">
        <x:f>R777+S777+J777-I777</x:f>
        <x:v>77</x:v>
      </x:c>
      <x:c r="U777" s="2" t="n">
        <x:v>0</x:v>
      </x:c>
      <x:c r="V777" s="2" t="n">
        <x:v>2</x:v>
      </x:c>
      <x:c r="W777" s="2" t="n">
        <x:v>15</x:v>
      </x:c>
      <x:c r="X777" s="14" t="b">
        <x:v>0</x:v>
      </x:c>
      <x:c r="Y777" s="14" t="b">
        <x:v>0</x:v>
      </x:c>
      <x:c r="Z777" s="2" t="n">
        <x:f>ABS(T777-AA777)</x:f>
        <x:v>0</x:v>
      </x:c>
      <x:c r="AA777" s="2" t="n">
        <x:v>77</x:v>
      </x:c>
      <x:c r="AB777" s="2" t="n">
        <x:f>ABS(K777-W777)</x:f>
        <x:v>8</x:v>
      </x:c>
      <x:c r="AC777" s="2" t="n">
        <x:f>COUNTIF($A$2:$A$1921,A777)-1</x:f>
        <x:v>0</x:v>
      </x:c>
      <x:c r="AD777" s="2" t="n">
        <x:f>IF(AND(D777=D776,H777=H776,C777=C776+1),ABS(R777-T776),0)</x:f>
        <x:v>0</x:v>
      </x:c>
    </x:row>
    <x:row r="778" ht="23" customHeight="1">
      <x:c r="A778" s="2" t="str">
        <x:v>DEMO-204-2-17</x:v>
      </x:c>
      <x:c r="B778" s="15" t="d">
        <x:v>2026-08-24T00:00:00.000Z</x:v>
      </x:c>
      <x:c r="C778" s="2" t="n">
        <x:v>17</x:v>
      </x:c>
      <x:c r="D778" s="2" t="str">
        <x:v>DEMO-204</x:v>
      </x:c>
      <x:c r="E778" s="2" t="str">
        <x:v>Wish Jar</x:v>
      </x:c>
      <x:c r="F778" s="2" t="str">
        <x:v>Gifting</x:v>
      </x:c>
      <x:c r="G778" s="2" t="str">
        <x:v>Stores</x:v>
      </x:c>
      <x:c r="H778" s="2" t="str">
        <x:v>Central Market</x:v>
      </x:c>
      <x:c r="I778" s="2" t="n">
        <x:v>8</x:v>
      </x:c>
      <x:c r="J778" s="2" t="n">
        <x:v>0</x:v>
      </x:c>
      <x:c r="K778" s="2" t="n">
        <x:f>I778-J778</x:f>
        <x:v>8</x:v>
      </x:c>
      <x:c r="L778" s="16" t="n">
        <x:v>24</x:v>
      </x:c>
      <x:c r="M778" s="16" t="n">
        <x:v>24</x:v>
      </x:c>
      <x:c r="N778" s="16" t="n">
        <x:v>10.44</x:v>
      </x:c>
      <x:c r="O778" s="16" t="n">
        <x:f>K778*M778</x:f>
        <x:v>192</x:v>
      </x:c>
      <x:c r="P778" s="16" t="n">
        <x:f>K778*N778</x:f>
        <x:v>83.52</x:v>
      </x:c>
      <x:c r="Q778" s="16" t="n">
        <x:f>O778-P778</x:f>
        <x:v>108.48</x:v>
      </x:c>
      <x:c r="R778" s="2" t="n">
        <x:v>77</x:v>
      </x:c>
      <x:c r="S778" s="2" t="n">
        <x:v>34</x:v>
      </x:c>
      <x:c r="T778" s="2" t="n">
        <x:f>R778+S778+J778-I778</x:f>
        <x:v>103</x:v>
      </x:c>
      <x:c r="U778" s="2" t="n">
        <x:v>0</x:v>
      </x:c>
      <x:c r="V778" s="2" t="n">
        <x:v>2</x:v>
      </x:c>
      <x:c r="W778" s="2" t="n">
        <x:v>12</x:v>
      </x:c>
      <x:c r="X778" s="14" t="b">
        <x:v>0</x:v>
      </x:c>
      <x:c r="Y778" s="14" t="b">
        <x:v>0</x:v>
      </x:c>
      <x:c r="Z778" s="2" t="n">
        <x:f>ABS(T778-AA778)</x:f>
        <x:v>0</x:v>
      </x:c>
      <x:c r="AA778" s="2" t="n">
        <x:v>103</x:v>
      </x:c>
      <x:c r="AB778" s="2" t="n">
        <x:f>ABS(K778-W778)</x:f>
        <x:v>4</x:v>
      </x:c>
      <x:c r="AC778" s="2" t="n">
        <x:f>COUNTIF($A$2:$A$1921,A778)-1</x:f>
        <x:v>0</x:v>
      </x:c>
      <x:c r="AD778" s="2" t="n">
        <x:f>IF(AND(D778=D777,H778=H777,C778=C777+1),ABS(R778-T777),0)</x:f>
        <x:v>0</x:v>
      </x:c>
    </x:row>
    <x:row r="779" ht="23" customHeight="1">
      <x:c r="A779" s="2" t="str">
        <x:v>DEMO-204-2-18</x:v>
      </x:c>
      <x:c r="B779" s="15" t="d">
        <x:v>2026-08-31T00:00:00.000Z</x:v>
      </x:c>
      <x:c r="C779" s="2" t="n">
        <x:v>18</x:v>
      </x:c>
      <x:c r="D779" s="2" t="str">
        <x:v>DEMO-204</x:v>
      </x:c>
      <x:c r="E779" s="2" t="str">
        <x:v>Wish Jar</x:v>
      </x:c>
      <x:c r="F779" s="2" t="str">
        <x:v>Gifting</x:v>
      </x:c>
      <x:c r="G779" s="2" t="str">
        <x:v>Stores</x:v>
      </x:c>
      <x:c r="H779" s="2" t="str">
        <x:v>Central Market</x:v>
      </x:c>
      <x:c r="I779" s="2" t="n">
        <x:v>7</x:v>
      </x:c>
      <x:c r="J779" s="2" t="n">
        <x:v>1</x:v>
      </x:c>
      <x:c r="K779" s="2" t="n">
        <x:f>I779-J779</x:f>
        <x:v>6</x:v>
      </x:c>
      <x:c r="L779" s="16" t="n">
        <x:v>24</x:v>
      </x:c>
      <x:c r="M779" s="16" t="n">
        <x:v>24</x:v>
      </x:c>
      <x:c r="N779" s="16" t="n">
        <x:v>10.44</x:v>
      </x:c>
      <x:c r="O779" s="16" t="n">
        <x:f>K779*M779</x:f>
        <x:v>144</x:v>
      </x:c>
      <x:c r="P779" s="16" t="n">
        <x:f>K779*N779</x:f>
        <x:v>62.64</x:v>
      </x:c>
      <x:c r="Q779" s="16" t="n">
        <x:f>O779-P779</x:f>
        <x:v>81.36</x:v>
      </x:c>
      <x:c r="R779" s="2" t="n">
        <x:v>103</x:v>
      </x:c>
      <x:c r="S779" s="2" t="n">
        <x:v>0</x:v>
      </x:c>
      <x:c r="T779" s="2" t="n">
        <x:f>R779+S779+J779-I779</x:f>
        <x:v>97</x:v>
      </x:c>
      <x:c r="U779" s="2" t="n">
        <x:v>0</x:v>
      </x:c>
      <x:c r="V779" s="2" t="n">
        <x:v>2</x:v>
      </x:c>
      <x:c r="W779" s="2" t="n">
        <x:v>9</x:v>
      </x:c>
      <x:c r="X779" s="14" t="b">
        <x:v>0</x:v>
      </x:c>
      <x:c r="Y779" s="14" t="b">
        <x:v>0</x:v>
      </x:c>
      <x:c r="Z779" s="2" t="n">
        <x:f>ABS(T779-AA779)</x:f>
        <x:v>0</x:v>
      </x:c>
      <x:c r="AA779" s="2" t="n">
        <x:v>97</x:v>
      </x:c>
      <x:c r="AB779" s="2" t="n">
        <x:f>ABS(K779-W779)</x:f>
        <x:v>3</x:v>
      </x:c>
      <x:c r="AC779" s="2" t="n">
        <x:f>COUNTIF($A$2:$A$1921,A779)-1</x:f>
        <x:v>0</x:v>
      </x:c>
      <x:c r="AD779" s="2" t="n">
        <x:f>IF(AND(D779=D778,H779=H778,C779=C778+1),ABS(R779-T778),0)</x:f>
        <x:v>0</x:v>
      </x:c>
    </x:row>
    <x:row r="780" ht="23" customHeight="1">
      <x:c r="A780" s="2" t="str">
        <x:v>DEMO-204-2-19</x:v>
      </x:c>
      <x:c r="B780" s="15" t="d">
        <x:v>2026-09-07T00:00:00.000Z</x:v>
      </x:c>
      <x:c r="C780" s="2" t="n">
        <x:v>19</x:v>
      </x:c>
      <x:c r="D780" s="2" t="str">
        <x:v>DEMO-204</x:v>
      </x:c>
      <x:c r="E780" s="2" t="str">
        <x:v>Wish Jar</x:v>
      </x:c>
      <x:c r="F780" s="2" t="str">
        <x:v>Gifting</x:v>
      </x:c>
      <x:c r="G780" s="2" t="str">
        <x:v>Stores</x:v>
      </x:c>
      <x:c r="H780" s="2" t="str">
        <x:v>Central Market</x:v>
      </x:c>
      <x:c r="I780" s="2" t="n">
        <x:v>8</x:v>
      </x:c>
      <x:c r="J780" s="2" t="n">
        <x:v>0</x:v>
      </x:c>
      <x:c r="K780" s="2" t="n">
        <x:f>I780-J780</x:f>
        <x:v>8</x:v>
      </x:c>
      <x:c r="L780" s="16" t="n">
        <x:v>24</x:v>
      </x:c>
      <x:c r="M780" s="16" t="n">
        <x:v>24</x:v>
      </x:c>
      <x:c r="N780" s="16" t="n">
        <x:v>10.44</x:v>
      </x:c>
      <x:c r="O780" s="16" t="n">
        <x:f>K780*M780</x:f>
        <x:v>192</x:v>
      </x:c>
      <x:c r="P780" s="16" t="n">
        <x:f>K780*N780</x:f>
        <x:v>83.52</x:v>
      </x:c>
      <x:c r="Q780" s="16" t="n">
        <x:f>O780-P780</x:f>
        <x:v>108.48</x:v>
      </x:c>
      <x:c r="R780" s="2" t="n">
        <x:v>97</x:v>
      </x:c>
      <x:c r="S780" s="2" t="n">
        <x:v>0</x:v>
      </x:c>
      <x:c r="T780" s="2" t="n">
        <x:f>R780+S780+J780-I780</x:f>
        <x:v>89</x:v>
      </x:c>
      <x:c r="U780" s="2" t="n">
        <x:v>0</x:v>
      </x:c>
      <x:c r="V780" s="2" t="n">
        <x:v>2</x:v>
      </x:c>
      <x:c r="W780" s="2" t="n">
        <x:v>7</x:v>
      </x:c>
      <x:c r="X780" s="14" t="b">
        <x:v>0</x:v>
      </x:c>
      <x:c r="Y780" s="14" t="b">
        <x:v>0</x:v>
      </x:c>
      <x:c r="Z780" s="2" t="n">
        <x:f>ABS(T780-AA780)</x:f>
        <x:v>0</x:v>
      </x:c>
      <x:c r="AA780" s="2" t="n">
        <x:v>89</x:v>
      </x:c>
      <x:c r="AB780" s="2" t="n">
        <x:f>ABS(K780-W780)</x:f>
        <x:v>1</x:v>
      </x:c>
      <x:c r="AC780" s="2" t="n">
        <x:f>COUNTIF($A$2:$A$1921,A780)-1</x:f>
        <x:v>0</x:v>
      </x:c>
      <x:c r="AD780" s="2" t="n">
        <x:f>IF(AND(D780=D779,H780=H779,C780=C779+1),ABS(R780-T779),0)</x:f>
        <x:v>0</x:v>
      </x:c>
    </x:row>
    <x:row r="781" ht="23" customHeight="1">
      <x:c r="A781" s="2" t="str">
        <x:v>DEMO-204-2-20</x:v>
      </x:c>
      <x:c r="B781" s="15" t="d">
        <x:v>2026-09-14T00:00:00.000Z</x:v>
      </x:c>
      <x:c r="C781" s="2" t="n">
        <x:v>20</x:v>
      </x:c>
      <x:c r="D781" s="2" t="str">
        <x:v>DEMO-204</x:v>
      </x:c>
      <x:c r="E781" s="2" t="str">
        <x:v>Wish Jar</x:v>
      </x:c>
      <x:c r="F781" s="2" t="str">
        <x:v>Gifting</x:v>
      </x:c>
      <x:c r="G781" s="2" t="str">
        <x:v>Stores</x:v>
      </x:c>
      <x:c r="H781" s="2" t="str">
        <x:v>Central Market</x:v>
      </x:c>
      <x:c r="I781" s="2" t="n">
        <x:v>9</x:v>
      </x:c>
      <x:c r="J781" s="2" t="n">
        <x:v>0</x:v>
      </x:c>
      <x:c r="K781" s="2" t="n">
        <x:f>I781-J781</x:f>
        <x:v>9</x:v>
      </x:c>
      <x:c r="L781" s="16" t="n">
        <x:v>24</x:v>
      </x:c>
      <x:c r="M781" s="16" t="n">
        <x:v>24</x:v>
      </x:c>
      <x:c r="N781" s="16" t="n">
        <x:v>10.44</x:v>
      </x:c>
      <x:c r="O781" s="16" t="n">
        <x:f>K781*M781</x:f>
        <x:v>216</x:v>
      </x:c>
      <x:c r="P781" s="16" t="n">
        <x:f>K781*N781</x:f>
        <x:v>93.96</x:v>
      </x:c>
      <x:c r="Q781" s="16" t="n">
        <x:f>O781-P781</x:f>
        <x:v>122.04</x:v>
      </x:c>
      <x:c r="R781" s="2" t="n">
        <x:v>89</x:v>
      </x:c>
      <x:c r="S781" s="2" t="n">
        <x:v>0</x:v>
      </x:c>
      <x:c r="T781" s="2" t="n">
        <x:f>R781+S781+J781-I781</x:f>
        <x:v>80</x:v>
      </x:c>
      <x:c r="U781" s="2" t="n">
        <x:v>18</x:v>
      </x:c>
      <x:c r="V781" s="2" t="n">
        <x:v>2</x:v>
      </x:c>
      <x:c r="W781" s="2" t="n">
        <x:v>7</x:v>
      </x:c>
      <x:c r="X781" s="14" t="b">
        <x:v>0</x:v>
      </x:c>
      <x:c r="Y781" s="14" t="b">
        <x:v>0</x:v>
      </x:c>
      <x:c r="Z781" s="2" t="n">
        <x:f>ABS(T781-AA781)</x:f>
        <x:v>0</x:v>
      </x:c>
      <x:c r="AA781" s="2" t="n">
        <x:v>80</x:v>
      </x:c>
      <x:c r="AB781" s="2" t="n">
        <x:f>ABS(K781-W781)</x:f>
        <x:v>2</x:v>
      </x:c>
      <x:c r="AC781" s="2" t="n">
        <x:f>COUNTIF($A$2:$A$1921,A781)-1</x:f>
        <x:v>0</x:v>
      </x:c>
      <x:c r="AD781" s="2" t="n">
        <x:f>IF(AND(D781=D780,H781=H780,C781=C780+1),ABS(R781-T780),0)</x:f>
        <x:v>0</x:v>
      </x:c>
    </x:row>
    <x:row r="782" ht="23" customHeight="1">
      <x:c r="A782" s="2" t="str">
        <x:v>DEMO-204-3-1</x:v>
      </x:c>
      <x:c r="B782" s="15" t="d">
        <x:v>2026-05-04T00:00:00.000Z</x:v>
      </x:c>
      <x:c r="C782" s="2" t="n">
        <x:v>1</x:v>
      </x:c>
      <x:c r="D782" s="2" t="str">
        <x:v>DEMO-204</x:v>
      </x:c>
      <x:c r="E782" s="2" t="str">
        <x:v>Wish Jar</x:v>
      </x:c>
      <x:c r="F782" s="2" t="str">
        <x:v>Gifting</x:v>
      </x:c>
      <x:c r="G782" s="2" t="str">
        <x:v>Online</x:v>
      </x:c>
      <x:c r="H782" s="2" t="str">
        <x:v>Online</x:v>
      </x:c>
      <x:c r="I782" s="2" t="n">
        <x:v>13</x:v>
      </x:c>
      <x:c r="J782" s="2" t="n">
        <x:v>0</x:v>
      </x:c>
      <x:c r="K782" s="2" t="n">
        <x:f>I782-J782</x:f>
        <x:v>13</x:v>
      </x:c>
      <x:c r="L782" s="16" t="n">
        <x:v>24</x:v>
      </x:c>
      <x:c r="M782" s="16" t="n">
        <x:v>24</x:v>
      </x:c>
      <x:c r="N782" s="16" t="n">
        <x:v>10.44</x:v>
      </x:c>
      <x:c r="O782" s="16" t="n">
        <x:f>K782*M782</x:f>
        <x:v>312</x:v>
      </x:c>
      <x:c r="P782" s="16" t="n">
        <x:f>K782*N782</x:f>
        <x:v>135.72</x:v>
      </x:c>
      <x:c r="Q782" s="16" t="n">
        <x:f>O782-P782</x:f>
        <x:v>176.28</x:v>
      </x:c>
      <x:c r="R782" s="2" t="n">
        <x:v>90</x:v>
      </x:c>
      <x:c r="S782" s="2" t="n">
        <x:v>57</x:v>
      </x:c>
      <x:c r="T782" s="2" t="n">
        <x:f>R782+S782+J782-I782</x:f>
        <x:v>134</x:v>
      </x:c>
      <x:c r="U782" s="2" t="n">
        <x:v>0</x:v>
      </x:c>
      <x:c r="V782" s="2" t="n">
        <x:v>2</x:v>
      </x:c>
      <x:c r="W782" s="2" t="n">
        <x:v>14</x:v>
      </x:c>
      <x:c r="X782" s="14" t="b">
        <x:v>0</x:v>
      </x:c>
      <x:c r="Y782" s="14" t="b">
        <x:v>0</x:v>
      </x:c>
      <x:c r="Z782" s="2" t="n">
        <x:f>ABS(T782-AA782)</x:f>
        <x:v>0</x:v>
      </x:c>
      <x:c r="AA782" s="2" t="n">
        <x:v>134</x:v>
      </x:c>
      <x:c r="AB782" s="2" t="n">
        <x:f>ABS(K782-W782)</x:f>
        <x:v>1</x:v>
      </x:c>
      <x:c r="AC782" s="2" t="n">
        <x:f>COUNTIF($A$2:$A$1921,A782)-1</x:f>
        <x:v>0</x:v>
      </x:c>
      <x:c r="AD782" s="2" t="n">
        <x:f>IF(AND(D782=D781,H782=H781,C782=C781+1),ABS(R782-T781),0)</x:f>
        <x:v>0</x:v>
      </x:c>
    </x:row>
    <x:row r="783" ht="23" customHeight="1">
      <x:c r="A783" s="2" t="str">
        <x:v>DEMO-204-3-2</x:v>
      </x:c>
      <x:c r="B783" s="15" t="d">
        <x:v>2026-05-11T00:00:00.000Z</x:v>
      </x:c>
      <x:c r="C783" s="2" t="n">
        <x:v>2</x:v>
      </x:c>
      <x:c r="D783" s="2" t="str">
        <x:v>DEMO-204</x:v>
      </x:c>
      <x:c r="E783" s="2" t="str">
        <x:v>Wish Jar</x:v>
      </x:c>
      <x:c r="F783" s="2" t="str">
        <x:v>Gifting</x:v>
      </x:c>
      <x:c r="G783" s="2" t="str">
        <x:v>Online</x:v>
      </x:c>
      <x:c r="H783" s="2" t="str">
        <x:v>Online</x:v>
      </x:c>
      <x:c r="I783" s="2" t="n">
        <x:v>14</x:v>
      </x:c>
      <x:c r="J783" s="2" t="n">
        <x:v>0</x:v>
      </x:c>
      <x:c r="K783" s="2" t="n">
        <x:f>I783-J783</x:f>
        <x:v>14</x:v>
      </x:c>
      <x:c r="L783" s="16" t="n">
        <x:v>24</x:v>
      </x:c>
      <x:c r="M783" s="16" t="n">
        <x:v>24</x:v>
      </x:c>
      <x:c r="N783" s="16" t="n">
        <x:v>10.44</x:v>
      </x:c>
      <x:c r="O783" s="16" t="n">
        <x:f>K783*M783</x:f>
        <x:v>336</x:v>
      </x:c>
      <x:c r="P783" s="16" t="n">
        <x:f>K783*N783</x:f>
        <x:v>146.16</x:v>
      </x:c>
      <x:c r="Q783" s="16" t="n">
        <x:f>O783-P783</x:f>
        <x:v>189.84</x:v>
      </x:c>
      <x:c r="R783" s="2" t="n">
        <x:v>134</x:v>
      </x:c>
      <x:c r="S783" s="2" t="n">
        <x:v>0</x:v>
      </x:c>
      <x:c r="T783" s="2" t="n">
        <x:f>R783+S783+J783-I783</x:f>
        <x:v>120</x:v>
      </x:c>
      <x:c r="U783" s="2" t="n">
        <x:v>0</x:v>
      </x:c>
      <x:c r="V783" s="2" t="n">
        <x:v>2</x:v>
      </x:c>
      <x:c r="W783" s="2" t="n">
        <x:v>13</x:v>
      </x:c>
      <x:c r="X783" s="14" t="b">
        <x:v>0</x:v>
      </x:c>
      <x:c r="Y783" s="14" t="b">
        <x:v>0</x:v>
      </x:c>
      <x:c r="Z783" s="2" t="n">
        <x:f>ABS(T783-AA783)</x:f>
        <x:v>0</x:v>
      </x:c>
      <x:c r="AA783" s="2" t="n">
        <x:v>120</x:v>
      </x:c>
      <x:c r="AB783" s="2" t="n">
        <x:f>ABS(K783-W783)</x:f>
        <x:v>1</x:v>
      </x:c>
      <x:c r="AC783" s="2" t="n">
        <x:f>COUNTIF($A$2:$A$1921,A783)-1</x:f>
        <x:v>0</x:v>
      </x:c>
      <x:c r="AD783" s="2" t="n">
        <x:f>IF(AND(D783=D782,H783=H782,C783=C782+1),ABS(R783-T782),0)</x:f>
        <x:v>0</x:v>
      </x:c>
    </x:row>
    <x:row r="784" ht="23" customHeight="1">
      <x:c r="A784" s="2" t="str">
        <x:v>DEMO-204-3-3</x:v>
      </x:c>
      <x:c r="B784" s="15" t="d">
        <x:v>2026-05-18T00:00:00.000Z</x:v>
      </x:c>
      <x:c r="C784" s="2" t="n">
        <x:v>3</x:v>
      </x:c>
      <x:c r="D784" s="2" t="str">
        <x:v>DEMO-204</x:v>
      </x:c>
      <x:c r="E784" s="2" t="str">
        <x:v>Wish Jar</x:v>
      </x:c>
      <x:c r="F784" s="2" t="str">
        <x:v>Gifting</x:v>
      </x:c>
      <x:c r="G784" s="2" t="str">
        <x:v>Online</x:v>
      </x:c>
      <x:c r="H784" s="2" t="str">
        <x:v>Online</x:v>
      </x:c>
      <x:c r="I784" s="2" t="n">
        <x:v>14</x:v>
      </x:c>
      <x:c r="J784" s="2" t="n">
        <x:v>0</x:v>
      </x:c>
      <x:c r="K784" s="2" t="n">
        <x:f>I784-J784</x:f>
        <x:v>14</x:v>
      </x:c>
      <x:c r="L784" s="16" t="n">
        <x:v>24</x:v>
      </x:c>
      <x:c r="M784" s="16" t="n">
        <x:v>24</x:v>
      </x:c>
      <x:c r="N784" s="16" t="n">
        <x:v>10.44</x:v>
      </x:c>
      <x:c r="O784" s="16" t="n">
        <x:f>K784*M784</x:f>
        <x:v>336</x:v>
      </x:c>
      <x:c r="P784" s="16" t="n">
        <x:f>K784*N784</x:f>
        <x:v>146.16</x:v>
      </x:c>
      <x:c r="Q784" s="16" t="n">
        <x:f>O784-P784</x:f>
        <x:v>189.84</x:v>
      </x:c>
      <x:c r="R784" s="2" t="n">
        <x:v>120</x:v>
      </x:c>
      <x:c r="S784" s="2" t="n">
        <x:v>0</x:v>
      </x:c>
      <x:c r="T784" s="2" t="n">
        <x:f>R784+S784+J784-I784</x:f>
        <x:v>106</x:v>
      </x:c>
      <x:c r="U784" s="2" t="n">
        <x:v>0</x:v>
      </x:c>
      <x:c r="V784" s="2" t="n">
        <x:v>2</x:v>
      </x:c>
      <x:c r="W784" s="2" t="n">
        <x:v>14</x:v>
      </x:c>
      <x:c r="X784" s="14" t="b">
        <x:v>0</x:v>
      </x:c>
      <x:c r="Y784" s="14" t="b">
        <x:v>0</x:v>
      </x:c>
      <x:c r="Z784" s="2" t="n">
        <x:f>ABS(T784-AA784)</x:f>
        <x:v>0</x:v>
      </x:c>
      <x:c r="AA784" s="2" t="n">
        <x:v>106</x:v>
      </x:c>
      <x:c r="AB784" s="2" t="n">
        <x:f>ABS(K784-W784)</x:f>
        <x:v>0</x:v>
      </x:c>
      <x:c r="AC784" s="2" t="n">
        <x:f>COUNTIF($A$2:$A$1921,A784)-1</x:f>
        <x:v>0</x:v>
      </x:c>
      <x:c r="AD784" s="2" t="n">
        <x:f>IF(AND(D784=D783,H784=H783,C784=C783+1),ABS(R784-T783),0)</x:f>
        <x:v>0</x:v>
      </x:c>
    </x:row>
    <x:row r="785" ht="23" customHeight="1">
      <x:c r="A785" s="2" t="str">
        <x:v>DEMO-204-3-4</x:v>
      </x:c>
      <x:c r="B785" s="15" t="d">
        <x:v>2026-05-25T00:00:00.000Z</x:v>
      </x:c>
      <x:c r="C785" s="2" t="n">
        <x:v>4</x:v>
      </x:c>
      <x:c r="D785" s="2" t="str">
        <x:v>DEMO-204</x:v>
      </x:c>
      <x:c r="E785" s="2" t="str">
        <x:v>Wish Jar</x:v>
      </x:c>
      <x:c r="F785" s="2" t="str">
        <x:v>Gifting</x:v>
      </x:c>
      <x:c r="G785" s="2" t="str">
        <x:v>Online</x:v>
      </x:c>
      <x:c r="H785" s="2" t="str">
        <x:v>Online</x:v>
      </x:c>
      <x:c r="I785" s="2" t="n">
        <x:v>13</x:v>
      </x:c>
      <x:c r="J785" s="2" t="n">
        <x:v>0</x:v>
      </x:c>
      <x:c r="K785" s="2" t="n">
        <x:f>I785-J785</x:f>
        <x:v>13</x:v>
      </x:c>
      <x:c r="L785" s="16" t="n">
        <x:v>24</x:v>
      </x:c>
      <x:c r="M785" s="16" t="n">
        <x:v>24</x:v>
      </x:c>
      <x:c r="N785" s="16" t="n">
        <x:v>10.44</x:v>
      </x:c>
      <x:c r="O785" s="16" t="n">
        <x:f>K785*M785</x:f>
        <x:v>312</x:v>
      </x:c>
      <x:c r="P785" s="16" t="n">
        <x:f>K785*N785</x:f>
        <x:v>135.72</x:v>
      </x:c>
      <x:c r="Q785" s="16" t="n">
        <x:f>O785-P785</x:f>
        <x:v>176.28</x:v>
      </x:c>
      <x:c r="R785" s="2" t="n">
        <x:v>106</x:v>
      </x:c>
      <x:c r="S785" s="2" t="n">
        <x:v>0</x:v>
      </x:c>
      <x:c r="T785" s="2" t="n">
        <x:f>R785+S785+J785-I785</x:f>
        <x:v>93</x:v>
      </x:c>
      <x:c r="U785" s="2" t="n">
        <x:v>0</x:v>
      </x:c>
      <x:c r="V785" s="2" t="n">
        <x:v>2</x:v>
      </x:c>
      <x:c r="W785" s="2" t="n">
        <x:v>14</x:v>
      </x:c>
      <x:c r="X785" s="14" t="b">
        <x:v>0</x:v>
      </x:c>
      <x:c r="Y785" s="14" t="b">
        <x:v>0</x:v>
      </x:c>
      <x:c r="Z785" s="2" t="n">
        <x:f>ABS(T785-AA785)</x:f>
        <x:v>0</x:v>
      </x:c>
      <x:c r="AA785" s="2" t="n">
        <x:v>93</x:v>
      </x:c>
      <x:c r="AB785" s="2" t="n">
        <x:f>ABS(K785-W785)</x:f>
        <x:v>1</x:v>
      </x:c>
      <x:c r="AC785" s="2" t="n">
        <x:f>COUNTIF($A$2:$A$1921,A785)-1</x:f>
        <x:v>0</x:v>
      </x:c>
      <x:c r="AD785" s="2" t="n">
        <x:f>IF(AND(D785=D784,H785=H784,C785=C784+1),ABS(R785-T784),0)</x:f>
        <x:v>0</x:v>
      </x:c>
    </x:row>
    <x:row r="786" ht="23" customHeight="1">
      <x:c r="A786" s="2" t="str">
        <x:v>DEMO-204-3-5</x:v>
      </x:c>
      <x:c r="B786" s="15" t="d">
        <x:v>2026-06-01T00:00:00.000Z</x:v>
      </x:c>
      <x:c r="C786" s="2" t="n">
        <x:v>5</x:v>
      </x:c>
      <x:c r="D786" s="2" t="str">
        <x:v>DEMO-204</x:v>
      </x:c>
      <x:c r="E786" s="2" t="str">
        <x:v>Wish Jar</x:v>
      </x:c>
      <x:c r="F786" s="2" t="str">
        <x:v>Gifting</x:v>
      </x:c>
      <x:c r="G786" s="2" t="str">
        <x:v>Online</x:v>
      </x:c>
      <x:c r="H786" s="2" t="str">
        <x:v>Online</x:v>
      </x:c>
      <x:c r="I786" s="2" t="n">
        <x:v>14</x:v>
      </x:c>
      <x:c r="J786" s="2" t="n">
        <x:v>1</x:v>
      </x:c>
      <x:c r="K786" s="2" t="n">
        <x:f>I786-J786</x:f>
        <x:v>13</x:v>
      </x:c>
      <x:c r="L786" s="16" t="n">
        <x:v>24</x:v>
      </x:c>
      <x:c r="M786" s="16" t="n">
        <x:v>24</x:v>
      </x:c>
      <x:c r="N786" s="16" t="n">
        <x:v>10.44</x:v>
      </x:c>
      <x:c r="O786" s="16" t="n">
        <x:f>K786*M786</x:f>
        <x:v>312</x:v>
      </x:c>
      <x:c r="P786" s="16" t="n">
        <x:f>K786*N786</x:f>
        <x:v>135.72</x:v>
      </x:c>
      <x:c r="Q786" s="16" t="n">
        <x:f>O786-P786</x:f>
        <x:v>176.28</x:v>
      </x:c>
      <x:c r="R786" s="2" t="n">
        <x:v>93</x:v>
      </x:c>
      <x:c r="S786" s="2" t="n">
        <x:v>57</x:v>
      </x:c>
      <x:c r="T786" s="2" t="n">
        <x:f>R786+S786+J786-I786</x:f>
        <x:v>137</x:v>
      </x:c>
      <x:c r="U786" s="2" t="n">
        <x:v>0</x:v>
      </x:c>
      <x:c r="V786" s="2" t="n">
        <x:v>2</x:v>
      </x:c>
      <x:c r="W786" s="2" t="n">
        <x:v>14</x:v>
      </x:c>
      <x:c r="X786" s="14" t="b">
        <x:v>0</x:v>
      </x:c>
      <x:c r="Y786" s="14" t="b">
        <x:v>0</x:v>
      </x:c>
      <x:c r="Z786" s="2" t="n">
        <x:f>ABS(T786-AA786)</x:f>
        <x:v>0</x:v>
      </x:c>
      <x:c r="AA786" s="2" t="n">
        <x:v>137</x:v>
      </x:c>
      <x:c r="AB786" s="2" t="n">
        <x:f>ABS(K786-W786)</x:f>
        <x:v>1</x:v>
      </x:c>
      <x:c r="AC786" s="2" t="n">
        <x:f>COUNTIF($A$2:$A$1921,A786)-1</x:f>
        <x:v>0</x:v>
      </x:c>
      <x:c r="AD786" s="2" t="n">
        <x:f>IF(AND(D786=D785,H786=H785,C786=C785+1),ABS(R786-T785),0)</x:f>
        <x:v>0</x:v>
      </x:c>
    </x:row>
    <x:row r="787" ht="23" customHeight="1">
      <x:c r="A787" s="2" t="str">
        <x:v>DEMO-204-3-6</x:v>
      </x:c>
      <x:c r="B787" s="15" t="d">
        <x:v>2026-06-08T00:00:00.000Z</x:v>
      </x:c>
      <x:c r="C787" s="2" t="n">
        <x:v>6</x:v>
      </x:c>
      <x:c r="D787" s="2" t="str">
        <x:v>DEMO-204</x:v>
      </x:c>
      <x:c r="E787" s="2" t="str">
        <x:v>Wish Jar</x:v>
      </x:c>
      <x:c r="F787" s="2" t="str">
        <x:v>Gifting</x:v>
      </x:c>
      <x:c r="G787" s="2" t="str">
        <x:v>Online</x:v>
      </x:c>
      <x:c r="H787" s="2" t="str">
        <x:v>Online</x:v>
      </x:c>
      <x:c r="I787" s="2" t="n">
        <x:v>13</x:v>
      </x:c>
      <x:c r="J787" s="2" t="n">
        <x:v>1</x:v>
      </x:c>
      <x:c r="K787" s="2" t="n">
        <x:f>I787-J787</x:f>
        <x:v>12</x:v>
      </x:c>
      <x:c r="L787" s="16" t="n">
        <x:v>24</x:v>
      </x:c>
      <x:c r="M787" s="16" t="n">
        <x:v>24</x:v>
      </x:c>
      <x:c r="N787" s="16" t="n">
        <x:v>10.44</x:v>
      </x:c>
      <x:c r="O787" s="16" t="n">
        <x:f>K787*M787</x:f>
        <x:v>288</x:v>
      </x:c>
      <x:c r="P787" s="16" t="n">
        <x:f>K787*N787</x:f>
        <x:v>125.28</x:v>
      </x:c>
      <x:c r="Q787" s="16" t="n">
        <x:f>O787-P787</x:f>
        <x:v>162.72</x:v>
      </x:c>
      <x:c r="R787" s="2" t="n">
        <x:v>137</x:v>
      </x:c>
      <x:c r="S787" s="2" t="n">
        <x:v>0</x:v>
      </x:c>
      <x:c r="T787" s="2" t="n">
        <x:f>R787+S787+J787-I787</x:f>
        <x:v>125</x:v>
      </x:c>
      <x:c r="U787" s="2" t="n">
        <x:v>0</x:v>
      </x:c>
      <x:c r="V787" s="2" t="n">
        <x:v>2</x:v>
      </x:c>
      <x:c r="W787" s="2" t="n">
        <x:v>14</x:v>
      </x:c>
      <x:c r="X787" s="14" t="b">
        <x:v>0</x:v>
      </x:c>
      <x:c r="Y787" s="14" t="b">
        <x:v>0</x:v>
      </x:c>
      <x:c r="Z787" s="2" t="n">
        <x:f>ABS(T787-AA787)</x:f>
        <x:v>0</x:v>
      </x:c>
      <x:c r="AA787" s="2" t="n">
        <x:v>125</x:v>
      </x:c>
      <x:c r="AB787" s="2" t="n">
        <x:f>ABS(K787-W787)</x:f>
        <x:v>2</x:v>
      </x:c>
      <x:c r="AC787" s="2" t="n">
        <x:f>COUNTIF($A$2:$A$1921,A787)-1</x:f>
        <x:v>0</x:v>
      </x:c>
      <x:c r="AD787" s="2" t="n">
        <x:f>IF(AND(D787=D786,H787=H786,C787=C786+1),ABS(R787-T786),0)</x:f>
        <x:v>0</x:v>
      </x:c>
    </x:row>
    <x:row r="788" ht="23" customHeight="1">
      <x:c r="A788" s="2" t="str">
        <x:v>DEMO-204-3-7</x:v>
      </x:c>
      <x:c r="B788" s="15" t="d">
        <x:v>2026-06-15T00:00:00.000Z</x:v>
      </x:c>
      <x:c r="C788" s="2" t="n">
        <x:v>7</x:v>
      </x:c>
      <x:c r="D788" s="2" t="str">
        <x:v>DEMO-204</x:v>
      </x:c>
      <x:c r="E788" s="2" t="str">
        <x:v>Wish Jar</x:v>
      </x:c>
      <x:c r="F788" s="2" t="str">
        <x:v>Gifting</x:v>
      </x:c>
      <x:c r="G788" s="2" t="str">
        <x:v>Online</x:v>
      </x:c>
      <x:c r="H788" s="2" t="str">
        <x:v>Online</x:v>
      </x:c>
      <x:c r="I788" s="2" t="n">
        <x:v>15</x:v>
      </x:c>
      <x:c r="J788" s="2" t="n">
        <x:v>0</x:v>
      </x:c>
      <x:c r="K788" s="2" t="n">
        <x:f>I788-J788</x:f>
        <x:v>15</x:v>
      </x:c>
      <x:c r="L788" s="16" t="n">
        <x:v>24</x:v>
      </x:c>
      <x:c r="M788" s="16" t="n">
        <x:v>24</x:v>
      </x:c>
      <x:c r="N788" s="16" t="n">
        <x:v>10.44</x:v>
      </x:c>
      <x:c r="O788" s="16" t="n">
        <x:f>K788*M788</x:f>
        <x:v>360</x:v>
      </x:c>
      <x:c r="P788" s="16" t="n">
        <x:f>K788*N788</x:f>
        <x:v>156.6</x:v>
      </x:c>
      <x:c r="Q788" s="16" t="n">
        <x:f>O788-P788</x:f>
        <x:v>203.4</x:v>
      </x:c>
      <x:c r="R788" s="2" t="n">
        <x:v>125</x:v>
      </x:c>
      <x:c r="S788" s="2" t="n">
        <x:v>0</x:v>
      </x:c>
      <x:c r="T788" s="2" t="n">
        <x:f>R788+S788+J788-I788</x:f>
        <x:v>110</x:v>
      </x:c>
      <x:c r="U788" s="2" t="n">
        <x:v>0</x:v>
      </x:c>
      <x:c r="V788" s="2" t="n">
        <x:v>2</x:v>
      </x:c>
      <x:c r="W788" s="2" t="n">
        <x:v>13</x:v>
      </x:c>
      <x:c r="X788" s="14" t="b">
        <x:v>0</x:v>
      </x:c>
      <x:c r="Y788" s="14" t="b">
        <x:v>0</x:v>
      </x:c>
      <x:c r="Z788" s="2" t="n">
        <x:f>ABS(T788-AA788)</x:f>
        <x:v>0</x:v>
      </x:c>
      <x:c r="AA788" s="2" t="n">
        <x:v>110</x:v>
      </x:c>
      <x:c r="AB788" s="2" t="n">
        <x:f>ABS(K788-W788)</x:f>
        <x:v>2</x:v>
      </x:c>
      <x:c r="AC788" s="2" t="n">
        <x:f>COUNTIF($A$2:$A$1921,A788)-1</x:f>
        <x:v>0</x:v>
      </x:c>
      <x:c r="AD788" s="2" t="n">
        <x:f>IF(AND(D788=D787,H788=H787,C788=C787+1),ABS(R788-T787),0)</x:f>
        <x:v>0</x:v>
      </x:c>
    </x:row>
    <x:row r="789" ht="23" customHeight="1">
      <x:c r="A789" s="2" t="str">
        <x:v>DEMO-204-3-8</x:v>
      </x:c>
      <x:c r="B789" s="15" t="d">
        <x:v>2026-06-22T00:00:00.000Z</x:v>
      </x:c>
      <x:c r="C789" s="2" t="n">
        <x:v>8</x:v>
      </x:c>
      <x:c r="D789" s="2" t="str">
        <x:v>DEMO-204</x:v>
      </x:c>
      <x:c r="E789" s="2" t="str">
        <x:v>Wish Jar</x:v>
      </x:c>
      <x:c r="F789" s="2" t="str">
        <x:v>Gifting</x:v>
      </x:c>
      <x:c r="G789" s="2" t="str">
        <x:v>Online</x:v>
      </x:c>
      <x:c r="H789" s="2" t="str">
        <x:v>Online</x:v>
      </x:c>
      <x:c r="I789" s="2" t="n">
        <x:v>12</x:v>
      </x:c>
      <x:c r="J789" s="2" t="n">
        <x:v>1</x:v>
      </x:c>
      <x:c r="K789" s="2" t="n">
        <x:f>I789-J789</x:f>
        <x:v>11</x:v>
      </x:c>
      <x:c r="L789" s="16" t="n">
        <x:v>24</x:v>
      </x:c>
      <x:c r="M789" s="16" t="n">
        <x:v>24</x:v>
      </x:c>
      <x:c r="N789" s="16" t="n">
        <x:v>10.44</x:v>
      </x:c>
      <x:c r="O789" s="16" t="n">
        <x:f>K789*M789</x:f>
        <x:v>264</x:v>
      </x:c>
      <x:c r="P789" s="16" t="n">
        <x:f>K789*N789</x:f>
        <x:v>114.83999999999999</x:v>
      </x:c>
      <x:c r="Q789" s="16" t="n">
        <x:f>O789-P789</x:f>
        <x:v>149.16000000000003</x:v>
      </x:c>
      <x:c r="R789" s="2" t="n">
        <x:v>110</x:v>
      </x:c>
      <x:c r="S789" s="2" t="n">
        <x:v>0</x:v>
      </x:c>
      <x:c r="T789" s="2" t="n">
        <x:f>R789+S789+J789-I789</x:f>
        <x:v>99</x:v>
      </x:c>
      <x:c r="U789" s="2" t="n">
        <x:v>0</x:v>
      </x:c>
      <x:c r="V789" s="2" t="n">
        <x:v>2</x:v>
      </x:c>
      <x:c r="W789" s="2" t="n">
        <x:v>13</x:v>
      </x:c>
      <x:c r="X789" s="14" t="b">
        <x:v>0</x:v>
      </x:c>
      <x:c r="Y789" s="14" t="b">
        <x:v>0</x:v>
      </x:c>
      <x:c r="Z789" s="2" t="n">
        <x:f>ABS(T789-AA789)</x:f>
        <x:v>0</x:v>
      </x:c>
      <x:c r="AA789" s="2" t="n">
        <x:v>99</x:v>
      </x:c>
      <x:c r="AB789" s="2" t="n">
        <x:f>ABS(K789-W789)</x:f>
        <x:v>2</x:v>
      </x:c>
      <x:c r="AC789" s="2" t="n">
        <x:f>COUNTIF($A$2:$A$1921,A789)-1</x:f>
        <x:v>0</x:v>
      </x:c>
      <x:c r="AD789" s="2" t="n">
        <x:f>IF(AND(D789=D788,H789=H788,C789=C788+1),ABS(R789-T788),0)</x:f>
        <x:v>0</x:v>
      </x:c>
    </x:row>
    <x:row r="790" ht="23" customHeight="1">
      <x:c r="A790" s="2" t="str">
        <x:v>DEMO-204-3-9</x:v>
      </x:c>
      <x:c r="B790" s="15" t="d">
        <x:v>2026-06-29T00:00:00.000Z</x:v>
      </x:c>
      <x:c r="C790" s="2" t="n">
        <x:v>9</x:v>
      </x:c>
      <x:c r="D790" s="2" t="str">
        <x:v>DEMO-204</x:v>
      </x:c>
      <x:c r="E790" s="2" t="str">
        <x:v>Wish Jar</x:v>
      </x:c>
      <x:c r="F790" s="2" t="str">
        <x:v>Gifting</x:v>
      </x:c>
      <x:c r="G790" s="2" t="str">
        <x:v>Online</x:v>
      </x:c>
      <x:c r="H790" s="2" t="str">
        <x:v>Online</x:v>
      </x:c>
      <x:c r="I790" s="2" t="n">
        <x:v>15</x:v>
      </x:c>
      <x:c r="J790" s="2" t="n">
        <x:v>0</x:v>
      </x:c>
      <x:c r="K790" s="2" t="n">
        <x:f>I790-J790</x:f>
        <x:v>15</x:v>
      </x:c>
      <x:c r="L790" s="16" t="n">
        <x:v>24</x:v>
      </x:c>
      <x:c r="M790" s="16" t="n">
        <x:v>24</x:v>
      </x:c>
      <x:c r="N790" s="16" t="n">
        <x:v>10.44</x:v>
      </x:c>
      <x:c r="O790" s="16" t="n">
        <x:f>K790*M790</x:f>
        <x:v>360</x:v>
      </x:c>
      <x:c r="P790" s="16" t="n">
        <x:f>K790*N790</x:f>
        <x:v>156.6</x:v>
      </x:c>
      <x:c r="Q790" s="16" t="n">
        <x:f>O790-P790</x:f>
        <x:v>203.4</x:v>
      </x:c>
      <x:c r="R790" s="2" t="n">
        <x:v>99</x:v>
      </x:c>
      <x:c r="S790" s="2" t="n">
        <x:v>57</x:v>
      </x:c>
      <x:c r="T790" s="2" t="n">
        <x:f>R790+S790+J790-I790</x:f>
        <x:v>141</x:v>
      </x:c>
      <x:c r="U790" s="2" t="n">
        <x:v>0</x:v>
      </x:c>
      <x:c r="V790" s="2" t="n">
        <x:v>2</x:v>
      </x:c>
      <x:c r="W790" s="2" t="n">
        <x:v>13</x:v>
      </x:c>
      <x:c r="X790" s="14" t="b">
        <x:v>0</x:v>
      </x:c>
      <x:c r="Y790" s="14" t="b">
        <x:v>0</x:v>
      </x:c>
      <x:c r="Z790" s="2" t="n">
        <x:f>ABS(T790-AA790)</x:f>
        <x:v>0</x:v>
      </x:c>
      <x:c r="AA790" s="2" t="n">
        <x:v>141</x:v>
      </x:c>
      <x:c r="AB790" s="2" t="n">
        <x:f>ABS(K790-W790)</x:f>
        <x:v>2</x:v>
      </x:c>
      <x:c r="AC790" s="2" t="n">
        <x:f>COUNTIF($A$2:$A$1921,A790)-1</x:f>
        <x:v>0</x:v>
      </x:c>
      <x:c r="AD790" s="2" t="n">
        <x:f>IF(AND(D790=D789,H790=H789,C790=C789+1),ABS(R790-T789),0)</x:f>
        <x:v>0</x:v>
      </x:c>
    </x:row>
    <x:row r="791" ht="23" customHeight="1">
      <x:c r="A791" s="2" t="str">
        <x:v>DEMO-204-3-10</x:v>
      </x:c>
      <x:c r="B791" s="15" t="d">
        <x:v>2026-07-06T00:00:00.000Z</x:v>
      </x:c>
      <x:c r="C791" s="2" t="n">
        <x:v>10</x:v>
      </x:c>
      <x:c r="D791" s="2" t="str">
        <x:v>DEMO-204</x:v>
      </x:c>
      <x:c r="E791" s="2" t="str">
        <x:v>Wish Jar</x:v>
      </x:c>
      <x:c r="F791" s="2" t="str">
        <x:v>Gifting</x:v>
      </x:c>
      <x:c r="G791" s="2" t="str">
        <x:v>Online</x:v>
      </x:c>
      <x:c r="H791" s="2" t="str">
        <x:v>Online</x:v>
      </x:c>
      <x:c r="I791" s="2" t="n">
        <x:v>12</x:v>
      </x:c>
      <x:c r="J791" s="2" t="n">
        <x:v>0</x:v>
      </x:c>
      <x:c r="K791" s="2" t="n">
        <x:f>I791-J791</x:f>
        <x:v>12</x:v>
      </x:c>
      <x:c r="L791" s="16" t="n">
        <x:v>24</x:v>
      </x:c>
      <x:c r="M791" s="16" t="n">
        <x:v>24</x:v>
      </x:c>
      <x:c r="N791" s="16" t="n">
        <x:v>10.44</x:v>
      </x:c>
      <x:c r="O791" s="16" t="n">
        <x:f>K791*M791</x:f>
        <x:v>288</x:v>
      </x:c>
      <x:c r="P791" s="16" t="n">
        <x:f>K791*N791</x:f>
        <x:v>125.28</x:v>
      </x:c>
      <x:c r="Q791" s="16" t="n">
        <x:f>O791-P791</x:f>
        <x:v>162.72</x:v>
      </x:c>
      <x:c r="R791" s="2" t="n">
        <x:v>141</x:v>
      </x:c>
      <x:c r="S791" s="2" t="n">
        <x:v>0</x:v>
      </x:c>
      <x:c r="T791" s="2" t="n">
        <x:f>R791+S791+J791-I791</x:f>
        <x:v>129</x:v>
      </x:c>
      <x:c r="U791" s="2" t="n">
        <x:v>0</x:v>
      </x:c>
      <x:c r="V791" s="2" t="n">
        <x:v>2</x:v>
      </x:c>
      <x:c r="W791" s="2" t="n">
        <x:v>13</x:v>
      </x:c>
      <x:c r="X791" s="14" t="b">
        <x:v>0</x:v>
      </x:c>
      <x:c r="Y791" s="14" t="b">
        <x:v>0</x:v>
      </x:c>
      <x:c r="Z791" s="2" t="n">
        <x:f>ABS(T791-AA791)</x:f>
        <x:v>0</x:v>
      </x:c>
      <x:c r="AA791" s="2" t="n">
        <x:v>129</x:v>
      </x:c>
      <x:c r="AB791" s="2" t="n">
        <x:f>ABS(K791-W791)</x:f>
        <x:v>1</x:v>
      </x:c>
      <x:c r="AC791" s="2" t="n">
        <x:f>COUNTIF($A$2:$A$1921,A791)-1</x:f>
        <x:v>0</x:v>
      </x:c>
      <x:c r="AD791" s="2" t="n">
        <x:f>IF(AND(D791=D790,H791=H790,C791=C790+1),ABS(R791-T790),0)</x:f>
        <x:v>0</x:v>
      </x:c>
    </x:row>
    <x:row r="792" ht="23" customHeight="1">
      <x:c r="A792" s="2" t="str">
        <x:v>DEMO-204-3-11</x:v>
      </x:c>
      <x:c r="B792" s="15" t="d">
        <x:v>2026-07-13T00:00:00.000Z</x:v>
      </x:c>
      <x:c r="C792" s="2" t="n">
        <x:v>11</x:v>
      </x:c>
      <x:c r="D792" s="2" t="str">
        <x:v>DEMO-204</x:v>
      </x:c>
      <x:c r="E792" s="2" t="str">
        <x:v>Wish Jar</x:v>
      </x:c>
      <x:c r="F792" s="2" t="str">
        <x:v>Gifting</x:v>
      </x:c>
      <x:c r="G792" s="2" t="str">
        <x:v>Online</x:v>
      </x:c>
      <x:c r="H792" s="2" t="str">
        <x:v>Online</x:v>
      </x:c>
      <x:c r="I792" s="2" t="n">
        <x:v>16</x:v>
      </x:c>
      <x:c r="J792" s="2" t="n">
        <x:v>0</x:v>
      </x:c>
      <x:c r="K792" s="2" t="n">
        <x:f>I792-J792</x:f>
        <x:v>16</x:v>
      </x:c>
      <x:c r="L792" s="16" t="n">
        <x:v>24</x:v>
      </x:c>
      <x:c r="M792" s="16" t="n">
        <x:v>24</x:v>
      </x:c>
      <x:c r="N792" s="16" t="n">
        <x:v>10.44</x:v>
      </x:c>
      <x:c r="O792" s="16" t="n">
        <x:f>K792*M792</x:f>
        <x:v>384</x:v>
      </x:c>
      <x:c r="P792" s="16" t="n">
        <x:f>K792*N792</x:f>
        <x:v>167.04</x:v>
      </x:c>
      <x:c r="Q792" s="16" t="n">
        <x:f>O792-P792</x:f>
        <x:v>216.96</x:v>
      </x:c>
      <x:c r="R792" s="2" t="n">
        <x:v>129</x:v>
      </x:c>
      <x:c r="S792" s="2" t="n">
        <x:v>0</x:v>
      </x:c>
      <x:c r="T792" s="2" t="n">
        <x:f>R792+S792+J792-I792</x:f>
        <x:v>113</x:v>
      </x:c>
      <x:c r="U792" s="2" t="n">
        <x:v>0</x:v>
      </x:c>
      <x:c r="V792" s="2" t="n">
        <x:v>2</x:v>
      </x:c>
      <x:c r="W792" s="2" t="n">
        <x:v>13</x:v>
      </x:c>
      <x:c r="X792" s="14" t="b">
        <x:v>0</x:v>
      </x:c>
      <x:c r="Y792" s="14" t="b">
        <x:v>0</x:v>
      </x:c>
      <x:c r="Z792" s="2" t="n">
        <x:f>ABS(T792-AA792)</x:f>
        <x:v>0</x:v>
      </x:c>
      <x:c r="AA792" s="2" t="n">
        <x:v>113</x:v>
      </x:c>
      <x:c r="AB792" s="2" t="n">
        <x:f>ABS(K792-W792)</x:f>
        <x:v>3</x:v>
      </x:c>
      <x:c r="AC792" s="2" t="n">
        <x:f>COUNTIF($A$2:$A$1921,A792)-1</x:f>
        <x:v>0</x:v>
      </x:c>
      <x:c r="AD792" s="2" t="n">
        <x:f>IF(AND(D792=D791,H792=H791,C792=C791+1),ABS(R792-T791),0)</x:f>
        <x:v>0</x:v>
      </x:c>
    </x:row>
    <x:row r="793" ht="23" customHeight="1">
      <x:c r="A793" s="2" t="str">
        <x:v>DEMO-204-3-12</x:v>
      </x:c>
      <x:c r="B793" s="15" t="d">
        <x:v>2026-07-20T00:00:00.000Z</x:v>
      </x:c>
      <x:c r="C793" s="2" t="n">
        <x:v>12</x:v>
      </x:c>
      <x:c r="D793" s="2" t="str">
        <x:v>DEMO-204</x:v>
      </x:c>
      <x:c r="E793" s="2" t="str">
        <x:v>Wish Jar</x:v>
      </x:c>
      <x:c r="F793" s="2" t="str">
        <x:v>Gifting</x:v>
      </x:c>
      <x:c r="G793" s="2" t="str">
        <x:v>Online</x:v>
      </x:c>
      <x:c r="H793" s="2" t="str">
        <x:v>Online</x:v>
      </x:c>
      <x:c r="I793" s="2" t="n">
        <x:v>34</x:v>
      </x:c>
      <x:c r="J793" s="2" t="n">
        <x:v>0</x:v>
      </x:c>
      <x:c r="K793" s="2" t="n">
        <x:f>I793-J793</x:f>
        <x:v>34</x:v>
      </x:c>
      <x:c r="L793" s="16" t="n">
        <x:v>24</x:v>
      </x:c>
      <x:c r="M793" s="16" t="n">
        <x:v>21.6</x:v>
      </x:c>
      <x:c r="N793" s="16" t="n">
        <x:v>10.44</x:v>
      </x:c>
      <x:c r="O793" s="16" t="n">
        <x:f>K793*M793</x:f>
        <x:v>734.4000000000001</x:v>
      </x:c>
      <x:c r="P793" s="16" t="n">
        <x:f>K793*N793</x:f>
        <x:v>354.96</x:v>
      </x:c>
      <x:c r="Q793" s="16" t="n">
        <x:f>O793-P793</x:f>
        <x:v>379.4400000000001</x:v>
      </x:c>
      <x:c r="R793" s="2" t="n">
        <x:v>113</x:v>
      </x:c>
      <x:c r="S793" s="2" t="n">
        <x:v>0</x:v>
      </x:c>
      <x:c r="T793" s="2" t="n">
        <x:f>R793+S793+J793-I793</x:f>
        <x:v>79</x:v>
      </x:c>
      <x:c r="U793" s="2" t="n">
        <x:v>0</x:v>
      </x:c>
      <x:c r="V793" s="2" t="n">
        <x:v>2</x:v>
      </x:c>
      <x:c r="W793" s="2" t="n">
        <x:v>14</x:v>
      </x:c>
      <x:c r="X793" s="14" t="b">
        <x:v>1</x:v>
      </x:c>
      <x:c r="Y793" s="14" t="b">
        <x:v>0</x:v>
      </x:c>
      <x:c r="Z793" s="2" t="n">
        <x:f>ABS(T793-AA793)</x:f>
        <x:v>0</x:v>
      </x:c>
      <x:c r="AA793" s="2" t="n">
        <x:v>79</x:v>
      </x:c>
      <x:c r="AB793" s="2" t="n">
        <x:f>ABS(K793-W793)</x:f>
        <x:v>20</x:v>
      </x:c>
      <x:c r="AC793" s="2" t="n">
        <x:f>COUNTIF($A$2:$A$1921,A793)-1</x:f>
        <x:v>0</x:v>
      </x:c>
      <x:c r="AD793" s="2" t="n">
        <x:f>IF(AND(D793=D792,H793=H792,C793=C792+1),ABS(R793-T792),0)</x:f>
        <x:v>0</x:v>
      </x:c>
    </x:row>
    <x:row r="794" ht="23" customHeight="1">
      <x:c r="A794" s="2" t="str">
        <x:v>DEMO-204-3-13</x:v>
      </x:c>
      <x:c r="B794" s="15" t="d">
        <x:v>2026-07-27T00:00:00.000Z</x:v>
      </x:c>
      <x:c r="C794" s="2" t="n">
        <x:v>13</x:v>
      </x:c>
      <x:c r="D794" s="2" t="str">
        <x:v>DEMO-204</x:v>
      </x:c>
      <x:c r="E794" s="2" t="str">
        <x:v>Wish Jar</x:v>
      </x:c>
      <x:c r="F794" s="2" t="str">
        <x:v>Gifting</x:v>
      </x:c>
      <x:c r="G794" s="2" t="str">
        <x:v>Online</x:v>
      </x:c>
      <x:c r="H794" s="2" t="str">
        <x:v>Online</x:v>
      </x:c>
      <x:c r="I794" s="2" t="n">
        <x:v>25</x:v>
      </x:c>
      <x:c r="J794" s="2" t="n">
        <x:v>0</x:v>
      </x:c>
      <x:c r="K794" s="2" t="n">
        <x:f>I794-J794</x:f>
        <x:v>25</x:v>
      </x:c>
      <x:c r="L794" s="16" t="n">
        <x:v>24</x:v>
      </x:c>
      <x:c r="M794" s="16" t="n">
        <x:v>21.6</x:v>
      </x:c>
      <x:c r="N794" s="16" t="n">
        <x:v>10.44</x:v>
      </x:c>
      <x:c r="O794" s="16" t="n">
        <x:f>K794*M794</x:f>
        <x:v>540</x:v>
      </x:c>
      <x:c r="P794" s="16" t="n">
        <x:f>K794*N794</x:f>
        <x:v>261</x:v>
      </x:c>
      <x:c r="Q794" s="16" t="n">
        <x:f>O794-P794</x:f>
        <x:v>279</x:v>
      </x:c>
      <x:c r="R794" s="2" t="n">
        <x:v>79</x:v>
      </x:c>
      <x:c r="S794" s="2" t="n">
        <x:v>57</x:v>
      </x:c>
      <x:c r="T794" s="2" t="n">
        <x:f>R794+S794+J794-I794</x:f>
        <x:v>111</x:v>
      </x:c>
      <x:c r="U794" s="2" t="n">
        <x:v>0</x:v>
      </x:c>
      <x:c r="V794" s="2" t="n">
        <x:v>2</x:v>
      </x:c>
      <x:c r="W794" s="2" t="n">
        <x:v>19</x:v>
      </x:c>
      <x:c r="X794" s="14" t="b">
        <x:v>1</x:v>
      </x:c>
      <x:c r="Y794" s="14" t="b">
        <x:v>0</x:v>
      </x:c>
      <x:c r="Z794" s="2" t="n">
        <x:f>ABS(T794-AA794)</x:f>
        <x:v>0</x:v>
      </x:c>
      <x:c r="AA794" s="2" t="n">
        <x:v>111</x:v>
      </x:c>
      <x:c r="AB794" s="2" t="n">
        <x:f>ABS(K794-W794)</x:f>
        <x:v>6</x:v>
      </x:c>
      <x:c r="AC794" s="2" t="n">
        <x:f>COUNTIF($A$2:$A$1921,A794)-1</x:f>
        <x:v>0</x:v>
      </x:c>
      <x:c r="AD794" s="2" t="n">
        <x:f>IF(AND(D794=D793,H794=H793,C794=C793+1),ABS(R794-T793),0)</x:f>
        <x:v>0</x:v>
      </x:c>
    </x:row>
    <x:row r="795" ht="23" customHeight="1">
      <x:c r="A795" s="2" t="str">
        <x:v>DEMO-204-3-14</x:v>
      </x:c>
      <x:c r="B795" s="15" t="d">
        <x:v>2026-08-03T00:00:00.000Z</x:v>
      </x:c>
      <x:c r="C795" s="2" t="n">
        <x:v>14</x:v>
      </x:c>
      <x:c r="D795" s="2" t="str">
        <x:v>DEMO-204</x:v>
      </x:c>
      <x:c r="E795" s="2" t="str">
        <x:v>Wish Jar</x:v>
      </x:c>
      <x:c r="F795" s="2" t="str">
        <x:v>Gifting</x:v>
      </x:c>
      <x:c r="G795" s="2" t="str">
        <x:v>Online</x:v>
      </x:c>
      <x:c r="H795" s="2" t="str">
        <x:v>Online</x:v>
      </x:c>
      <x:c r="I795" s="2" t="n">
        <x:v>29</x:v>
      </x:c>
      <x:c r="J795" s="2" t="n">
        <x:v>0</x:v>
      </x:c>
      <x:c r="K795" s="2" t="n">
        <x:f>I795-J795</x:f>
        <x:v>29</x:v>
      </x:c>
      <x:c r="L795" s="16" t="n">
        <x:v>24</x:v>
      </x:c>
      <x:c r="M795" s="16" t="n">
        <x:v>21.6</x:v>
      </x:c>
      <x:c r="N795" s="16" t="n">
        <x:v>10.44</x:v>
      </x:c>
      <x:c r="O795" s="16" t="n">
        <x:f>K795*M795</x:f>
        <x:v>626.4000000000001</x:v>
      </x:c>
      <x:c r="P795" s="16" t="n">
        <x:f>K795*N795</x:f>
        <x:v>302.76</x:v>
      </x:c>
      <x:c r="Q795" s="16" t="n">
        <x:f>O795-P795</x:f>
        <x:v>323.6400000000001</x:v>
      </x:c>
      <x:c r="R795" s="2" t="n">
        <x:v>111</x:v>
      </x:c>
      <x:c r="S795" s="2" t="n">
        <x:v>0</x:v>
      </x:c>
      <x:c r="T795" s="2" t="n">
        <x:f>R795+S795+J795-I795</x:f>
        <x:v>82</x:v>
      </x:c>
      <x:c r="U795" s="2" t="n">
        <x:v>0</x:v>
      </x:c>
      <x:c r="V795" s="2" t="n">
        <x:v>2</x:v>
      </x:c>
      <x:c r="W795" s="2" t="n">
        <x:v>22</x:v>
      </x:c>
      <x:c r="X795" s="14" t="b">
        <x:v>1</x:v>
      </x:c>
      <x:c r="Y795" s="14" t="b">
        <x:v>0</x:v>
      </x:c>
      <x:c r="Z795" s="2" t="n">
        <x:f>ABS(T795-AA795)</x:f>
        <x:v>0</x:v>
      </x:c>
      <x:c r="AA795" s="2" t="n">
        <x:v>82</x:v>
      </x:c>
      <x:c r="AB795" s="2" t="n">
        <x:f>ABS(K795-W795)</x:f>
        <x:v>7</x:v>
      </x:c>
      <x:c r="AC795" s="2" t="n">
        <x:f>COUNTIF($A$2:$A$1921,A795)-1</x:f>
        <x:v>0</x:v>
      </x:c>
      <x:c r="AD795" s="2" t="n">
        <x:f>IF(AND(D795=D794,H795=H794,C795=C794+1),ABS(R795-T794),0)</x:f>
        <x:v>0</x:v>
      </x:c>
    </x:row>
    <x:row r="796" ht="23" customHeight="1">
      <x:c r="A796" s="2" t="str">
        <x:v>DEMO-204-3-15</x:v>
      </x:c>
      <x:c r="B796" s="15" t="d">
        <x:v>2026-08-10T00:00:00.000Z</x:v>
      </x:c>
      <x:c r="C796" s="2" t="n">
        <x:v>15</x:v>
      </x:c>
      <x:c r="D796" s="2" t="str">
        <x:v>DEMO-204</x:v>
      </x:c>
      <x:c r="E796" s="2" t="str">
        <x:v>Wish Jar</x:v>
      </x:c>
      <x:c r="F796" s="2" t="str">
        <x:v>Gifting</x:v>
      </x:c>
      <x:c r="G796" s="2" t="str">
        <x:v>Online</x:v>
      </x:c>
      <x:c r="H796" s="2" t="str">
        <x:v>Online</x:v>
      </x:c>
      <x:c r="I796" s="2" t="n">
        <x:v>16</x:v>
      </x:c>
      <x:c r="J796" s="2" t="n">
        <x:v>1</x:v>
      </x:c>
      <x:c r="K796" s="2" t="n">
        <x:f>I796-J796</x:f>
        <x:v>15</x:v>
      </x:c>
      <x:c r="L796" s="16" t="n">
        <x:v>24</x:v>
      </x:c>
      <x:c r="M796" s="16" t="n">
        <x:v>24</x:v>
      </x:c>
      <x:c r="N796" s="16" t="n">
        <x:v>10.44</x:v>
      </x:c>
      <x:c r="O796" s="16" t="n">
        <x:f>K796*M796</x:f>
        <x:v>360</x:v>
      </x:c>
      <x:c r="P796" s="16" t="n">
        <x:f>K796*N796</x:f>
        <x:v>156.6</x:v>
      </x:c>
      <x:c r="Q796" s="16" t="n">
        <x:f>O796-P796</x:f>
        <x:v>203.4</x:v>
      </x:c>
      <x:c r="R796" s="2" t="n">
        <x:v>82</x:v>
      </x:c>
      <x:c r="S796" s="2" t="n">
        <x:v>0</x:v>
      </x:c>
      <x:c r="T796" s="2" t="n">
        <x:f>R796+S796+J796-I796</x:f>
        <x:v>67</x:v>
      </x:c>
      <x:c r="U796" s="2" t="n">
        <x:v>0</x:v>
      </x:c>
      <x:c r="V796" s="2" t="n">
        <x:v>2</x:v>
      </x:c>
      <x:c r="W796" s="2" t="n">
        <x:v>26</x:v>
      </x:c>
      <x:c r="X796" s="14" t="b">
        <x:v>0</x:v>
      </x:c>
      <x:c r="Y796" s="14" t="b">
        <x:v>0</x:v>
      </x:c>
      <x:c r="Z796" s="2" t="n">
        <x:f>ABS(T796-AA796)</x:f>
        <x:v>0</x:v>
      </x:c>
      <x:c r="AA796" s="2" t="n">
        <x:v>67</x:v>
      </x:c>
      <x:c r="AB796" s="2" t="n">
        <x:f>ABS(K796-W796)</x:f>
        <x:v>11</x:v>
      </x:c>
      <x:c r="AC796" s="2" t="n">
        <x:f>COUNTIF($A$2:$A$1921,A796)-1</x:f>
        <x:v>0</x:v>
      </x:c>
      <x:c r="AD796" s="2" t="n">
        <x:f>IF(AND(D796=D795,H796=H795,C796=C795+1),ABS(R796-T795),0)</x:f>
        <x:v>0</x:v>
      </x:c>
    </x:row>
    <x:row r="797" ht="23" customHeight="1">
      <x:c r="A797" s="2" t="str">
        <x:v>DEMO-204-3-16</x:v>
      </x:c>
      <x:c r="B797" s="15" t="d">
        <x:v>2026-08-17T00:00:00.000Z</x:v>
      </x:c>
      <x:c r="C797" s="2" t="n">
        <x:v>16</x:v>
      </x:c>
      <x:c r="D797" s="2" t="str">
        <x:v>DEMO-204</x:v>
      </x:c>
      <x:c r="E797" s="2" t="str">
        <x:v>Wish Jar</x:v>
      </x:c>
      <x:c r="F797" s="2" t="str">
        <x:v>Gifting</x:v>
      </x:c>
      <x:c r="G797" s="2" t="str">
        <x:v>Online</x:v>
      </x:c>
      <x:c r="H797" s="2" t="str">
        <x:v>Online</x:v>
      </x:c>
      <x:c r="I797" s="2" t="n">
        <x:v>12</x:v>
      </x:c>
      <x:c r="J797" s="2" t="n">
        <x:v>0</x:v>
      </x:c>
      <x:c r="K797" s="2" t="n">
        <x:f>I797-J797</x:f>
        <x:v>12</x:v>
      </x:c>
      <x:c r="L797" s="16" t="n">
        <x:v>24</x:v>
      </x:c>
      <x:c r="M797" s="16" t="n">
        <x:v>24</x:v>
      </x:c>
      <x:c r="N797" s="16" t="n">
        <x:v>10.44</x:v>
      </x:c>
      <x:c r="O797" s="16" t="n">
        <x:f>K797*M797</x:f>
        <x:v>288</x:v>
      </x:c>
      <x:c r="P797" s="16" t="n">
        <x:f>K797*N797</x:f>
        <x:v>125.28</x:v>
      </x:c>
      <x:c r="Q797" s="16" t="n">
        <x:f>O797-P797</x:f>
        <x:v>162.72</x:v>
      </x:c>
      <x:c r="R797" s="2" t="n">
        <x:v>67</x:v>
      </x:c>
      <x:c r="S797" s="2" t="n">
        <x:v>0</x:v>
      </x:c>
      <x:c r="T797" s="2" t="n">
        <x:f>R797+S797+J797-I797</x:f>
        <x:v>55</x:v>
      </x:c>
      <x:c r="U797" s="2" t="n">
        <x:v>0</x:v>
      </x:c>
      <x:c r="V797" s="2" t="n">
        <x:v>2</x:v>
      </x:c>
      <x:c r="W797" s="2" t="n">
        <x:v>26</x:v>
      </x:c>
      <x:c r="X797" s="14" t="b">
        <x:v>0</x:v>
      </x:c>
      <x:c r="Y797" s="14" t="b">
        <x:v>0</x:v>
      </x:c>
      <x:c r="Z797" s="2" t="n">
        <x:f>ABS(T797-AA797)</x:f>
        <x:v>0</x:v>
      </x:c>
      <x:c r="AA797" s="2" t="n">
        <x:v>55</x:v>
      </x:c>
      <x:c r="AB797" s="2" t="n">
        <x:f>ABS(K797-W797)</x:f>
        <x:v>14</x:v>
      </x:c>
      <x:c r="AC797" s="2" t="n">
        <x:f>COUNTIF($A$2:$A$1921,A797)-1</x:f>
        <x:v>0</x:v>
      </x:c>
      <x:c r="AD797" s="2" t="n">
        <x:f>IF(AND(D797=D796,H797=H796,C797=C796+1),ABS(R797-T796),0)</x:f>
        <x:v>0</x:v>
      </x:c>
    </x:row>
    <x:row r="798" ht="23" customHeight="1">
      <x:c r="A798" s="2" t="str">
        <x:v>DEMO-204-3-17</x:v>
      </x:c>
      <x:c r="B798" s="15" t="d">
        <x:v>2026-08-24T00:00:00.000Z</x:v>
      </x:c>
      <x:c r="C798" s="2" t="n">
        <x:v>17</x:v>
      </x:c>
      <x:c r="D798" s="2" t="str">
        <x:v>DEMO-204</x:v>
      </x:c>
      <x:c r="E798" s="2" t="str">
        <x:v>Wish Jar</x:v>
      </x:c>
      <x:c r="F798" s="2" t="str">
        <x:v>Gifting</x:v>
      </x:c>
      <x:c r="G798" s="2" t="str">
        <x:v>Online</x:v>
      </x:c>
      <x:c r="H798" s="2" t="str">
        <x:v>Online</x:v>
      </x:c>
      <x:c r="I798" s="2" t="n">
        <x:v>15</x:v>
      </x:c>
      <x:c r="J798" s="2" t="n">
        <x:v>0</x:v>
      </x:c>
      <x:c r="K798" s="2" t="n">
        <x:f>I798-J798</x:f>
        <x:v>15</x:v>
      </x:c>
      <x:c r="L798" s="16" t="n">
        <x:v>24</x:v>
      </x:c>
      <x:c r="M798" s="16" t="n">
        <x:v>24</x:v>
      </x:c>
      <x:c r="N798" s="16" t="n">
        <x:v>10.44</x:v>
      </x:c>
      <x:c r="O798" s="16" t="n">
        <x:f>K798*M798</x:f>
        <x:v>360</x:v>
      </x:c>
      <x:c r="P798" s="16" t="n">
        <x:f>K798*N798</x:f>
        <x:v>156.6</x:v>
      </x:c>
      <x:c r="Q798" s="16" t="n">
        <x:f>O798-P798</x:f>
        <x:v>203.4</x:v>
      </x:c>
      <x:c r="R798" s="2" t="n">
        <x:v>55</x:v>
      </x:c>
      <x:c r="S798" s="2" t="n">
        <x:v>57</x:v>
      </x:c>
      <x:c r="T798" s="2" t="n">
        <x:f>R798+S798+J798-I798</x:f>
        <x:v>97</x:v>
      </x:c>
      <x:c r="U798" s="2" t="n">
        <x:v>0</x:v>
      </x:c>
      <x:c r="V798" s="2" t="n">
        <x:v>2</x:v>
      </x:c>
      <x:c r="W798" s="2" t="n">
        <x:v>20</x:v>
      </x:c>
      <x:c r="X798" s="14" t="b">
        <x:v>0</x:v>
      </x:c>
      <x:c r="Y798" s="14" t="b">
        <x:v>0</x:v>
      </x:c>
      <x:c r="Z798" s="2" t="n">
        <x:f>ABS(T798-AA798)</x:f>
        <x:v>0</x:v>
      </x:c>
      <x:c r="AA798" s="2" t="n">
        <x:v>97</x:v>
      </x:c>
      <x:c r="AB798" s="2" t="n">
        <x:f>ABS(K798-W798)</x:f>
        <x:v>5</x:v>
      </x:c>
      <x:c r="AC798" s="2" t="n">
        <x:f>COUNTIF($A$2:$A$1921,A798)-1</x:f>
        <x:v>0</x:v>
      </x:c>
      <x:c r="AD798" s="2" t="n">
        <x:f>IF(AND(D798=D797,H798=H797,C798=C797+1),ABS(R798-T797),0)</x:f>
        <x:v>0</x:v>
      </x:c>
    </x:row>
    <x:row r="799" ht="23" customHeight="1">
      <x:c r="A799" s="2" t="str">
        <x:v>DEMO-204-3-18</x:v>
      </x:c>
      <x:c r="B799" s="15" t="d">
        <x:v>2026-08-31T00:00:00.000Z</x:v>
      </x:c>
      <x:c r="C799" s="2" t="n">
        <x:v>18</x:v>
      </x:c>
      <x:c r="D799" s="2" t="str">
        <x:v>DEMO-204</x:v>
      </x:c>
      <x:c r="E799" s="2" t="str">
        <x:v>Wish Jar</x:v>
      </x:c>
      <x:c r="F799" s="2" t="str">
        <x:v>Gifting</x:v>
      </x:c>
      <x:c r="G799" s="2" t="str">
        <x:v>Online</x:v>
      </x:c>
      <x:c r="H799" s="2" t="str">
        <x:v>Online</x:v>
      </x:c>
      <x:c r="I799" s="2" t="n">
        <x:v>16</x:v>
      </x:c>
      <x:c r="J799" s="2" t="n">
        <x:v>0</x:v>
      </x:c>
      <x:c r="K799" s="2" t="n">
        <x:f>I799-J799</x:f>
        <x:v>16</x:v>
      </x:c>
      <x:c r="L799" s="16" t="n">
        <x:v>24</x:v>
      </x:c>
      <x:c r="M799" s="16" t="n">
        <x:v>24</x:v>
      </x:c>
      <x:c r="N799" s="16" t="n">
        <x:v>10.44</x:v>
      </x:c>
      <x:c r="O799" s="16" t="n">
        <x:f>K799*M799</x:f>
        <x:v>384</x:v>
      </x:c>
      <x:c r="P799" s="16" t="n">
        <x:f>K799*N799</x:f>
        <x:v>167.04</x:v>
      </x:c>
      <x:c r="Q799" s="16" t="n">
        <x:f>O799-P799</x:f>
        <x:v>216.96</x:v>
      </x:c>
      <x:c r="R799" s="2" t="n">
        <x:v>97</x:v>
      </x:c>
      <x:c r="S799" s="2" t="n">
        <x:v>0</x:v>
      </x:c>
      <x:c r="T799" s="2" t="n">
        <x:f>R799+S799+J799-I799</x:f>
        <x:v>81</x:v>
      </x:c>
      <x:c r="U799" s="2" t="n">
        <x:v>0</x:v>
      </x:c>
      <x:c r="V799" s="2" t="n">
        <x:v>2</x:v>
      </x:c>
      <x:c r="W799" s="2" t="n">
        <x:v>18</x:v>
      </x:c>
      <x:c r="X799" s="14" t="b">
        <x:v>0</x:v>
      </x:c>
      <x:c r="Y799" s="14" t="b">
        <x:v>0</x:v>
      </x:c>
      <x:c r="Z799" s="2" t="n">
        <x:f>ABS(T799-AA799)</x:f>
        <x:v>0</x:v>
      </x:c>
      <x:c r="AA799" s="2" t="n">
        <x:v>81</x:v>
      </x:c>
      <x:c r="AB799" s="2" t="n">
        <x:f>ABS(K799-W799)</x:f>
        <x:v>2</x:v>
      </x:c>
      <x:c r="AC799" s="2" t="n">
        <x:f>COUNTIF($A$2:$A$1921,A799)-1</x:f>
        <x:v>0</x:v>
      </x:c>
      <x:c r="AD799" s="2" t="n">
        <x:f>IF(AND(D799=D798,H799=H798,C799=C798+1),ABS(R799-T798),0)</x:f>
        <x:v>0</x:v>
      </x:c>
    </x:row>
    <x:row r="800" ht="23" customHeight="1">
      <x:c r="A800" s="2" t="str">
        <x:v>DEMO-204-3-19</x:v>
      </x:c>
      <x:c r="B800" s="15" t="d">
        <x:v>2026-09-07T00:00:00.000Z</x:v>
      </x:c>
      <x:c r="C800" s="2" t="n">
        <x:v>19</x:v>
      </x:c>
      <x:c r="D800" s="2" t="str">
        <x:v>DEMO-204</x:v>
      </x:c>
      <x:c r="E800" s="2" t="str">
        <x:v>Wish Jar</x:v>
      </x:c>
      <x:c r="F800" s="2" t="str">
        <x:v>Gifting</x:v>
      </x:c>
      <x:c r="G800" s="2" t="str">
        <x:v>Online</x:v>
      </x:c>
      <x:c r="H800" s="2" t="str">
        <x:v>Online</x:v>
      </x:c>
      <x:c r="I800" s="2" t="n">
        <x:v>14</x:v>
      </x:c>
      <x:c r="J800" s="2" t="n">
        <x:v>0</x:v>
      </x:c>
      <x:c r="K800" s="2" t="n">
        <x:f>I800-J800</x:f>
        <x:v>14</x:v>
      </x:c>
      <x:c r="L800" s="16" t="n">
        <x:v>24</x:v>
      </x:c>
      <x:c r="M800" s="16" t="n">
        <x:v>24</x:v>
      </x:c>
      <x:c r="N800" s="16" t="n">
        <x:v>10.44</x:v>
      </x:c>
      <x:c r="O800" s="16" t="n">
        <x:f>K800*M800</x:f>
        <x:v>336</x:v>
      </x:c>
      <x:c r="P800" s="16" t="n">
        <x:f>K800*N800</x:f>
        <x:v>146.16</x:v>
      </x:c>
      <x:c r="Q800" s="16" t="n">
        <x:f>O800-P800</x:f>
        <x:v>189.84</x:v>
      </x:c>
      <x:c r="R800" s="2" t="n">
        <x:v>81</x:v>
      </x:c>
      <x:c r="S800" s="2" t="n">
        <x:v>0</x:v>
      </x:c>
      <x:c r="T800" s="2" t="n">
        <x:f>R800+S800+J800-I800</x:f>
        <x:v>67</x:v>
      </x:c>
      <x:c r="U800" s="2" t="n">
        <x:v>0</x:v>
      </x:c>
      <x:c r="V800" s="2" t="n">
        <x:v>2</x:v>
      </x:c>
      <x:c r="W800" s="2" t="n">
        <x:v>15</x:v>
      </x:c>
      <x:c r="X800" s="14" t="b">
        <x:v>0</x:v>
      </x:c>
      <x:c r="Y800" s="14" t="b">
        <x:v>0</x:v>
      </x:c>
      <x:c r="Z800" s="2" t="n">
        <x:f>ABS(T800-AA800)</x:f>
        <x:v>0</x:v>
      </x:c>
      <x:c r="AA800" s="2" t="n">
        <x:v>67</x:v>
      </x:c>
      <x:c r="AB800" s="2" t="n">
        <x:f>ABS(K800-W800)</x:f>
        <x:v>1</x:v>
      </x:c>
      <x:c r="AC800" s="2" t="n">
        <x:f>COUNTIF($A$2:$A$1921,A800)-1</x:f>
        <x:v>0</x:v>
      </x:c>
      <x:c r="AD800" s="2" t="n">
        <x:f>IF(AND(D800=D799,H800=H799,C800=C799+1),ABS(R800-T799),0)</x:f>
        <x:v>0</x:v>
      </x:c>
    </x:row>
    <x:row r="801" ht="23" customHeight="1">
      <x:c r="A801" s="2" t="str">
        <x:v>DEMO-204-3-20</x:v>
      </x:c>
      <x:c r="B801" s="15" t="d">
        <x:v>2026-09-14T00:00:00.000Z</x:v>
      </x:c>
      <x:c r="C801" s="2" t="n">
        <x:v>20</x:v>
      </x:c>
      <x:c r="D801" s="2" t="str">
        <x:v>DEMO-204</x:v>
      </x:c>
      <x:c r="E801" s="2" t="str">
        <x:v>Wish Jar</x:v>
      </x:c>
      <x:c r="F801" s="2" t="str">
        <x:v>Gifting</x:v>
      </x:c>
      <x:c r="G801" s="2" t="str">
        <x:v>Online</x:v>
      </x:c>
      <x:c r="H801" s="2" t="str">
        <x:v>Online</x:v>
      </x:c>
      <x:c r="I801" s="2" t="n">
        <x:v>12</x:v>
      </x:c>
      <x:c r="J801" s="2" t="n">
        <x:v>0</x:v>
      </x:c>
      <x:c r="K801" s="2" t="n">
        <x:f>I801-J801</x:f>
        <x:v>12</x:v>
      </x:c>
      <x:c r="L801" s="16" t="n">
        <x:v>24</x:v>
      </x:c>
      <x:c r="M801" s="16" t="n">
        <x:v>24</x:v>
      </x:c>
      <x:c r="N801" s="16" t="n">
        <x:v>10.44</x:v>
      </x:c>
      <x:c r="O801" s="16" t="n">
        <x:f>K801*M801</x:f>
        <x:v>288</x:v>
      </x:c>
      <x:c r="P801" s="16" t="n">
        <x:f>K801*N801</x:f>
        <x:v>125.28</x:v>
      </x:c>
      <x:c r="Q801" s="16" t="n">
        <x:f>O801-P801</x:f>
        <x:v>162.72</x:v>
      </x:c>
      <x:c r="R801" s="2" t="n">
        <x:v>67</x:v>
      </x:c>
      <x:c r="S801" s="2" t="n">
        <x:v>0</x:v>
      </x:c>
      <x:c r="T801" s="2" t="n">
        <x:f>R801+S801+J801-I801</x:f>
        <x:v>55</x:v>
      </x:c>
      <x:c r="U801" s="2" t="n">
        <x:v>18</x:v>
      </x:c>
      <x:c r="V801" s="2" t="n">
        <x:v>2</x:v>
      </x:c>
      <x:c r="W801" s="2" t="n">
        <x:v>14</x:v>
      </x:c>
      <x:c r="X801" s="14" t="b">
        <x:v>0</x:v>
      </x:c>
      <x:c r="Y801" s="14" t="b">
        <x:v>0</x:v>
      </x:c>
      <x:c r="Z801" s="2" t="n">
        <x:f>ABS(T801-AA801)</x:f>
        <x:v>0</x:v>
      </x:c>
      <x:c r="AA801" s="2" t="n">
        <x:v>55</x:v>
      </x:c>
      <x:c r="AB801" s="2" t="n">
        <x:f>ABS(K801-W801)</x:f>
        <x:v>2</x:v>
      </x:c>
      <x:c r="AC801" s="2" t="n">
        <x:f>COUNTIF($A$2:$A$1921,A801)-1</x:f>
        <x:v>0</x:v>
      </x:c>
      <x:c r="AD801" s="2" t="n">
        <x:f>IF(AND(D801=D800,H801=H800,C801=C800+1),ABS(R801-T800),0)</x:f>
        <x:v>0</x:v>
      </x:c>
    </x:row>
    <x:row r="802" ht="23" customHeight="1">
      <x:c r="A802" s="2" t="str">
        <x:v>DEMO-205-0-1</x:v>
      </x:c>
      <x:c r="B802" s="15" t="d">
        <x:v>2026-05-04T00:00:00.000Z</x:v>
      </x:c>
      <x:c r="C802" s="2" t="n">
        <x:v>1</x:v>
      </x:c>
      <x:c r="D802" s="2" t="str">
        <x:v>DEMO-205</x:v>
      </x:c>
      <x:c r="E802" s="2" t="str">
        <x:v>Surprise Parcel</x:v>
      </x:c>
      <x:c r="F802" s="2" t="str">
        <x:v>Gifting</x:v>
      </x:c>
      <x:c r="G802" s="2" t="str">
        <x:v>Stores</x:v>
      </x:c>
      <x:c r="H802" s="2" t="str">
        <x:v>North Arcade</x:v>
      </x:c>
      <x:c r="I802" s="2" t="n">
        <x:v>13</x:v>
      </x:c>
      <x:c r="J802" s="2" t="n">
        <x:v>0</x:v>
      </x:c>
      <x:c r="K802" s="2" t="n">
        <x:f>I802-J802</x:f>
        <x:v>13</x:v>
      </x:c>
      <x:c r="L802" s="16" t="n">
        <x:v>26</x:v>
      </x:c>
      <x:c r="M802" s="16" t="n">
        <x:v>26</x:v>
      </x:c>
      <x:c r="N802" s="16" t="n">
        <x:v>11.96</x:v>
      </x:c>
      <x:c r="O802" s="16" t="n">
        <x:f>K802*M802</x:f>
        <x:v>338</x:v>
      </x:c>
      <x:c r="P802" s="16" t="n">
        <x:f>K802*N802</x:f>
        <x:v>155.48000000000002</x:v>
      </x:c>
      <x:c r="Q802" s="16" t="n">
        <x:f>O802-P802</x:f>
        <x:v>182.51999999999998</x:v>
      </x:c>
      <x:c r="R802" s="2" t="n">
        <x:v>90</x:v>
      </x:c>
      <x:c r="S802" s="2" t="n">
        <x:v>46</x:v>
      </x:c>
      <x:c r="T802" s="2" t="n">
        <x:f>R802+S802+J802-I802</x:f>
        <x:v>123</x:v>
      </x:c>
      <x:c r="U802" s="2" t="n">
        <x:v>0</x:v>
      </x:c>
      <x:c r="V802" s="2" t="n">
        <x:v>3</x:v>
      </x:c>
      <x:c r="W802" s="2" t="n">
        <x:v>11</x:v>
      </x:c>
      <x:c r="X802" s="14" t="b">
        <x:v>0</x:v>
      </x:c>
      <x:c r="Y802" s="14" t="b">
        <x:v>0</x:v>
      </x:c>
      <x:c r="Z802" s="2" t="n">
        <x:f>ABS(T802-AA802)</x:f>
        <x:v>0</x:v>
      </x:c>
      <x:c r="AA802" s="2" t="n">
        <x:v>123</x:v>
      </x:c>
      <x:c r="AB802" s="2" t="n">
        <x:f>ABS(K802-W802)</x:f>
        <x:v>2</x:v>
      </x:c>
      <x:c r="AC802" s="2" t="n">
        <x:f>COUNTIF($A$2:$A$1921,A802)-1</x:f>
        <x:v>0</x:v>
      </x:c>
      <x:c r="AD802" s="2" t="n">
        <x:f>IF(AND(D802=D801,H802=H801,C802=C801+1),ABS(R802-T801),0)</x:f>
        <x:v>0</x:v>
      </x:c>
    </x:row>
    <x:row r="803" ht="23" customHeight="1">
      <x:c r="A803" s="2" t="str">
        <x:v>DEMO-205-0-2</x:v>
      </x:c>
      <x:c r="B803" s="15" t="d">
        <x:v>2026-05-11T00:00:00.000Z</x:v>
      </x:c>
      <x:c r="C803" s="2" t="n">
        <x:v>2</x:v>
      </x:c>
      <x:c r="D803" s="2" t="str">
        <x:v>DEMO-205</x:v>
      </x:c>
      <x:c r="E803" s="2" t="str">
        <x:v>Surprise Parcel</x:v>
      </x:c>
      <x:c r="F803" s="2" t="str">
        <x:v>Gifting</x:v>
      </x:c>
      <x:c r="G803" s="2" t="str">
        <x:v>Stores</x:v>
      </x:c>
      <x:c r="H803" s="2" t="str">
        <x:v>North Arcade</x:v>
      </x:c>
      <x:c r="I803" s="2" t="n">
        <x:v>11</x:v>
      </x:c>
      <x:c r="J803" s="2" t="n">
        <x:v>0</x:v>
      </x:c>
      <x:c r="K803" s="2" t="n">
        <x:f>I803-J803</x:f>
        <x:v>11</x:v>
      </x:c>
      <x:c r="L803" s="16" t="n">
        <x:v>26</x:v>
      </x:c>
      <x:c r="M803" s="16" t="n">
        <x:v>26</x:v>
      </x:c>
      <x:c r="N803" s="16" t="n">
        <x:v>11.96</x:v>
      </x:c>
      <x:c r="O803" s="16" t="n">
        <x:f>K803*M803</x:f>
        <x:v>286</x:v>
      </x:c>
      <x:c r="P803" s="16" t="n">
        <x:f>K803*N803</x:f>
        <x:v>131.56</x:v>
      </x:c>
      <x:c r="Q803" s="16" t="n">
        <x:f>O803-P803</x:f>
        <x:v>154.44</x:v>
      </x:c>
      <x:c r="R803" s="2" t="n">
        <x:v>123</x:v>
      </x:c>
      <x:c r="S803" s="2" t="n">
        <x:v>0</x:v>
      </x:c>
      <x:c r="T803" s="2" t="n">
        <x:f>R803+S803+J803-I803</x:f>
        <x:v>112</x:v>
      </x:c>
      <x:c r="U803" s="2" t="n">
        <x:v>0</x:v>
      </x:c>
      <x:c r="V803" s="2" t="n">
        <x:v>3</x:v>
      </x:c>
      <x:c r="W803" s="2" t="n">
        <x:v>13</x:v>
      </x:c>
      <x:c r="X803" s="14" t="b">
        <x:v>0</x:v>
      </x:c>
      <x:c r="Y803" s="14" t="b">
        <x:v>0</x:v>
      </x:c>
      <x:c r="Z803" s="2" t="n">
        <x:f>ABS(T803-AA803)</x:f>
        <x:v>0</x:v>
      </x:c>
      <x:c r="AA803" s="2" t="n">
        <x:v>112</x:v>
      </x:c>
      <x:c r="AB803" s="2" t="n">
        <x:f>ABS(K803-W803)</x:f>
        <x:v>2</x:v>
      </x:c>
      <x:c r="AC803" s="2" t="n">
        <x:f>COUNTIF($A$2:$A$1921,A803)-1</x:f>
        <x:v>0</x:v>
      </x:c>
      <x:c r="AD803" s="2" t="n">
        <x:f>IF(AND(D803=D802,H803=H802,C803=C802+1),ABS(R803-T802),0)</x:f>
        <x:v>0</x:v>
      </x:c>
    </x:row>
    <x:row r="804" ht="23" customHeight="1">
      <x:c r="A804" s="2" t="str">
        <x:v>DEMO-205-0-3</x:v>
      </x:c>
      <x:c r="B804" s="15" t="d">
        <x:v>2026-05-18T00:00:00.000Z</x:v>
      </x:c>
      <x:c r="C804" s="2" t="n">
        <x:v>3</x:v>
      </x:c>
      <x:c r="D804" s="2" t="str">
        <x:v>DEMO-205</x:v>
      </x:c>
      <x:c r="E804" s="2" t="str">
        <x:v>Surprise Parcel</x:v>
      </x:c>
      <x:c r="F804" s="2" t="str">
        <x:v>Gifting</x:v>
      </x:c>
      <x:c r="G804" s="2" t="str">
        <x:v>Stores</x:v>
      </x:c>
      <x:c r="H804" s="2" t="str">
        <x:v>North Arcade</x:v>
      </x:c>
      <x:c r="I804" s="2" t="n">
        <x:v>12</x:v>
      </x:c>
      <x:c r="J804" s="2" t="n">
        <x:v>0</x:v>
      </x:c>
      <x:c r="K804" s="2" t="n">
        <x:f>I804-J804</x:f>
        <x:v>12</x:v>
      </x:c>
      <x:c r="L804" s="16" t="n">
        <x:v>26</x:v>
      </x:c>
      <x:c r="M804" s="16" t="n">
        <x:v>26</x:v>
      </x:c>
      <x:c r="N804" s="16" t="n">
        <x:v>11.96</x:v>
      </x:c>
      <x:c r="O804" s="16" t="n">
        <x:f>K804*M804</x:f>
        <x:v>312</x:v>
      </x:c>
      <x:c r="P804" s="16" t="n">
        <x:f>K804*N804</x:f>
        <x:v>143.52</x:v>
      </x:c>
      <x:c r="Q804" s="16" t="n">
        <x:f>O804-P804</x:f>
        <x:v>168.48</x:v>
      </x:c>
      <x:c r="R804" s="2" t="n">
        <x:v>112</x:v>
      </x:c>
      <x:c r="S804" s="2" t="n">
        <x:v>0</x:v>
      </x:c>
      <x:c r="T804" s="2" t="n">
        <x:f>R804+S804+J804-I804</x:f>
        <x:v>100</x:v>
      </x:c>
      <x:c r="U804" s="2" t="n">
        <x:v>0</x:v>
      </x:c>
      <x:c r="V804" s="2" t="n">
        <x:v>3</x:v>
      </x:c>
      <x:c r="W804" s="2" t="n">
        <x:v>12</x:v>
      </x:c>
      <x:c r="X804" s="14" t="b">
        <x:v>0</x:v>
      </x:c>
      <x:c r="Y804" s="14" t="b">
        <x:v>0</x:v>
      </x:c>
      <x:c r="Z804" s="2" t="n">
        <x:f>ABS(T804-AA804)</x:f>
        <x:v>0</x:v>
      </x:c>
      <x:c r="AA804" s="2" t="n">
        <x:v>100</x:v>
      </x:c>
      <x:c r="AB804" s="2" t="n">
        <x:f>ABS(K804-W804)</x:f>
        <x:v>0</x:v>
      </x:c>
      <x:c r="AC804" s="2" t="n">
        <x:f>COUNTIF($A$2:$A$1921,A804)-1</x:f>
        <x:v>0</x:v>
      </x:c>
      <x:c r="AD804" s="2" t="n">
        <x:f>IF(AND(D804=D803,H804=H803,C804=C803+1),ABS(R804-T803),0)</x:f>
        <x:v>0</x:v>
      </x:c>
    </x:row>
    <x:row r="805" ht="23" customHeight="1">
      <x:c r="A805" s="2" t="str">
        <x:v>DEMO-205-0-4</x:v>
      </x:c>
      <x:c r="B805" s="15" t="d">
        <x:v>2026-05-25T00:00:00.000Z</x:v>
      </x:c>
      <x:c r="C805" s="2" t="n">
        <x:v>4</x:v>
      </x:c>
      <x:c r="D805" s="2" t="str">
        <x:v>DEMO-205</x:v>
      </x:c>
      <x:c r="E805" s="2" t="str">
        <x:v>Surprise Parcel</x:v>
      </x:c>
      <x:c r="F805" s="2" t="str">
        <x:v>Gifting</x:v>
      </x:c>
      <x:c r="G805" s="2" t="str">
        <x:v>Stores</x:v>
      </x:c>
      <x:c r="H805" s="2" t="str">
        <x:v>North Arcade</x:v>
      </x:c>
      <x:c r="I805" s="2" t="n">
        <x:v>11</x:v>
      </x:c>
      <x:c r="J805" s="2" t="n">
        <x:v>1</x:v>
      </x:c>
      <x:c r="K805" s="2" t="n">
        <x:f>I805-J805</x:f>
        <x:v>10</x:v>
      </x:c>
      <x:c r="L805" s="16" t="n">
        <x:v>26</x:v>
      </x:c>
      <x:c r="M805" s="16" t="n">
        <x:v>26</x:v>
      </x:c>
      <x:c r="N805" s="16" t="n">
        <x:v>11.96</x:v>
      </x:c>
      <x:c r="O805" s="16" t="n">
        <x:f>K805*M805</x:f>
        <x:v>260</x:v>
      </x:c>
      <x:c r="P805" s="16" t="n">
        <x:f>K805*N805</x:f>
        <x:v>119.60000000000001</x:v>
      </x:c>
      <x:c r="Q805" s="16" t="n">
        <x:f>O805-P805</x:f>
        <x:v>140.39999999999998</x:v>
      </x:c>
      <x:c r="R805" s="2" t="n">
        <x:v>100</x:v>
      </x:c>
      <x:c r="S805" s="2" t="n">
        <x:v>0</x:v>
      </x:c>
      <x:c r="T805" s="2" t="n">
        <x:f>R805+S805+J805-I805</x:f>
        <x:v>90</x:v>
      </x:c>
      <x:c r="U805" s="2" t="n">
        <x:v>0</x:v>
      </x:c>
      <x:c r="V805" s="2" t="n">
        <x:v>3</x:v>
      </x:c>
      <x:c r="W805" s="2" t="n">
        <x:v>12</x:v>
      </x:c>
      <x:c r="X805" s="14" t="b">
        <x:v>0</x:v>
      </x:c>
      <x:c r="Y805" s="14" t="b">
        <x:v>0</x:v>
      </x:c>
      <x:c r="Z805" s="2" t="n">
        <x:f>ABS(T805-AA805)</x:f>
        <x:v>0</x:v>
      </x:c>
      <x:c r="AA805" s="2" t="n">
        <x:v>90</x:v>
      </x:c>
      <x:c r="AB805" s="2" t="n">
        <x:f>ABS(K805-W805)</x:f>
        <x:v>2</x:v>
      </x:c>
      <x:c r="AC805" s="2" t="n">
        <x:f>COUNTIF($A$2:$A$1921,A805)-1</x:f>
        <x:v>0</x:v>
      </x:c>
      <x:c r="AD805" s="2" t="n">
        <x:f>IF(AND(D805=D804,H805=H804,C805=C804+1),ABS(R805-T804),0)</x:f>
        <x:v>0</x:v>
      </x:c>
    </x:row>
    <x:row r="806" ht="23" customHeight="1">
      <x:c r="A806" s="2" t="str">
        <x:v>DEMO-205-0-5</x:v>
      </x:c>
      <x:c r="B806" s="15" t="d">
        <x:v>2026-06-01T00:00:00.000Z</x:v>
      </x:c>
      <x:c r="C806" s="2" t="n">
        <x:v>5</x:v>
      </x:c>
      <x:c r="D806" s="2" t="str">
        <x:v>DEMO-205</x:v>
      </x:c>
      <x:c r="E806" s="2" t="str">
        <x:v>Surprise Parcel</x:v>
      </x:c>
      <x:c r="F806" s="2" t="str">
        <x:v>Gifting</x:v>
      </x:c>
      <x:c r="G806" s="2" t="str">
        <x:v>Stores</x:v>
      </x:c>
      <x:c r="H806" s="2" t="str">
        <x:v>North Arcade</x:v>
      </x:c>
      <x:c r="I806" s="2" t="n">
        <x:v>10</x:v>
      </x:c>
      <x:c r="J806" s="2" t="n">
        <x:v>0</x:v>
      </x:c>
      <x:c r="K806" s="2" t="n">
        <x:f>I806-J806</x:f>
        <x:v>10</x:v>
      </x:c>
      <x:c r="L806" s="16" t="n">
        <x:v>26</x:v>
      </x:c>
      <x:c r="M806" s="16" t="n">
        <x:v>26</x:v>
      </x:c>
      <x:c r="N806" s="16" t="n">
        <x:v>11.96</x:v>
      </x:c>
      <x:c r="O806" s="16" t="n">
        <x:f>K806*M806</x:f>
        <x:v>260</x:v>
      </x:c>
      <x:c r="P806" s="16" t="n">
        <x:f>K806*N806</x:f>
        <x:v>119.60000000000001</x:v>
      </x:c>
      <x:c r="Q806" s="16" t="n">
        <x:f>O806-P806</x:f>
        <x:v>140.39999999999998</x:v>
      </x:c>
      <x:c r="R806" s="2" t="n">
        <x:v>90</x:v>
      </x:c>
      <x:c r="S806" s="2" t="n">
        <x:v>46</x:v>
      </x:c>
      <x:c r="T806" s="2" t="n">
        <x:f>R806+S806+J806-I806</x:f>
        <x:v>126</x:v>
      </x:c>
      <x:c r="U806" s="2" t="n">
        <x:v>0</x:v>
      </x:c>
      <x:c r="V806" s="2" t="n">
        <x:v>3</x:v>
      </x:c>
      <x:c r="W806" s="2" t="n">
        <x:v>12</x:v>
      </x:c>
      <x:c r="X806" s="14" t="b">
        <x:v>0</x:v>
      </x:c>
      <x:c r="Y806" s="14" t="b">
        <x:v>0</x:v>
      </x:c>
      <x:c r="Z806" s="2" t="n">
        <x:f>ABS(T806-AA806)</x:f>
        <x:v>0</x:v>
      </x:c>
      <x:c r="AA806" s="2" t="n">
        <x:v>126</x:v>
      </x:c>
      <x:c r="AB806" s="2" t="n">
        <x:f>ABS(K806-W806)</x:f>
        <x:v>2</x:v>
      </x:c>
      <x:c r="AC806" s="2" t="n">
        <x:f>COUNTIF($A$2:$A$1921,A806)-1</x:f>
        <x:v>0</x:v>
      </x:c>
      <x:c r="AD806" s="2" t="n">
        <x:f>IF(AND(D806=D805,H806=H805,C806=C805+1),ABS(R806-T805),0)</x:f>
        <x:v>0</x:v>
      </x:c>
    </x:row>
    <x:row r="807" ht="23" customHeight="1">
      <x:c r="A807" s="2" t="str">
        <x:v>DEMO-205-0-6</x:v>
      </x:c>
      <x:c r="B807" s="15" t="d">
        <x:v>2026-06-08T00:00:00.000Z</x:v>
      </x:c>
      <x:c r="C807" s="2" t="n">
        <x:v>6</x:v>
      </x:c>
      <x:c r="D807" s="2" t="str">
        <x:v>DEMO-205</x:v>
      </x:c>
      <x:c r="E807" s="2" t="str">
        <x:v>Surprise Parcel</x:v>
      </x:c>
      <x:c r="F807" s="2" t="str">
        <x:v>Gifting</x:v>
      </x:c>
      <x:c r="G807" s="2" t="str">
        <x:v>Stores</x:v>
      </x:c>
      <x:c r="H807" s="2" t="str">
        <x:v>North Arcade</x:v>
      </x:c>
      <x:c r="I807" s="2" t="n">
        <x:v>10</x:v>
      </x:c>
      <x:c r="J807" s="2" t="n">
        <x:v>0</x:v>
      </x:c>
      <x:c r="K807" s="2" t="n">
        <x:f>I807-J807</x:f>
        <x:v>10</x:v>
      </x:c>
      <x:c r="L807" s="16" t="n">
        <x:v>26</x:v>
      </x:c>
      <x:c r="M807" s="16" t="n">
        <x:v>26</x:v>
      </x:c>
      <x:c r="N807" s="16" t="n">
        <x:v>11.96</x:v>
      </x:c>
      <x:c r="O807" s="16" t="n">
        <x:f>K807*M807</x:f>
        <x:v>260</x:v>
      </x:c>
      <x:c r="P807" s="16" t="n">
        <x:f>K807*N807</x:f>
        <x:v>119.60000000000001</x:v>
      </x:c>
      <x:c r="Q807" s="16" t="n">
        <x:f>O807-P807</x:f>
        <x:v>140.39999999999998</x:v>
      </x:c>
      <x:c r="R807" s="2" t="n">
        <x:v>126</x:v>
      </x:c>
      <x:c r="S807" s="2" t="n">
        <x:v>0</x:v>
      </x:c>
      <x:c r="T807" s="2" t="n">
        <x:f>R807+S807+J807-I807</x:f>
        <x:v>116</x:v>
      </x:c>
      <x:c r="U807" s="2" t="n">
        <x:v>0</x:v>
      </x:c>
      <x:c r="V807" s="2" t="n">
        <x:v>3</x:v>
      </x:c>
      <x:c r="W807" s="2" t="n">
        <x:v>11</x:v>
      </x:c>
      <x:c r="X807" s="14" t="b">
        <x:v>0</x:v>
      </x:c>
      <x:c r="Y807" s="14" t="b">
        <x:v>0</x:v>
      </x:c>
      <x:c r="Z807" s="2" t="n">
        <x:f>ABS(T807-AA807)</x:f>
        <x:v>0</x:v>
      </x:c>
      <x:c r="AA807" s="2" t="n">
        <x:v>116</x:v>
      </x:c>
      <x:c r="AB807" s="2" t="n">
        <x:f>ABS(K807-W807)</x:f>
        <x:v>1</x:v>
      </x:c>
      <x:c r="AC807" s="2" t="n">
        <x:f>COUNTIF($A$2:$A$1921,A807)-1</x:f>
        <x:v>0</x:v>
      </x:c>
      <x:c r="AD807" s="2" t="n">
        <x:f>IF(AND(D807=D806,H807=H806,C807=C806+1),ABS(R807-T806),0)</x:f>
        <x:v>0</x:v>
      </x:c>
    </x:row>
    <x:row r="808" ht="23" customHeight="1">
      <x:c r="A808" s="2" t="str">
        <x:v>DEMO-205-0-7</x:v>
      </x:c>
      <x:c r="B808" s="15" t="d">
        <x:v>2026-06-15T00:00:00.000Z</x:v>
      </x:c>
      <x:c r="C808" s="2" t="n">
        <x:v>7</x:v>
      </x:c>
      <x:c r="D808" s="2" t="str">
        <x:v>DEMO-205</x:v>
      </x:c>
      <x:c r="E808" s="2" t="str">
        <x:v>Surprise Parcel</x:v>
      </x:c>
      <x:c r="F808" s="2" t="str">
        <x:v>Gifting</x:v>
      </x:c>
      <x:c r="G808" s="2" t="str">
        <x:v>Stores</x:v>
      </x:c>
      <x:c r="H808" s="2" t="str">
        <x:v>North Arcade</x:v>
      </x:c>
      <x:c r="I808" s="2" t="n">
        <x:v>9</x:v>
      </x:c>
      <x:c r="J808" s="2" t="n">
        <x:v>0</x:v>
      </x:c>
      <x:c r="K808" s="2" t="n">
        <x:f>I808-J808</x:f>
        <x:v>9</x:v>
      </x:c>
      <x:c r="L808" s="16" t="n">
        <x:v>26</x:v>
      </x:c>
      <x:c r="M808" s="16" t="n">
        <x:v>26</x:v>
      </x:c>
      <x:c r="N808" s="16" t="n">
        <x:v>11.96</x:v>
      </x:c>
      <x:c r="O808" s="16" t="n">
        <x:f>K808*M808</x:f>
        <x:v>234</x:v>
      </x:c>
      <x:c r="P808" s="16" t="n">
        <x:f>K808*N808</x:f>
        <x:v>107.64000000000001</x:v>
      </x:c>
      <x:c r="Q808" s="16" t="n">
        <x:f>O808-P808</x:f>
        <x:v>126.35999999999999</x:v>
      </x:c>
      <x:c r="R808" s="2" t="n">
        <x:v>116</x:v>
      </x:c>
      <x:c r="S808" s="2" t="n">
        <x:v>0</x:v>
      </x:c>
      <x:c r="T808" s="2" t="n">
        <x:f>R808+S808+J808-I808</x:f>
        <x:v>107</x:v>
      </x:c>
      <x:c r="U808" s="2" t="n">
        <x:v>0</x:v>
      </x:c>
      <x:c r="V808" s="2" t="n">
        <x:v>3</x:v>
      </x:c>
      <x:c r="W808" s="2" t="n">
        <x:v>11</x:v>
      </x:c>
      <x:c r="X808" s="14" t="b">
        <x:v>0</x:v>
      </x:c>
      <x:c r="Y808" s="14" t="b">
        <x:v>0</x:v>
      </x:c>
      <x:c r="Z808" s="2" t="n">
        <x:f>ABS(T808-AA808)</x:f>
        <x:v>0</x:v>
      </x:c>
      <x:c r="AA808" s="2" t="n">
        <x:v>107</x:v>
      </x:c>
      <x:c r="AB808" s="2" t="n">
        <x:f>ABS(K808-W808)</x:f>
        <x:v>2</x:v>
      </x:c>
      <x:c r="AC808" s="2" t="n">
        <x:f>COUNTIF($A$2:$A$1921,A808)-1</x:f>
        <x:v>0</x:v>
      </x:c>
      <x:c r="AD808" s="2" t="n">
        <x:f>IF(AND(D808=D807,H808=H807,C808=C807+1),ABS(R808-T807),0)</x:f>
        <x:v>0</x:v>
      </x:c>
    </x:row>
    <x:row r="809" ht="23" customHeight="1">
      <x:c r="A809" s="2" t="str">
        <x:v>DEMO-205-0-8</x:v>
      </x:c>
      <x:c r="B809" s="15" t="d">
        <x:v>2026-06-22T00:00:00.000Z</x:v>
      </x:c>
      <x:c r="C809" s="2" t="n">
        <x:v>8</x:v>
      </x:c>
      <x:c r="D809" s="2" t="str">
        <x:v>DEMO-205</x:v>
      </x:c>
      <x:c r="E809" s="2" t="str">
        <x:v>Surprise Parcel</x:v>
      </x:c>
      <x:c r="F809" s="2" t="str">
        <x:v>Gifting</x:v>
      </x:c>
      <x:c r="G809" s="2" t="str">
        <x:v>Stores</x:v>
      </x:c>
      <x:c r="H809" s="2" t="str">
        <x:v>North Arcade</x:v>
      </x:c>
      <x:c r="I809" s="2" t="n">
        <x:v>9</x:v>
      </x:c>
      <x:c r="J809" s="2" t="n">
        <x:v>0</x:v>
      </x:c>
      <x:c r="K809" s="2" t="n">
        <x:f>I809-J809</x:f>
        <x:v>9</x:v>
      </x:c>
      <x:c r="L809" s="16" t="n">
        <x:v>26</x:v>
      </x:c>
      <x:c r="M809" s="16" t="n">
        <x:v>26</x:v>
      </x:c>
      <x:c r="N809" s="16" t="n">
        <x:v>11.96</x:v>
      </x:c>
      <x:c r="O809" s="16" t="n">
        <x:f>K809*M809</x:f>
        <x:v>234</x:v>
      </x:c>
      <x:c r="P809" s="16" t="n">
        <x:f>K809*N809</x:f>
        <x:v>107.64000000000001</x:v>
      </x:c>
      <x:c r="Q809" s="16" t="n">
        <x:f>O809-P809</x:f>
        <x:v>126.35999999999999</x:v>
      </x:c>
      <x:c r="R809" s="2" t="n">
        <x:v>107</x:v>
      </x:c>
      <x:c r="S809" s="2" t="n">
        <x:v>0</x:v>
      </x:c>
      <x:c r="T809" s="2" t="n">
        <x:f>R809+S809+J809-I809</x:f>
        <x:v>98</x:v>
      </x:c>
      <x:c r="U809" s="2" t="n">
        <x:v>0</x:v>
      </x:c>
      <x:c r="V809" s="2" t="n">
        <x:v>3</x:v>
      </x:c>
      <x:c r="W809" s="2" t="n">
        <x:v>10</x:v>
      </x:c>
      <x:c r="X809" s="14" t="b">
        <x:v>0</x:v>
      </x:c>
      <x:c r="Y809" s="14" t="b">
        <x:v>0</x:v>
      </x:c>
      <x:c r="Z809" s="2" t="n">
        <x:f>ABS(T809-AA809)</x:f>
        <x:v>0</x:v>
      </x:c>
      <x:c r="AA809" s="2" t="n">
        <x:v>98</x:v>
      </x:c>
      <x:c r="AB809" s="2" t="n">
        <x:f>ABS(K809-W809)</x:f>
        <x:v>1</x:v>
      </x:c>
      <x:c r="AC809" s="2" t="n">
        <x:f>COUNTIF($A$2:$A$1921,A809)-1</x:f>
        <x:v>0</x:v>
      </x:c>
      <x:c r="AD809" s="2" t="n">
        <x:f>IF(AND(D809=D808,H809=H808,C809=C808+1),ABS(R809-T808),0)</x:f>
        <x:v>0</x:v>
      </x:c>
    </x:row>
    <x:row r="810" ht="23" customHeight="1">
      <x:c r="A810" s="2" t="str">
        <x:v>DEMO-205-0-9</x:v>
      </x:c>
      <x:c r="B810" s="15" t="d">
        <x:v>2026-06-29T00:00:00.000Z</x:v>
      </x:c>
      <x:c r="C810" s="2" t="n">
        <x:v>9</x:v>
      </x:c>
      <x:c r="D810" s="2" t="str">
        <x:v>DEMO-205</x:v>
      </x:c>
      <x:c r="E810" s="2" t="str">
        <x:v>Surprise Parcel</x:v>
      </x:c>
      <x:c r="F810" s="2" t="str">
        <x:v>Gifting</x:v>
      </x:c>
      <x:c r="G810" s="2" t="str">
        <x:v>Stores</x:v>
      </x:c>
      <x:c r="H810" s="2" t="str">
        <x:v>North Arcade</x:v>
      </x:c>
      <x:c r="I810" s="2" t="n">
        <x:v>9</x:v>
      </x:c>
      <x:c r="J810" s="2" t="n">
        <x:v>0</x:v>
      </x:c>
      <x:c r="K810" s="2" t="n">
        <x:f>I810-J810</x:f>
        <x:v>9</x:v>
      </x:c>
      <x:c r="L810" s="16" t="n">
        <x:v>26</x:v>
      </x:c>
      <x:c r="M810" s="16" t="n">
        <x:v>26</x:v>
      </x:c>
      <x:c r="N810" s="16" t="n">
        <x:v>11.96</x:v>
      </x:c>
      <x:c r="O810" s="16" t="n">
        <x:f>K810*M810</x:f>
        <x:v>234</x:v>
      </x:c>
      <x:c r="P810" s="16" t="n">
        <x:f>K810*N810</x:f>
        <x:v>107.64000000000001</x:v>
      </x:c>
      <x:c r="Q810" s="16" t="n">
        <x:f>O810-P810</x:f>
        <x:v>126.35999999999999</x:v>
      </x:c>
      <x:c r="R810" s="2" t="n">
        <x:v>98</x:v>
      </x:c>
      <x:c r="S810" s="2" t="n">
        <x:v>46</x:v>
      </x:c>
      <x:c r="T810" s="2" t="n">
        <x:f>R810+S810+J810-I810</x:f>
        <x:v>135</x:v>
      </x:c>
      <x:c r="U810" s="2" t="n">
        <x:v>0</x:v>
      </x:c>
      <x:c r="V810" s="2" t="n">
        <x:v>3</x:v>
      </x:c>
      <x:c r="W810" s="2" t="n">
        <x:v>10</x:v>
      </x:c>
      <x:c r="X810" s="14" t="b">
        <x:v>0</x:v>
      </x:c>
      <x:c r="Y810" s="14" t="b">
        <x:v>0</x:v>
      </x:c>
      <x:c r="Z810" s="2" t="n">
        <x:f>ABS(T810-AA810)</x:f>
        <x:v>0</x:v>
      </x:c>
      <x:c r="AA810" s="2" t="n">
        <x:v>135</x:v>
      </x:c>
      <x:c r="AB810" s="2" t="n">
        <x:f>ABS(K810-W810)</x:f>
        <x:v>1</x:v>
      </x:c>
      <x:c r="AC810" s="2" t="n">
        <x:f>COUNTIF($A$2:$A$1921,A810)-1</x:f>
        <x:v>0</x:v>
      </x:c>
      <x:c r="AD810" s="2" t="n">
        <x:f>IF(AND(D810=D809,H810=H809,C810=C809+1),ABS(R810-T809),0)</x:f>
        <x:v>0</x:v>
      </x:c>
    </x:row>
    <x:row r="811" ht="23" customHeight="1">
      <x:c r="A811" s="2" t="str">
        <x:v>DEMO-205-0-10</x:v>
      </x:c>
      <x:c r="B811" s="15" t="d">
        <x:v>2026-07-06T00:00:00.000Z</x:v>
      </x:c>
      <x:c r="C811" s="2" t="n">
        <x:v>10</x:v>
      </x:c>
      <x:c r="D811" s="2" t="str">
        <x:v>DEMO-205</x:v>
      </x:c>
      <x:c r="E811" s="2" t="str">
        <x:v>Surprise Parcel</x:v>
      </x:c>
      <x:c r="F811" s="2" t="str">
        <x:v>Gifting</x:v>
      </x:c>
      <x:c r="G811" s="2" t="str">
        <x:v>Stores</x:v>
      </x:c>
      <x:c r="H811" s="2" t="str">
        <x:v>North Arcade</x:v>
      </x:c>
      <x:c r="I811" s="2" t="n">
        <x:v>13</x:v>
      </x:c>
      <x:c r="J811" s="2" t="n">
        <x:v>0</x:v>
      </x:c>
      <x:c r="K811" s="2" t="n">
        <x:f>I811-J811</x:f>
        <x:v>13</x:v>
      </x:c>
      <x:c r="L811" s="16" t="n">
        <x:v>26</x:v>
      </x:c>
      <x:c r="M811" s="16" t="n">
        <x:v>26</x:v>
      </x:c>
      <x:c r="N811" s="16" t="n">
        <x:v>11.96</x:v>
      </x:c>
      <x:c r="O811" s="16" t="n">
        <x:f>K811*M811</x:f>
        <x:v>338</x:v>
      </x:c>
      <x:c r="P811" s="16" t="n">
        <x:f>K811*N811</x:f>
        <x:v>155.48000000000002</x:v>
      </x:c>
      <x:c r="Q811" s="16" t="n">
        <x:f>O811-P811</x:f>
        <x:v>182.51999999999998</x:v>
      </x:c>
      <x:c r="R811" s="2" t="n">
        <x:v>135</x:v>
      </x:c>
      <x:c r="S811" s="2" t="n">
        <x:v>0</x:v>
      </x:c>
      <x:c r="T811" s="2" t="n">
        <x:f>R811+S811+J811-I811</x:f>
        <x:v>122</x:v>
      </x:c>
      <x:c r="U811" s="2" t="n">
        <x:v>0</x:v>
      </x:c>
      <x:c r="V811" s="2" t="n">
        <x:v>3</x:v>
      </x:c>
      <x:c r="W811" s="2" t="n">
        <x:v>9</x:v>
      </x:c>
      <x:c r="X811" s="14" t="b">
        <x:v>0</x:v>
      </x:c>
      <x:c r="Y811" s="14" t="b">
        <x:v>0</x:v>
      </x:c>
      <x:c r="Z811" s="2" t="n">
        <x:f>ABS(T811-AA811)</x:f>
        <x:v>0</x:v>
      </x:c>
      <x:c r="AA811" s="2" t="n">
        <x:v>122</x:v>
      </x:c>
      <x:c r="AB811" s="2" t="n">
        <x:f>ABS(K811-W811)</x:f>
        <x:v>4</x:v>
      </x:c>
      <x:c r="AC811" s="2" t="n">
        <x:f>COUNTIF($A$2:$A$1921,A811)-1</x:f>
        <x:v>0</x:v>
      </x:c>
      <x:c r="AD811" s="2" t="n">
        <x:f>IF(AND(D811=D810,H811=H810,C811=C810+1),ABS(R811-T810),0)</x:f>
        <x:v>0</x:v>
      </x:c>
    </x:row>
    <x:row r="812" ht="23" customHeight="1">
      <x:c r="A812" s="2" t="str">
        <x:v>DEMO-205-0-11</x:v>
      </x:c>
      <x:c r="B812" s="15" t="d">
        <x:v>2026-07-13T00:00:00.000Z</x:v>
      </x:c>
      <x:c r="C812" s="2" t="n">
        <x:v>11</x:v>
      </x:c>
      <x:c r="D812" s="2" t="str">
        <x:v>DEMO-205</x:v>
      </x:c>
      <x:c r="E812" s="2" t="str">
        <x:v>Surprise Parcel</x:v>
      </x:c>
      <x:c r="F812" s="2" t="str">
        <x:v>Gifting</x:v>
      </x:c>
      <x:c r="G812" s="2" t="str">
        <x:v>Stores</x:v>
      </x:c>
      <x:c r="H812" s="2" t="str">
        <x:v>North Arcade</x:v>
      </x:c>
      <x:c r="I812" s="2" t="n">
        <x:v>12</x:v>
      </x:c>
      <x:c r="J812" s="2" t="n">
        <x:v>1</x:v>
      </x:c>
      <x:c r="K812" s="2" t="n">
        <x:f>I812-J812</x:f>
        <x:v>11</x:v>
      </x:c>
      <x:c r="L812" s="16" t="n">
        <x:v>26</x:v>
      </x:c>
      <x:c r="M812" s="16" t="n">
        <x:v>26</x:v>
      </x:c>
      <x:c r="N812" s="16" t="n">
        <x:v>11.96</x:v>
      </x:c>
      <x:c r="O812" s="16" t="n">
        <x:f>K812*M812</x:f>
        <x:v>286</x:v>
      </x:c>
      <x:c r="P812" s="16" t="n">
        <x:f>K812*N812</x:f>
        <x:v>131.56</x:v>
      </x:c>
      <x:c r="Q812" s="16" t="n">
        <x:f>O812-P812</x:f>
        <x:v>154.44</x:v>
      </x:c>
      <x:c r="R812" s="2" t="n">
        <x:v>122</x:v>
      </x:c>
      <x:c r="S812" s="2" t="n">
        <x:v>0</x:v>
      </x:c>
      <x:c r="T812" s="2" t="n">
        <x:f>R812+S812+J812-I812</x:f>
        <x:v>111</x:v>
      </x:c>
      <x:c r="U812" s="2" t="n">
        <x:v>0</x:v>
      </x:c>
      <x:c r="V812" s="2" t="n">
        <x:v>3</x:v>
      </x:c>
      <x:c r="W812" s="2" t="n">
        <x:v>10</x:v>
      </x:c>
      <x:c r="X812" s="14" t="b">
        <x:v>0</x:v>
      </x:c>
      <x:c r="Y812" s="14" t="b">
        <x:v>0</x:v>
      </x:c>
      <x:c r="Z812" s="2" t="n">
        <x:f>ABS(T812-AA812)</x:f>
        <x:v>0</x:v>
      </x:c>
      <x:c r="AA812" s="2" t="n">
        <x:v>111</x:v>
      </x:c>
      <x:c r="AB812" s="2" t="n">
        <x:f>ABS(K812-W812)</x:f>
        <x:v>1</x:v>
      </x:c>
      <x:c r="AC812" s="2" t="n">
        <x:f>COUNTIF($A$2:$A$1921,A812)-1</x:f>
        <x:v>0</x:v>
      </x:c>
      <x:c r="AD812" s="2" t="n">
        <x:f>IF(AND(D812=D811,H812=H811,C812=C811+1),ABS(R812-T811),0)</x:f>
        <x:v>0</x:v>
      </x:c>
    </x:row>
    <x:row r="813" ht="23" customHeight="1">
      <x:c r="A813" s="2" t="str">
        <x:v>DEMO-205-0-12</x:v>
      </x:c>
      <x:c r="B813" s="15" t="d">
        <x:v>2026-07-20T00:00:00.000Z</x:v>
      </x:c>
      <x:c r="C813" s="2" t="n">
        <x:v>12</x:v>
      </x:c>
      <x:c r="D813" s="2" t="str">
        <x:v>DEMO-205</x:v>
      </x:c>
      <x:c r="E813" s="2" t="str">
        <x:v>Surprise Parcel</x:v>
      </x:c>
      <x:c r="F813" s="2" t="str">
        <x:v>Gifting</x:v>
      </x:c>
      <x:c r="G813" s="2" t="str">
        <x:v>Stores</x:v>
      </x:c>
      <x:c r="H813" s="2" t="str">
        <x:v>North Arcade</x:v>
      </x:c>
      <x:c r="I813" s="2" t="n">
        <x:v>24</x:v>
      </x:c>
      <x:c r="J813" s="2" t="n">
        <x:v>0</x:v>
      </x:c>
      <x:c r="K813" s="2" t="n">
        <x:f>I813-J813</x:f>
        <x:v>24</x:v>
      </x:c>
      <x:c r="L813" s="16" t="n">
        <x:v>26</x:v>
      </x:c>
      <x:c r="M813" s="16" t="n">
        <x:v>23.4</x:v>
      </x:c>
      <x:c r="N813" s="16" t="n">
        <x:v>11.96</x:v>
      </x:c>
      <x:c r="O813" s="16" t="n">
        <x:f>K813*M813</x:f>
        <x:v>561.5999999999999</x:v>
      </x:c>
      <x:c r="P813" s="16" t="n">
        <x:f>K813*N813</x:f>
        <x:v>287.04</x:v>
      </x:c>
      <x:c r="Q813" s="16" t="n">
        <x:f>O813-P813</x:f>
        <x:v>274.5599999999999</x:v>
      </x:c>
      <x:c r="R813" s="2" t="n">
        <x:v>111</x:v>
      </x:c>
      <x:c r="S813" s="2" t="n">
        <x:v>0</x:v>
      </x:c>
      <x:c r="T813" s="2" t="n">
        <x:f>R813+S813+J813-I813</x:f>
        <x:v>87</x:v>
      </x:c>
      <x:c r="U813" s="2" t="n">
        <x:v>0</x:v>
      </x:c>
      <x:c r="V813" s="2" t="n">
        <x:v>3</x:v>
      </x:c>
      <x:c r="W813" s="2" t="n">
        <x:v>11</x:v>
      </x:c>
      <x:c r="X813" s="14" t="b">
        <x:v>1</x:v>
      </x:c>
      <x:c r="Y813" s="14" t="b">
        <x:v>0</x:v>
      </x:c>
      <x:c r="Z813" s="2" t="n">
        <x:f>ABS(T813-AA813)</x:f>
        <x:v>0</x:v>
      </x:c>
      <x:c r="AA813" s="2" t="n">
        <x:v>87</x:v>
      </x:c>
      <x:c r="AB813" s="2" t="n">
        <x:f>ABS(K813-W813)</x:f>
        <x:v>13</x:v>
      </x:c>
      <x:c r="AC813" s="2" t="n">
        <x:f>COUNTIF($A$2:$A$1921,A813)-1</x:f>
        <x:v>0</x:v>
      </x:c>
      <x:c r="AD813" s="2" t="n">
        <x:f>IF(AND(D813=D812,H813=H812,C813=C812+1),ABS(R813-T812),0)</x:f>
        <x:v>0</x:v>
      </x:c>
    </x:row>
    <x:row r="814" ht="23" customHeight="1">
      <x:c r="A814" s="2" t="str">
        <x:v>DEMO-205-0-13</x:v>
      </x:c>
      <x:c r="B814" s="15" t="d">
        <x:v>2026-07-27T00:00:00.000Z</x:v>
      </x:c>
      <x:c r="C814" s="2" t="n">
        <x:v>13</x:v>
      </x:c>
      <x:c r="D814" s="2" t="str">
        <x:v>DEMO-205</x:v>
      </x:c>
      <x:c r="E814" s="2" t="str">
        <x:v>Surprise Parcel</x:v>
      </x:c>
      <x:c r="F814" s="2" t="str">
        <x:v>Gifting</x:v>
      </x:c>
      <x:c r="G814" s="2" t="str">
        <x:v>Stores</x:v>
      </x:c>
      <x:c r="H814" s="2" t="str">
        <x:v>North Arcade</x:v>
      </x:c>
      <x:c r="I814" s="2" t="n">
        <x:v>22</x:v>
      </x:c>
      <x:c r="J814" s="2" t="n">
        <x:v>0</x:v>
      </x:c>
      <x:c r="K814" s="2" t="n">
        <x:f>I814-J814</x:f>
        <x:v>22</x:v>
      </x:c>
      <x:c r="L814" s="16" t="n">
        <x:v>26</x:v>
      </x:c>
      <x:c r="M814" s="16" t="n">
        <x:v>23.4</x:v>
      </x:c>
      <x:c r="N814" s="16" t="n">
        <x:v>11.96</x:v>
      </x:c>
      <x:c r="O814" s="16" t="n">
        <x:f>K814*M814</x:f>
        <x:v>514.8</x:v>
      </x:c>
      <x:c r="P814" s="16" t="n">
        <x:f>K814*N814</x:f>
        <x:v>263.12</x:v>
      </x:c>
      <x:c r="Q814" s="16" t="n">
        <x:f>O814-P814</x:f>
        <x:v>251.67999999999995</x:v>
      </x:c>
      <x:c r="R814" s="2" t="n">
        <x:v>87</x:v>
      </x:c>
      <x:c r="S814" s="2" t="n">
        <x:v>46</x:v>
      </x:c>
      <x:c r="T814" s="2" t="n">
        <x:f>R814+S814+J814-I814</x:f>
        <x:v>111</x:v>
      </x:c>
      <x:c r="U814" s="2" t="n">
        <x:v>0</x:v>
      </x:c>
      <x:c r="V814" s="2" t="n">
        <x:v>3</x:v>
      </x:c>
      <x:c r="W814" s="2" t="n">
        <x:v>14</x:v>
      </x:c>
      <x:c r="X814" s="14" t="b">
        <x:v>1</x:v>
      </x:c>
      <x:c r="Y814" s="14" t="b">
        <x:v>0</x:v>
      </x:c>
      <x:c r="Z814" s="2" t="n">
        <x:f>ABS(T814-AA814)</x:f>
        <x:v>0</x:v>
      </x:c>
      <x:c r="AA814" s="2" t="n">
        <x:v>111</x:v>
      </x:c>
      <x:c r="AB814" s="2" t="n">
        <x:f>ABS(K814-W814)</x:f>
        <x:v>8</x:v>
      </x:c>
      <x:c r="AC814" s="2" t="n">
        <x:f>COUNTIF($A$2:$A$1921,A814)-1</x:f>
        <x:v>0</x:v>
      </x:c>
      <x:c r="AD814" s="2" t="n">
        <x:f>IF(AND(D814=D813,H814=H813,C814=C813+1),ABS(R814-T813),0)</x:f>
        <x:v>0</x:v>
      </x:c>
    </x:row>
    <x:row r="815" ht="23" customHeight="1">
      <x:c r="A815" s="2" t="str">
        <x:v>DEMO-205-0-14</x:v>
      </x:c>
      <x:c r="B815" s="15" t="d">
        <x:v>2026-08-03T00:00:00.000Z</x:v>
      </x:c>
      <x:c r="C815" s="2" t="n">
        <x:v>14</x:v>
      </x:c>
      <x:c r="D815" s="2" t="str">
        <x:v>DEMO-205</x:v>
      </x:c>
      <x:c r="E815" s="2" t="str">
        <x:v>Surprise Parcel</x:v>
      </x:c>
      <x:c r="F815" s="2" t="str">
        <x:v>Gifting</x:v>
      </x:c>
      <x:c r="G815" s="2" t="str">
        <x:v>Stores</x:v>
      </x:c>
      <x:c r="H815" s="2" t="str">
        <x:v>North Arcade</x:v>
      </x:c>
      <x:c r="I815" s="2" t="n">
        <x:v>27</x:v>
      </x:c>
      <x:c r="J815" s="2" t="n">
        <x:v>0</x:v>
      </x:c>
      <x:c r="K815" s="2" t="n">
        <x:f>I815-J815</x:f>
        <x:v>27</x:v>
      </x:c>
      <x:c r="L815" s="16" t="n">
        <x:v>26</x:v>
      </x:c>
      <x:c r="M815" s="16" t="n">
        <x:v>23.4</x:v>
      </x:c>
      <x:c r="N815" s="16" t="n">
        <x:v>11.96</x:v>
      </x:c>
      <x:c r="O815" s="16" t="n">
        <x:f>K815*M815</x:f>
        <x:v>631.8</x:v>
      </x:c>
      <x:c r="P815" s="16" t="n">
        <x:f>K815*N815</x:f>
        <x:v>322.92</x:v>
      </x:c>
      <x:c r="Q815" s="16" t="n">
        <x:f>O815-P815</x:f>
        <x:v>308.87999999999994</x:v>
      </x:c>
      <x:c r="R815" s="2" t="n">
        <x:v>111</x:v>
      </x:c>
      <x:c r="S815" s="2" t="n">
        <x:v>0</x:v>
      </x:c>
      <x:c r="T815" s="2" t="n">
        <x:f>R815+S815+J815-I815</x:f>
        <x:v>84</x:v>
      </x:c>
      <x:c r="U815" s="2" t="n">
        <x:v>0</x:v>
      </x:c>
      <x:c r="V815" s="2" t="n">
        <x:v>3</x:v>
      </x:c>
      <x:c r="W815" s="2" t="n">
        <x:v>18</x:v>
      </x:c>
      <x:c r="X815" s="14" t="b">
        <x:v>1</x:v>
      </x:c>
      <x:c r="Y815" s="14" t="b">
        <x:v>0</x:v>
      </x:c>
      <x:c r="Z815" s="2" t="n">
        <x:f>ABS(T815-AA815)</x:f>
        <x:v>0</x:v>
      </x:c>
      <x:c r="AA815" s="2" t="n">
        <x:v>84</x:v>
      </x:c>
      <x:c r="AB815" s="2" t="n">
        <x:f>ABS(K815-W815)</x:f>
        <x:v>9</x:v>
      </x:c>
      <x:c r="AC815" s="2" t="n">
        <x:f>COUNTIF($A$2:$A$1921,A815)-1</x:f>
        <x:v>0</x:v>
      </x:c>
      <x:c r="AD815" s="2" t="n">
        <x:f>IF(AND(D815=D814,H815=H814,C815=C814+1),ABS(R815-T814),0)</x:f>
        <x:v>0</x:v>
      </x:c>
    </x:row>
    <x:row r="816" ht="23" customHeight="1">
      <x:c r="A816" s="2" t="str">
        <x:v>DEMO-205-0-15</x:v>
      </x:c>
      <x:c r="B816" s="15" t="d">
        <x:v>2026-08-10T00:00:00.000Z</x:v>
      </x:c>
      <x:c r="C816" s="2" t="n">
        <x:v>15</x:v>
      </x:c>
      <x:c r="D816" s="2" t="str">
        <x:v>DEMO-205</x:v>
      </x:c>
      <x:c r="E816" s="2" t="str">
        <x:v>Surprise Parcel</x:v>
      </x:c>
      <x:c r="F816" s="2" t="str">
        <x:v>Gifting</x:v>
      </x:c>
      <x:c r="G816" s="2" t="str">
        <x:v>Stores</x:v>
      </x:c>
      <x:c r="H816" s="2" t="str">
        <x:v>North Arcade</x:v>
      </x:c>
      <x:c r="I816" s="2" t="n">
        <x:v>9</x:v>
      </x:c>
      <x:c r="J816" s="2" t="n">
        <x:v>0</x:v>
      </x:c>
      <x:c r="K816" s="2" t="n">
        <x:f>I816-J816</x:f>
        <x:v>9</x:v>
      </x:c>
      <x:c r="L816" s="16" t="n">
        <x:v>26</x:v>
      </x:c>
      <x:c r="M816" s="16" t="n">
        <x:v>26</x:v>
      </x:c>
      <x:c r="N816" s="16" t="n">
        <x:v>11.96</x:v>
      </x:c>
      <x:c r="O816" s="16" t="n">
        <x:f>K816*M816</x:f>
        <x:v>234</x:v>
      </x:c>
      <x:c r="P816" s="16" t="n">
        <x:f>K816*N816</x:f>
        <x:v>107.64000000000001</x:v>
      </x:c>
      <x:c r="Q816" s="16" t="n">
        <x:f>O816-P816</x:f>
        <x:v>126.35999999999999</x:v>
      </x:c>
      <x:c r="R816" s="2" t="n">
        <x:v>84</x:v>
      </x:c>
      <x:c r="S816" s="2" t="n">
        <x:v>0</x:v>
      </x:c>
      <x:c r="T816" s="2" t="n">
        <x:f>R816+S816+J816-I816</x:f>
        <x:v>75</x:v>
      </x:c>
      <x:c r="U816" s="2" t="n">
        <x:v>0</x:v>
      </x:c>
      <x:c r="V816" s="2" t="n">
        <x:v>3</x:v>
      </x:c>
      <x:c r="W816" s="2" t="n">
        <x:v>21</x:v>
      </x:c>
      <x:c r="X816" s="14" t="b">
        <x:v>0</x:v>
      </x:c>
      <x:c r="Y816" s="14" t="b">
        <x:v>0</x:v>
      </x:c>
      <x:c r="Z816" s="2" t="n">
        <x:f>ABS(T816-AA816)</x:f>
        <x:v>0</x:v>
      </x:c>
      <x:c r="AA816" s="2" t="n">
        <x:v>75</x:v>
      </x:c>
      <x:c r="AB816" s="2" t="n">
        <x:f>ABS(K816-W816)</x:f>
        <x:v>12</x:v>
      </x:c>
      <x:c r="AC816" s="2" t="n">
        <x:f>COUNTIF($A$2:$A$1921,A816)-1</x:f>
        <x:v>0</x:v>
      </x:c>
      <x:c r="AD816" s="2" t="n">
        <x:f>IF(AND(D816=D815,H816=H815,C816=C815+1),ABS(R816-T815),0)</x:f>
        <x:v>0</x:v>
      </x:c>
    </x:row>
    <x:row r="817" ht="23" customHeight="1">
      <x:c r="A817" s="2" t="str">
        <x:v>DEMO-205-0-16</x:v>
      </x:c>
      <x:c r="B817" s="15" t="d">
        <x:v>2026-08-17T00:00:00.000Z</x:v>
      </x:c>
      <x:c r="C817" s="2" t="n">
        <x:v>16</x:v>
      </x:c>
      <x:c r="D817" s="2" t="str">
        <x:v>DEMO-205</x:v>
      </x:c>
      <x:c r="E817" s="2" t="str">
        <x:v>Surprise Parcel</x:v>
      </x:c>
      <x:c r="F817" s="2" t="str">
        <x:v>Gifting</x:v>
      </x:c>
      <x:c r="G817" s="2" t="str">
        <x:v>Stores</x:v>
      </x:c>
      <x:c r="H817" s="2" t="str">
        <x:v>North Arcade</x:v>
      </x:c>
      <x:c r="I817" s="2" t="n">
        <x:v>10</x:v>
      </x:c>
      <x:c r="J817" s="2" t="n">
        <x:v>0</x:v>
      </x:c>
      <x:c r="K817" s="2" t="n">
        <x:f>I817-J817</x:f>
        <x:v>10</x:v>
      </x:c>
      <x:c r="L817" s="16" t="n">
        <x:v>26</x:v>
      </x:c>
      <x:c r="M817" s="16" t="n">
        <x:v>26</x:v>
      </x:c>
      <x:c r="N817" s="16" t="n">
        <x:v>11.96</x:v>
      </x:c>
      <x:c r="O817" s="16" t="n">
        <x:f>K817*M817</x:f>
        <x:v>260</x:v>
      </x:c>
      <x:c r="P817" s="16" t="n">
        <x:f>K817*N817</x:f>
        <x:v>119.60000000000001</x:v>
      </x:c>
      <x:c r="Q817" s="16" t="n">
        <x:f>O817-P817</x:f>
        <x:v>140.39999999999998</x:v>
      </x:c>
      <x:c r="R817" s="2" t="n">
        <x:v>75</x:v>
      </x:c>
      <x:c r="S817" s="2" t="n">
        <x:v>0</x:v>
      </x:c>
      <x:c r="T817" s="2" t="n">
        <x:f>R817+S817+J817-I817</x:f>
        <x:v>65</x:v>
      </x:c>
      <x:c r="U817" s="2" t="n">
        <x:v>0</x:v>
      </x:c>
      <x:c r="V817" s="2" t="n">
        <x:v>3</x:v>
      </x:c>
      <x:c r="W817" s="2" t="n">
        <x:v>21</x:v>
      </x:c>
      <x:c r="X817" s="14" t="b">
        <x:v>0</x:v>
      </x:c>
      <x:c r="Y817" s="14" t="b">
        <x:v>0</x:v>
      </x:c>
      <x:c r="Z817" s="2" t="n">
        <x:f>ABS(T817-AA817)</x:f>
        <x:v>0</x:v>
      </x:c>
      <x:c r="AA817" s="2" t="n">
        <x:v>65</x:v>
      </x:c>
      <x:c r="AB817" s="2" t="n">
        <x:f>ABS(K817-W817)</x:f>
        <x:v>11</x:v>
      </x:c>
      <x:c r="AC817" s="2" t="n">
        <x:f>COUNTIF($A$2:$A$1921,A817)-1</x:f>
        <x:v>0</x:v>
      </x:c>
      <x:c r="AD817" s="2" t="n">
        <x:f>IF(AND(D817=D816,H817=H816,C817=C816+1),ABS(R817-T816),0)</x:f>
        <x:v>0</x:v>
      </x:c>
    </x:row>
    <x:row r="818" ht="23" customHeight="1">
      <x:c r="A818" s="2" t="str">
        <x:v>DEMO-205-0-17</x:v>
      </x:c>
      <x:c r="B818" s="15" t="d">
        <x:v>2026-08-24T00:00:00.000Z</x:v>
      </x:c>
      <x:c r="C818" s="2" t="n">
        <x:v>17</x:v>
      </x:c>
      <x:c r="D818" s="2" t="str">
        <x:v>DEMO-205</x:v>
      </x:c>
      <x:c r="E818" s="2" t="str">
        <x:v>Surprise Parcel</x:v>
      </x:c>
      <x:c r="F818" s="2" t="str">
        <x:v>Gifting</x:v>
      </x:c>
      <x:c r="G818" s="2" t="str">
        <x:v>Stores</x:v>
      </x:c>
      <x:c r="H818" s="2" t="str">
        <x:v>North Arcade</x:v>
      </x:c>
      <x:c r="I818" s="2" t="n">
        <x:v>10</x:v>
      </x:c>
      <x:c r="J818" s="2" t="n">
        <x:v>0</x:v>
      </x:c>
      <x:c r="K818" s="2" t="n">
        <x:f>I818-J818</x:f>
        <x:v>10</x:v>
      </x:c>
      <x:c r="L818" s="16" t="n">
        <x:v>26</x:v>
      </x:c>
      <x:c r="M818" s="16" t="n">
        <x:v>26</x:v>
      </x:c>
      <x:c r="N818" s="16" t="n">
        <x:v>11.96</x:v>
      </x:c>
      <x:c r="O818" s="16" t="n">
        <x:f>K818*M818</x:f>
        <x:v>260</x:v>
      </x:c>
      <x:c r="P818" s="16" t="n">
        <x:f>K818*N818</x:f>
        <x:v>119.60000000000001</x:v>
      </x:c>
      <x:c r="Q818" s="16" t="n">
        <x:f>O818-P818</x:f>
        <x:v>140.39999999999998</x:v>
      </x:c>
      <x:c r="R818" s="2" t="n">
        <x:v>65</x:v>
      </x:c>
      <x:c r="S818" s="2" t="n">
        <x:v>46</x:v>
      </x:c>
      <x:c r="T818" s="2" t="n">
        <x:f>R818+S818+J818-I818</x:f>
        <x:v>101</x:v>
      </x:c>
      <x:c r="U818" s="2" t="n">
        <x:v>0</x:v>
      </x:c>
      <x:c r="V818" s="2" t="n">
        <x:v>3</x:v>
      </x:c>
      <x:c r="W818" s="2" t="n">
        <x:v>17</x:v>
      </x:c>
      <x:c r="X818" s="14" t="b">
        <x:v>0</x:v>
      </x:c>
      <x:c r="Y818" s="14" t="b">
        <x:v>0</x:v>
      </x:c>
      <x:c r="Z818" s="2" t="n">
        <x:f>ABS(T818-AA818)</x:f>
        <x:v>0</x:v>
      </x:c>
      <x:c r="AA818" s="2" t="n">
        <x:v>101</x:v>
      </x:c>
      <x:c r="AB818" s="2" t="n">
        <x:f>ABS(K818-W818)</x:f>
        <x:v>7</x:v>
      </x:c>
      <x:c r="AC818" s="2" t="n">
        <x:f>COUNTIF($A$2:$A$1921,A818)-1</x:f>
        <x:v>0</x:v>
      </x:c>
      <x:c r="AD818" s="2" t="n">
        <x:f>IF(AND(D818=D817,H818=H817,C818=C817+1),ABS(R818-T817),0)</x:f>
        <x:v>0</x:v>
      </x:c>
    </x:row>
    <x:row r="819" ht="23" customHeight="1">
      <x:c r="A819" s="2" t="str">
        <x:v>DEMO-205-0-18</x:v>
      </x:c>
      <x:c r="B819" s="15" t="d">
        <x:v>2026-08-31T00:00:00.000Z</x:v>
      </x:c>
      <x:c r="C819" s="2" t="n">
        <x:v>18</x:v>
      </x:c>
      <x:c r="D819" s="2" t="str">
        <x:v>DEMO-205</x:v>
      </x:c>
      <x:c r="E819" s="2" t="str">
        <x:v>Surprise Parcel</x:v>
      </x:c>
      <x:c r="F819" s="2" t="str">
        <x:v>Gifting</x:v>
      </x:c>
      <x:c r="G819" s="2" t="str">
        <x:v>Stores</x:v>
      </x:c>
      <x:c r="H819" s="2" t="str">
        <x:v>North Arcade</x:v>
      </x:c>
      <x:c r="I819" s="2" t="n">
        <x:v>10</x:v>
      </x:c>
      <x:c r="J819" s="2" t="n">
        <x:v>0</x:v>
      </x:c>
      <x:c r="K819" s="2" t="n">
        <x:f>I819-J819</x:f>
        <x:v>10</x:v>
      </x:c>
      <x:c r="L819" s="16" t="n">
        <x:v>26</x:v>
      </x:c>
      <x:c r="M819" s="16" t="n">
        <x:v>26</x:v>
      </x:c>
      <x:c r="N819" s="16" t="n">
        <x:v>11.96</x:v>
      </x:c>
      <x:c r="O819" s="16" t="n">
        <x:f>K819*M819</x:f>
        <x:v>260</x:v>
      </x:c>
      <x:c r="P819" s="16" t="n">
        <x:f>K819*N819</x:f>
        <x:v>119.60000000000001</x:v>
      </x:c>
      <x:c r="Q819" s="16" t="n">
        <x:f>O819-P819</x:f>
        <x:v>140.39999999999998</x:v>
      </x:c>
      <x:c r="R819" s="2" t="n">
        <x:v>101</x:v>
      </x:c>
      <x:c r="S819" s="2" t="n">
        <x:v>0</x:v>
      </x:c>
      <x:c r="T819" s="2" t="n">
        <x:f>R819+S819+J819-I819</x:f>
        <x:v>91</x:v>
      </x:c>
      <x:c r="U819" s="2" t="n">
        <x:v>0</x:v>
      </x:c>
      <x:c r="V819" s="2" t="n">
        <x:v>3</x:v>
      </x:c>
      <x:c r="W819" s="2" t="n">
        <x:v>14</x:v>
      </x:c>
      <x:c r="X819" s="14" t="b">
        <x:v>0</x:v>
      </x:c>
      <x:c r="Y819" s="14" t="b">
        <x:v>0</x:v>
      </x:c>
      <x:c r="Z819" s="2" t="n">
        <x:f>ABS(T819-AA819)</x:f>
        <x:v>0</x:v>
      </x:c>
      <x:c r="AA819" s="2" t="n">
        <x:v>91</x:v>
      </x:c>
      <x:c r="AB819" s="2" t="n">
        <x:f>ABS(K819-W819)</x:f>
        <x:v>4</x:v>
      </x:c>
      <x:c r="AC819" s="2" t="n">
        <x:f>COUNTIF($A$2:$A$1921,A819)-1</x:f>
        <x:v>0</x:v>
      </x:c>
      <x:c r="AD819" s="2" t="n">
        <x:f>IF(AND(D819=D818,H819=H818,C819=C818+1),ABS(R819-T818),0)</x:f>
        <x:v>0</x:v>
      </x:c>
    </x:row>
    <x:row r="820" ht="23" customHeight="1">
      <x:c r="A820" s="2" t="str">
        <x:v>DEMO-205-0-19</x:v>
      </x:c>
      <x:c r="B820" s="15" t="d">
        <x:v>2026-09-07T00:00:00.000Z</x:v>
      </x:c>
      <x:c r="C820" s="2" t="n">
        <x:v>19</x:v>
      </x:c>
      <x:c r="D820" s="2" t="str">
        <x:v>DEMO-205</x:v>
      </x:c>
      <x:c r="E820" s="2" t="str">
        <x:v>Surprise Parcel</x:v>
      </x:c>
      <x:c r="F820" s="2" t="str">
        <x:v>Gifting</x:v>
      </x:c>
      <x:c r="G820" s="2" t="str">
        <x:v>Stores</x:v>
      </x:c>
      <x:c r="H820" s="2" t="str">
        <x:v>North Arcade</x:v>
      </x:c>
      <x:c r="I820" s="2" t="n">
        <x:v>11</x:v>
      </x:c>
      <x:c r="J820" s="2" t="n">
        <x:v>0</x:v>
      </x:c>
      <x:c r="K820" s="2" t="n">
        <x:f>I820-J820</x:f>
        <x:v>11</x:v>
      </x:c>
      <x:c r="L820" s="16" t="n">
        <x:v>26</x:v>
      </x:c>
      <x:c r="M820" s="16" t="n">
        <x:v>26</x:v>
      </x:c>
      <x:c r="N820" s="16" t="n">
        <x:v>11.96</x:v>
      </x:c>
      <x:c r="O820" s="16" t="n">
        <x:f>K820*M820</x:f>
        <x:v>286</x:v>
      </x:c>
      <x:c r="P820" s="16" t="n">
        <x:f>K820*N820</x:f>
        <x:v>131.56</x:v>
      </x:c>
      <x:c r="Q820" s="16" t="n">
        <x:f>O820-P820</x:f>
        <x:v>154.44</x:v>
      </x:c>
      <x:c r="R820" s="2" t="n">
        <x:v>91</x:v>
      </x:c>
      <x:c r="S820" s="2" t="n">
        <x:v>0</x:v>
      </x:c>
      <x:c r="T820" s="2" t="n">
        <x:f>R820+S820+J820-I820</x:f>
        <x:v>80</x:v>
      </x:c>
      <x:c r="U820" s="2" t="n">
        <x:v>0</x:v>
      </x:c>
      <x:c r="V820" s="2" t="n">
        <x:v>3</x:v>
      </x:c>
      <x:c r="W820" s="2" t="n">
        <x:v>10</x:v>
      </x:c>
      <x:c r="X820" s="14" t="b">
        <x:v>0</x:v>
      </x:c>
      <x:c r="Y820" s="14" t="b">
        <x:v>0</x:v>
      </x:c>
      <x:c r="Z820" s="2" t="n">
        <x:f>ABS(T820-AA820)</x:f>
        <x:v>0</x:v>
      </x:c>
      <x:c r="AA820" s="2" t="n">
        <x:v>80</x:v>
      </x:c>
      <x:c r="AB820" s="2" t="n">
        <x:f>ABS(K820-W820)</x:f>
        <x:v>1</x:v>
      </x:c>
      <x:c r="AC820" s="2" t="n">
        <x:f>COUNTIF($A$2:$A$1921,A820)-1</x:f>
        <x:v>0</x:v>
      </x:c>
      <x:c r="AD820" s="2" t="n">
        <x:f>IF(AND(D820=D819,H820=H819,C820=C819+1),ABS(R820-T819),0)</x:f>
        <x:v>0</x:v>
      </x:c>
    </x:row>
    <x:row r="821" ht="23" customHeight="1">
      <x:c r="A821" s="2" t="str">
        <x:v>DEMO-205-0-20</x:v>
      </x:c>
      <x:c r="B821" s="15" t="d">
        <x:v>2026-09-14T00:00:00.000Z</x:v>
      </x:c>
      <x:c r="C821" s="2" t="n">
        <x:v>20</x:v>
      </x:c>
      <x:c r="D821" s="2" t="str">
        <x:v>DEMO-205</x:v>
      </x:c>
      <x:c r="E821" s="2" t="str">
        <x:v>Surprise Parcel</x:v>
      </x:c>
      <x:c r="F821" s="2" t="str">
        <x:v>Gifting</x:v>
      </x:c>
      <x:c r="G821" s="2" t="str">
        <x:v>Stores</x:v>
      </x:c>
      <x:c r="H821" s="2" t="str">
        <x:v>North Arcade</x:v>
      </x:c>
      <x:c r="I821" s="2" t="n">
        <x:v>12</x:v>
      </x:c>
      <x:c r="J821" s="2" t="n">
        <x:v>0</x:v>
      </x:c>
      <x:c r="K821" s="2" t="n">
        <x:f>I821-J821</x:f>
        <x:v>12</x:v>
      </x:c>
      <x:c r="L821" s="16" t="n">
        <x:v>26</x:v>
      </x:c>
      <x:c r="M821" s="16" t="n">
        <x:v>26</x:v>
      </x:c>
      <x:c r="N821" s="16" t="n">
        <x:v>11.96</x:v>
      </x:c>
      <x:c r="O821" s="16" t="n">
        <x:f>K821*M821</x:f>
        <x:v>312</x:v>
      </x:c>
      <x:c r="P821" s="16" t="n">
        <x:f>K821*N821</x:f>
        <x:v>143.52</x:v>
      </x:c>
      <x:c r="Q821" s="16" t="n">
        <x:f>O821-P821</x:f>
        <x:v>168.48</x:v>
      </x:c>
      <x:c r="R821" s="2" t="n">
        <x:v>80</x:v>
      </x:c>
      <x:c r="S821" s="2" t="n">
        <x:v>0</x:v>
      </x:c>
      <x:c r="T821" s="2" t="n">
        <x:f>R821+S821+J821-I821</x:f>
        <x:v>68</x:v>
      </x:c>
      <x:c r="U821" s="2" t="n">
        <x:v>18</x:v>
      </x:c>
      <x:c r="V821" s="2" t="n">
        <x:v>3</x:v>
      </x:c>
      <x:c r="W821" s="2" t="n">
        <x:v>10</x:v>
      </x:c>
      <x:c r="X821" s="14" t="b">
        <x:v>0</x:v>
      </x:c>
      <x:c r="Y821" s="14" t="b">
        <x:v>0</x:v>
      </x:c>
      <x:c r="Z821" s="2" t="n">
        <x:f>ABS(T821-AA821)</x:f>
        <x:v>0</x:v>
      </x:c>
      <x:c r="AA821" s="2" t="n">
        <x:v>68</x:v>
      </x:c>
      <x:c r="AB821" s="2" t="n">
        <x:f>ABS(K821-W821)</x:f>
        <x:v>2</x:v>
      </x:c>
      <x:c r="AC821" s="2" t="n">
        <x:f>COUNTIF($A$2:$A$1921,A821)-1</x:f>
        <x:v>0</x:v>
      </x:c>
      <x:c r="AD821" s="2" t="n">
        <x:f>IF(AND(D821=D820,H821=H820,C821=C820+1),ABS(R821-T820),0)</x:f>
        <x:v>0</x:v>
      </x:c>
    </x:row>
    <x:row r="822" ht="23" customHeight="1">
      <x:c r="A822" s="2" t="str">
        <x:v>DEMO-205-1-1</x:v>
      </x:c>
      <x:c r="B822" s="15" t="d">
        <x:v>2026-05-04T00:00:00.000Z</x:v>
      </x:c>
      <x:c r="C822" s="2" t="n">
        <x:v>1</x:v>
      </x:c>
      <x:c r="D822" s="2" t="str">
        <x:v>DEMO-205</x:v>
      </x:c>
      <x:c r="E822" s="2" t="str">
        <x:v>Surprise Parcel</x:v>
      </x:c>
      <x:c r="F822" s="2" t="str">
        <x:v>Gifting</x:v>
      </x:c>
      <x:c r="G822" s="2" t="str">
        <x:v>Stores</x:v>
      </x:c>
      <x:c r="H822" s="2" t="str">
        <x:v>Riverside</x:v>
      </x:c>
      <x:c r="I822" s="2" t="n">
        <x:v>13</x:v>
      </x:c>
      <x:c r="J822" s="2" t="n">
        <x:v>0</x:v>
      </x:c>
      <x:c r="K822" s="2" t="n">
        <x:f>I822-J822</x:f>
        <x:v>13</x:v>
      </x:c>
      <x:c r="L822" s="16" t="n">
        <x:v>26</x:v>
      </x:c>
      <x:c r="M822" s="16" t="n">
        <x:v>26</x:v>
      </x:c>
      <x:c r="N822" s="16" t="n">
        <x:v>11.96</x:v>
      </x:c>
      <x:c r="O822" s="16" t="n">
        <x:f>K822*M822</x:f>
        <x:v>338</x:v>
      </x:c>
      <x:c r="P822" s="16" t="n">
        <x:f>K822*N822</x:f>
        <x:v>155.48000000000002</x:v>
      </x:c>
      <x:c r="Q822" s="16" t="n">
        <x:f>O822-P822</x:f>
        <x:v>182.51999999999998</x:v>
      </x:c>
      <x:c r="R822" s="2" t="n">
        <x:v>90</x:v>
      </x:c>
      <x:c r="S822" s="2" t="n">
        <x:v>46</x:v>
      </x:c>
      <x:c r="T822" s="2" t="n">
        <x:f>R822+S822+J822-I822</x:f>
        <x:v>123</x:v>
      </x:c>
      <x:c r="U822" s="2" t="n">
        <x:v>0</x:v>
      </x:c>
      <x:c r="V822" s="2" t="n">
        <x:v>3</x:v>
      </x:c>
      <x:c r="W822" s="2" t="n">
        <x:v>11</x:v>
      </x:c>
      <x:c r="X822" s="14" t="b">
        <x:v>0</x:v>
      </x:c>
      <x:c r="Y822" s="14" t="b">
        <x:v>0</x:v>
      </x:c>
      <x:c r="Z822" s="2" t="n">
        <x:f>ABS(T822-AA822)</x:f>
        <x:v>0</x:v>
      </x:c>
      <x:c r="AA822" s="2" t="n">
        <x:v>123</x:v>
      </x:c>
      <x:c r="AB822" s="2" t="n">
        <x:f>ABS(K822-W822)</x:f>
        <x:v>2</x:v>
      </x:c>
      <x:c r="AC822" s="2" t="n">
        <x:f>COUNTIF($A$2:$A$1921,A822)-1</x:f>
        <x:v>0</x:v>
      </x:c>
      <x:c r="AD822" s="2" t="n">
        <x:f>IF(AND(D822=D821,H822=H821,C822=C821+1),ABS(R822-T821),0)</x:f>
        <x:v>0</x:v>
      </x:c>
    </x:row>
    <x:row r="823" ht="23" customHeight="1">
      <x:c r="A823" s="2" t="str">
        <x:v>DEMO-205-1-2</x:v>
      </x:c>
      <x:c r="B823" s="15" t="d">
        <x:v>2026-05-11T00:00:00.000Z</x:v>
      </x:c>
      <x:c r="C823" s="2" t="n">
        <x:v>2</x:v>
      </x:c>
      <x:c r="D823" s="2" t="str">
        <x:v>DEMO-205</x:v>
      </x:c>
      <x:c r="E823" s="2" t="str">
        <x:v>Surprise Parcel</x:v>
      </x:c>
      <x:c r="F823" s="2" t="str">
        <x:v>Gifting</x:v>
      </x:c>
      <x:c r="G823" s="2" t="str">
        <x:v>Stores</x:v>
      </x:c>
      <x:c r="H823" s="2" t="str">
        <x:v>Riverside</x:v>
      </x:c>
      <x:c r="I823" s="2" t="n">
        <x:v>10</x:v>
      </x:c>
      <x:c r="J823" s="2" t="n">
        <x:v>0</x:v>
      </x:c>
      <x:c r="K823" s="2" t="n">
        <x:f>I823-J823</x:f>
        <x:v>10</x:v>
      </x:c>
      <x:c r="L823" s="16" t="n">
        <x:v>26</x:v>
      </x:c>
      <x:c r="M823" s="16" t="n">
        <x:v>26</x:v>
      </x:c>
      <x:c r="N823" s="16" t="n">
        <x:v>11.96</x:v>
      </x:c>
      <x:c r="O823" s="16" t="n">
        <x:f>K823*M823</x:f>
        <x:v>260</x:v>
      </x:c>
      <x:c r="P823" s="16" t="n">
        <x:f>K823*N823</x:f>
        <x:v>119.60000000000001</x:v>
      </x:c>
      <x:c r="Q823" s="16" t="n">
        <x:f>O823-P823</x:f>
        <x:v>140.39999999999998</x:v>
      </x:c>
      <x:c r="R823" s="2" t="n">
        <x:v>123</x:v>
      </x:c>
      <x:c r="S823" s="2" t="n">
        <x:v>0</x:v>
      </x:c>
      <x:c r="T823" s="2" t="n">
        <x:f>R823+S823+J823-I823</x:f>
        <x:v>113</x:v>
      </x:c>
      <x:c r="U823" s="2" t="n">
        <x:v>0</x:v>
      </x:c>
      <x:c r="V823" s="2" t="n">
        <x:v>3</x:v>
      </x:c>
      <x:c r="W823" s="2" t="n">
        <x:v>13</x:v>
      </x:c>
      <x:c r="X823" s="14" t="b">
        <x:v>0</x:v>
      </x:c>
      <x:c r="Y823" s="14" t="b">
        <x:v>0</x:v>
      </x:c>
      <x:c r="Z823" s="2" t="n">
        <x:f>ABS(T823-AA823)</x:f>
        <x:v>0</x:v>
      </x:c>
      <x:c r="AA823" s="2" t="n">
        <x:v>113</x:v>
      </x:c>
      <x:c r="AB823" s="2" t="n">
        <x:f>ABS(K823-W823)</x:f>
        <x:v>3</x:v>
      </x:c>
      <x:c r="AC823" s="2" t="n">
        <x:f>COUNTIF($A$2:$A$1921,A823)-1</x:f>
        <x:v>0</x:v>
      </x:c>
      <x:c r="AD823" s="2" t="n">
        <x:f>IF(AND(D823=D822,H823=H822,C823=C822+1),ABS(R823-T822),0)</x:f>
        <x:v>0</x:v>
      </x:c>
    </x:row>
    <x:row r="824" ht="23" customHeight="1">
      <x:c r="A824" s="2" t="str">
        <x:v>DEMO-205-1-3</x:v>
      </x:c>
      <x:c r="B824" s="15" t="d">
        <x:v>2026-05-18T00:00:00.000Z</x:v>
      </x:c>
      <x:c r="C824" s="2" t="n">
        <x:v>3</x:v>
      </x:c>
      <x:c r="D824" s="2" t="str">
        <x:v>DEMO-205</x:v>
      </x:c>
      <x:c r="E824" s="2" t="str">
        <x:v>Surprise Parcel</x:v>
      </x:c>
      <x:c r="F824" s="2" t="str">
        <x:v>Gifting</x:v>
      </x:c>
      <x:c r="G824" s="2" t="str">
        <x:v>Stores</x:v>
      </x:c>
      <x:c r="H824" s="2" t="str">
        <x:v>Riverside</x:v>
      </x:c>
      <x:c r="I824" s="2" t="n">
        <x:v>12</x:v>
      </x:c>
      <x:c r="J824" s="2" t="n">
        <x:v>1</x:v>
      </x:c>
      <x:c r="K824" s="2" t="n">
        <x:f>I824-J824</x:f>
        <x:v>11</x:v>
      </x:c>
      <x:c r="L824" s="16" t="n">
        <x:v>26</x:v>
      </x:c>
      <x:c r="M824" s="16" t="n">
        <x:v>26</x:v>
      </x:c>
      <x:c r="N824" s="16" t="n">
        <x:v>11.96</x:v>
      </x:c>
      <x:c r="O824" s="16" t="n">
        <x:f>K824*M824</x:f>
        <x:v>286</x:v>
      </x:c>
      <x:c r="P824" s="16" t="n">
        <x:f>K824*N824</x:f>
        <x:v>131.56</x:v>
      </x:c>
      <x:c r="Q824" s="16" t="n">
        <x:f>O824-P824</x:f>
        <x:v>154.44</x:v>
      </x:c>
      <x:c r="R824" s="2" t="n">
        <x:v>113</x:v>
      </x:c>
      <x:c r="S824" s="2" t="n">
        <x:v>0</x:v>
      </x:c>
      <x:c r="T824" s="2" t="n">
        <x:f>R824+S824+J824-I824</x:f>
        <x:v>102</x:v>
      </x:c>
      <x:c r="U824" s="2" t="n">
        <x:v>0</x:v>
      </x:c>
      <x:c r="V824" s="2" t="n">
        <x:v>3</x:v>
      </x:c>
      <x:c r="W824" s="2" t="n">
        <x:v>12</x:v>
      </x:c>
      <x:c r="X824" s="14" t="b">
        <x:v>0</x:v>
      </x:c>
      <x:c r="Y824" s="14" t="b">
        <x:v>0</x:v>
      </x:c>
      <x:c r="Z824" s="2" t="n">
        <x:f>ABS(T824-AA824)</x:f>
        <x:v>0</x:v>
      </x:c>
      <x:c r="AA824" s="2" t="n">
        <x:v>102</x:v>
      </x:c>
      <x:c r="AB824" s="2" t="n">
        <x:f>ABS(K824-W824)</x:f>
        <x:v>1</x:v>
      </x:c>
      <x:c r="AC824" s="2" t="n">
        <x:f>COUNTIF($A$2:$A$1921,A824)-1</x:f>
        <x:v>0</x:v>
      </x:c>
      <x:c r="AD824" s="2" t="n">
        <x:f>IF(AND(D824=D823,H824=H823,C824=C823+1),ABS(R824-T823),0)</x:f>
        <x:v>0</x:v>
      </x:c>
    </x:row>
    <x:row r="825" ht="23" customHeight="1">
      <x:c r="A825" s="2" t="str">
        <x:v>DEMO-205-1-4</x:v>
      </x:c>
      <x:c r="B825" s="15" t="d">
        <x:v>2026-05-25T00:00:00.000Z</x:v>
      </x:c>
      <x:c r="C825" s="2" t="n">
        <x:v>4</x:v>
      </x:c>
      <x:c r="D825" s="2" t="str">
        <x:v>DEMO-205</x:v>
      </x:c>
      <x:c r="E825" s="2" t="str">
        <x:v>Surprise Parcel</x:v>
      </x:c>
      <x:c r="F825" s="2" t="str">
        <x:v>Gifting</x:v>
      </x:c>
      <x:c r="G825" s="2" t="str">
        <x:v>Stores</x:v>
      </x:c>
      <x:c r="H825" s="2" t="str">
        <x:v>Riverside</x:v>
      </x:c>
      <x:c r="I825" s="2" t="n">
        <x:v>13</x:v>
      </x:c>
      <x:c r="J825" s="2" t="n">
        <x:v>0</x:v>
      </x:c>
      <x:c r="K825" s="2" t="n">
        <x:f>I825-J825</x:f>
        <x:v>13</x:v>
      </x:c>
      <x:c r="L825" s="16" t="n">
        <x:v>26</x:v>
      </x:c>
      <x:c r="M825" s="16" t="n">
        <x:v>26</x:v>
      </x:c>
      <x:c r="N825" s="16" t="n">
        <x:v>11.96</x:v>
      </x:c>
      <x:c r="O825" s="16" t="n">
        <x:f>K825*M825</x:f>
        <x:v>338</x:v>
      </x:c>
      <x:c r="P825" s="16" t="n">
        <x:f>K825*N825</x:f>
        <x:v>155.48000000000002</x:v>
      </x:c>
      <x:c r="Q825" s="16" t="n">
        <x:f>O825-P825</x:f>
        <x:v>182.51999999999998</x:v>
      </x:c>
      <x:c r="R825" s="2" t="n">
        <x:v>102</x:v>
      </x:c>
      <x:c r="S825" s="2" t="n">
        <x:v>0</x:v>
      </x:c>
      <x:c r="T825" s="2" t="n">
        <x:f>R825+S825+J825-I825</x:f>
        <x:v>89</x:v>
      </x:c>
      <x:c r="U825" s="2" t="n">
        <x:v>0</x:v>
      </x:c>
      <x:c r="V825" s="2" t="n">
        <x:v>3</x:v>
      </x:c>
      <x:c r="W825" s="2" t="n">
        <x:v>11</x:v>
      </x:c>
      <x:c r="X825" s="14" t="b">
        <x:v>0</x:v>
      </x:c>
      <x:c r="Y825" s="14" t="b">
        <x:v>0</x:v>
      </x:c>
      <x:c r="Z825" s="2" t="n">
        <x:f>ABS(T825-AA825)</x:f>
        <x:v>0</x:v>
      </x:c>
      <x:c r="AA825" s="2" t="n">
        <x:v>89</x:v>
      </x:c>
      <x:c r="AB825" s="2" t="n">
        <x:f>ABS(K825-W825)</x:f>
        <x:v>2</x:v>
      </x:c>
      <x:c r="AC825" s="2" t="n">
        <x:f>COUNTIF($A$2:$A$1921,A825)-1</x:f>
        <x:v>0</x:v>
      </x:c>
      <x:c r="AD825" s="2" t="n">
        <x:f>IF(AND(D825=D824,H825=H824,C825=C824+1),ABS(R825-T824),0)</x:f>
        <x:v>0</x:v>
      </x:c>
    </x:row>
    <x:row r="826" ht="23" customHeight="1">
      <x:c r="A826" s="2" t="str">
        <x:v>DEMO-205-1-5</x:v>
      </x:c>
      <x:c r="B826" s="15" t="d">
        <x:v>2026-06-01T00:00:00.000Z</x:v>
      </x:c>
      <x:c r="C826" s="2" t="n">
        <x:v>5</x:v>
      </x:c>
      <x:c r="D826" s="2" t="str">
        <x:v>DEMO-205</x:v>
      </x:c>
      <x:c r="E826" s="2" t="str">
        <x:v>Surprise Parcel</x:v>
      </x:c>
      <x:c r="F826" s="2" t="str">
        <x:v>Gifting</x:v>
      </x:c>
      <x:c r="G826" s="2" t="str">
        <x:v>Stores</x:v>
      </x:c>
      <x:c r="H826" s="2" t="str">
        <x:v>Riverside</x:v>
      </x:c>
      <x:c r="I826" s="2" t="n">
        <x:v>12</x:v>
      </x:c>
      <x:c r="J826" s="2" t="n">
        <x:v>0</x:v>
      </x:c>
      <x:c r="K826" s="2" t="n">
        <x:f>I826-J826</x:f>
        <x:v>12</x:v>
      </x:c>
      <x:c r="L826" s="16" t="n">
        <x:v>26</x:v>
      </x:c>
      <x:c r="M826" s="16" t="n">
        <x:v>26</x:v>
      </x:c>
      <x:c r="N826" s="16" t="n">
        <x:v>11.96</x:v>
      </x:c>
      <x:c r="O826" s="16" t="n">
        <x:f>K826*M826</x:f>
        <x:v>312</x:v>
      </x:c>
      <x:c r="P826" s="16" t="n">
        <x:f>K826*N826</x:f>
        <x:v>143.52</x:v>
      </x:c>
      <x:c r="Q826" s="16" t="n">
        <x:f>O826-P826</x:f>
        <x:v>168.48</x:v>
      </x:c>
      <x:c r="R826" s="2" t="n">
        <x:v>89</x:v>
      </x:c>
      <x:c r="S826" s="2" t="n">
        <x:v>46</x:v>
      </x:c>
      <x:c r="T826" s="2" t="n">
        <x:f>R826+S826+J826-I826</x:f>
        <x:v>123</x:v>
      </x:c>
      <x:c r="U826" s="2" t="n">
        <x:v>0</x:v>
      </x:c>
      <x:c r="V826" s="2" t="n">
        <x:v>3</x:v>
      </x:c>
      <x:c r="W826" s="2" t="n">
        <x:v>12</x:v>
      </x:c>
      <x:c r="X826" s="14" t="b">
        <x:v>0</x:v>
      </x:c>
      <x:c r="Y826" s="14" t="b">
        <x:v>0</x:v>
      </x:c>
      <x:c r="Z826" s="2" t="n">
        <x:f>ABS(T826-AA826)</x:f>
        <x:v>0</x:v>
      </x:c>
      <x:c r="AA826" s="2" t="n">
        <x:v>123</x:v>
      </x:c>
      <x:c r="AB826" s="2" t="n">
        <x:f>ABS(K826-W826)</x:f>
        <x:v>0</x:v>
      </x:c>
      <x:c r="AC826" s="2" t="n">
        <x:f>COUNTIF($A$2:$A$1921,A826)-1</x:f>
        <x:v>0</x:v>
      </x:c>
      <x:c r="AD826" s="2" t="n">
        <x:f>IF(AND(D826=D825,H826=H825,C826=C825+1),ABS(R826-T825),0)</x:f>
        <x:v>0</x:v>
      </x:c>
    </x:row>
    <x:row r="827" ht="23" customHeight="1">
      <x:c r="A827" s="2" t="str">
        <x:v>DEMO-205-1-6</x:v>
      </x:c>
      <x:c r="B827" s="15" t="d">
        <x:v>2026-06-08T00:00:00.000Z</x:v>
      </x:c>
      <x:c r="C827" s="2" t="n">
        <x:v>6</x:v>
      </x:c>
      <x:c r="D827" s="2" t="str">
        <x:v>DEMO-205</x:v>
      </x:c>
      <x:c r="E827" s="2" t="str">
        <x:v>Surprise Parcel</x:v>
      </x:c>
      <x:c r="F827" s="2" t="str">
        <x:v>Gifting</x:v>
      </x:c>
      <x:c r="G827" s="2" t="str">
        <x:v>Stores</x:v>
      </x:c>
      <x:c r="H827" s="2" t="str">
        <x:v>Riverside</x:v>
      </x:c>
      <x:c r="I827" s="2" t="n">
        <x:v>11</x:v>
      </x:c>
      <x:c r="J827" s="2" t="n">
        <x:v>0</x:v>
      </x:c>
      <x:c r="K827" s="2" t="n">
        <x:f>I827-J827</x:f>
        <x:v>11</x:v>
      </x:c>
      <x:c r="L827" s="16" t="n">
        <x:v>26</x:v>
      </x:c>
      <x:c r="M827" s="16" t="n">
        <x:v>26</x:v>
      </x:c>
      <x:c r="N827" s="16" t="n">
        <x:v>11.96</x:v>
      </x:c>
      <x:c r="O827" s="16" t="n">
        <x:f>K827*M827</x:f>
        <x:v>286</x:v>
      </x:c>
      <x:c r="P827" s="16" t="n">
        <x:f>K827*N827</x:f>
        <x:v>131.56</x:v>
      </x:c>
      <x:c r="Q827" s="16" t="n">
        <x:f>O827-P827</x:f>
        <x:v>154.44</x:v>
      </x:c>
      <x:c r="R827" s="2" t="n">
        <x:v>123</x:v>
      </x:c>
      <x:c r="S827" s="2" t="n">
        <x:v>0</x:v>
      </x:c>
      <x:c r="T827" s="2" t="n">
        <x:f>R827+S827+J827-I827</x:f>
        <x:v>112</x:v>
      </x:c>
      <x:c r="U827" s="2" t="n">
        <x:v>0</x:v>
      </x:c>
      <x:c r="V827" s="2" t="n">
        <x:v>3</x:v>
      </x:c>
      <x:c r="W827" s="2" t="n">
        <x:v>12</x:v>
      </x:c>
      <x:c r="X827" s="14" t="b">
        <x:v>0</x:v>
      </x:c>
      <x:c r="Y827" s="14" t="b">
        <x:v>0</x:v>
      </x:c>
      <x:c r="Z827" s="2" t="n">
        <x:f>ABS(T827-AA827)</x:f>
        <x:v>0</x:v>
      </x:c>
      <x:c r="AA827" s="2" t="n">
        <x:v>112</x:v>
      </x:c>
      <x:c r="AB827" s="2" t="n">
        <x:f>ABS(K827-W827)</x:f>
        <x:v>1</x:v>
      </x:c>
      <x:c r="AC827" s="2" t="n">
        <x:f>COUNTIF($A$2:$A$1921,A827)-1</x:f>
        <x:v>0</x:v>
      </x:c>
      <x:c r="AD827" s="2" t="n">
        <x:f>IF(AND(D827=D826,H827=H826,C827=C826+1),ABS(R827-T826),0)</x:f>
        <x:v>0</x:v>
      </x:c>
    </x:row>
    <x:row r="828" ht="23" customHeight="1">
      <x:c r="A828" s="2" t="str">
        <x:v>DEMO-205-1-7</x:v>
      </x:c>
      <x:c r="B828" s="15" t="d">
        <x:v>2026-06-15T00:00:00.000Z</x:v>
      </x:c>
      <x:c r="C828" s="2" t="n">
        <x:v>7</x:v>
      </x:c>
      <x:c r="D828" s="2" t="str">
        <x:v>DEMO-205</x:v>
      </x:c>
      <x:c r="E828" s="2" t="str">
        <x:v>Surprise Parcel</x:v>
      </x:c>
      <x:c r="F828" s="2" t="str">
        <x:v>Gifting</x:v>
      </x:c>
      <x:c r="G828" s="2" t="str">
        <x:v>Stores</x:v>
      </x:c>
      <x:c r="H828" s="2" t="str">
        <x:v>Riverside</x:v>
      </x:c>
      <x:c r="I828" s="2" t="n">
        <x:v>10</x:v>
      </x:c>
      <x:c r="J828" s="2" t="n">
        <x:v>1</x:v>
      </x:c>
      <x:c r="K828" s="2" t="n">
        <x:f>I828-J828</x:f>
        <x:v>9</x:v>
      </x:c>
      <x:c r="L828" s="16" t="n">
        <x:v>26</x:v>
      </x:c>
      <x:c r="M828" s="16" t="n">
        <x:v>26</x:v>
      </x:c>
      <x:c r="N828" s="16" t="n">
        <x:v>11.96</x:v>
      </x:c>
      <x:c r="O828" s="16" t="n">
        <x:f>K828*M828</x:f>
        <x:v>234</x:v>
      </x:c>
      <x:c r="P828" s="16" t="n">
        <x:f>K828*N828</x:f>
        <x:v>107.64000000000001</x:v>
      </x:c>
      <x:c r="Q828" s="16" t="n">
        <x:f>O828-P828</x:f>
        <x:v>126.35999999999999</x:v>
      </x:c>
      <x:c r="R828" s="2" t="n">
        <x:v>112</x:v>
      </x:c>
      <x:c r="S828" s="2" t="n">
        <x:v>0</x:v>
      </x:c>
      <x:c r="T828" s="2" t="n">
        <x:f>R828+S828+J828-I828</x:f>
        <x:v>103</x:v>
      </x:c>
      <x:c r="U828" s="2" t="n">
        <x:v>0</x:v>
      </x:c>
      <x:c r="V828" s="2" t="n">
        <x:v>3</x:v>
      </x:c>
      <x:c r="W828" s="2" t="n">
        <x:v>12</x:v>
      </x:c>
      <x:c r="X828" s="14" t="b">
        <x:v>0</x:v>
      </x:c>
      <x:c r="Y828" s="14" t="b">
        <x:v>0</x:v>
      </x:c>
      <x:c r="Z828" s="2" t="n">
        <x:f>ABS(T828-AA828)</x:f>
        <x:v>0</x:v>
      </x:c>
      <x:c r="AA828" s="2" t="n">
        <x:v>103</x:v>
      </x:c>
      <x:c r="AB828" s="2" t="n">
        <x:f>ABS(K828-W828)</x:f>
        <x:v>3</x:v>
      </x:c>
      <x:c r="AC828" s="2" t="n">
        <x:f>COUNTIF($A$2:$A$1921,A828)-1</x:f>
        <x:v>0</x:v>
      </x:c>
      <x:c r="AD828" s="2" t="n">
        <x:f>IF(AND(D828=D827,H828=H827,C828=C827+1),ABS(R828-T827),0)</x:f>
        <x:v>0</x:v>
      </x:c>
    </x:row>
    <x:row r="829" ht="23" customHeight="1">
      <x:c r="A829" s="2" t="str">
        <x:v>DEMO-205-1-8</x:v>
      </x:c>
      <x:c r="B829" s="15" t="d">
        <x:v>2026-06-22T00:00:00.000Z</x:v>
      </x:c>
      <x:c r="C829" s="2" t="n">
        <x:v>8</x:v>
      </x:c>
      <x:c r="D829" s="2" t="str">
        <x:v>DEMO-205</x:v>
      </x:c>
      <x:c r="E829" s="2" t="str">
        <x:v>Surprise Parcel</x:v>
      </x:c>
      <x:c r="F829" s="2" t="str">
        <x:v>Gifting</x:v>
      </x:c>
      <x:c r="G829" s="2" t="str">
        <x:v>Stores</x:v>
      </x:c>
      <x:c r="H829" s="2" t="str">
        <x:v>Riverside</x:v>
      </x:c>
      <x:c r="I829" s="2" t="n">
        <x:v>13</x:v>
      </x:c>
      <x:c r="J829" s="2" t="n">
        <x:v>0</x:v>
      </x:c>
      <x:c r="K829" s="2" t="n">
        <x:f>I829-J829</x:f>
        <x:v>13</x:v>
      </x:c>
      <x:c r="L829" s="16" t="n">
        <x:v>26</x:v>
      </x:c>
      <x:c r="M829" s="16" t="n">
        <x:v>26</x:v>
      </x:c>
      <x:c r="N829" s="16" t="n">
        <x:v>11.96</x:v>
      </x:c>
      <x:c r="O829" s="16" t="n">
        <x:f>K829*M829</x:f>
        <x:v>338</x:v>
      </x:c>
      <x:c r="P829" s="16" t="n">
        <x:f>K829*N829</x:f>
        <x:v>155.48000000000002</x:v>
      </x:c>
      <x:c r="Q829" s="16" t="n">
        <x:f>O829-P829</x:f>
        <x:v>182.51999999999998</x:v>
      </x:c>
      <x:c r="R829" s="2" t="n">
        <x:v>103</x:v>
      </x:c>
      <x:c r="S829" s="2" t="n">
        <x:v>0</x:v>
      </x:c>
      <x:c r="T829" s="2" t="n">
        <x:f>R829+S829+J829-I829</x:f>
        <x:v>90</x:v>
      </x:c>
      <x:c r="U829" s="2" t="n">
        <x:v>0</x:v>
      </x:c>
      <x:c r="V829" s="2" t="n">
        <x:v>3</x:v>
      </x:c>
      <x:c r="W829" s="2" t="n">
        <x:v>11</x:v>
      </x:c>
      <x:c r="X829" s="14" t="b">
        <x:v>0</x:v>
      </x:c>
      <x:c r="Y829" s="14" t="b">
        <x:v>0</x:v>
      </x:c>
      <x:c r="Z829" s="2" t="n">
        <x:f>ABS(T829-AA829)</x:f>
        <x:v>0</x:v>
      </x:c>
      <x:c r="AA829" s="2" t="n">
        <x:v>90</x:v>
      </x:c>
      <x:c r="AB829" s="2" t="n">
        <x:f>ABS(K829-W829)</x:f>
        <x:v>2</x:v>
      </x:c>
      <x:c r="AC829" s="2" t="n">
        <x:f>COUNTIF($A$2:$A$1921,A829)-1</x:f>
        <x:v>0</x:v>
      </x:c>
      <x:c r="AD829" s="2" t="n">
        <x:f>IF(AND(D829=D828,H829=H828,C829=C828+1),ABS(R829-T828),0)</x:f>
        <x:v>0</x:v>
      </x:c>
    </x:row>
    <x:row r="830" ht="23" customHeight="1">
      <x:c r="A830" s="2" t="str">
        <x:v>DEMO-205-1-9</x:v>
      </x:c>
      <x:c r="B830" s="15" t="d">
        <x:v>2026-06-29T00:00:00.000Z</x:v>
      </x:c>
      <x:c r="C830" s="2" t="n">
        <x:v>9</x:v>
      </x:c>
      <x:c r="D830" s="2" t="str">
        <x:v>DEMO-205</x:v>
      </x:c>
      <x:c r="E830" s="2" t="str">
        <x:v>Surprise Parcel</x:v>
      </x:c>
      <x:c r="F830" s="2" t="str">
        <x:v>Gifting</x:v>
      </x:c>
      <x:c r="G830" s="2" t="str">
        <x:v>Stores</x:v>
      </x:c>
      <x:c r="H830" s="2" t="str">
        <x:v>Riverside</x:v>
      </x:c>
      <x:c r="I830" s="2" t="n">
        <x:v>13</x:v>
      </x:c>
      <x:c r="J830" s="2" t="n">
        <x:v>0</x:v>
      </x:c>
      <x:c r="K830" s="2" t="n">
        <x:f>I830-J830</x:f>
        <x:v>13</x:v>
      </x:c>
      <x:c r="L830" s="16" t="n">
        <x:v>26</x:v>
      </x:c>
      <x:c r="M830" s="16" t="n">
        <x:v>26</x:v>
      </x:c>
      <x:c r="N830" s="16" t="n">
        <x:v>11.96</x:v>
      </x:c>
      <x:c r="O830" s="16" t="n">
        <x:f>K830*M830</x:f>
        <x:v>338</x:v>
      </x:c>
      <x:c r="P830" s="16" t="n">
        <x:f>K830*N830</x:f>
        <x:v>155.48000000000002</x:v>
      </x:c>
      <x:c r="Q830" s="16" t="n">
        <x:f>O830-P830</x:f>
        <x:v>182.51999999999998</x:v>
      </x:c>
      <x:c r="R830" s="2" t="n">
        <x:v>90</x:v>
      </x:c>
      <x:c r="S830" s="2" t="n">
        <x:v>46</x:v>
      </x:c>
      <x:c r="T830" s="2" t="n">
        <x:f>R830+S830+J830-I830</x:f>
        <x:v>123</x:v>
      </x:c>
      <x:c r="U830" s="2" t="n">
        <x:v>0</x:v>
      </x:c>
      <x:c r="V830" s="2" t="n">
        <x:v>3</x:v>
      </x:c>
      <x:c r="W830" s="2" t="n">
        <x:v>11</x:v>
      </x:c>
      <x:c r="X830" s="14" t="b">
        <x:v>0</x:v>
      </x:c>
      <x:c r="Y830" s="14" t="b">
        <x:v>0</x:v>
      </x:c>
      <x:c r="Z830" s="2" t="n">
        <x:f>ABS(T830-AA830)</x:f>
        <x:v>0</x:v>
      </x:c>
      <x:c r="AA830" s="2" t="n">
        <x:v>123</x:v>
      </x:c>
      <x:c r="AB830" s="2" t="n">
        <x:f>ABS(K830-W830)</x:f>
        <x:v>2</x:v>
      </x:c>
      <x:c r="AC830" s="2" t="n">
        <x:f>COUNTIF($A$2:$A$1921,A830)-1</x:f>
        <x:v>0</x:v>
      </x:c>
      <x:c r="AD830" s="2" t="n">
        <x:f>IF(AND(D830=D829,H830=H829,C830=C829+1),ABS(R830-T829),0)</x:f>
        <x:v>0</x:v>
      </x:c>
    </x:row>
    <x:row r="831" ht="23" customHeight="1">
      <x:c r="A831" s="2" t="str">
        <x:v>DEMO-205-1-10</x:v>
      </x:c>
      <x:c r="B831" s="15" t="d">
        <x:v>2026-07-06T00:00:00.000Z</x:v>
      </x:c>
      <x:c r="C831" s="2" t="n">
        <x:v>10</x:v>
      </x:c>
      <x:c r="D831" s="2" t="str">
        <x:v>DEMO-205</x:v>
      </x:c>
      <x:c r="E831" s="2" t="str">
        <x:v>Surprise Parcel</x:v>
      </x:c>
      <x:c r="F831" s="2" t="str">
        <x:v>Gifting</x:v>
      </x:c>
      <x:c r="G831" s="2" t="str">
        <x:v>Stores</x:v>
      </x:c>
      <x:c r="H831" s="2" t="str">
        <x:v>Riverside</x:v>
      </x:c>
      <x:c r="I831" s="2" t="n">
        <x:v>11</x:v>
      </x:c>
      <x:c r="J831" s="2" t="n">
        <x:v>1</x:v>
      </x:c>
      <x:c r="K831" s="2" t="n">
        <x:f>I831-J831</x:f>
        <x:v>10</x:v>
      </x:c>
      <x:c r="L831" s="16" t="n">
        <x:v>26</x:v>
      </x:c>
      <x:c r="M831" s="16" t="n">
        <x:v>26</x:v>
      </x:c>
      <x:c r="N831" s="16" t="n">
        <x:v>11.96</x:v>
      </x:c>
      <x:c r="O831" s="16" t="n">
        <x:f>K831*M831</x:f>
        <x:v>260</x:v>
      </x:c>
      <x:c r="P831" s="16" t="n">
        <x:f>K831*N831</x:f>
        <x:v>119.60000000000001</x:v>
      </x:c>
      <x:c r="Q831" s="16" t="n">
        <x:f>O831-P831</x:f>
        <x:v>140.39999999999998</x:v>
      </x:c>
      <x:c r="R831" s="2" t="n">
        <x:v>123</x:v>
      </x:c>
      <x:c r="S831" s="2" t="n">
        <x:v>0</x:v>
      </x:c>
      <x:c r="T831" s="2" t="n">
        <x:f>R831+S831+J831-I831</x:f>
        <x:v>113</x:v>
      </x:c>
      <x:c r="U831" s="2" t="n">
        <x:v>0</x:v>
      </x:c>
      <x:c r="V831" s="2" t="n">
        <x:v>3</x:v>
      </x:c>
      <x:c r="W831" s="2" t="n">
        <x:v>12</x:v>
      </x:c>
      <x:c r="X831" s="14" t="b">
        <x:v>0</x:v>
      </x:c>
      <x:c r="Y831" s="14" t="b">
        <x:v>0</x:v>
      </x:c>
      <x:c r="Z831" s="2" t="n">
        <x:f>ABS(T831-AA831)</x:f>
        <x:v>0</x:v>
      </x:c>
      <x:c r="AA831" s="2" t="n">
        <x:v>113</x:v>
      </x:c>
      <x:c r="AB831" s="2" t="n">
        <x:f>ABS(K831-W831)</x:f>
        <x:v>2</x:v>
      </x:c>
      <x:c r="AC831" s="2" t="n">
        <x:f>COUNTIF($A$2:$A$1921,A831)-1</x:f>
        <x:v>0</x:v>
      </x:c>
      <x:c r="AD831" s="2" t="n">
        <x:f>IF(AND(D831=D830,H831=H830,C831=C830+1),ABS(R831-T830),0)</x:f>
        <x:v>0</x:v>
      </x:c>
    </x:row>
    <x:row r="832" ht="23" customHeight="1">
      <x:c r="A832" s="2" t="str">
        <x:v>DEMO-205-1-11</x:v>
      </x:c>
      <x:c r="B832" s="15" t="d">
        <x:v>2026-07-13T00:00:00.000Z</x:v>
      </x:c>
      <x:c r="C832" s="2" t="n">
        <x:v>11</x:v>
      </x:c>
      <x:c r="D832" s="2" t="str">
        <x:v>DEMO-205</x:v>
      </x:c>
      <x:c r="E832" s="2" t="str">
        <x:v>Surprise Parcel</x:v>
      </x:c>
      <x:c r="F832" s="2" t="str">
        <x:v>Gifting</x:v>
      </x:c>
      <x:c r="G832" s="2" t="str">
        <x:v>Stores</x:v>
      </x:c>
      <x:c r="H832" s="2" t="str">
        <x:v>Riverside</x:v>
      </x:c>
      <x:c r="I832" s="2" t="n">
        <x:v>11</x:v>
      </x:c>
      <x:c r="J832" s="2" t="n">
        <x:v>1</x:v>
      </x:c>
      <x:c r="K832" s="2" t="n">
        <x:f>I832-J832</x:f>
        <x:v>10</x:v>
      </x:c>
      <x:c r="L832" s="16" t="n">
        <x:v>26</x:v>
      </x:c>
      <x:c r="M832" s="16" t="n">
        <x:v>26</x:v>
      </x:c>
      <x:c r="N832" s="16" t="n">
        <x:v>11.96</x:v>
      </x:c>
      <x:c r="O832" s="16" t="n">
        <x:f>K832*M832</x:f>
        <x:v>260</x:v>
      </x:c>
      <x:c r="P832" s="16" t="n">
        <x:f>K832*N832</x:f>
        <x:v>119.60000000000001</x:v>
      </x:c>
      <x:c r="Q832" s="16" t="n">
        <x:f>O832-P832</x:f>
        <x:v>140.39999999999998</x:v>
      </x:c>
      <x:c r="R832" s="2" t="n">
        <x:v>113</x:v>
      </x:c>
      <x:c r="S832" s="2" t="n">
        <x:v>0</x:v>
      </x:c>
      <x:c r="T832" s="2" t="n">
        <x:f>R832+S832+J832-I832</x:f>
        <x:v>103</x:v>
      </x:c>
      <x:c r="U832" s="2" t="n">
        <x:v>0</x:v>
      </x:c>
      <x:c r="V832" s="2" t="n">
        <x:v>3</x:v>
      </x:c>
      <x:c r="W832" s="2" t="n">
        <x:v>11</x:v>
      </x:c>
      <x:c r="X832" s="14" t="b">
        <x:v>0</x:v>
      </x:c>
      <x:c r="Y832" s="14" t="b">
        <x:v>0</x:v>
      </x:c>
      <x:c r="Z832" s="2" t="n">
        <x:f>ABS(T832-AA832)</x:f>
        <x:v>0</x:v>
      </x:c>
      <x:c r="AA832" s="2" t="n">
        <x:v>103</x:v>
      </x:c>
      <x:c r="AB832" s="2" t="n">
        <x:f>ABS(K832-W832)</x:f>
        <x:v>1</x:v>
      </x:c>
      <x:c r="AC832" s="2" t="n">
        <x:f>COUNTIF($A$2:$A$1921,A832)-1</x:f>
        <x:v>0</x:v>
      </x:c>
      <x:c r="AD832" s="2" t="n">
        <x:f>IF(AND(D832=D831,H832=H831,C832=C831+1),ABS(R832-T831),0)</x:f>
        <x:v>0</x:v>
      </x:c>
    </x:row>
    <x:row r="833" ht="23" customHeight="1">
      <x:c r="A833" s="2" t="str">
        <x:v>DEMO-205-1-12</x:v>
      </x:c>
      <x:c r="B833" s="15" t="d">
        <x:v>2026-07-20T00:00:00.000Z</x:v>
      </x:c>
      <x:c r="C833" s="2" t="n">
        <x:v>12</x:v>
      </x:c>
      <x:c r="D833" s="2" t="str">
        <x:v>DEMO-205</x:v>
      </x:c>
      <x:c r="E833" s="2" t="str">
        <x:v>Surprise Parcel</x:v>
      </x:c>
      <x:c r="F833" s="2" t="str">
        <x:v>Gifting</x:v>
      </x:c>
      <x:c r="G833" s="2" t="str">
        <x:v>Stores</x:v>
      </x:c>
      <x:c r="H833" s="2" t="str">
        <x:v>Riverside</x:v>
      </x:c>
      <x:c r="I833" s="2" t="n">
        <x:v>23</x:v>
      </x:c>
      <x:c r="J833" s="2" t="n">
        <x:v>0</x:v>
      </x:c>
      <x:c r="K833" s="2" t="n">
        <x:f>I833-J833</x:f>
        <x:v>23</x:v>
      </x:c>
      <x:c r="L833" s="16" t="n">
        <x:v>26</x:v>
      </x:c>
      <x:c r="M833" s="16" t="n">
        <x:v>23.4</x:v>
      </x:c>
      <x:c r="N833" s="16" t="n">
        <x:v>11.96</x:v>
      </x:c>
      <x:c r="O833" s="16" t="n">
        <x:f>K833*M833</x:f>
        <x:v>538.1999999999999</x:v>
      </x:c>
      <x:c r="P833" s="16" t="n">
        <x:f>K833*N833</x:f>
        <x:v>275.08000000000004</x:v>
      </x:c>
      <x:c r="Q833" s="16" t="n">
        <x:f>O833-P833</x:f>
        <x:v>263.1199999999999</x:v>
      </x:c>
      <x:c r="R833" s="2" t="n">
        <x:v>103</x:v>
      </x:c>
      <x:c r="S833" s="2" t="n">
        <x:v>0</x:v>
      </x:c>
      <x:c r="T833" s="2" t="n">
        <x:f>R833+S833+J833-I833</x:f>
        <x:v>80</x:v>
      </x:c>
      <x:c r="U833" s="2" t="n">
        <x:v>0</x:v>
      </x:c>
      <x:c r="V833" s="2" t="n">
        <x:v>3</x:v>
      </x:c>
      <x:c r="W833" s="2" t="n">
        <x:v>12</x:v>
      </x:c>
      <x:c r="X833" s="14" t="b">
        <x:v>1</x:v>
      </x:c>
      <x:c r="Y833" s="14" t="b">
        <x:v>0</x:v>
      </x:c>
      <x:c r="Z833" s="2" t="n">
        <x:f>ABS(T833-AA833)</x:f>
        <x:v>0</x:v>
      </x:c>
      <x:c r="AA833" s="2" t="n">
        <x:v>80</x:v>
      </x:c>
      <x:c r="AB833" s="2" t="n">
        <x:f>ABS(K833-W833)</x:f>
        <x:v>11</x:v>
      </x:c>
      <x:c r="AC833" s="2" t="n">
        <x:f>COUNTIF($A$2:$A$1921,A833)-1</x:f>
        <x:v>0</x:v>
      </x:c>
      <x:c r="AD833" s="2" t="n">
        <x:f>IF(AND(D833=D832,H833=H832,C833=C832+1),ABS(R833-T832),0)</x:f>
        <x:v>0</x:v>
      </x:c>
    </x:row>
    <x:row r="834" ht="23" customHeight="1">
      <x:c r="A834" s="2" t="str">
        <x:v>DEMO-205-1-13</x:v>
      </x:c>
      <x:c r="B834" s="15" t="d">
        <x:v>2026-07-27T00:00:00.000Z</x:v>
      </x:c>
      <x:c r="C834" s="2" t="n">
        <x:v>13</x:v>
      </x:c>
      <x:c r="D834" s="2" t="str">
        <x:v>DEMO-205</x:v>
      </x:c>
      <x:c r="E834" s="2" t="str">
        <x:v>Surprise Parcel</x:v>
      </x:c>
      <x:c r="F834" s="2" t="str">
        <x:v>Gifting</x:v>
      </x:c>
      <x:c r="G834" s="2" t="str">
        <x:v>Stores</x:v>
      </x:c>
      <x:c r="H834" s="2" t="str">
        <x:v>Riverside</x:v>
      </x:c>
      <x:c r="I834" s="2" t="n">
        <x:v>20</x:v>
      </x:c>
      <x:c r="J834" s="2" t="n">
        <x:v>0</x:v>
      </x:c>
      <x:c r="K834" s="2" t="n">
        <x:f>I834-J834</x:f>
        <x:v>20</x:v>
      </x:c>
      <x:c r="L834" s="16" t="n">
        <x:v>26</x:v>
      </x:c>
      <x:c r="M834" s="16" t="n">
        <x:v>23.4</x:v>
      </x:c>
      <x:c r="N834" s="16" t="n">
        <x:v>11.96</x:v>
      </x:c>
      <x:c r="O834" s="16" t="n">
        <x:f>K834*M834</x:f>
        <x:v>468</x:v>
      </x:c>
      <x:c r="P834" s="16" t="n">
        <x:f>K834*N834</x:f>
        <x:v>239.20000000000002</x:v>
      </x:c>
      <x:c r="Q834" s="16" t="n">
        <x:f>O834-P834</x:f>
        <x:v>228.79999999999998</x:v>
      </x:c>
      <x:c r="R834" s="2" t="n">
        <x:v>80</x:v>
      </x:c>
      <x:c r="S834" s="2" t="n">
        <x:v>46</x:v>
      </x:c>
      <x:c r="T834" s="2" t="n">
        <x:f>R834+S834+J834-I834</x:f>
        <x:v>106</x:v>
      </x:c>
      <x:c r="U834" s="2" t="n">
        <x:v>0</x:v>
      </x:c>
      <x:c r="V834" s="2" t="n">
        <x:v>3</x:v>
      </x:c>
      <x:c r="W834" s="2" t="n">
        <x:v>14</x:v>
      </x:c>
      <x:c r="X834" s="14" t="b">
        <x:v>1</x:v>
      </x:c>
      <x:c r="Y834" s="14" t="b">
        <x:v>0</x:v>
      </x:c>
      <x:c r="Z834" s="2" t="n">
        <x:f>ABS(T834-AA834)</x:f>
        <x:v>0</x:v>
      </x:c>
      <x:c r="AA834" s="2" t="n">
        <x:v>106</x:v>
      </x:c>
      <x:c r="AB834" s="2" t="n">
        <x:f>ABS(K834-W834)</x:f>
        <x:v>6</x:v>
      </x:c>
      <x:c r="AC834" s="2" t="n">
        <x:f>COUNTIF($A$2:$A$1921,A834)-1</x:f>
        <x:v>0</x:v>
      </x:c>
      <x:c r="AD834" s="2" t="n">
        <x:f>IF(AND(D834=D833,H834=H833,C834=C833+1),ABS(R834-T833),0)</x:f>
        <x:v>0</x:v>
      </x:c>
    </x:row>
    <x:row r="835" ht="23" customHeight="1">
      <x:c r="A835" s="2" t="str">
        <x:v>DEMO-205-1-14</x:v>
      </x:c>
      <x:c r="B835" s="15" t="d">
        <x:v>2026-08-03T00:00:00.000Z</x:v>
      </x:c>
      <x:c r="C835" s="2" t="n">
        <x:v>14</x:v>
      </x:c>
      <x:c r="D835" s="2" t="str">
        <x:v>DEMO-205</x:v>
      </x:c>
      <x:c r="E835" s="2" t="str">
        <x:v>Surprise Parcel</x:v>
      </x:c>
      <x:c r="F835" s="2" t="str">
        <x:v>Gifting</x:v>
      </x:c>
      <x:c r="G835" s="2" t="str">
        <x:v>Stores</x:v>
      </x:c>
      <x:c r="H835" s="2" t="str">
        <x:v>Riverside</x:v>
      </x:c>
      <x:c r="I835" s="2" t="n">
        <x:v>26</x:v>
      </x:c>
      <x:c r="J835" s="2" t="n">
        <x:v>1</x:v>
      </x:c>
      <x:c r="K835" s="2" t="n">
        <x:f>I835-J835</x:f>
        <x:v>25</x:v>
      </x:c>
      <x:c r="L835" s="16" t="n">
        <x:v>26</x:v>
      </x:c>
      <x:c r="M835" s="16" t="n">
        <x:v>23.4</x:v>
      </x:c>
      <x:c r="N835" s="16" t="n">
        <x:v>11.96</x:v>
      </x:c>
      <x:c r="O835" s="16" t="n">
        <x:f>K835*M835</x:f>
        <x:v>585</x:v>
      </x:c>
      <x:c r="P835" s="16" t="n">
        <x:f>K835*N835</x:f>
        <x:v>299</x:v>
      </x:c>
      <x:c r="Q835" s="16" t="n">
        <x:f>O835-P835</x:f>
        <x:v>286</x:v>
      </x:c>
      <x:c r="R835" s="2" t="n">
        <x:v>106</x:v>
      </x:c>
      <x:c r="S835" s="2" t="n">
        <x:v>0</x:v>
      </x:c>
      <x:c r="T835" s="2" t="n">
        <x:f>R835+S835+J835-I835</x:f>
        <x:v>81</x:v>
      </x:c>
      <x:c r="U835" s="2" t="n">
        <x:v>0</x:v>
      </x:c>
      <x:c r="V835" s="2" t="n">
        <x:v>3</x:v>
      </x:c>
      <x:c r="W835" s="2" t="n">
        <x:v>16</x:v>
      </x:c>
      <x:c r="X835" s="14" t="b">
        <x:v>1</x:v>
      </x:c>
      <x:c r="Y835" s="14" t="b">
        <x:v>0</x:v>
      </x:c>
      <x:c r="Z835" s="2" t="n">
        <x:f>ABS(T835-AA835)</x:f>
        <x:v>0</x:v>
      </x:c>
      <x:c r="AA835" s="2" t="n">
        <x:v>81</x:v>
      </x:c>
      <x:c r="AB835" s="2" t="n">
        <x:f>ABS(K835-W835)</x:f>
        <x:v>9</x:v>
      </x:c>
      <x:c r="AC835" s="2" t="n">
        <x:f>COUNTIF($A$2:$A$1921,A835)-1</x:f>
        <x:v>0</x:v>
      </x:c>
      <x:c r="AD835" s="2" t="n">
        <x:f>IF(AND(D835=D834,H835=H834,C835=C834+1),ABS(R835-T834),0)</x:f>
        <x:v>0</x:v>
      </x:c>
    </x:row>
    <x:row r="836" ht="23" customHeight="1">
      <x:c r="A836" s="2" t="str">
        <x:v>DEMO-205-1-15</x:v>
      </x:c>
      <x:c r="B836" s="15" t="d">
        <x:v>2026-08-10T00:00:00.000Z</x:v>
      </x:c>
      <x:c r="C836" s="2" t="n">
        <x:v>15</x:v>
      </x:c>
      <x:c r="D836" s="2" t="str">
        <x:v>DEMO-205</x:v>
      </x:c>
      <x:c r="E836" s="2" t="str">
        <x:v>Surprise Parcel</x:v>
      </x:c>
      <x:c r="F836" s="2" t="str">
        <x:v>Gifting</x:v>
      </x:c>
      <x:c r="G836" s="2" t="str">
        <x:v>Stores</x:v>
      </x:c>
      <x:c r="H836" s="2" t="str">
        <x:v>Riverside</x:v>
      </x:c>
      <x:c r="I836" s="2" t="n">
        <x:v>11</x:v>
      </x:c>
      <x:c r="J836" s="2" t="n">
        <x:v>0</x:v>
      </x:c>
      <x:c r="K836" s="2" t="n">
        <x:f>I836-J836</x:f>
        <x:v>11</x:v>
      </x:c>
      <x:c r="L836" s="16" t="n">
        <x:v>26</x:v>
      </x:c>
      <x:c r="M836" s="16" t="n">
        <x:v>26</x:v>
      </x:c>
      <x:c r="N836" s="16" t="n">
        <x:v>11.96</x:v>
      </x:c>
      <x:c r="O836" s="16" t="n">
        <x:f>K836*M836</x:f>
        <x:v>286</x:v>
      </x:c>
      <x:c r="P836" s="16" t="n">
        <x:f>K836*N836</x:f>
        <x:v>131.56</x:v>
      </x:c>
      <x:c r="Q836" s="16" t="n">
        <x:f>O836-P836</x:f>
        <x:v>154.44</x:v>
      </x:c>
      <x:c r="R836" s="2" t="n">
        <x:v>81</x:v>
      </x:c>
      <x:c r="S836" s="2" t="n">
        <x:v>0</x:v>
      </x:c>
      <x:c r="T836" s="2" t="n">
        <x:f>R836+S836+J836-I836</x:f>
        <x:v>70</x:v>
      </x:c>
      <x:c r="U836" s="2" t="n">
        <x:v>0</x:v>
      </x:c>
      <x:c r="V836" s="2" t="n">
        <x:v>3</x:v>
      </x:c>
      <x:c r="W836" s="2" t="n">
        <x:v>20</x:v>
      </x:c>
      <x:c r="X836" s="14" t="b">
        <x:v>0</x:v>
      </x:c>
      <x:c r="Y836" s="14" t="b">
        <x:v>0</x:v>
      </x:c>
      <x:c r="Z836" s="2" t="n">
        <x:f>ABS(T836-AA836)</x:f>
        <x:v>0</x:v>
      </x:c>
      <x:c r="AA836" s="2" t="n">
        <x:v>70</x:v>
      </x:c>
      <x:c r="AB836" s="2" t="n">
        <x:f>ABS(K836-W836)</x:f>
        <x:v>9</x:v>
      </x:c>
      <x:c r="AC836" s="2" t="n">
        <x:f>COUNTIF($A$2:$A$1921,A836)-1</x:f>
        <x:v>0</x:v>
      </x:c>
      <x:c r="AD836" s="2" t="n">
        <x:f>IF(AND(D836=D835,H836=H835,C836=C835+1),ABS(R836-T835),0)</x:f>
        <x:v>0</x:v>
      </x:c>
    </x:row>
    <x:row r="837" ht="23" customHeight="1">
      <x:c r="A837" s="2" t="str">
        <x:v>DEMO-205-1-16</x:v>
      </x:c>
      <x:c r="B837" s="15" t="d">
        <x:v>2026-08-17T00:00:00.000Z</x:v>
      </x:c>
      <x:c r="C837" s="2" t="n">
        <x:v>16</x:v>
      </x:c>
      <x:c r="D837" s="2" t="str">
        <x:v>DEMO-205</x:v>
      </x:c>
      <x:c r="E837" s="2" t="str">
        <x:v>Surprise Parcel</x:v>
      </x:c>
      <x:c r="F837" s="2" t="str">
        <x:v>Gifting</x:v>
      </x:c>
      <x:c r="G837" s="2" t="str">
        <x:v>Stores</x:v>
      </x:c>
      <x:c r="H837" s="2" t="str">
        <x:v>Riverside</x:v>
      </x:c>
      <x:c r="I837" s="2" t="n">
        <x:v>10</x:v>
      </x:c>
      <x:c r="J837" s="2" t="n">
        <x:v>0</x:v>
      </x:c>
      <x:c r="K837" s="2" t="n">
        <x:f>I837-J837</x:f>
        <x:v>10</x:v>
      </x:c>
      <x:c r="L837" s="16" t="n">
        <x:v>26</x:v>
      </x:c>
      <x:c r="M837" s="16" t="n">
        <x:v>26</x:v>
      </x:c>
      <x:c r="N837" s="16" t="n">
        <x:v>11.96</x:v>
      </x:c>
      <x:c r="O837" s="16" t="n">
        <x:f>K837*M837</x:f>
        <x:v>260</x:v>
      </x:c>
      <x:c r="P837" s="16" t="n">
        <x:f>K837*N837</x:f>
        <x:v>119.60000000000001</x:v>
      </x:c>
      <x:c r="Q837" s="16" t="n">
        <x:f>O837-P837</x:f>
        <x:v>140.39999999999998</x:v>
      </x:c>
      <x:c r="R837" s="2" t="n">
        <x:v>70</x:v>
      </x:c>
      <x:c r="S837" s="2" t="n">
        <x:v>0</x:v>
      </x:c>
      <x:c r="T837" s="2" t="n">
        <x:f>R837+S837+J837-I837</x:f>
        <x:v>60</x:v>
      </x:c>
      <x:c r="U837" s="2" t="n">
        <x:v>0</x:v>
      </x:c>
      <x:c r="V837" s="2" t="n">
        <x:v>3</x:v>
      </x:c>
      <x:c r="W837" s="2" t="n">
        <x:v>20</x:v>
      </x:c>
      <x:c r="X837" s="14" t="b">
        <x:v>0</x:v>
      </x:c>
      <x:c r="Y837" s="14" t="b">
        <x:v>0</x:v>
      </x:c>
      <x:c r="Z837" s="2" t="n">
        <x:f>ABS(T837-AA837)</x:f>
        <x:v>0</x:v>
      </x:c>
      <x:c r="AA837" s="2" t="n">
        <x:v>60</x:v>
      </x:c>
      <x:c r="AB837" s="2" t="n">
        <x:f>ABS(K837-W837)</x:f>
        <x:v>10</x:v>
      </x:c>
      <x:c r="AC837" s="2" t="n">
        <x:f>COUNTIF($A$2:$A$1921,A837)-1</x:f>
        <x:v>0</x:v>
      </x:c>
      <x:c r="AD837" s="2" t="n">
        <x:f>IF(AND(D837=D836,H837=H836,C837=C836+1),ABS(R837-T836),0)</x:f>
        <x:v>0</x:v>
      </x:c>
    </x:row>
    <x:row r="838" ht="23" customHeight="1">
      <x:c r="A838" s="2" t="str">
        <x:v>DEMO-205-1-17</x:v>
      </x:c>
      <x:c r="B838" s="15" t="d">
        <x:v>2026-08-24T00:00:00.000Z</x:v>
      </x:c>
      <x:c r="C838" s="2" t="n">
        <x:v>17</x:v>
      </x:c>
      <x:c r="D838" s="2" t="str">
        <x:v>DEMO-205</x:v>
      </x:c>
      <x:c r="E838" s="2" t="str">
        <x:v>Surprise Parcel</x:v>
      </x:c>
      <x:c r="F838" s="2" t="str">
        <x:v>Gifting</x:v>
      </x:c>
      <x:c r="G838" s="2" t="str">
        <x:v>Stores</x:v>
      </x:c>
      <x:c r="H838" s="2" t="str">
        <x:v>Riverside</x:v>
      </x:c>
      <x:c r="I838" s="2" t="n">
        <x:v>13</x:v>
      </x:c>
      <x:c r="J838" s="2" t="n">
        <x:v>0</x:v>
      </x:c>
      <x:c r="K838" s="2" t="n">
        <x:f>I838-J838</x:f>
        <x:v>13</x:v>
      </x:c>
      <x:c r="L838" s="16" t="n">
        <x:v>26</x:v>
      </x:c>
      <x:c r="M838" s="16" t="n">
        <x:v>26</x:v>
      </x:c>
      <x:c r="N838" s="16" t="n">
        <x:v>11.96</x:v>
      </x:c>
      <x:c r="O838" s="16" t="n">
        <x:f>K838*M838</x:f>
        <x:v>338</x:v>
      </x:c>
      <x:c r="P838" s="16" t="n">
        <x:f>K838*N838</x:f>
        <x:v>155.48000000000002</x:v>
      </x:c>
      <x:c r="Q838" s="16" t="n">
        <x:f>O838-P838</x:f>
        <x:v>182.51999999999998</x:v>
      </x:c>
      <x:c r="R838" s="2" t="n">
        <x:v>60</x:v>
      </x:c>
      <x:c r="S838" s="2" t="n">
        <x:v>46</x:v>
      </x:c>
      <x:c r="T838" s="2" t="n">
        <x:f>R838+S838+J838-I838</x:f>
        <x:v>93</x:v>
      </x:c>
      <x:c r="U838" s="2" t="n">
        <x:v>0</x:v>
      </x:c>
      <x:c r="V838" s="2" t="n">
        <x:v>3</x:v>
      </x:c>
      <x:c r="W838" s="2" t="n">
        <x:v>17</x:v>
      </x:c>
      <x:c r="X838" s="14" t="b">
        <x:v>0</x:v>
      </x:c>
      <x:c r="Y838" s="14" t="b">
        <x:v>0</x:v>
      </x:c>
      <x:c r="Z838" s="2" t="n">
        <x:f>ABS(T838-AA838)</x:f>
        <x:v>0</x:v>
      </x:c>
      <x:c r="AA838" s="2" t="n">
        <x:v>93</x:v>
      </x:c>
      <x:c r="AB838" s="2" t="n">
        <x:f>ABS(K838-W838)</x:f>
        <x:v>4</x:v>
      </x:c>
      <x:c r="AC838" s="2" t="n">
        <x:f>COUNTIF($A$2:$A$1921,A838)-1</x:f>
        <x:v>0</x:v>
      </x:c>
      <x:c r="AD838" s="2" t="n">
        <x:f>IF(AND(D838=D837,H838=H837,C838=C837+1),ABS(R838-T837),0)</x:f>
        <x:v>0</x:v>
      </x:c>
    </x:row>
    <x:row r="839" ht="23" customHeight="1">
      <x:c r="A839" s="2" t="str">
        <x:v>DEMO-205-1-18</x:v>
      </x:c>
      <x:c r="B839" s="15" t="d">
        <x:v>2026-08-31T00:00:00.000Z</x:v>
      </x:c>
      <x:c r="C839" s="2" t="n">
        <x:v>18</x:v>
      </x:c>
      <x:c r="D839" s="2" t="str">
        <x:v>DEMO-205</x:v>
      </x:c>
      <x:c r="E839" s="2" t="str">
        <x:v>Surprise Parcel</x:v>
      </x:c>
      <x:c r="F839" s="2" t="str">
        <x:v>Gifting</x:v>
      </x:c>
      <x:c r="G839" s="2" t="str">
        <x:v>Stores</x:v>
      </x:c>
      <x:c r="H839" s="2" t="str">
        <x:v>Riverside</x:v>
      </x:c>
      <x:c r="I839" s="2" t="n">
        <x:v>11</x:v>
      </x:c>
      <x:c r="J839" s="2" t="n">
        <x:v>1</x:v>
      </x:c>
      <x:c r="K839" s="2" t="n">
        <x:f>I839-J839</x:f>
        <x:v>10</x:v>
      </x:c>
      <x:c r="L839" s="16" t="n">
        <x:v>26</x:v>
      </x:c>
      <x:c r="M839" s="16" t="n">
        <x:v>26</x:v>
      </x:c>
      <x:c r="N839" s="16" t="n">
        <x:v>11.96</x:v>
      </x:c>
      <x:c r="O839" s="16" t="n">
        <x:f>K839*M839</x:f>
        <x:v>260</x:v>
      </x:c>
      <x:c r="P839" s="16" t="n">
        <x:f>K839*N839</x:f>
        <x:v>119.60000000000001</x:v>
      </x:c>
      <x:c r="Q839" s="16" t="n">
        <x:f>O839-P839</x:f>
        <x:v>140.39999999999998</x:v>
      </x:c>
      <x:c r="R839" s="2" t="n">
        <x:v>93</x:v>
      </x:c>
      <x:c r="S839" s="2" t="n">
        <x:v>0</x:v>
      </x:c>
      <x:c r="T839" s="2" t="n">
        <x:f>R839+S839+J839-I839</x:f>
        <x:v>83</x:v>
      </x:c>
      <x:c r="U839" s="2" t="n">
        <x:v>0</x:v>
      </x:c>
      <x:c r="V839" s="2" t="n">
        <x:v>3</x:v>
      </x:c>
      <x:c r="W839" s="2" t="n">
        <x:v>15</x:v>
      </x:c>
      <x:c r="X839" s="14" t="b">
        <x:v>0</x:v>
      </x:c>
      <x:c r="Y839" s="14" t="b">
        <x:v>0</x:v>
      </x:c>
      <x:c r="Z839" s="2" t="n">
        <x:f>ABS(T839-AA839)</x:f>
        <x:v>0</x:v>
      </x:c>
      <x:c r="AA839" s="2" t="n">
        <x:v>83</x:v>
      </x:c>
      <x:c r="AB839" s="2" t="n">
        <x:f>ABS(K839-W839)</x:f>
        <x:v>5</x:v>
      </x:c>
      <x:c r="AC839" s="2" t="n">
        <x:f>COUNTIF($A$2:$A$1921,A839)-1</x:f>
        <x:v>0</x:v>
      </x:c>
      <x:c r="AD839" s="2" t="n">
        <x:f>IF(AND(D839=D838,H839=H838,C839=C838+1),ABS(R839-T838),0)</x:f>
        <x:v>0</x:v>
      </x:c>
    </x:row>
    <x:row r="840" ht="23" customHeight="1">
      <x:c r="A840" s="2" t="str">
        <x:v>DEMO-205-1-19</x:v>
      </x:c>
      <x:c r="B840" s="15" t="d">
        <x:v>2026-09-07T00:00:00.000Z</x:v>
      </x:c>
      <x:c r="C840" s="2" t="n">
        <x:v>19</x:v>
      </x:c>
      <x:c r="D840" s="2" t="str">
        <x:v>DEMO-205</x:v>
      </x:c>
      <x:c r="E840" s="2" t="str">
        <x:v>Surprise Parcel</x:v>
      </x:c>
      <x:c r="F840" s="2" t="str">
        <x:v>Gifting</x:v>
      </x:c>
      <x:c r="G840" s="2" t="str">
        <x:v>Stores</x:v>
      </x:c>
      <x:c r="H840" s="2" t="str">
        <x:v>Riverside</x:v>
      </x:c>
      <x:c r="I840" s="2" t="n">
        <x:v>9</x:v>
      </x:c>
      <x:c r="J840" s="2" t="n">
        <x:v>0</x:v>
      </x:c>
      <x:c r="K840" s="2" t="n">
        <x:f>I840-J840</x:f>
        <x:v>9</x:v>
      </x:c>
      <x:c r="L840" s="16" t="n">
        <x:v>26</x:v>
      </x:c>
      <x:c r="M840" s="16" t="n">
        <x:v>26</x:v>
      </x:c>
      <x:c r="N840" s="16" t="n">
        <x:v>11.96</x:v>
      </x:c>
      <x:c r="O840" s="16" t="n">
        <x:f>K840*M840</x:f>
        <x:v>234</x:v>
      </x:c>
      <x:c r="P840" s="16" t="n">
        <x:f>K840*N840</x:f>
        <x:v>107.64000000000001</x:v>
      </x:c>
      <x:c r="Q840" s="16" t="n">
        <x:f>O840-P840</x:f>
        <x:v>126.35999999999999</x:v>
      </x:c>
      <x:c r="R840" s="2" t="n">
        <x:v>83</x:v>
      </x:c>
      <x:c r="S840" s="2" t="n">
        <x:v>0</x:v>
      </x:c>
      <x:c r="T840" s="2" t="n">
        <x:f>R840+S840+J840-I840</x:f>
        <x:v>74</x:v>
      </x:c>
      <x:c r="U840" s="2" t="n">
        <x:v>0</x:v>
      </x:c>
      <x:c r="V840" s="2" t="n">
        <x:v>3</x:v>
      </x:c>
      <x:c r="W840" s="2" t="n">
        <x:v>11</x:v>
      </x:c>
      <x:c r="X840" s="14" t="b">
        <x:v>0</x:v>
      </x:c>
      <x:c r="Y840" s="14" t="b">
        <x:v>0</x:v>
      </x:c>
      <x:c r="Z840" s="2" t="n">
        <x:f>ABS(T840-AA840)</x:f>
        <x:v>0</x:v>
      </x:c>
      <x:c r="AA840" s="2" t="n">
        <x:v>74</x:v>
      </x:c>
      <x:c r="AB840" s="2" t="n">
        <x:f>ABS(K840-W840)</x:f>
        <x:v>2</x:v>
      </x:c>
      <x:c r="AC840" s="2" t="n">
        <x:f>COUNTIF($A$2:$A$1921,A840)-1</x:f>
        <x:v>0</x:v>
      </x:c>
      <x:c r="AD840" s="2" t="n">
        <x:f>IF(AND(D840=D839,H840=H839,C840=C839+1),ABS(R840-T839),0)</x:f>
        <x:v>0</x:v>
      </x:c>
    </x:row>
    <x:row r="841" ht="23" customHeight="1">
      <x:c r="A841" s="2" t="str">
        <x:v>DEMO-205-1-20</x:v>
      </x:c>
      <x:c r="B841" s="15" t="d">
        <x:v>2026-09-14T00:00:00.000Z</x:v>
      </x:c>
      <x:c r="C841" s="2" t="n">
        <x:v>20</x:v>
      </x:c>
      <x:c r="D841" s="2" t="str">
        <x:v>DEMO-205</x:v>
      </x:c>
      <x:c r="E841" s="2" t="str">
        <x:v>Surprise Parcel</x:v>
      </x:c>
      <x:c r="F841" s="2" t="str">
        <x:v>Gifting</x:v>
      </x:c>
      <x:c r="G841" s="2" t="str">
        <x:v>Stores</x:v>
      </x:c>
      <x:c r="H841" s="2" t="str">
        <x:v>Riverside</x:v>
      </x:c>
      <x:c r="I841" s="2" t="n">
        <x:v>10</x:v>
      </x:c>
      <x:c r="J841" s="2" t="n">
        <x:v>0</x:v>
      </x:c>
      <x:c r="K841" s="2" t="n">
        <x:f>I841-J841</x:f>
        <x:v>10</x:v>
      </x:c>
      <x:c r="L841" s="16" t="n">
        <x:v>26</x:v>
      </x:c>
      <x:c r="M841" s="16" t="n">
        <x:v>26</x:v>
      </x:c>
      <x:c r="N841" s="16" t="n">
        <x:v>11.96</x:v>
      </x:c>
      <x:c r="O841" s="16" t="n">
        <x:f>K841*M841</x:f>
        <x:v>260</x:v>
      </x:c>
      <x:c r="P841" s="16" t="n">
        <x:f>K841*N841</x:f>
        <x:v>119.60000000000001</x:v>
      </x:c>
      <x:c r="Q841" s="16" t="n">
        <x:f>O841-P841</x:f>
        <x:v>140.39999999999998</x:v>
      </x:c>
      <x:c r="R841" s="2" t="n">
        <x:v>74</x:v>
      </x:c>
      <x:c r="S841" s="2" t="n">
        <x:v>0</x:v>
      </x:c>
      <x:c r="T841" s="2" t="n">
        <x:f>R841+S841+J841-I841</x:f>
        <x:v>64</x:v>
      </x:c>
      <x:c r="U841" s="2" t="n">
        <x:v>18</x:v>
      </x:c>
      <x:c r="V841" s="2" t="n">
        <x:v>3</x:v>
      </x:c>
      <x:c r="W841" s="2" t="n">
        <x:v>11</x:v>
      </x:c>
      <x:c r="X841" s="14" t="b">
        <x:v>0</x:v>
      </x:c>
      <x:c r="Y841" s="14" t="b">
        <x:v>0</x:v>
      </x:c>
      <x:c r="Z841" s="2" t="n">
        <x:f>ABS(T841-AA841)</x:f>
        <x:v>0</x:v>
      </x:c>
      <x:c r="AA841" s="2" t="n">
        <x:v>64</x:v>
      </x:c>
      <x:c r="AB841" s="2" t="n">
        <x:f>ABS(K841-W841)</x:f>
        <x:v>1</x:v>
      </x:c>
      <x:c r="AC841" s="2" t="n">
        <x:f>COUNTIF($A$2:$A$1921,A841)-1</x:f>
        <x:v>0</x:v>
      </x:c>
      <x:c r="AD841" s="2" t="n">
        <x:f>IF(AND(D841=D840,H841=H840,C841=C840+1),ABS(R841-T840),0)</x:f>
        <x:v>0</x:v>
      </x:c>
    </x:row>
    <x:row r="842" ht="23" customHeight="1">
      <x:c r="A842" s="2" t="str">
        <x:v>DEMO-205-2-1</x:v>
      </x:c>
      <x:c r="B842" s="15" t="d">
        <x:v>2026-05-04T00:00:00.000Z</x:v>
      </x:c>
      <x:c r="C842" s="2" t="n">
        <x:v>1</x:v>
      </x:c>
      <x:c r="D842" s="2" t="str">
        <x:v>DEMO-205</x:v>
      </x:c>
      <x:c r="E842" s="2" t="str">
        <x:v>Surprise Parcel</x:v>
      </x:c>
      <x:c r="F842" s="2" t="str">
        <x:v>Gifting</x:v>
      </x:c>
      <x:c r="G842" s="2" t="str">
        <x:v>Stores</x:v>
      </x:c>
      <x:c r="H842" s="2" t="str">
        <x:v>Central Market</x:v>
      </x:c>
      <x:c r="I842" s="2" t="n">
        <x:v>10</x:v>
      </x:c>
      <x:c r="J842" s="2" t="n">
        <x:v>0</x:v>
      </x:c>
      <x:c r="K842" s="2" t="n">
        <x:f>I842-J842</x:f>
        <x:v>10</x:v>
      </x:c>
      <x:c r="L842" s="16" t="n">
        <x:v>26</x:v>
      </x:c>
      <x:c r="M842" s="16" t="n">
        <x:v>26</x:v>
      </x:c>
      <x:c r="N842" s="16" t="n">
        <x:v>11.96</x:v>
      </x:c>
      <x:c r="O842" s="16" t="n">
        <x:f>K842*M842</x:f>
        <x:v>260</x:v>
      </x:c>
      <x:c r="P842" s="16" t="n">
        <x:f>K842*N842</x:f>
        <x:v>119.60000000000001</x:v>
      </x:c>
      <x:c r="Q842" s="16" t="n">
        <x:f>O842-P842</x:f>
        <x:v>140.39999999999998</x:v>
      </x:c>
      <x:c r="R842" s="2" t="n">
        <x:v>90</x:v>
      </x:c>
      <x:c r="S842" s="2" t="n">
        <x:v>46</x:v>
      </x:c>
      <x:c r="T842" s="2" t="n">
        <x:f>R842+S842+J842-I842</x:f>
        <x:v>126</x:v>
      </x:c>
      <x:c r="U842" s="2" t="n">
        <x:v>0</x:v>
      </x:c>
      <x:c r="V842" s="2" t="n">
        <x:v>3</x:v>
      </x:c>
      <x:c r="W842" s="2" t="n">
        <x:v>11</x:v>
      </x:c>
      <x:c r="X842" s="14" t="b">
        <x:v>0</x:v>
      </x:c>
      <x:c r="Y842" s="14" t="b">
        <x:v>0</x:v>
      </x:c>
      <x:c r="Z842" s="2" t="n">
        <x:f>ABS(T842-AA842)</x:f>
        <x:v>0</x:v>
      </x:c>
      <x:c r="AA842" s="2" t="n">
        <x:v>126</x:v>
      </x:c>
      <x:c r="AB842" s="2" t="n">
        <x:f>ABS(K842-W842)</x:f>
        <x:v>1</x:v>
      </x:c>
      <x:c r="AC842" s="2" t="n">
        <x:f>COUNTIF($A$2:$A$1921,A842)-1</x:f>
        <x:v>0</x:v>
      </x:c>
      <x:c r="AD842" s="2" t="n">
        <x:f>IF(AND(D842=D841,H842=H841,C842=C841+1),ABS(R842-T841),0)</x:f>
        <x:v>0</x:v>
      </x:c>
    </x:row>
    <x:row r="843" ht="23" customHeight="1">
      <x:c r="A843" s="2" t="str">
        <x:v>DEMO-205-2-2</x:v>
      </x:c>
      <x:c r="B843" s="15" t="d">
        <x:v>2026-05-11T00:00:00.000Z</x:v>
      </x:c>
      <x:c r="C843" s="2" t="n">
        <x:v>2</x:v>
      </x:c>
      <x:c r="D843" s="2" t="str">
        <x:v>DEMO-205</x:v>
      </x:c>
      <x:c r="E843" s="2" t="str">
        <x:v>Surprise Parcel</x:v>
      </x:c>
      <x:c r="F843" s="2" t="str">
        <x:v>Gifting</x:v>
      </x:c>
      <x:c r="G843" s="2" t="str">
        <x:v>Stores</x:v>
      </x:c>
      <x:c r="H843" s="2" t="str">
        <x:v>Central Market</x:v>
      </x:c>
      <x:c r="I843" s="2" t="n">
        <x:v>9</x:v>
      </x:c>
      <x:c r="J843" s="2" t="n">
        <x:v>0</x:v>
      </x:c>
      <x:c r="K843" s="2" t="n">
        <x:f>I843-J843</x:f>
        <x:v>9</x:v>
      </x:c>
      <x:c r="L843" s="16" t="n">
        <x:v>26</x:v>
      </x:c>
      <x:c r="M843" s="16" t="n">
        <x:v>26</x:v>
      </x:c>
      <x:c r="N843" s="16" t="n">
        <x:v>11.96</x:v>
      </x:c>
      <x:c r="O843" s="16" t="n">
        <x:f>K843*M843</x:f>
        <x:v>234</x:v>
      </x:c>
      <x:c r="P843" s="16" t="n">
        <x:f>K843*N843</x:f>
        <x:v>107.64000000000001</x:v>
      </x:c>
      <x:c r="Q843" s="16" t="n">
        <x:f>O843-P843</x:f>
        <x:v>126.35999999999999</x:v>
      </x:c>
      <x:c r="R843" s="2" t="n">
        <x:v>126</x:v>
      </x:c>
      <x:c r="S843" s="2" t="n">
        <x:v>0</x:v>
      </x:c>
      <x:c r="T843" s="2" t="n">
        <x:f>R843+S843+J843-I843</x:f>
        <x:v>117</x:v>
      </x:c>
      <x:c r="U843" s="2" t="n">
        <x:v>0</x:v>
      </x:c>
      <x:c r="V843" s="2" t="n">
        <x:v>3</x:v>
      </x:c>
      <x:c r="W843" s="2" t="n">
        <x:v>10</x:v>
      </x:c>
      <x:c r="X843" s="14" t="b">
        <x:v>0</x:v>
      </x:c>
      <x:c r="Y843" s="14" t="b">
        <x:v>0</x:v>
      </x:c>
      <x:c r="Z843" s="2" t="n">
        <x:f>ABS(T843-AA843)</x:f>
        <x:v>0</x:v>
      </x:c>
      <x:c r="AA843" s="2" t="n">
        <x:v>117</x:v>
      </x:c>
      <x:c r="AB843" s="2" t="n">
        <x:f>ABS(K843-W843)</x:f>
        <x:v>1</x:v>
      </x:c>
      <x:c r="AC843" s="2" t="n">
        <x:f>COUNTIF($A$2:$A$1921,A843)-1</x:f>
        <x:v>0</x:v>
      </x:c>
      <x:c r="AD843" s="2" t="n">
        <x:f>IF(AND(D843=D842,H843=H842,C843=C842+1),ABS(R843-T842),0)</x:f>
        <x:v>0</x:v>
      </x:c>
    </x:row>
    <x:row r="844" ht="23" customHeight="1">
      <x:c r="A844" s="2" t="str">
        <x:v>DEMO-205-2-3</x:v>
      </x:c>
      <x:c r="B844" s="15" t="d">
        <x:v>2026-05-18T00:00:00.000Z</x:v>
      </x:c>
      <x:c r="C844" s="2" t="n">
        <x:v>3</x:v>
      </x:c>
      <x:c r="D844" s="2" t="str">
        <x:v>DEMO-205</x:v>
      </x:c>
      <x:c r="E844" s="2" t="str">
        <x:v>Surprise Parcel</x:v>
      </x:c>
      <x:c r="F844" s="2" t="str">
        <x:v>Gifting</x:v>
      </x:c>
      <x:c r="G844" s="2" t="str">
        <x:v>Stores</x:v>
      </x:c>
      <x:c r="H844" s="2" t="str">
        <x:v>Central Market</x:v>
      </x:c>
      <x:c r="I844" s="2" t="n">
        <x:v>9</x:v>
      </x:c>
      <x:c r="J844" s="2" t="n">
        <x:v>0</x:v>
      </x:c>
      <x:c r="K844" s="2" t="n">
        <x:f>I844-J844</x:f>
        <x:v>9</x:v>
      </x:c>
      <x:c r="L844" s="16" t="n">
        <x:v>26</x:v>
      </x:c>
      <x:c r="M844" s="16" t="n">
        <x:v>26</x:v>
      </x:c>
      <x:c r="N844" s="16" t="n">
        <x:v>11.96</x:v>
      </x:c>
      <x:c r="O844" s="16" t="n">
        <x:f>K844*M844</x:f>
        <x:v>234</x:v>
      </x:c>
      <x:c r="P844" s="16" t="n">
        <x:f>K844*N844</x:f>
        <x:v>107.64000000000001</x:v>
      </x:c>
      <x:c r="Q844" s="16" t="n">
        <x:f>O844-P844</x:f>
        <x:v>126.35999999999999</x:v>
      </x:c>
      <x:c r="R844" s="2" t="n">
        <x:v>117</x:v>
      </x:c>
      <x:c r="S844" s="2" t="n">
        <x:v>0</x:v>
      </x:c>
      <x:c r="T844" s="2" t="n">
        <x:f>R844+S844+J844-I844</x:f>
        <x:v>108</x:v>
      </x:c>
      <x:c r="U844" s="2" t="n">
        <x:v>0</x:v>
      </x:c>
      <x:c r="V844" s="2" t="n">
        <x:v>3</x:v>
      </x:c>
      <x:c r="W844" s="2" t="n">
        <x:v>10</x:v>
      </x:c>
      <x:c r="X844" s="14" t="b">
        <x:v>0</x:v>
      </x:c>
      <x:c r="Y844" s="14" t="b">
        <x:v>0</x:v>
      </x:c>
      <x:c r="Z844" s="2" t="n">
        <x:f>ABS(T844-AA844)</x:f>
        <x:v>0</x:v>
      </x:c>
      <x:c r="AA844" s="2" t="n">
        <x:v>108</x:v>
      </x:c>
      <x:c r="AB844" s="2" t="n">
        <x:f>ABS(K844-W844)</x:f>
        <x:v>1</x:v>
      </x:c>
      <x:c r="AC844" s="2" t="n">
        <x:f>COUNTIF($A$2:$A$1921,A844)-1</x:f>
        <x:v>0</x:v>
      </x:c>
      <x:c r="AD844" s="2" t="n">
        <x:f>IF(AND(D844=D843,H844=H843,C844=C843+1),ABS(R844-T843),0)</x:f>
        <x:v>0</x:v>
      </x:c>
    </x:row>
    <x:row r="845" ht="23" customHeight="1">
      <x:c r="A845" s="2" t="str">
        <x:v>DEMO-205-2-4</x:v>
      </x:c>
      <x:c r="B845" s="15" t="d">
        <x:v>2026-05-25T00:00:00.000Z</x:v>
      </x:c>
      <x:c r="C845" s="2" t="n">
        <x:v>4</x:v>
      </x:c>
      <x:c r="D845" s="2" t="str">
        <x:v>DEMO-205</x:v>
      </x:c>
      <x:c r="E845" s="2" t="str">
        <x:v>Surprise Parcel</x:v>
      </x:c>
      <x:c r="F845" s="2" t="str">
        <x:v>Gifting</x:v>
      </x:c>
      <x:c r="G845" s="2" t="str">
        <x:v>Stores</x:v>
      </x:c>
      <x:c r="H845" s="2" t="str">
        <x:v>Central Market</x:v>
      </x:c>
      <x:c r="I845" s="2" t="n">
        <x:v>13</x:v>
      </x:c>
      <x:c r="J845" s="2" t="n">
        <x:v>0</x:v>
      </x:c>
      <x:c r="K845" s="2" t="n">
        <x:f>I845-J845</x:f>
        <x:v>13</x:v>
      </x:c>
      <x:c r="L845" s="16" t="n">
        <x:v>26</x:v>
      </x:c>
      <x:c r="M845" s="16" t="n">
        <x:v>26</x:v>
      </x:c>
      <x:c r="N845" s="16" t="n">
        <x:v>11.96</x:v>
      </x:c>
      <x:c r="O845" s="16" t="n">
        <x:f>K845*M845</x:f>
        <x:v>338</x:v>
      </x:c>
      <x:c r="P845" s="16" t="n">
        <x:f>K845*N845</x:f>
        <x:v>155.48000000000002</x:v>
      </x:c>
      <x:c r="Q845" s="16" t="n">
        <x:f>O845-P845</x:f>
        <x:v>182.51999999999998</x:v>
      </x:c>
      <x:c r="R845" s="2" t="n">
        <x:v>108</x:v>
      </x:c>
      <x:c r="S845" s="2" t="n">
        <x:v>0</x:v>
      </x:c>
      <x:c r="T845" s="2" t="n">
        <x:f>R845+S845+J845-I845</x:f>
        <x:v>95</x:v>
      </x:c>
      <x:c r="U845" s="2" t="n">
        <x:v>0</x:v>
      </x:c>
      <x:c r="V845" s="2" t="n">
        <x:v>3</x:v>
      </x:c>
      <x:c r="W845" s="2" t="n">
        <x:v>9</x:v>
      </x:c>
      <x:c r="X845" s="14" t="b">
        <x:v>0</x:v>
      </x:c>
      <x:c r="Y845" s="14" t="b">
        <x:v>0</x:v>
      </x:c>
      <x:c r="Z845" s="2" t="n">
        <x:f>ABS(T845-AA845)</x:f>
        <x:v>0</x:v>
      </x:c>
      <x:c r="AA845" s="2" t="n">
        <x:v>95</x:v>
      </x:c>
      <x:c r="AB845" s="2" t="n">
        <x:f>ABS(K845-W845)</x:f>
        <x:v>4</x:v>
      </x:c>
      <x:c r="AC845" s="2" t="n">
        <x:f>COUNTIF($A$2:$A$1921,A845)-1</x:f>
        <x:v>0</x:v>
      </x:c>
      <x:c r="AD845" s="2" t="n">
        <x:f>IF(AND(D845=D844,H845=H844,C845=C844+1),ABS(R845-T844),0)</x:f>
        <x:v>0</x:v>
      </x:c>
    </x:row>
    <x:row r="846" ht="23" customHeight="1">
      <x:c r="A846" s="2" t="str">
        <x:v>DEMO-205-2-5</x:v>
      </x:c>
      <x:c r="B846" s="15" t="d">
        <x:v>2026-06-01T00:00:00.000Z</x:v>
      </x:c>
      <x:c r="C846" s="2" t="n">
        <x:v>5</x:v>
      </x:c>
      <x:c r="D846" s="2" t="str">
        <x:v>DEMO-205</x:v>
      </x:c>
      <x:c r="E846" s="2" t="str">
        <x:v>Surprise Parcel</x:v>
      </x:c>
      <x:c r="F846" s="2" t="str">
        <x:v>Gifting</x:v>
      </x:c>
      <x:c r="G846" s="2" t="str">
        <x:v>Stores</x:v>
      </x:c>
      <x:c r="H846" s="2" t="str">
        <x:v>Central Market</x:v>
      </x:c>
      <x:c r="I846" s="2" t="n">
        <x:v>10</x:v>
      </x:c>
      <x:c r="J846" s="2" t="n">
        <x:v>0</x:v>
      </x:c>
      <x:c r="K846" s="2" t="n">
        <x:f>I846-J846</x:f>
        <x:v>10</x:v>
      </x:c>
      <x:c r="L846" s="16" t="n">
        <x:v>26</x:v>
      </x:c>
      <x:c r="M846" s="16" t="n">
        <x:v>26</x:v>
      </x:c>
      <x:c r="N846" s="16" t="n">
        <x:v>11.96</x:v>
      </x:c>
      <x:c r="O846" s="16" t="n">
        <x:f>K846*M846</x:f>
        <x:v>260</x:v>
      </x:c>
      <x:c r="P846" s="16" t="n">
        <x:f>K846*N846</x:f>
        <x:v>119.60000000000001</x:v>
      </x:c>
      <x:c r="Q846" s="16" t="n">
        <x:f>O846-P846</x:f>
        <x:v>140.39999999999998</x:v>
      </x:c>
      <x:c r="R846" s="2" t="n">
        <x:v>95</x:v>
      </x:c>
      <x:c r="S846" s="2" t="n">
        <x:v>46</x:v>
      </x:c>
      <x:c r="T846" s="2" t="n">
        <x:f>R846+S846+J846-I846</x:f>
        <x:v>131</x:v>
      </x:c>
      <x:c r="U846" s="2" t="n">
        <x:v>0</x:v>
      </x:c>
      <x:c r="V846" s="2" t="n">
        <x:v>3</x:v>
      </x:c>
      <x:c r="W846" s="2" t="n">
        <x:v>10</x:v>
      </x:c>
      <x:c r="X846" s="14" t="b">
        <x:v>0</x:v>
      </x:c>
      <x:c r="Y846" s="14" t="b">
        <x:v>0</x:v>
      </x:c>
      <x:c r="Z846" s="2" t="n">
        <x:f>ABS(T846-AA846)</x:f>
        <x:v>0</x:v>
      </x:c>
      <x:c r="AA846" s="2" t="n">
        <x:v>131</x:v>
      </x:c>
      <x:c r="AB846" s="2" t="n">
        <x:f>ABS(K846-W846)</x:f>
        <x:v>0</x:v>
      </x:c>
      <x:c r="AC846" s="2" t="n">
        <x:f>COUNTIF($A$2:$A$1921,A846)-1</x:f>
        <x:v>0</x:v>
      </x:c>
      <x:c r="AD846" s="2" t="n">
        <x:f>IF(AND(D846=D845,H846=H845,C846=C845+1),ABS(R846-T845),0)</x:f>
        <x:v>0</x:v>
      </x:c>
    </x:row>
    <x:row r="847" ht="23" customHeight="1">
      <x:c r="A847" s="2" t="str">
        <x:v>DEMO-205-2-6</x:v>
      </x:c>
      <x:c r="B847" s="15" t="d">
        <x:v>2026-06-08T00:00:00.000Z</x:v>
      </x:c>
      <x:c r="C847" s="2" t="n">
        <x:v>6</x:v>
      </x:c>
      <x:c r="D847" s="2" t="str">
        <x:v>DEMO-205</x:v>
      </x:c>
      <x:c r="E847" s="2" t="str">
        <x:v>Surprise Parcel</x:v>
      </x:c>
      <x:c r="F847" s="2" t="str">
        <x:v>Gifting</x:v>
      </x:c>
      <x:c r="G847" s="2" t="str">
        <x:v>Stores</x:v>
      </x:c>
      <x:c r="H847" s="2" t="str">
        <x:v>Central Market</x:v>
      </x:c>
      <x:c r="I847" s="2" t="n">
        <x:v>11</x:v>
      </x:c>
      <x:c r="J847" s="2" t="n">
        <x:v>0</x:v>
      </x:c>
      <x:c r="K847" s="2" t="n">
        <x:f>I847-J847</x:f>
        <x:v>11</x:v>
      </x:c>
      <x:c r="L847" s="16" t="n">
        <x:v>26</x:v>
      </x:c>
      <x:c r="M847" s="16" t="n">
        <x:v>26</x:v>
      </x:c>
      <x:c r="N847" s="16" t="n">
        <x:v>11.96</x:v>
      </x:c>
      <x:c r="O847" s="16" t="n">
        <x:f>K847*M847</x:f>
        <x:v>286</x:v>
      </x:c>
      <x:c r="P847" s="16" t="n">
        <x:f>K847*N847</x:f>
        <x:v>131.56</x:v>
      </x:c>
      <x:c r="Q847" s="16" t="n">
        <x:f>O847-P847</x:f>
        <x:v>154.44</x:v>
      </x:c>
      <x:c r="R847" s="2" t="n">
        <x:v>131</x:v>
      </x:c>
      <x:c r="S847" s="2" t="n">
        <x:v>0</x:v>
      </x:c>
      <x:c r="T847" s="2" t="n">
        <x:f>R847+S847+J847-I847</x:f>
        <x:v>120</x:v>
      </x:c>
      <x:c r="U847" s="2" t="n">
        <x:v>0</x:v>
      </x:c>
      <x:c r="V847" s="2" t="n">
        <x:v>3</x:v>
      </x:c>
      <x:c r="W847" s="2" t="n">
        <x:v>10</x:v>
      </x:c>
      <x:c r="X847" s="14" t="b">
        <x:v>0</x:v>
      </x:c>
      <x:c r="Y847" s="14" t="b">
        <x:v>0</x:v>
      </x:c>
      <x:c r="Z847" s="2" t="n">
        <x:f>ABS(T847-AA847)</x:f>
        <x:v>0</x:v>
      </x:c>
      <x:c r="AA847" s="2" t="n">
        <x:v>120</x:v>
      </x:c>
      <x:c r="AB847" s="2" t="n">
        <x:f>ABS(K847-W847)</x:f>
        <x:v>1</x:v>
      </x:c>
      <x:c r="AC847" s="2" t="n">
        <x:f>COUNTIF($A$2:$A$1921,A847)-1</x:f>
        <x:v>0</x:v>
      </x:c>
      <x:c r="AD847" s="2" t="n">
        <x:f>IF(AND(D847=D846,H847=H846,C847=C846+1),ABS(R847-T846),0)</x:f>
        <x:v>0</x:v>
      </x:c>
    </x:row>
    <x:row r="848" ht="23" customHeight="1">
      <x:c r="A848" s="2" t="str">
        <x:v>DEMO-205-2-7</x:v>
      </x:c>
      <x:c r="B848" s="15" t="d">
        <x:v>2026-06-15T00:00:00.000Z</x:v>
      </x:c>
      <x:c r="C848" s="2" t="n">
        <x:v>7</x:v>
      </x:c>
      <x:c r="D848" s="2" t="str">
        <x:v>DEMO-205</x:v>
      </x:c>
      <x:c r="E848" s="2" t="str">
        <x:v>Surprise Parcel</x:v>
      </x:c>
      <x:c r="F848" s="2" t="str">
        <x:v>Gifting</x:v>
      </x:c>
      <x:c r="G848" s="2" t="str">
        <x:v>Stores</x:v>
      </x:c>
      <x:c r="H848" s="2" t="str">
        <x:v>Central Market</x:v>
      </x:c>
      <x:c r="I848" s="2" t="n">
        <x:v>10</x:v>
      </x:c>
      <x:c r="J848" s="2" t="n">
        <x:v>0</x:v>
      </x:c>
      <x:c r="K848" s="2" t="n">
        <x:f>I848-J848</x:f>
        <x:v>10</x:v>
      </x:c>
      <x:c r="L848" s="16" t="n">
        <x:v>26</x:v>
      </x:c>
      <x:c r="M848" s="16" t="n">
        <x:v>26</x:v>
      </x:c>
      <x:c r="N848" s="16" t="n">
        <x:v>11.96</x:v>
      </x:c>
      <x:c r="O848" s="16" t="n">
        <x:f>K848*M848</x:f>
        <x:v>260</x:v>
      </x:c>
      <x:c r="P848" s="16" t="n">
        <x:f>K848*N848</x:f>
        <x:v>119.60000000000001</x:v>
      </x:c>
      <x:c r="Q848" s="16" t="n">
        <x:f>O848-P848</x:f>
        <x:v>140.39999999999998</x:v>
      </x:c>
      <x:c r="R848" s="2" t="n">
        <x:v>120</x:v>
      </x:c>
      <x:c r="S848" s="2" t="n">
        <x:v>0</x:v>
      </x:c>
      <x:c r="T848" s="2" t="n">
        <x:f>R848+S848+J848-I848</x:f>
        <x:v>110</x:v>
      </x:c>
      <x:c r="U848" s="2" t="n">
        <x:v>0</x:v>
      </x:c>
      <x:c r="V848" s="2" t="n">
        <x:v>3</x:v>
      </x:c>
      <x:c r="W848" s="2" t="n">
        <x:v>11</x:v>
      </x:c>
      <x:c r="X848" s="14" t="b">
        <x:v>0</x:v>
      </x:c>
      <x:c r="Y848" s="14" t="b">
        <x:v>0</x:v>
      </x:c>
      <x:c r="Z848" s="2" t="n">
        <x:f>ABS(T848-AA848)</x:f>
        <x:v>0</x:v>
      </x:c>
      <x:c r="AA848" s="2" t="n">
        <x:v>110</x:v>
      </x:c>
      <x:c r="AB848" s="2" t="n">
        <x:f>ABS(K848-W848)</x:f>
        <x:v>1</x:v>
      </x:c>
      <x:c r="AC848" s="2" t="n">
        <x:f>COUNTIF($A$2:$A$1921,A848)-1</x:f>
        <x:v>0</x:v>
      </x:c>
      <x:c r="AD848" s="2" t="n">
        <x:f>IF(AND(D848=D847,H848=H847,C848=C847+1),ABS(R848-T847),0)</x:f>
        <x:v>0</x:v>
      </x:c>
    </x:row>
    <x:row r="849" ht="23" customHeight="1">
      <x:c r="A849" s="2" t="str">
        <x:v>DEMO-205-2-8</x:v>
      </x:c>
      <x:c r="B849" s="15" t="d">
        <x:v>2026-06-22T00:00:00.000Z</x:v>
      </x:c>
      <x:c r="C849" s="2" t="n">
        <x:v>8</x:v>
      </x:c>
      <x:c r="D849" s="2" t="str">
        <x:v>DEMO-205</x:v>
      </x:c>
      <x:c r="E849" s="2" t="str">
        <x:v>Surprise Parcel</x:v>
      </x:c>
      <x:c r="F849" s="2" t="str">
        <x:v>Gifting</x:v>
      </x:c>
      <x:c r="G849" s="2" t="str">
        <x:v>Stores</x:v>
      </x:c>
      <x:c r="H849" s="2" t="str">
        <x:v>Central Market</x:v>
      </x:c>
      <x:c r="I849" s="2" t="n">
        <x:v>12</x:v>
      </x:c>
      <x:c r="J849" s="2" t="n">
        <x:v>0</x:v>
      </x:c>
      <x:c r="K849" s="2" t="n">
        <x:f>I849-J849</x:f>
        <x:v>12</x:v>
      </x:c>
      <x:c r="L849" s="16" t="n">
        <x:v>26</x:v>
      </x:c>
      <x:c r="M849" s="16" t="n">
        <x:v>26</x:v>
      </x:c>
      <x:c r="N849" s="16" t="n">
        <x:v>11.96</x:v>
      </x:c>
      <x:c r="O849" s="16" t="n">
        <x:f>K849*M849</x:f>
        <x:v>312</x:v>
      </x:c>
      <x:c r="P849" s="16" t="n">
        <x:f>K849*N849</x:f>
        <x:v>143.52</x:v>
      </x:c>
      <x:c r="Q849" s="16" t="n">
        <x:f>O849-P849</x:f>
        <x:v>168.48</x:v>
      </x:c>
      <x:c r="R849" s="2" t="n">
        <x:v>110</x:v>
      </x:c>
      <x:c r="S849" s="2" t="n">
        <x:v>0</x:v>
      </x:c>
      <x:c r="T849" s="2" t="n">
        <x:f>R849+S849+J849-I849</x:f>
        <x:v>98</x:v>
      </x:c>
      <x:c r="U849" s="2" t="n">
        <x:v>0</x:v>
      </x:c>
      <x:c r="V849" s="2" t="n">
        <x:v>3</x:v>
      </x:c>
      <x:c r="W849" s="2" t="n">
        <x:v>11</x:v>
      </x:c>
      <x:c r="X849" s="14" t="b">
        <x:v>0</x:v>
      </x:c>
      <x:c r="Y849" s="14" t="b">
        <x:v>0</x:v>
      </x:c>
      <x:c r="Z849" s="2" t="n">
        <x:f>ABS(T849-AA849)</x:f>
        <x:v>0</x:v>
      </x:c>
      <x:c r="AA849" s="2" t="n">
        <x:v>98</x:v>
      </x:c>
      <x:c r="AB849" s="2" t="n">
        <x:f>ABS(K849-W849)</x:f>
        <x:v>1</x:v>
      </x:c>
      <x:c r="AC849" s="2" t="n">
        <x:f>COUNTIF($A$2:$A$1921,A849)-1</x:f>
        <x:v>0</x:v>
      </x:c>
      <x:c r="AD849" s="2" t="n">
        <x:f>IF(AND(D849=D848,H849=H848,C849=C848+1),ABS(R849-T848),0)</x:f>
        <x:v>0</x:v>
      </x:c>
    </x:row>
    <x:row r="850" ht="23" customHeight="1">
      <x:c r="A850" s="2" t="str">
        <x:v>DEMO-205-2-9</x:v>
      </x:c>
      <x:c r="B850" s="15" t="d">
        <x:v>2026-06-29T00:00:00.000Z</x:v>
      </x:c>
      <x:c r="C850" s="2" t="n">
        <x:v>9</x:v>
      </x:c>
      <x:c r="D850" s="2" t="str">
        <x:v>DEMO-205</x:v>
      </x:c>
      <x:c r="E850" s="2" t="str">
        <x:v>Surprise Parcel</x:v>
      </x:c>
      <x:c r="F850" s="2" t="str">
        <x:v>Gifting</x:v>
      </x:c>
      <x:c r="G850" s="2" t="str">
        <x:v>Stores</x:v>
      </x:c>
      <x:c r="H850" s="2" t="str">
        <x:v>Central Market</x:v>
      </x:c>
      <x:c r="I850" s="2" t="n">
        <x:v>12</x:v>
      </x:c>
      <x:c r="J850" s="2" t="n">
        <x:v>0</x:v>
      </x:c>
      <x:c r="K850" s="2" t="n">
        <x:f>I850-J850</x:f>
        <x:v>12</x:v>
      </x:c>
      <x:c r="L850" s="16" t="n">
        <x:v>26</x:v>
      </x:c>
      <x:c r="M850" s="16" t="n">
        <x:v>26</x:v>
      </x:c>
      <x:c r="N850" s="16" t="n">
        <x:v>11.96</x:v>
      </x:c>
      <x:c r="O850" s="16" t="n">
        <x:f>K850*M850</x:f>
        <x:v>312</x:v>
      </x:c>
      <x:c r="P850" s="16" t="n">
        <x:f>K850*N850</x:f>
        <x:v>143.52</x:v>
      </x:c>
      <x:c r="Q850" s="16" t="n">
        <x:f>O850-P850</x:f>
        <x:v>168.48</x:v>
      </x:c>
      <x:c r="R850" s="2" t="n">
        <x:v>98</x:v>
      </x:c>
      <x:c r="S850" s="2" t="n">
        <x:v>46</x:v>
      </x:c>
      <x:c r="T850" s="2" t="n">
        <x:f>R850+S850+J850-I850</x:f>
        <x:v>132</x:v>
      </x:c>
      <x:c r="U850" s="2" t="n">
        <x:v>0</x:v>
      </x:c>
      <x:c r="V850" s="2" t="n">
        <x:v>3</x:v>
      </x:c>
      <x:c r="W850" s="2" t="n">
        <x:v>11</x:v>
      </x:c>
      <x:c r="X850" s="14" t="b">
        <x:v>0</x:v>
      </x:c>
      <x:c r="Y850" s="14" t="b">
        <x:v>0</x:v>
      </x:c>
      <x:c r="Z850" s="2" t="n">
        <x:f>ABS(T850-AA850)</x:f>
        <x:v>0</x:v>
      </x:c>
      <x:c r="AA850" s="2" t="n">
        <x:v>132</x:v>
      </x:c>
      <x:c r="AB850" s="2" t="n">
        <x:f>ABS(K850-W850)</x:f>
        <x:v>1</x:v>
      </x:c>
      <x:c r="AC850" s="2" t="n">
        <x:f>COUNTIF($A$2:$A$1921,A850)-1</x:f>
        <x:v>0</x:v>
      </x:c>
      <x:c r="AD850" s="2" t="n">
        <x:f>IF(AND(D850=D849,H850=H849,C850=C849+1),ABS(R850-T849),0)</x:f>
        <x:v>0</x:v>
      </x:c>
    </x:row>
    <x:row r="851" ht="23" customHeight="1">
      <x:c r="A851" s="2" t="str">
        <x:v>DEMO-205-2-10</x:v>
      </x:c>
      <x:c r="B851" s="15" t="d">
        <x:v>2026-07-06T00:00:00.000Z</x:v>
      </x:c>
      <x:c r="C851" s="2" t="n">
        <x:v>10</x:v>
      </x:c>
      <x:c r="D851" s="2" t="str">
        <x:v>DEMO-205</x:v>
      </x:c>
      <x:c r="E851" s="2" t="str">
        <x:v>Surprise Parcel</x:v>
      </x:c>
      <x:c r="F851" s="2" t="str">
        <x:v>Gifting</x:v>
      </x:c>
      <x:c r="G851" s="2" t="str">
        <x:v>Stores</x:v>
      </x:c>
      <x:c r="H851" s="2" t="str">
        <x:v>Central Market</x:v>
      </x:c>
      <x:c r="I851" s="2" t="n">
        <x:v>9</x:v>
      </x:c>
      <x:c r="J851" s="2" t="n">
        <x:v>0</x:v>
      </x:c>
      <x:c r="K851" s="2" t="n">
        <x:f>I851-J851</x:f>
        <x:v>9</x:v>
      </x:c>
      <x:c r="L851" s="16" t="n">
        <x:v>26</x:v>
      </x:c>
      <x:c r="M851" s="16" t="n">
        <x:v>26</x:v>
      </x:c>
      <x:c r="N851" s="16" t="n">
        <x:v>11.96</x:v>
      </x:c>
      <x:c r="O851" s="16" t="n">
        <x:f>K851*M851</x:f>
        <x:v>234</x:v>
      </x:c>
      <x:c r="P851" s="16" t="n">
        <x:f>K851*N851</x:f>
        <x:v>107.64000000000001</x:v>
      </x:c>
      <x:c r="Q851" s="16" t="n">
        <x:f>O851-P851</x:f>
        <x:v>126.35999999999999</x:v>
      </x:c>
      <x:c r="R851" s="2" t="n">
        <x:v>132</x:v>
      </x:c>
      <x:c r="S851" s="2" t="n">
        <x:v>0</x:v>
      </x:c>
      <x:c r="T851" s="2" t="n">
        <x:f>R851+S851+J851-I851</x:f>
        <x:v>123</x:v>
      </x:c>
      <x:c r="U851" s="2" t="n">
        <x:v>0</x:v>
      </x:c>
      <x:c r="V851" s="2" t="n">
        <x:v>3</x:v>
      </x:c>
      <x:c r="W851" s="2" t="n">
        <x:v>11</x:v>
      </x:c>
      <x:c r="X851" s="14" t="b">
        <x:v>0</x:v>
      </x:c>
      <x:c r="Y851" s="14" t="b">
        <x:v>0</x:v>
      </x:c>
      <x:c r="Z851" s="2" t="n">
        <x:f>ABS(T851-AA851)</x:f>
        <x:v>0</x:v>
      </x:c>
      <x:c r="AA851" s="2" t="n">
        <x:v>123</x:v>
      </x:c>
      <x:c r="AB851" s="2" t="n">
        <x:f>ABS(K851-W851)</x:f>
        <x:v>2</x:v>
      </x:c>
      <x:c r="AC851" s="2" t="n">
        <x:f>COUNTIF($A$2:$A$1921,A851)-1</x:f>
        <x:v>0</x:v>
      </x:c>
      <x:c r="AD851" s="2" t="n">
        <x:f>IF(AND(D851=D850,H851=H850,C851=C850+1),ABS(R851-T850),0)</x:f>
        <x:v>0</x:v>
      </x:c>
    </x:row>
    <x:row r="852" ht="23" customHeight="1">
      <x:c r="A852" s="2" t="str">
        <x:v>DEMO-205-2-11</x:v>
      </x:c>
      <x:c r="B852" s="15" t="d">
        <x:v>2026-07-13T00:00:00.000Z</x:v>
      </x:c>
      <x:c r="C852" s="2" t="n">
        <x:v>11</x:v>
      </x:c>
      <x:c r="D852" s="2" t="str">
        <x:v>DEMO-205</x:v>
      </x:c>
      <x:c r="E852" s="2" t="str">
        <x:v>Surprise Parcel</x:v>
      </x:c>
      <x:c r="F852" s="2" t="str">
        <x:v>Gifting</x:v>
      </x:c>
      <x:c r="G852" s="2" t="str">
        <x:v>Stores</x:v>
      </x:c>
      <x:c r="H852" s="2" t="str">
        <x:v>Central Market</x:v>
      </x:c>
      <x:c r="I852" s="2" t="n">
        <x:v>11</x:v>
      </x:c>
      <x:c r="J852" s="2" t="n">
        <x:v>0</x:v>
      </x:c>
      <x:c r="K852" s="2" t="n">
        <x:f>I852-J852</x:f>
        <x:v>11</x:v>
      </x:c>
      <x:c r="L852" s="16" t="n">
        <x:v>26</x:v>
      </x:c>
      <x:c r="M852" s="16" t="n">
        <x:v>26</x:v>
      </x:c>
      <x:c r="N852" s="16" t="n">
        <x:v>11.96</x:v>
      </x:c>
      <x:c r="O852" s="16" t="n">
        <x:f>K852*M852</x:f>
        <x:v>286</x:v>
      </x:c>
      <x:c r="P852" s="16" t="n">
        <x:f>K852*N852</x:f>
        <x:v>131.56</x:v>
      </x:c>
      <x:c r="Q852" s="16" t="n">
        <x:f>O852-P852</x:f>
        <x:v>154.44</x:v>
      </x:c>
      <x:c r="R852" s="2" t="n">
        <x:v>123</x:v>
      </x:c>
      <x:c r="S852" s="2" t="n">
        <x:v>0</x:v>
      </x:c>
      <x:c r="T852" s="2" t="n">
        <x:f>R852+S852+J852-I852</x:f>
        <x:v>112</x:v>
      </x:c>
      <x:c r="U852" s="2" t="n">
        <x:v>0</x:v>
      </x:c>
      <x:c r="V852" s="2" t="n">
        <x:v>3</x:v>
      </x:c>
      <x:c r="W852" s="2" t="n">
        <x:v>11</x:v>
      </x:c>
      <x:c r="X852" s="14" t="b">
        <x:v>0</x:v>
      </x:c>
      <x:c r="Y852" s="14" t="b">
        <x:v>0</x:v>
      </x:c>
      <x:c r="Z852" s="2" t="n">
        <x:f>ABS(T852-AA852)</x:f>
        <x:v>0</x:v>
      </x:c>
      <x:c r="AA852" s="2" t="n">
        <x:v>112</x:v>
      </x:c>
      <x:c r="AB852" s="2" t="n">
        <x:f>ABS(K852-W852)</x:f>
        <x:v>0</x:v>
      </x:c>
      <x:c r="AC852" s="2" t="n">
        <x:f>COUNTIF($A$2:$A$1921,A852)-1</x:f>
        <x:v>0</x:v>
      </x:c>
      <x:c r="AD852" s="2" t="n">
        <x:f>IF(AND(D852=D851,H852=H851,C852=C851+1),ABS(R852-T851),0)</x:f>
        <x:v>0</x:v>
      </x:c>
    </x:row>
    <x:row r="853" ht="23" customHeight="1">
      <x:c r="A853" s="2" t="str">
        <x:v>DEMO-205-2-12</x:v>
      </x:c>
      <x:c r="B853" s="15" t="d">
        <x:v>2026-07-20T00:00:00.000Z</x:v>
      </x:c>
      <x:c r="C853" s="2" t="n">
        <x:v>12</x:v>
      </x:c>
      <x:c r="D853" s="2" t="str">
        <x:v>DEMO-205</x:v>
      </x:c>
      <x:c r="E853" s="2" t="str">
        <x:v>Surprise Parcel</x:v>
      </x:c>
      <x:c r="F853" s="2" t="str">
        <x:v>Gifting</x:v>
      </x:c>
      <x:c r="G853" s="2" t="str">
        <x:v>Stores</x:v>
      </x:c>
      <x:c r="H853" s="2" t="str">
        <x:v>Central Market</x:v>
      </x:c>
      <x:c r="I853" s="2" t="n">
        <x:v>25</x:v>
      </x:c>
      <x:c r="J853" s="2" t="n">
        <x:v>0</x:v>
      </x:c>
      <x:c r="K853" s="2" t="n">
        <x:f>I853-J853</x:f>
        <x:v>25</x:v>
      </x:c>
      <x:c r="L853" s="16" t="n">
        <x:v>26</x:v>
      </x:c>
      <x:c r="M853" s="16" t="n">
        <x:v>23.4</x:v>
      </x:c>
      <x:c r="N853" s="16" t="n">
        <x:v>11.96</x:v>
      </x:c>
      <x:c r="O853" s="16" t="n">
        <x:f>K853*M853</x:f>
        <x:v>585</x:v>
      </x:c>
      <x:c r="P853" s="16" t="n">
        <x:f>K853*N853</x:f>
        <x:v>299</x:v>
      </x:c>
      <x:c r="Q853" s="16" t="n">
        <x:f>O853-P853</x:f>
        <x:v>286</x:v>
      </x:c>
      <x:c r="R853" s="2" t="n">
        <x:v>112</x:v>
      </x:c>
      <x:c r="S853" s="2" t="n">
        <x:v>0</x:v>
      </x:c>
      <x:c r="T853" s="2" t="n">
        <x:f>R853+S853+J853-I853</x:f>
        <x:v>87</x:v>
      </x:c>
      <x:c r="U853" s="2" t="n">
        <x:v>0</x:v>
      </x:c>
      <x:c r="V853" s="2" t="n">
        <x:v>3</x:v>
      </x:c>
      <x:c r="W853" s="2" t="n">
        <x:v>11</x:v>
      </x:c>
      <x:c r="X853" s="14" t="b">
        <x:v>1</x:v>
      </x:c>
      <x:c r="Y853" s="14" t="b">
        <x:v>0</x:v>
      </x:c>
      <x:c r="Z853" s="2" t="n">
        <x:f>ABS(T853-AA853)</x:f>
        <x:v>0</x:v>
      </x:c>
      <x:c r="AA853" s="2" t="n">
        <x:v>87</x:v>
      </x:c>
      <x:c r="AB853" s="2" t="n">
        <x:f>ABS(K853-W853)</x:f>
        <x:v>14</x:v>
      </x:c>
      <x:c r="AC853" s="2" t="n">
        <x:f>COUNTIF($A$2:$A$1921,A853)-1</x:f>
        <x:v>0</x:v>
      </x:c>
      <x:c r="AD853" s="2" t="n">
        <x:f>IF(AND(D853=D852,H853=H852,C853=C852+1),ABS(R853-T852),0)</x:f>
        <x:v>0</x:v>
      </x:c>
    </x:row>
    <x:row r="854" ht="23" customHeight="1">
      <x:c r="A854" s="2" t="str">
        <x:v>DEMO-205-2-13</x:v>
      </x:c>
      <x:c r="B854" s="15" t="d">
        <x:v>2026-07-27T00:00:00.000Z</x:v>
      </x:c>
      <x:c r="C854" s="2" t="n">
        <x:v>13</x:v>
      </x:c>
      <x:c r="D854" s="2" t="str">
        <x:v>DEMO-205</x:v>
      </x:c>
      <x:c r="E854" s="2" t="str">
        <x:v>Surprise Parcel</x:v>
      </x:c>
      <x:c r="F854" s="2" t="str">
        <x:v>Gifting</x:v>
      </x:c>
      <x:c r="G854" s="2" t="str">
        <x:v>Stores</x:v>
      </x:c>
      <x:c r="H854" s="2" t="str">
        <x:v>Central Market</x:v>
      </x:c>
      <x:c r="I854" s="2" t="n">
        <x:v>20</x:v>
      </x:c>
      <x:c r="J854" s="2" t="n">
        <x:v>0</x:v>
      </x:c>
      <x:c r="K854" s="2" t="n">
        <x:f>I854-J854</x:f>
        <x:v>20</x:v>
      </x:c>
      <x:c r="L854" s="16" t="n">
        <x:v>26</x:v>
      </x:c>
      <x:c r="M854" s="16" t="n">
        <x:v>23.4</x:v>
      </x:c>
      <x:c r="N854" s="16" t="n">
        <x:v>11.96</x:v>
      </x:c>
      <x:c r="O854" s="16" t="n">
        <x:f>K854*M854</x:f>
        <x:v>468</x:v>
      </x:c>
      <x:c r="P854" s="16" t="n">
        <x:f>K854*N854</x:f>
        <x:v>239.20000000000002</x:v>
      </x:c>
      <x:c r="Q854" s="16" t="n">
        <x:f>O854-P854</x:f>
        <x:v>228.79999999999998</x:v>
      </x:c>
      <x:c r="R854" s="2" t="n">
        <x:v>87</x:v>
      </x:c>
      <x:c r="S854" s="2" t="n">
        <x:v>46</x:v>
      </x:c>
      <x:c r="T854" s="2" t="n">
        <x:f>R854+S854+J854-I854</x:f>
        <x:v>113</x:v>
      </x:c>
      <x:c r="U854" s="2" t="n">
        <x:v>0</x:v>
      </x:c>
      <x:c r="V854" s="2" t="n">
        <x:v>3</x:v>
      </x:c>
      <x:c r="W854" s="2" t="n">
        <x:v>14</x:v>
      </x:c>
      <x:c r="X854" s="14" t="b">
        <x:v>1</x:v>
      </x:c>
      <x:c r="Y854" s="14" t="b">
        <x:v>0</x:v>
      </x:c>
      <x:c r="Z854" s="2" t="n">
        <x:f>ABS(T854-AA854)</x:f>
        <x:v>0</x:v>
      </x:c>
      <x:c r="AA854" s="2" t="n">
        <x:v>113</x:v>
      </x:c>
      <x:c r="AB854" s="2" t="n">
        <x:f>ABS(K854-W854)</x:f>
        <x:v>6</x:v>
      </x:c>
      <x:c r="AC854" s="2" t="n">
        <x:f>COUNTIF($A$2:$A$1921,A854)-1</x:f>
        <x:v>0</x:v>
      </x:c>
      <x:c r="AD854" s="2" t="n">
        <x:f>IF(AND(D854=D853,H854=H853,C854=C853+1),ABS(R854-T853),0)</x:f>
        <x:v>0</x:v>
      </x:c>
    </x:row>
    <x:row r="855" ht="23" customHeight="1">
      <x:c r="A855" s="2" t="str">
        <x:v>DEMO-205-2-14</x:v>
      </x:c>
      <x:c r="B855" s="15" t="d">
        <x:v>2026-08-03T00:00:00.000Z</x:v>
      </x:c>
      <x:c r="C855" s="2" t="n">
        <x:v>14</x:v>
      </x:c>
      <x:c r="D855" s="2" t="str">
        <x:v>DEMO-205</x:v>
      </x:c>
      <x:c r="E855" s="2" t="str">
        <x:v>Surprise Parcel</x:v>
      </x:c>
      <x:c r="F855" s="2" t="str">
        <x:v>Gifting</x:v>
      </x:c>
      <x:c r="G855" s="2" t="str">
        <x:v>Stores</x:v>
      </x:c>
      <x:c r="H855" s="2" t="str">
        <x:v>Central Market</x:v>
      </x:c>
      <x:c r="I855" s="2" t="n">
        <x:v>25</x:v>
      </x:c>
      <x:c r="J855" s="2" t="n">
        <x:v>0</x:v>
      </x:c>
      <x:c r="K855" s="2" t="n">
        <x:f>I855-J855</x:f>
        <x:v>25</x:v>
      </x:c>
      <x:c r="L855" s="16" t="n">
        <x:v>26</x:v>
      </x:c>
      <x:c r="M855" s="16" t="n">
        <x:v>23.4</x:v>
      </x:c>
      <x:c r="N855" s="16" t="n">
        <x:v>11.96</x:v>
      </x:c>
      <x:c r="O855" s="16" t="n">
        <x:f>K855*M855</x:f>
        <x:v>585</x:v>
      </x:c>
      <x:c r="P855" s="16" t="n">
        <x:f>K855*N855</x:f>
        <x:v>299</x:v>
      </x:c>
      <x:c r="Q855" s="16" t="n">
        <x:f>O855-P855</x:f>
        <x:v>286</x:v>
      </x:c>
      <x:c r="R855" s="2" t="n">
        <x:v>113</x:v>
      </x:c>
      <x:c r="S855" s="2" t="n">
        <x:v>0</x:v>
      </x:c>
      <x:c r="T855" s="2" t="n">
        <x:f>R855+S855+J855-I855</x:f>
        <x:v>88</x:v>
      </x:c>
      <x:c r="U855" s="2" t="n">
        <x:v>0</x:v>
      </x:c>
      <x:c r="V855" s="2" t="n">
        <x:v>3</x:v>
      </x:c>
      <x:c r="W855" s="2" t="n">
        <x:v>16</x:v>
      </x:c>
      <x:c r="X855" s="14" t="b">
        <x:v>1</x:v>
      </x:c>
      <x:c r="Y855" s="14" t="b">
        <x:v>0</x:v>
      </x:c>
      <x:c r="Z855" s="2" t="n">
        <x:f>ABS(T855-AA855)</x:f>
        <x:v>0</x:v>
      </x:c>
      <x:c r="AA855" s="2" t="n">
        <x:v>88</x:v>
      </x:c>
      <x:c r="AB855" s="2" t="n">
        <x:f>ABS(K855-W855)</x:f>
        <x:v>9</x:v>
      </x:c>
      <x:c r="AC855" s="2" t="n">
        <x:f>COUNTIF($A$2:$A$1921,A855)-1</x:f>
        <x:v>0</x:v>
      </x:c>
      <x:c r="AD855" s="2" t="n">
        <x:f>IF(AND(D855=D854,H855=H854,C855=C854+1),ABS(R855-T854),0)</x:f>
        <x:v>0</x:v>
      </x:c>
    </x:row>
    <x:row r="856" ht="23" customHeight="1">
      <x:c r="A856" s="2" t="str">
        <x:v>DEMO-205-2-15</x:v>
      </x:c>
      <x:c r="B856" s="15" t="d">
        <x:v>2026-08-10T00:00:00.000Z</x:v>
      </x:c>
      <x:c r="C856" s="2" t="n">
        <x:v>15</x:v>
      </x:c>
      <x:c r="D856" s="2" t="str">
        <x:v>DEMO-205</x:v>
      </x:c>
      <x:c r="E856" s="2" t="str">
        <x:v>Surprise Parcel</x:v>
      </x:c>
      <x:c r="F856" s="2" t="str">
        <x:v>Gifting</x:v>
      </x:c>
      <x:c r="G856" s="2" t="str">
        <x:v>Stores</x:v>
      </x:c>
      <x:c r="H856" s="2" t="str">
        <x:v>Central Market</x:v>
      </x:c>
      <x:c r="I856" s="2" t="n">
        <x:v>13</x:v>
      </x:c>
      <x:c r="J856" s="2" t="n">
        <x:v>1</x:v>
      </x:c>
      <x:c r="K856" s="2" t="n">
        <x:f>I856-J856</x:f>
        <x:v>12</x:v>
      </x:c>
      <x:c r="L856" s="16" t="n">
        <x:v>26</x:v>
      </x:c>
      <x:c r="M856" s="16" t="n">
        <x:v>26</x:v>
      </x:c>
      <x:c r="N856" s="16" t="n">
        <x:v>11.96</x:v>
      </x:c>
      <x:c r="O856" s="16" t="n">
        <x:f>K856*M856</x:f>
        <x:v>312</x:v>
      </x:c>
      <x:c r="P856" s="16" t="n">
        <x:f>K856*N856</x:f>
        <x:v>143.52</x:v>
      </x:c>
      <x:c r="Q856" s="16" t="n">
        <x:f>O856-P856</x:f>
        <x:v>168.48</x:v>
      </x:c>
      <x:c r="R856" s="2" t="n">
        <x:v>88</x:v>
      </x:c>
      <x:c r="S856" s="2" t="n">
        <x:v>0</x:v>
      </x:c>
      <x:c r="T856" s="2" t="n">
        <x:f>R856+S856+J856-I856</x:f>
        <x:v>76</x:v>
      </x:c>
      <x:c r="U856" s="2" t="n">
        <x:v>0</x:v>
      </x:c>
      <x:c r="V856" s="2" t="n">
        <x:v>3</x:v>
      </x:c>
      <x:c r="W856" s="2" t="n">
        <x:v>20</x:v>
      </x:c>
      <x:c r="X856" s="14" t="b">
        <x:v>0</x:v>
      </x:c>
      <x:c r="Y856" s="14" t="b">
        <x:v>0</x:v>
      </x:c>
      <x:c r="Z856" s="2" t="n">
        <x:f>ABS(T856-AA856)</x:f>
        <x:v>0</x:v>
      </x:c>
      <x:c r="AA856" s="2" t="n">
        <x:v>76</x:v>
      </x:c>
      <x:c r="AB856" s="2" t="n">
        <x:f>ABS(K856-W856)</x:f>
        <x:v>8</x:v>
      </x:c>
      <x:c r="AC856" s="2" t="n">
        <x:f>COUNTIF($A$2:$A$1921,A856)-1</x:f>
        <x:v>0</x:v>
      </x:c>
      <x:c r="AD856" s="2" t="n">
        <x:f>IF(AND(D856=D855,H856=H855,C856=C855+1),ABS(R856-T855),0)</x:f>
        <x:v>0</x:v>
      </x:c>
    </x:row>
    <x:row r="857" ht="23" customHeight="1">
      <x:c r="A857" s="2" t="str">
        <x:v>DEMO-205-2-16</x:v>
      </x:c>
      <x:c r="B857" s="15" t="d">
        <x:v>2026-08-17T00:00:00.000Z</x:v>
      </x:c>
      <x:c r="C857" s="2" t="n">
        <x:v>16</x:v>
      </x:c>
      <x:c r="D857" s="2" t="str">
        <x:v>DEMO-205</x:v>
      </x:c>
      <x:c r="E857" s="2" t="str">
        <x:v>Surprise Parcel</x:v>
      </x:c>
      <x:c r="F857" s="2" t="str">
        <x:v>Gifting</x:v>
      </x:c>
      <x:c r="G857" s="2" t="str">
        <x:v>Stores</x:v>
      </x:c>
      <x:c r="H857" s="2" t="str">
        <x:v>Central Market</x:v>
      </x:c>
      <x:c r="I857" s="2" t="n">
        <x:v>9</x:v>
      </x:c>
      <x:c r="J857" s="2" t="n">
        <x:v>0</x:v>
      </x:c>
      <x:c r="K857" s="2" t="n">
        <x:f>I857-J857</x:f>
        <x:v>9</x:v>
      </x:c>
      <x:c r="L857" s="16" t="n">
        <x:v>26</x:v>
      </x:c>
      <x:c r="M857" s="16" t="n">
        <x:v>26</x:v>
      </x:c>
      <x:c r="N857" s="16" t="n">
        <x:v>11.96</x:v>
      </x:c>
      <x:c r="O857" s="16" t="n">
        <x:f>K857*M857</x:f>
        <x:v>234</x:v>
      </x:c>
      <x:c r="P857" s="16" t="n">
        <x:f>K857*N857</x:f>
        <x:v>107.64000000000001</x:v>
      </x:c>
      <x:c r="Q857" s="16" t="n">
        <x:f>O857-P857</x:f>
        <x:v>126.35999999999999</x:v>
      </x:c>
      <x:c r="R857" s="2" t="n">
        <x:v>76</x:v>
      </x:c>
      <x:c r="S857" s="2" t="n">
        <x:v>0</x:v>
      </x:c>
      <x:c r="T857" s="2" t="n">
        <x:f>R857+S857+J857-I857</x:f>
        <x:v>67</x:v>
      </x:c>
      <x:c r="U857" s="2" t="n">
        <x:v>0</x:v>
      </x:c>
      <x:c r="V857" s="2" t="n">
        <x:v>3</x:v>
      </x:c>
      <x:c r="W857" s="2" t="n">
        <x:v>21</x:v>
      </x:c>
      <x:c r="X857" s="14" t="b">
        <x:v>0</x:v>
      </x:c>
      <x:c r="Y857" s="14" t="b">
        <x:v>0</x:v>
      </x:c>
      <x:c r="Z857" s="2" t="n">
        <x:f>ABS(T857-AA857)</x:f>
        <x:v>0</x:v>
      </x:c>
      <x:c r="AA857" s="2" t="n">
        <x:v>67</x:v>
      </x:c>
      <x:c r="AB857" s="2" t="n">
        <x:f>ABS(K857-W857)</x:f>
        <x:v>12</x:v>
      </x:c>
      <x:c r="AC857" s="2" t="n">
        <x:f>COUNTIF($A$2:$A$1921,A857)-1</x:f>
        <x:v>0</x:v>
      </x:c>
      <x:c r="AD857" s="2" t="n">
        <x:f>IF(AND(D857=D856,H857=H856,C857=C856+1),ABS(R857-T856),0)</x:f>
        <x:v>0</x:v>
      </x:c>
    </x:row>
    <x:row r="858" ht="23" customHeight="1">
      <x:c r="A858" s="2" t="str">
        <x:v>DEMO-205-2-17</x:v>
      </x:c>
      <x:c r="B858" s="15" t="d">
        <x:v>2026-08-24T00:00:00.000Z</x:v>
      </x:c>
      <x:c r="C858" s="2" t="n">
        <x:v>17</x:v>
      </x:c>
      <x:c r="D858" s="2" t="str">
        <x:v>DEMO-205</x:v>
      </x:c>
      <x:c r="E858" s="2" t="str">
        <x:v>Surprise Parcel</x:v>
      </x:c>
      <x:c r="F858" s="2" t="str">
        <x:v>Gifting</x:v>
      </x:c>
      <x:c r="G858" s="2" t="str">
        <x:v>Stores</x:v>
      </x:c>
      <x:c r="H858" s="2" t="str">
        <x:v>Central Market</x:v>
      </x:c>
      <x:c r="I858" s="2" t="n">
        <x:v>12</x:v>
      </x:c>
      <x:c r="J858" s="2" t="n">
        <x:v>0</x:v>
      </x:c>
      <x:c r="K858" s="2" t="n">
        <x:f>I858-J858</x:f>
        <x:v>12</x:v>
      </x:c>
      <x:c r="L858" s="16" t="n">
        <x:v>26</x:v>
      </x:c>
      <x:c r="M858" s="16" t="n">
        <x:v>26</x:v>
      </x:c>
      <x:c r="N858" s="16" t="n">
        <x:v>11.96</x:v>
      </x:c>
      <x:c r="O858" s="16" t="n">
        <x:f>K858*M858</x:f>
        <x:v>312</x:v>
      </x:c>
      <x:c r="P858" s="16" t="n">
        <x:f>K858*N858</x:f>
        <x:v>143.52</x:v>
      </x:c>
      <x:c r="Q858" s="16" t="n">
        <x:f>O858-P858</x:f>
        <x:v>168.48</x:v>
      </x:c>
      <x:c r="R858" s="2" t="n">
        <x:v>67</x:v>
      </x:c>
      <x:c r="S858" s="2" t="n">
        <x:v>46</x:v>
      </x:c>
      <x:c r="T858" s="2" t="n">
        <x:f>R858+S858+J858-I858</x:f>
        <x:v>101</x:v>
      </x:c>
      <x:c r="U858" s="2" t="n">
        <x:v>0</x:v>
      </x:c>
      <x:c r="V858" s="2" t="n">
        <x:v>3</x:v>
      </x:c>
      <x:c r="W858" s="2" t="n">
        <x:v>17</x:v>
      </x:c>
      <x:c r="X858" s="14" t="b">
        <x:v>0</x:v>
      </x:c>
      <x:c r="Y858" s="14" t="b">
        <x:v>0</x:v>
      </x:c>
      <x:c r="Z858" s="2" t="n">
        <x:f>ABS(T858-AA858)</x:f>
        <x:v>0</x:v>
      </x:c>
      <x:c r="AA858" s="2" t="n">
        <x:v>101</x:v>
      </x:c>
      <x:c r="AB858" s="2" t="n">
        <x:f>ABS(K858-W858)</x:f>
        <x:v>5</x:v>
      </x:c>
      <x:c r="AC858" s="2" t="n">
        <x:f>COUNTIF($A$2:$A$1921,A858)-1</x:f>
        <x:v>0</x:v>
      </x:c>
      <x:c r="AD858" s="2" t="n">
        <x:f>IF(AND(D858=D857,H858=H857,C858=C857+1),ABS(R858-T857),0)</x:f>
        <x:v>0</x:v>
      </x:c>
    </x:row>
    <x:row r="859" ht="23" customHeight="1">
      <x:c r="A859" s="2" t="str">
        <x:v>DEMO-205-2-18</x:v>
      </x:c>
      <x:c r="B859" s="15" t="d">
        <x:v>2026-08-31T00:00:00.000Z</x:v>
      </x:c>
      <x:c r="C859" s="2" t="n">
        <x:v>18</x:v>
      </x:c>
      <x:c r="D859" s="2" t="str">
        <x:v>DEMO-205</x:v>
      </x:c>
      <x:c r="E859" s="2" t="str">
        <x:v>Surprise Parcel</x:v>
      </x:c>
      <x:c r="F859" s="2" t="str">
        <x:v>Gifting</x:v>
      </x:c>
      <x:c r="G859" s="2" t="str">
        <x:v>Stores</x:v>
      </x:c>
      <x:c r="H859" s="2" t="str">
        <x:v>Central Market</x:v>
      </x:c>
      <x:c r="I859" s="2" t="n">
        <x:v>13</x:v>
      </x:c>
      <x:c r="J859" s="2" t="n">
        <x:v>0</x:v>
      </x:c>
      <x:c r="K859" s="2" t="n">
        <x:f>I859-J859</x:f>
        <x:v>13</x:v>
      </x:c>
      <x:c r="L859" s="16" t="n">
        <x:v>26</x:v>
      </x:c>
      <x:c r="M859" s="16" t="n">
        <x:v>26</x:v>
      </x:c>
      <x:c r="N859" s="16" t="n">
        <x:v>11.96</x:v>
      </x:c>
      <x:c r="O859" s="16" t="n">
        <x:f>K859*M859</x:f>
        <x:v>338</x:v>
      </x:c>
      <x:c r="P859" s="16" t="n">
        <x:f>K859*N859</x:f>
        <x:v>155.48000000000002</x:v>
      </x:c>
      <x:c r="Q859" s="16" t="n">
        <x:f>O859-P859</x:f>
        <x:v>182.51999999999998</x:v>
      </x:c>
      <x:c r="R859" s="2" t="n">
        <x:v>101</x:v>
      </x:c>
      <x:c r="S859" s="2" t="n">
        <x:v>0</x:v>
      </x:c>
      <x:c r="T859" s="2" t="n">
        <x:f>R859+S859+J859-I859</x:f>
        <x:v>88</x:v>
      </x:c>
      <x:c r="U859" s="2" t="n">
        <x:v>0</x:v>
      </x:c>
      <x:c r="V859" s="2" t="n">
        <x:v>3</x:v>
      </x:c>
      <x:c r="W859" s="2" t="n">
        <x:v>15</x:v>
      </x:c>
      <x:c r="X859" s="14" t="b">
        <x:v>0</x:v>
      </x:c>
      <x:c r="Y859" s="14" t="b">
        <x:v>0</x:v>
      </x:c>
      <x:c r="Z859" s="2" t="n">
        <x:f>ABS(T859-AA859)</x:f>
        <x:v>0</x:v>
      </x:c>
      <x:c r="AA859" s="2" t="n">
        <x:v>88</x:v>
      </x:c>
      <x:c r="AB859" s="2" t="n">
        <x:f>ABS(K859-W859)</x:f>
        <x:v>2</x:v>
      </x:c>
      <x:c r="AC859" s="2" t="n">
        <x:f>COUNTIF($A$2:$A$1921,A859)-1</x:f>
        <x:v>0</x:v>
      </x:c>
      <x:c r="AD859" s="2" t="n">
        <x:f>IF(AND(D859=D858,H859=H858,C859=C858+1),ABS(R859-T858),0)</x:f>
        <x:v>0</x:v>
      </x:c>
    </x:row>
    <x:row r="860" ht="23" customHeight="1">
      <x:c r="A860" s="2" t="str">
        <x:v>DEMO-205-2-19</x:v>
      </x:c>
      <x:c r="B860" s="15" t="d">
        <x:v>2026-09-07T00:00:00.000Z</x:v>
      </x:c>
      <x:c r="C860" s="2" t="n">
        <x:v>19</x:v>
      </x:c>
      <x:c r="D860" s="2" t="str">
        <x:v>DEMO-205</x:v>
      </x:c>
      <x:c r="E860" s="2" t="str">
        <x:v>Surprise Parcel</x:v>
      </x:c>
      <x:c r="F860" s="2" t="str">
        <x:v>Gifting</x:v>
      </x:c>
      <x:c r="G860" s="2" t="str">
        <x:v>Stores</x:v>
      </x:c>
      <x:c r="H860" s="2" t="str">
        <x:v>Central Market</x:v>
      </x:c>
      <x:c r="I860" s="2" t="n">
        <x:v>11</x:v>
      </x:c>
      <x:c r="J860" s="2" t="n">
        <x:v>1</x:v>
      </x:c>
      <x:c r="K860" s="2" t="n">
        <x:f>I860-J860</x:f>
        <x:v>10</x:v>
      </x:c>
      <x:c r="L860" s="16" t="n">
        <x:v>26</x:v>
      </x:c>
      <x:c r="M860" s="16" t="n">
        <x:v>26</x:v>
      </x:c>
      <x:c r="N860" s="16" t="n">
        <x:v>11.96</x:v>
      </x:c>
      <x:c r="O860" s="16" t="n">
        <x:f>K860*M860</x:f>
        <x:v>260</x:v>
      </x:c>
      <x:c r="P860" s="16" t="n">
        <x:f>K860*N860</x:f>
        <x:v>119.60000000000001</x:v>
      </x:c>
      <x:c r="Q860" s="16" t="n">
        <x:f>O860-P860</x:f>
        <x:v>140.39999999999998</x:v>
      </x:c>
      <x:c r="R860" s="2" t="n">
        <x:v>88</x:v>
      </x:c>
      <x:c r="S860" s="2" t="n">
        <x:v>0</x:v>
      </x:c>
      <x:c r="T860" s="2" t="n">
        <x:f>R860+S860+J860-I860</x:f>
        <x:v>78</x:v>
      </x:c>
      <x:c r="U860" s="2" t="n">
        <x:v>0</x:v>
      </x:c>
      <x:c r="V860" s="2" t="n">
        <x:v>3</x:v>
      </x:c>
      <x:c r="W860" s="2" t="n">
        <x:v>12</x:v>
      </x:c>
      <x:c r="X860" s="14" t="b">
        <x:v>0</x:v>
      </x:c>
      <x:c r="Y860" s="14" t="b">
        <x:v>0</x:v>
      </x:c>
      <x:c r="Z860" s="2" t="n">
        <x:f>ABS(T860-AA860)</x:f>
        <x:v>0</x:v>
      </x:c>
      <x:c r="AA860" s="2" t="n">
        <x:v>78</x:v>
      </x:c>
      <x:c r="AB860" s="2" t="n">
        <x:f>ABS(K860-W860)</x:f>
        <x:v>2</x:v>
      </x:c>
      <x:c r="AC860" s="2" t="n">
        <x:f>COUNTIF($A$2:$A$1921,A860)-1</x:f>
        <x:v>0</x:v>
      </x:c>
      <x:c r="AD860" s="2" t="n">
        <x:f>IF(AND(D860=D859,H860=H859,C860=C859+1),ABS(R860-T859),0)</x:f>
        <x:v>0</x:v>
      </x:c>
    </x:row>
    <x:row r="861" ht="23" customHeight="1">
      <x:c r="A861" s="2" t="str">
        <x:v>DEMO-205-2-20</x:v>
      </x:c>
      <x:c r="B861" s="15" t="d">
        <x:v>2026-09-14T00:00:00.000Z</x:v>
      </x:c>
      <x:c r="C861" s="2" t="n">
        <x:v>20</x:v>
      </x:c>
      <x:c r="D861" s="2" t="str">
        <x:v>DEMO-205</x:v>
      </x:c>
      <x:c r="E861" s="2" t="str">
        <x:v>Surprise Parcel</x:v>
      </x:c>
      <x:c r="F861" s="2" t="str">
        <x:v>Gifting</x:v>
      </x:c>
      <x:c r="G861" s="2" t="str">
        <x:v>Stores</x:v>
      </x:c>
      <x:c r="H861" s="2" t="str">
        <x:v>Central Market</x:v>
      </x:c>
      <x:c r="I861" s="2" t="n">
        <x:v>10</x:v>
      </x:c>
      <x:c r="J861" s="2" t="n">
        <x:v>0</x:v>
      </x:c>
      <x:c r="K861" s="2" t="n">
        <x:f>I861-J861</x:f>
        <x:v>10</x:v>
      </x:c>
      <x:c r="L861" s="16" t="n">
        <x:v>26</x:v>
      </x:c>
      <x:c r="M861" s="16" t="n">
        <x:v>26</x:v>
      </x:c>
      <x:c r="N861" s="16" t="n">
        <x:v>11.96</x:v>
      </x:c>
      <x:c r="O861" s="16" t="n">
        <x:f>K861*M861</x:f>
        <x:v>260</x:v>
      </x:c>
      <x:c r="P861" s="16" t="n">
        <x:f>K861*N861</x:f>
        <x:v>119.60000000000001</x:v>
      </x:c>
      <x:c r="Q861" s="16" t="n">
        <x:f>O861-P861</x:f>
        <x:v>140.39999999999998</x:v>
      </x:c>
      <x:c r="R861" s="2" t="n">
        <x:v>78</x:v>
      </x:c>
      <x:c r="S861" s="2" t="n">
        <x:v>0</x:v>
      </x:c>
      <x:c r="T861" s="2" t="n">
        <x:f>R861+S861+J861-I861</x:f>
        <x:v>68</x:v>
      </x:c>
      <x:c r="U861" s="2" t="n">
        <x:v>18</x:v>
      </x:c>
      <x:c r="V861" s="2" t="n">
        <x:v>3</x:v>
      </x:c>
      <x:c r="W861" s="2" t="n">
        <x:v>11</x:v>
      </x:c>
      <x:c r="X861" s="14" t="b">
        <x:v>0</x:v>
      </x:c>
      <x:c r="Y861" s="14" t="b">
        <x:v>0</x:v>
      </x:c>
      <x:c r="Z861" s="2" t="n">
        <x:f>ABS(T861-AA861)</x:f>
        <x:v>0</x:v>
      </x:c>
      <x:c r="AA861" s="2" t="n">
        <x:v>68</x:v>
      </x:c>
      <x:c r="AB861" s="2" t="n">
        <x:f>ABS(K861-W861)</x:f>
        <x:v>1</x:v>
      </x:c>
      <x:c r="AC861" s="2" t="n">
        <x:f>COUNTIF($A$2:$A$1921,A861)-1</x:f>
        <x:v>0</x:v>
      </x:c>
      <x:c r="AD861" s="2" t="n">
        <x:f>IF(AND(D861=D860,H861=H860,C861=C860+1),ABS(R861-T860),0)</x:f>
        <x:v>0</x:v>
      </x:c>
    </x:row>
    <x:row r="862" ht="23" customHeight="1">
      <x:c r="A862" s="2" t="str">
        <x:v>DEMO-205-3-1</x:v>
      </x:c>
      <x:c r="B862" s="15" t="d">
        <x:v>2026-05-04T00:00:00.000Z</x:v>
      </x:c>
      <x:c r="C862" s="2" t="n">
        <x:v>1</x:v>
      </x:c>
      <x:c r="D862" s="2" t="str">
        <x:v>DEMO-205</x:v>
      </x:c>
      <x:c r="E862" s="2" t="str">
        <x:v>Surprise Parcel</x:v>
      </x:c>
      <x:c r="F862" s="2" t="str">
        <x:v>Gifting</x:v>
      </x:c>
      <x:c r="G862" s="2" t="str">
        <x:v>Online</x:v>
      </x:c>
      <x:c r="H862" s="2" t="str">
        <x:v>Online</x:v>
      </x:c>
      <x:c r="I862" s="2" t="n">
        <x:v>20</x:v>
      </x:c>
      <x:c r="J862" s="2" t="n">
        <x:v>0</x:v>
      </x:c>
      <x:c r="K862" s="2" t="n">
        <x:f>I862-J862</x:f>
        <x:v>20</x:v>
      </x:c>
      <x:c r="L862" s="16" t="n">
        <x:v>26</x:v>
      </x:c>
      <x:c r="M862" s="16" t="n">
        <x:v>26</x:v>
      </x:c>
      <x:c r="N862" s="16" t="n">
        <x:v>11.96</x:v>
      </x:c>
      <x:c r="O862" s="16" t="n">
        <x:f>K862*M862</x:f>
        <x:v>520</x:v>
      </x:c>
      <x:c r="P862" s="16" t="n">
        <x:f>K862*N862</x:f>
        <x:v>239.20000000000002</x:v>
      </x:c>
      <x:c r="Q862" s="16" t="n">
        <x:f>O862-P862</x:f>
        <x:v>280.79999999999995</x:v>
      </x:c>
      <x:c r="R862" s="2" t="n">
        <x:v>90</x:v>
      </x:c>
      <x:c r="S862" s="2" t="n">
        <x:v>79</x:v>
      </x:c>
      <x:c r="T862" s="2" t="n">
        <x:f>R862+S862+J862-I862</x:f>
        <x:v>149</x:v>
      </x:c>
      <x:c r="U862" s="2" t="n">
        <x:v>0</x:v>
      </x:c>
      <x:c r="V862" s="2" t="n">
        <x:v>3</x:v>
      </x:c>
      <x:c r="W862" s="2" t="n">
        <x:v>19</x:v>
      </x:c>
      <x:c r="X862" s="14" t="b">
        <x:v>0</x:v>
      </x:c>
      <x:c r="Y862" s="14" t="b">
        <x:v>0</x:v>
      </x:c>
      <x:c r="Z862" s="2" t="n">
        <x:f>ABS(T862-AA862)</x:f>
        <x:v>0</x:v>
      </x:c>
      <x:c r="AA862" s="2" t="n">
        <x:v>149</x:v>
      </x:c>
      <x:c r="AB862" s="2" t="n">
        <x:f>ABS(K862-W862)</x:f>
        <x:v>1</x:v>
      </x:c>
      <x:c r="AC862" s="2" t="n">
        <x:f>COUNTIF($A$2:$A$1921,A862)-1</x:f>
        <x:v>0</x:v>
      </x:c>
      <x:c r="AD862" s="2" t="n">
        <x:f>IF(AND(D862=D861,H862=H861,C862=C861+1),ABS(R862-T861),0)</x:f>
        <x:v>0</x:v>
      </x:c>
    </x:row>
    <x:row r="863" ht="23" customHeight="1">
      <x:c r="A863" s="2" t="str">
        <x:v>DEMO-205-3-2</x:v>
      </x:c>
      <x:c r="B863" s="15" t="d">
        <x:v>2026-05-11T00:00:00.000Z</x:v>
      </x:c>
      <x:c r="C863" s="2" t="n">
        <x:v>2</x:v>
      </x:c>
      <x:c r="D863" s="2" t="str">
        <x:v>DEMO-205</x:v>
      </x:c>
      <x:c r="E863" s="2" t="str">
        <x:v>Surprise Parcel</x:v>
      </x:c>
      <x:c r="F863" s="2" t="str">
        <x:v>Gifting</x:v>
      </x:c>
      <x:c r="G863" s="2" t="str">
        <x:v>Online</x:v>
      </x:c>
      <x:c r="H863" s="2" t="str">
        <x:v>Online</x:v>
      </x:c>
      <x:c r="I863" s="2" t="n">
        <x:v>15</x:v>
      </x:c>
      <x:c r="J863" s="2" t="n">
        <x:v>0</x:v>
      </x:c>
      <x:c r="K863" s="2" t="n">
        <x:f>I863-J863</x:f>
        <x:v>15</x:v>
      </x:c>
      <x:c r="L863" s="16" t="n">
        <x:v>26</x:v>
      </x:c>
      <x:c r="M863" s="16" t="n">
        <x:v>26</x:v>
      </x:c>
      <x:c r="N863" s="16" t="n">
        <x:v>11.96</x:v>
      </x:c>
      <x:c r="O863" s="16" t="n">
        <x:f>K863*M863</x:f>
        <x:v>390</x:v>
      </x:c>
      <x:c r="P863" s="16" t="n">
        <x:f>K863*N863</x:f>
        <x:v>179.4</x:v>
      </x:c>
      <x:c r="Q863" s="16" t="n">
        <x:f>O863-P863</x:f>
        <x:v>210.6</x:v>
      </x:c>
      <x:c r="R863" s="2" t="n">
        <x:v>149</x:v>
      </x:c>
      <x:c r="S863" s="2" t="n">
        <x:v>0</x:v>
      </x:c>
      <x:c r="T863" s="2" t="n">
        <x:f>R863+S863+J863-I863</x:f>
        <x:v>134</x:v>
      </x:c>
      <x:c r="U863" s="2" t="n">
        <x:v>0</x:v>
      </x:c>
      <x:c r="V863" s="2" t="n">
        <x:v>3</x:v>
      </x:c>
      <x:c r="W863" s="2" t="n">
        <x:v>20</x:v>
      </x:c>
      <x:c r="X863" s="14" t="b">
        <x:v>0</x:v>
      </x:c>
      <x:c r="Y863" s="14" t="b">
        <x:v>0</x:v>
      </x:c>
      <x:c r="Z863" s="2" t="n">
        <x:f>ABS(T863-AA863)</x:f>
        <x:v>0</x:v>
      </x:c>
      <x:c r="AA863" s="2" t="n">
        <x:v>134</x:v>
      </x:c>
      <x:c r="AB863" s="2" t="n">
        <x:f>ABS(K863-W863)</x:f>
        <x:v>5</x:v>
      </x:c>
      <x:c r="AC863" s="2" t="n">
        <x:f>COUNTIF($A$2:$A$1921,A863)-1</x:f>
        <x:v>0</x:v>
      </x:c>
      <x:c r="AD863" s="2" t="n">
        <x:f>IF(AND(D863=D862,H863=H862,C863=C862+1),ABS(R863-T862),0)</x:f>
        <x:v>0</x:v>
      </x:c>
    </x:row>
    <x:row r="864" ht="23" customHeight="1">
      <x:c r="A864" s="2" t="str">
        <x:v>DEMO-205-3-3</x:v>
      </x:c>
      <x:c r="B864" s="15" t="d">
        <x:v>2026-05-18T00:00:00.000Z</x:v>
      </x:c>
      <x:c r="C864" s="2" t="n">
        <x:v>3</x:v>
      </x:c>
      <x:c r="D864" s="2" t="str">
        <x:v>DEMO-205</x:v>
      </x:c>
      <x:c r="E864" s="2" t="str">
        <x:v>Surprise Parcel</x:v>
      </x:c>
      <x:c r="F864" s="2" t="str">
        <x:v>Gifting</x:v>
      </x:c>
      <x:c r="G864" s="2" t="str">
        <x:v>Online</x:v>
      </x:c>
      <x:c r="H864" s="2" t="str">
        <x:v>Online</x:v>
      </x:c>
      <x:c r="I864" s="2" t="n">
        <x:v>20</x:v>
      </x:c>
      <x:c r="J864" s="2" t="n">
        <x:v>0</x:v>
      </x:c>
      <x:c r="K864" s="2" t="n">
        <x:f>I864-J864</x:f>
        <x:v>20</x:v>
      </x:c>
      <x:c r="L864" s="16" t="n">
        <x:v>26</x:v>
      </x:c>
      <x:c r="M864" s="16" t="n">
        <x:v>26</x:v>
      </x:c>
      <x:c r="N864" s="16" t="n">
        <x:v>11.96</x:v>
      </x:c>
      <x:c r="O864" s="16" t="n">
        <x:f>K864*M864</x:f>
        <x:v>520</x:v>
      </x:c>
      <x:c r="P864" s="16" t="n">
        <x:f>K864*N864</x:f>
        <x:v>239.20000000000002</x:v>
      </x:c>
      <x:c r="Q864" s="16" t="n">
        <x:f>O864-P864</x:f>
        <x:v>280.79999999999995</x:v>
      </x:c>
      <x:c r="R864" s="2" t="n">
        <x:v>134</x:v>
      </x:c>
      <x:c r="S864" s="2" t="n">
        <x:v>0</x:v>
      </x:c>
      <x:c r="T864" s="2" t="n">
        <x:f>R864+S864+J864-I864</x:f>
        <x:v>114</x:v>
      </x:c>
      <x:c r="U864" s="2" t="n">
        <x:v>0</x:v>
      </x:c>
      <x:c r="V864" s="2" t="n">
        <x:v>3</x:v>
      </x:c>
      <x:c r="W864" s="2" t="n">
        <x:v>18</x:v>
      </x:c>
      <x:c r="X864" s="14" t="b">
        <x:v>0</x:v>
      </x:c>
      <x:c r="Y864" s="14" t="b">
        <x:v>0</x:v>
      </x:c>
      <x:c r="Z864" s="2" t="n">
        <x:f>ABS(T864-AA864)</x:f>
        <x:v>0</x:v>
      </x:c>
      <x:c r="AA864" s="2" t="n">
        <x:v>114</x:v>
      </x:c>
      <x:c r="AB864" s="2" t="n">
        <x:f>ABS(K864-W864)</x:f>
        <x:v>2</x:v>
      </x:c>
      <x:c r="AC864" s="2" t="n">
        <x:f>COUNTIF($A$2:$A$1921,A864)-1</x:f>
        <x:v>0</x:v>
      </x:c>
      <x:c r="AD864" s="2" t="n">
        <x:f>IF(AND(D864=D863,H864=H863,C864=C863+1),ABS(R864-T863),0)</x:f>
        <x:v>0</x:v>
      </x:c>
    </x:row>
    <x:row r="865" ht="23" customHeight="1">
      <x:c r="A865" s="2" t="str">
        <x:v>DEMO-205-3-4</x:v>
      </x:c>
      <x:c r="B865" s="15" t="d">
        <x:v>2026-05-25T00:00:00.000Z</x:v>
      </x:c>
      <x:c r="C865" s="2" t="n">
        <x:v>4</x:v>
      </x:c>
      <x:c r="D865" s="2" t="str">
        <x:v>DEMO-205</x:v>
      </x:c>
      <x:c r="E865" s="2" t="str">
        <x:v>Surprise Parcel</x:v>
      </x:c>
      <x:c r="F865" s="2" t="str">
        <x:v>Gifting</x:v>
      </x:c>
      <x:c r="G865" s="2" t="str">
        <x:v>Online</x:v>
      </x:c>
      <x:c r="H865" s="2" t="str">
        <x:v>Online</x:v>
      </x:c>
      <x:c r="I865" s="2" t="n">
        <x:v>20</x:v>
      </x:c>
      <x:c r="J865" s="2" t="n">
        <x:v>1</x:v>
      </x:c>
      <x:c r="K865" s="2" t="n">
        <x:f>I865-J865</x:f>
        <x:v>19</x:v>
      </x:c>
      <x:c r="L865" s="16" t="n">
        <x:v>26</x:v>
      </x:c>
      <x:c r="M865" s="16" t="n">
        <x:v>26</x:v>
      </x:c>
      <x:c r="N865" s="16" t="n">
        <x:v>11.96</x:v>
      </x:c>
      <x:c r="O865" s="16" t="n">
        <x:f>K865*M865</x:f>
        <x:v>494</x:v>
      </x:c>
      <x:c r="P865" s="16" t="n">
        <x:f>K865*N865</x:f>
        <x:v>227.24</x:v>
      </x:c>
      <x:c r="Q865" s="16" t="n">
        <x:f>O865-P865</x:f>
        <x:v>266.76</x:v>
      </x:c>
      <x:c r="R865" s="2" t="n">
        <x:v>114</x:v>
      </x:c>
      <x:c r="S865" s="2" t="n">
        <x:v>0</x:v>
      </x:c>
      <x:c r="T865" s="2" t="n">
        <x:f>R865+S865+J865-I865</x:f>
        <x:v>95</x:v>
      </x:c>
      <x:c r="U865" s="2" t="n">
        <x:v>0</x:v>
      </x:c>
      <x:c r="V865" s="2" t="n">
        <x:v>3</x:v>
      </x:c>
      <x:c r="W865" s="2" t="n">
        <x:v>18</x:v>
      </x:c>
      <x:c r="X865" s="14" t="b">
        <x:v>0</x:v>
      </x:c>
      <x:c r="Y865" s="14" t="b">
        <x:v>0</x:v>
      </x:c>
      <x:c r="Z865" s="2" t="n">
        <x:f>ABS(T865-AA865)</x:f>
        <x:v>0</x:v>
      </x:c>
      <x:c r="AA865" s="2" t="n">
        <x:v>95</x:v>
      </x:c>
      <x:c r="AB865" s="2" t="n">
        <x:f>ABS(K865-W865)</x:f>
        <x:v>1</x:v>
      </x:c>
      <x:c r="AC865" s="2" t="n">
        <x:f>COUNTIF($A$2:$A$1921,A865)-1</x:f>
        <x:v>0</x:v>
      </x:c>
      <x:c r="AD865" s="2" t="n">
        <x:f>IF(AND(D865=D864,H865=H864,C865=C864+1),ABS(R865-T864),0)</x:f>
        <x:v>0</x:v>
      </x:c>
    </x:row>
    <x:row r="866" ht="23" customHeight="1">
      <x:c r="A866" s="2" t="str">
        <x:v>DEMO-205-3-5</x:v>
      </x:c>
      <x:c r="B866" s="15" t="d">
        <x:v>2026-06-01T00:00:00.000Z</x:v>
      </x:c>
      <x:c r="C866" s="2" t="n">
        <x:v>5</x:v>
      </x:c>
      <x:c r="D866" s="2" t="str">
        <x:v>DEMO-205</x:v>
      </x:c>
      <x:c r="E866" s="2" t="str">
        <x:v>Surprise Parcel</x:v>
      </x:c>
      <x:c r="F866" s="2" t="str">
        <x:v>Gifting</x:v>
      </x:c>
      <x:c r="G866" s="2" t="str">
        <x:v>Online</x:v>
      </x:c>
      <x:c r="H866" s="2" t="str">
        <x:v>Online</x:v>
      </x:c>
      <x:c r="I866" s="2" t="n">
        <x:v>15</x:v>
      </x:c>
      <x:c r="J866" s="2" t="n">
        <x:v>0</x:v>
      </x:c>
      <x:c r="K866" s="2" t="n">
        <x:f>I866-J866</x:f>
        <x:v>15</x:v>
      </x:c>
      <x:c r="L866" s="16" t="n">
        <x:v>26</x:v>
      </x:c>
      <x:c r="M866" s="16" t="n">
        <x:v>26</x:v>
      </x:c>
      <x:c r="N866" s="16" t="n">
        <x:v>11.96</x:v>
      </x:c>
      <x:c r="O866" s="16" t="n">
        <x:f>K866*M866</x:f>
        <x:v>390</x:v>
      </x:c>
      <x:c r="P866" s="16" t="n">
        <x:f>K866*N866</x:f>
        <x:v>179.4</x:v>
      </x:c>
      <x:c r="Q866" s="16" t="n">
        <x:f>O866-P866</x:f>
        <x:v>210.6</x:v>
      </x:c>
      <x:c r="R866" s="2" t="n">
        <x:v>95</x:v>
      </x:c>
      <x:c r="S866" s="2" t="n">
        <x:v>79</x:v>
      </x:c>
      <x:c r="T866" s="2" t="n">
        <x:f>R866+S866+J866-I866</x:f>
        <x:v>159</x:v>
      </x:c>
      <x:c r="U866" s="2" t="n">
        <x:v>0</x:v>
      </x:c>
      <x:c r="V866" s="2" t="n">
        <x:v>3</x:v>
      </x:c>
      <x:c r="W866" s="2" t="n">
        <x:v>19</x:v>
      </x:c>
      <x:c r="X866" s="14" t="b">
        <x:v>0</x:v>
      </x:c>
      <x:c r="Y866" s="14" t="b">
        <x:v>0</x:v>
      </x:c>
      <x:c r="Z866" s="2" t="n">
        <x:f>ABS(T866-AA866)</x:f>
        <x:v>0</x:v>
      </x:c>
      <x:c r="AA866" s="2" t="n">
        <x:v>159</x:v>
      </x:c>
      <x:c r="AB866" s="2" t="n">
        <x:f>ABS(K866-W866)</x:f>
        <x:v>4</x:v>
      </x:c>
      <x:c r="AC866" s="2" t="n">
        <x:f>COUNTIF($A$2:$A$1921,A866)-1</x:f>
        <x:v>0</x:v>
      </x:c>
      <x:c r="AD866" s="2" t="n">
        <x:f>IF(AND(D866=D865,H866=H865,C866=C865+1),ABS(R866-T865),0)</x:f>
        <x:v>0</x:v>
      </x:c>
    </x:row>
    <x:row r="867" ht="23" customHeight="1">
      <x:c r="A867" s="2" t="str">
        <x:v>DEMO-205-3-6</x:v>
      </x:c>
      <x:c r="B867" s="15" t="d">
        <x:v>2026-06-08T00:00:00.000Z</x:v>
      </x:c>
      <x:c r="C867" s="2" t="n">
        <x:v>6</x:v>
      </x:c>
      <x:c r="D867" s="2" t="str">
        <x:v>DEMO-205</x:v>
      </x:c>
      <x:c r="E867" s="2" t="str">
        <x:v>Surprise Parcel</x:v>
      </x:c>
      <x:c r="F867" s="2" t="str">
        <x:v>Gifting</x:v>
      </x:c>
      <x:c r="G867" s="2" t="str">
        <x:v>Online</x:v>
      </x:c>
      <x:c r="H867" s="2" t="str">
        <x:v>Online</x:v>
      </x:c>
      <x:c r="I867" s="2" t="n">
        <x:v>22</x:v>
      </x:c>
      <x:c r="J867" s="2" t="n">
        <x:v>0</x:v>
      </x:c>
      <x:c r="K867" s="2" t="n">
        <x:f>I867-J867</x:f>
        <x:v>22</x:v>
      </x:c>
      <x:c r="L867" s="16" t="n">
        <x:v>26</x:v>
      </x:c>
      <x:c r="M867" s="16" t="n">
        <x:v>26</x:v>
      </x:c>
      <x:c r="N867" s="16" t="n">
        <x:v>11.96</x:v>
      </x:c>
      <x:c r="O867" s="16" t="n">
        <x:f>K867*M867</x:f>
        <x:v>572</x:v>
      </x:c>
      <x:c r="P867" s="16" t="n">
        <x:f>K867*N867</x:f>
        <x:v>263.12</x:v>
      </x:c>
      <x:c r="Q867" s="16" t="n">
        <x:f>O867-P867</x:f>
        <x:v>308.88</x:v>
      </x:c>
      <x:c r="R867" s="2" t="n">
        <x:v>159</x:v>
      </x:c>
      <x:c r="S867" s="2" t="n">
        <x:v>0</x:v>
      </x:c>
      <x:c r="T867" s="2" t="n">
        <x:f>R867+S867+J867-I867</x:f>
        <x:v>137</x:v>
      </x:c>
      <x:c r="U867" s="2" t="n">
        <x:v>0</x:v>
      </x:c>
      <x:c r="V867" s="2" t="n">
        <x:v>3</x:v>
      </x:c>
      <x:c r="W867" s="2" t="n">
        <x:v>17</x:v>
      </x:c>
      <x:c r="X867" s="14" t="b">
        <x:v>0</x:v>
      </x:c>
      <x:c r="Y867" s="14" t="b">
        <x:v>0</x:v>
      </x:c>
      <x:c r="Z867" s="2" t="n">
        <x:f>ABS(T867-AA867)</x:f>
        <x:v>0</x:v>
      </x:c>
      <x:c r="AA867" s="2" t="n">
        <x:v>137</x:v>
      </x:c>
      <x:c r="AB867" s="2" t="n">
        <x:f>ABS(K867-W867)</x:f>
        <x:v>5</x:v>
      </x:c>
      <x:c r="AC867" s="2" t="n">
        <x:f>COUNTIF($A$2:$A$1921,A867)-1</x:f>
        <x:v>0</x:v>
      </x:c>
      <x:c r="AD867" s="2" t="n">
        <x:f>IF(AND(D867=D866,H867=H866,C867=C866+1),ABS(R867-T866),0)</x:f>
        <x:v>0</x:v>
      </x:c>
    </x:row>
    <x:row r="868" ht="23" customHeight="1">
      <x:c r="A868" s="2" t="str">
        <x:v>DEMO-205-3-7</x:v>
      </x:c>
      <x:c r="B868" s="15" t="d">
        <x:v>2026-06-15T00:00:00.000Z</x:v>
      </x:c>
      <x:c r="C868" s="2" t="n">
        <x:v>7</x:v>
      </x:c>
      <x:c r="D868" s="2" t="str">
        <x:v>DEMO-205</x:v>
      </x:c>
      <x:c r="E868" s="2" t="str">
        <x:v>Surprise Parcel</x:v>
      </x:c>
      <x:c r="F868" s="2" t="str">
        <x:v>Gifting</x:v>
      </x:c>
      <x:c r="G868" s="2" t="str">
        <x:v>Online</x:v>
      </x:c>
      <x:c r="H868" s="2" t="str">
        <x:v>Online</x:v>
      </x:c>
      <x:c r="I868" s="2" t="n">
        <x:v>19</x:v>
      </x:c>
      <x:c r="J868" s="2" t="n">
        <x:v>0</x:v>
      </x:c>
      <x:c r="K868" s="2" t="n">
        <x:f>I868-J868</x:f>
        <x:v>19</x:v>
      </x:c>
      <x:c r="L868" s="16" t="n">
        <x:v>26</x:v>
      </x:c>
      <x:c r="M868" s="16" t="n">
        <x:v>26</x:v>
      </x:c>
      <x:c r="N868" s="16" t="n">
        <x:v>11.96</x:v>
      </x:c>
      <x:c r="O868" s="16" t="n">
        <x:f>K868*M868</x:f>
        <x:v>494</x:v>
      </x:c>
      <x:c r="P868" s="16" t="n">
        <x:f>K868*N868</x:f>
        <x:v>227.24</x:v>
      </x:c>
      <x:c r="Q868" s="16" t="n">
        <x:f>O868-P868</x:f>
        <x:v>266.76</x:v>
      </x:c>
      <x:c r="R868" s="2" t="n">
        <x:v>137</x:v>
      </x:c>
      <x:c r="S868" s="2" t="n">
        <x:v>0</x:v>
      </x:c>
      <x:c r="T868" s="2" t="n">
        <x:f>R868+S868+J868-I868</x:f>
        <x:v>118</x:v>
      </x:c>
      <x:c r="U868" s="2" t="n">
        <x:v>0</x:v>
      </x:c>
      <x:c r="V868" s="2" t="n">
        <x:v>3</x:v>
      </x:c>
      <x:c r="W868" s="2" t="n">
        <x:v>19</x:v>
      </x:c>
      <x:c r="X868" s="14" t="b">
        <x:v>0</x:v>
      </x:c>
      <x:c r="Y868" s="14" t="b">
        <x:v>0</x:v>
      </x:c>
      <x:c r="Z868" s="2" t="n">
        <x:f>ABS(T868-AA868)</x:f>
        <x:v>0</x:v>
      </x:c>
      <x:c r="AA868" s="2" t="n">
        <x:v>118</x:v>
      </x:c>
      <x:c r="AB868" s="2" t="n">
        <x:f>ABS(K868-W868)</x:f>
        <x:v>0</x:v>
      </x:c>
      <x:c r="AC868" s="2" t="n">
        <x:f>COUNTIF($A$2:$A$1921,A868)-1</x:f>
        <x:v>0</x:v>
      </x:c>
      <x:c r="AD868" s="2" t="n">
        <x:f>IF(AND(D868=D867,H868=H867,C868=C867+1),ABS(R868-T867),0)</x:f>
        <x:v>0</x:v>
      </x:c>
    </x:row>
    <x:row r="869" ht="23" customHeight="1">
      <x:c r="A869" s="2" t="str">
        <x:v>DEMO-205-3-8</x:v>
      </x:c>
      <x:c r="B869" s="15" t="d">
        <x:v>2026-06-22T00:00:00.000Z</x:v>
      </x:c>
      <x:c r="C869" s="2" t="n">
        <x:v>8</x:v>
      </x:c>
      <x:c r="D869" s="2" t="str">
        <x:v>DEMO-205</x:v>
      </x:c>
      <x:c r="E869" s="2" t="str">
        <x:v>Surprise Parcel</x:v>
      </x:c>
      <x:c r="F869" s="2" t="str">
        <x:v>Gifting</x:v>
      </x:c>
      <x:c r="G869" s="2" t="str">
        <x:v>Online</x:v>
      </x:c>
      <x:c r="H869" s="2" t="str">
        <x:v>Online</x:v>
      </x:c>
      <x:c r="I869" s="2" t="n">
        <x:v>17</x:v>
      </x:c>
      <x:c r="J869" s="2" t="n">
        <x:v>0</x:v>
      </x:c>
      <x:c r="K869" s="2" t="n">
        <x:f>I869-J869</x:f>
        <x:v>17</x:v>
      </x:c>
      <x:c r="L869" s="16" t="n">
        <x:v>26</x:v>
      </x:c>
      <x:c r="M869" s="16" t="n">
        <x:v>26</x:v>
      </x:c>
      <x:c r="N869" s="16" t="n">
        <x:v>11.96</x:v>
      </x:c>
      <x:c r="O869" s="16" t="n">
        <x:f>K869*M869</x:f>
        <x:v>442</x:v>
      </x:c>
      <x:c r="P869" s="16" t="n">
        <x:f>K869*N869</x:f>
        <x:v>203.32000000000002</x:v>
      </x:c>
      <x:c r="Q869" s="16" t="n">
        <x:f>O869-P869</x:f>
        <x:v>238.67999999999998</x:v>
      </x:c>
      <x:c r="R869" s="2" t="n">
        <x:v>118</x:v>
      </x:c>
      <x:c r="S869" s="2" t="n">
        <x:v>0</x:v>
      </x:c>
      <x:c r="T869" s="2" t="n">
        <x:f>R869+S869+J869-I869</x:f>
        <x:v>101</x:v>
      </x:c>
      <x:c r="U869" s="2" t="n">
        <x:v>0</x:v>
      </x:c>
      <x:c r="V869" s="2" t="n">
        <x:v>3</x:v>
      </x:c>
      <x:c r="W869" s="2" t="n">
        <x:v>19</x:v>
      </x:c>
      <x:c r="X869" s="14" t="b">
        <x:v>0</x:v>
      </x:c>
      <x:c r="Y869" s="14" t="b">
        <x:v>0</x:v>
      </x:c>
      <x:c r="Z869" s="2" t="n">
        <x:f>ABS(T869-AA869)</x:f>
        <x:v>0</x:v>
      </x:c>
      <x:c r="AA869" s="2" t="n">
        <x:v>101</x:v>
      </x:c>
      <x:c r="AB869" s="2" t="n">
        <x:f>ABS(K869-W869)</x:f>
        <x:v>2</x:v>
      </x:c>
      <x:c r="AC869" s="2" t="n">
        <x:f>COUNTIF($A$2:$A$1921,A869)-1</x:f>
        <x:v>0</x:v>
      </x:c>
      <x:c r="AD869" s="2" t="n">
        <x:f>IF(AND(D869=D868,H869=H868,C869=C868+1),ABS(R869-T868),0)</x:f>
        <x:v>0</x:v>
      </x:c>
    </x:row>
    <x:row r="870" ht="23" customHeight="1">
      <x:c r="A870" s="2" t="str">
        <x:v>DEMO-205-3-9</x:v>
      </x:c>
      <x:c r="B870" s="15" t="d">
        <x:v>2026-06-29T00:00:00.000Z</x:v>
      </x:c>
      <x:c r="C870" s="2" t="n">
        <x:v>9</x:v>
      </x:c>
      <x:c r="D870" s="2" t="str">
        <x:v>DEMO-205</x:v>
      </x:c>
      <x:c r="E870" s="2" t="str">
        <x:v>Surprise Parcel</x:v>
      </x:c>
      <x:c r="F870" s="2" t="str">
        <x:v>Gifting</x:v>
      </x:c>
      <x:c r="G870" s="2" t="str">
        <x:v>Online</x:v>
      </x:c>
      <x:c r="H870" s="2" t="str">
        <x:v>Online</x:v>
      </x:c>
      <x:c r="I870" s="2" t="n">
        <x:v>21</x:v>
      </x:c>
      <x:c r="J870" s="2" t="n">
        <x:v>0</x:v>
      </x:c>
      <x:c r="K870" s="2" t="n">
        <x:f>I870-J870</x:f>
        <x:v>21</x:v>
      </x:c>
      <x:c r="L870" s="16" t="n">
        <x:v>26</x:v>
      </x:c>
      <x:c r="M870" s="16" t="n">
        <x:v>26</x:v>
      </x:c>
      <x:c r="N870" s="16" t="n">
        <x:v>11.96</x:v>
      </x:c>
      <x:c r="O870" s="16" t="n">
        <x:f>K870*M870</x:f>
        <x:v>546</x:v>
      </x:c>
      <x:c r="P870" s="16" t="n">
        <x:f>K870*N870</x:f>
        <x:v>251.16000000000003</x:v>
      </x:c>
      <x:c r="Q870" s="16" t="n">
        <x:f>O870-P870</x:f>
        <x:v>294.84</x:v>
      </x:c>
      <x:c r="R870" s="2" t="n">
        <x:v>101</x:v>
      </x:c>
      <x:c r="S870" s="2" t="n">
        <x:v>79</x:v>
      </x:c>
      <x:c r="T870" s="2" t="n">
        <x:f>R870+S870+J870-I870</x:f>
        <x:v>159</x:v>
      </x:c>
      <x:c r="U870" s="2" t="n">
        <x:v>0</x:v>
      </x:c>
      <x:c r="V870" s="2" t="n">
        <x:v>3</x:v>
      </x:c>
      <x:c r="W870" s="2" t="n">
        <x:v>18</x:v>
      </x:c>
      <x:c r="X870" s="14" t="b">
        <x:v>0</x:v>
      </x:c>
      <x:c r="Y870" s="14" t="b">
        <x:v>0</x:v>
      </x:c>
      <x:c r="Z870" s="2" t="n">
        <x:f>ABS(T870-AA870)</x:f>
        <x:v>0</x:v>
      </x:c>
      <x:c r="AA870" s="2" t="n">
        <x:v>159</x:v>
      </x:c>
      <x:c r="AB870" s="2" t="n">
        <x:f>ABS(K870-W870)</x:f>
        <x:v>3</x:v>
      </x:c>
      <x:c r="AC870" s="2" t="n">
        <x:f>COUNTIF($A$2:$A$1921,A870)-1</x:f>
        <x:v>0</x:v>
      </x:c>
      <x:c r="AD870" s="2" t="n">
        <x:f>IF(AND(D870=D869,H870=H869,C870=C869+1),ABS(R870-T869),0)</x:f>
        <x:v>0</x:v>
      </x:c>
    </x:row>
    <x:row r="871" ht="23" customHeight="1">
      <x:c r="A871" s="2" t="str">
        <x:v>DEMO-205-3-10</x:v>
      </x:c>
      <x:c r="B871" s="15" t="d">
        <x:v>2026-07-06T00:00:00.000Z</x:v>
      </x:c>
      <x:c r="C871" s="2" t="n">
        <x:v>10</x:v>
      </x:c>
      <x:c r="D871" s="2" t="str">
        <x:v>DEMO-205</x:v>
      </x:c>
      <x:c r="E871" s="2" t="str">
        <x:v>Surprise Parcel</x:v>
      </x:c>
      <x:c r="F871" s="2" t="str">
        <x:v>Gifting</x:v>
      </x:c>
      <x:c r="G871" s="2" t="str">
        <x:v>Online</x:v>
      </x:c>
      <x:c r="H871" s="2" t="str">
        <x:v>Online</x:v>
      </x:c>
      <x:c r="I871" s="2" t="n">
        <x:v>21</x:v>
      </x:c>
      <x:c r="J871" s="2" t="n">
        <x:v>1</x:v>
      </x:c>
      <x:c r="K871" s="2" t="n">
        <x:f>I871-J871</x:f>
        <x:v>20</x:v>
      </x:c>
      <x:c r="L871" s="16" t="n">
        <x:v>26</x:v>
      </x:c>
      <x:c r="M871" s="16" t="n">
        <x:v>26</x:v>
      </x:c>
      <x:c r="N871" s="16" t="n">
        <x:v>11.96</x:v>
      </x:c>
      <x:c r="O871" s="16" t="n">
        <x:f>K871*M871</x:f>
        <x:v>520</x:v>
      </x:c>
      <x:c r="P871" s="16" t="n">
        <x:f>K871*N871</x:f>
        <x:v>239.20000000000002</x:v>
      </x:c>
      <x:c r="Q871" s="16" t="n">
        <x:f>O871-P871</x:f>
        <x:v>280.79999999999995</x:v>
      </x:c>
      <x:c r="R871" s="2" t="n">
        <x:v>159</x:v>
      </x:c>
      <x:c r="S871" s="2" t="n">
        <x:v>0</x:v>
      </x:c>
      <x:c r="T871" s="2" t="n">
        <x:f>R871+S871+J871-I871</x:f>
        <x:v>139</x:v>
      </x:c>
      <x:c r="U871" s="2" t="n">
        <x:v>0</x:v>
      </x:c>
      <x:c r="V871" s="2" t="n">
        <x:v>3</x:v>
      </x:c>
      <x:c r="W871" s="2" t="n">
        <x:v>20</x:v>
      </x:c>
      <x:c r="X871" s="14" t="b">
        <x:v>0</x:v>
      </x:c>
      <x:c r="Y871" s="14" t="b">
        <x:v>0</x:v>
      </x:c>
      <x:c r="Z871" s="2" t="n">
        <x:f>ABS(T871-AA871)</x:f>
        <x:v>0</x:v>
      </x:c>
      <x:c r="AA871" s="2" t="n">
        <x:v>139</x:v>
      </x:c>
      <x:c r="AB871" s="2" t="n">
        <x:f>ABS(K871-W871)</x:f>
        <x:v>0</x:v>
      </x:c>
      <x:c r="AC871" s="2" t="n">
        <x:f>COUNTIF($A$2:$A$1921,A871)-1</x:f>
        <x:v>0</x:v>
      </x:c>
      <x:c r="AD871" s="2" t="n">
        <x:f>IF(AND(D871=D870,H871=H870,C871=C870+1),ABS(R871-T870),0)</x:f>
        <x:v>0</x:v>
      </x:c>
    </x:row>
    <x:row r="872" ht="23" customHeight="1">
      <x:c r="A872" s="2" t="str">
        <x:v>DEMO-205-3-11</x:v>
      </x:c>
      <x:c r="B872" s="15" t="d">
        <x:v>2026-07-13T00:00:00.000Z</x:v>
      </x:c>
      <x:c r="C872" s="2" t="n">
        <x:v>11</x:v>
      </x:c>
      <x:c r="D872" s="2" t="str">
        <x:v>DEMO-205</x:v>
      </x:c>
      <x:c r="E872" s="2" t="str">
        <x:v>Surprise Parcel</x:v>
      </x:c>
      <x:c r="F872" s="2" t="str">
        <x:v>Gifting</x:v>
      </x:c>
      <x:c r="G872" s="2" t="str">
        <x:v>Online</x:v>
      </x:c>
      <x:c r="H872" s="2" t="str">
        <x:v>Online</x:v>
      </x:c>
      <x:c r="I872" s="2" t="n">
        <x:v>18</x:v>
      </x:c>
      <x:c r="J872" s="2" t="n">
        <x:v>0</x:v>
      </x:c>
      <x:c r="K872" s="2" t="n">
        <x:f>I872-J872</x:f>
        <x:v>18</x:v>
      </x:c>
      <x:c r="L872" s="16" t="n">
        <x:v>26</x:v>
      </x:c>
      <x:c r="M872" s="16" t="n">
        <x:v>26</x:v>
      </x:c>
      <x:c r="N872" s="16" t="n">
        <x:v>11.96</x:v>
      </x:c>
      <x:c r="O872" s="16" t="n">
        <x:f>K872*M872</x:f>
        <x:v>468</x:v>
      </x:c>
      <x:c r="P872" s="16" t="n">
        <x:f>K872*N872</x:f>
        <x:v>215.28000000000003</x:v>
      </x:c>
      <x:c r="Q872" s="16" t="n">
        <x:f>O872-P872</x:f>
        <x:v>252.71999999999997</x:v>
      </x:c>
      <x:c r="R872" s="2" t="n">
        <x:v>139</x:v>
      </x:c>
      <x:c r="S872" s="2" t="n">
        <x:v>0</x:v>
      </x:c>
      <x:c r="T872" s="2" t="n">
        <x:f>R872+S872+J872-I872</x:f>
        <x:v>121</x:v>
      </x:c>
      <x:c r="U872" s="2" t="n">
        <x:v>0</x:v>
      </x:c>
      <x:c r="V872" s="2" t="n">
        <x:v>3</x:v>
      </x:c>
      <x:c r="W872" s="2" t="n">
        <x:v>19</x:v>
      </x:c>
      <x:c r="X872" s="14" t="b">
        <x:v>0</x:v>
      </x:c>
      <x:c r="Y872" s="14" t="b">
        <x:v>0</x:v>
      </x:c>
      <x:c r="Z872" s="2" t="n">
        <x:f>ABS(T872-AA872)</x:f>
        <x:v>0</x:v>
      </x:c>
      <x:c r="AA872" s="2" t="n">
        <x:v>121</x:v>
      </x:c>
      <x:c r="AB872" s="2" t="n">
        <x:f>ABS(K872-W872)</x:f>
        <x:v>1</x:v>
      </x:c>
      <x:c r="AC872" s="2" t="n">
        <x:f>COUNTIF($A$2:$A$1921,A872)-1</x:f>
        <x:v>0</x:v>
      </x:c>
      <x:c r="AD872" s="2" t="n">
        <x:f>IF(AND(D872=D871,H872=H871,C872=C871+1),ABS(R872-T871),0)</x:f>
        <x:v>0</x:v>
      </x:c>
    </x:row>
    <x:row r="873" ht="23" customHeight="1">
      <x:c r="A873" s="2" t="str">
        <x:v>DEMO-205-3-12</x:v>
      </x:c>
      <x:c r="B873" s="15" t="d">
        <x:v>2026-07-20T00:00:00.000Z</x:v>
      </x:c>
      <x:c r="C873" s="2" t="n">
        <x:v>12</x:v>
      </x:c>
      <x:c r="D873" s="2" t="str">
        <x:v>DEMO-205</x:v>
      </x:c>
      <x:c r="E873" s="2" t="str">
        <x:v>Surprise Parcel</x:v>
      </x:c>
      <x:c r="F873" s="2" t="str">
        <x:v>Gifting</x:v>
      </x:c>
      <x:c r="G873" s="2" t="str">
        <x:v>Online</x:v>
      </x:c>
      <x:c r="H873" s="2" t="str">
        <x:v>Online</x:v>
      </x:c>
      <x:c r="I873" s="2" t="n">
        <x:v>40</x:v>
      </x:c>
      <x:c r="J873" s="2" t="n">
        <x:v>0</x:v>
      </x:c>
      <x:c r="K873" s="2" t="n">
        <x:f>I873-J873</x:f>
        <x:v>40</x:v>
      </x:c>
      <x:c r="L873" s="16" t="n">
        <x:v>26</x:v>
      </x:c>
      <x:c r="M873" s="16" t="n">
        <x:v>23.4</x:v>
      </x:c>
      <x:c r="N873" s="16" t="n">
        <x:v>11.96</x:v>
      </x:c>
      <x:c r="O873" s="16" t="n">
        <x:f>K873*M873</x:f>
        <x:v>936</x:v>
      </x:c>
      <x:c r="P873" s="16" t="n">
        <x:f>K873*N873</x:f>
        <x:v>478.40000000000003</x:v>
      </x:c>
      <x:c r="Q873" s="16" t="n">
        <x:f>O873-P873</x:f>
        <x:v>457.59999999999997</x:v>
      </x:c>
      <x:c r="R873" s="2" t="n">
        <x:v>121</x:v>
      </x:c>
      <x:c r="S873" s="2" t="n">
        <x:v>0</x:v>
      </x:c>
      <x:c r="T873" s="2" t="n">
        <x:f>R873+S873+J873-I873</x:f>
        <x:v>81</x:v>
      </x:c>
      <x:c r="U873" s="2" t="n">
        <x:v>0</x:v>
      </x:c>
      <x:c r="V873" s="2" t="n">
        <x:v>3</x:v>
      </x:c>
      <x:c r="W873" s="2" t="n">
        <x:v>19</x:v>
      </x:c>
      <x:c r="X873" s="14" t="b">
        <x:v>1</x:v>
      </x:c>
      <x:c r="Y873" s="14" t="b">
        <x:v>0</x:v>
      </x:c>
      <x:c r="Z873" s="2" t="n">
        <x:f>ABS(T873-AA873)</x:f>
        <x:v>0</x:v>
      </x:c>
      <x:c r="AA873" s="2" t="n">
        <x:v>81</x:v>
      </x:c>
      <x:c r="AB873" s="2" t="n">
        <x:f>ABS(K873-W873)</x:f>
        <x:v>21</x:v>
      </x:c>
      <x:c r="AC873" s="2" t="n">
        <x:f>COUNTIF($A$2:$A$1921,A873)-1</x:f>
        <x:v>0</x:v>
      </x:c>
      <x:c r="AD873" s="2" t="n">
        <x:f>IF(AND(D873=D872,H873=H872,C873=C872+1),ABS(R873-T872),0)</x:f>
        <x:v>0</x:v>
      </x:c>
    </x:row>
    <x:row r="874" ht="23" customHeight="1">
      <x:c r="A874" s="2" t="str">
        <x:v>DEMO-205-3-13</x:v>
      </x:c>
      <x:c r="B874" s="15" t="d">
        <x:v>2026-07-27T00:00:00.000Z</x:v>
      </x:c>
      <x:c r="C874" s="2" t="n">
        <x:v>13</x:v>
      </x:c>
      <x:c r="D874" s="2" t="str">
        <x:v>DEMO-205</x:v>
      </x:c>
      <x:c r="E874" s="2" t="str">
        <x:v>Surprise Parcel</x:v>
      </x:c>
      <x:c r="F874" s="2" t="str">
        <x:v>Gifting</x:v>
      </x:c>
      <x:c r="G874" s="2" t="str">
        <x:v>Online</x:v>
      </x:c>
      <x:c r="H874" s="2" t="str">
        <x:v>Online</x:v>
      </x:c>
      <x:c r="I874" s="2" t="n">
        <x:v>39</x:v>
      </x:c>
      <x:c r="J874" s="2" t="n">
        <x:v>1</x:v>
      </x:c>
      <x:c r="K874" s="2" t="n">
        <x:f>I874-J874</x:f>
        <x:v>38</x:v>
      </x:c>
      <x:c r="L874" s="16" t="n">
        <x:v>26</x:v>
      </x:c>
      <x:c r="M874" s="16" t="n">
        <x:v>23.4</x:v>
      </x:c>
      <x:c r="N874" s="16" t="n">
        <x:v>11.96</x:v>
      </x:c>
      <x:c r="O874" s="16" t="n">
        <x:f>K874*M874</x:f>
        <x:v>889.1999999999999</x:v>
      </x:c>
      <x:c r="P874" s="16" t="n">
        <x:f>K874*N874</x:f>
        <x:v>454.48</x:v>
      </x:c>
      <x:c r="Q874" s="16" t="n">
        <x:f>O874-P874</x:f>
        <x:v>434.7199999999999</x:v>
      </x:c>
      <x:c r="R874" s="2" t="n">
        <x:v>81</x:v>
      </x:c>
      <x:c r="S874" s="2" t="n">
        <x:v>79</x:v>
      </x:c>
      <x:c r="T874" s="2" t="n">
        <x:f>R874+S874+J874-I874</x:f>
        <x:v>122</x:v>
      </x:c>
      <x:c r="U874" s="2" t="n">
        <x:v>0</x:v>
      </x:c>
      <x:c r="V874" s="2" t="n">
        <x:v>3</x:v>
      </x:c>
      <x:c r="W874" s="2" t="n">
        <x:v>25</x:v>
      </x:c>
      <x:c r="X874" s="14" t="b">
        <x:v>1</x:v>
      </x:c>
      <x:c r="Y874" s="14" t="b">
        <x:v>0</x:v>
      </x:c>
      <x:c r="Z874" s="2" t="n">
        <x:f>ABS(T874-AA874)</x:f>
        <x:v>0</x:v>
      </x:c>
      <x:c r="AA874" s="2" t="n">
        <x:v>122</x:v>
      </x:c>
      <x:c r="AB874" s="2" t="n">
        <x:f>ABS(K874-W874)</x:f>
        <x:v>13</x:v>
      </x:c>
      <x:c r="AC874" s="2" t="n">
        <x:f>COUNTIF($A$2:$A$1921,A874)-1</x:f>
        <x:v>0</x:v>
      </x:c>
      <x:c r="AD874" s="2" t="n">
        <x:f>IF(AND(D874=D873,H874=H873,C874=C873+1),ABS(R874-T873),0)</x:f>
        <x:v>0</x:v>
      </x:c>
    </x:row>
    <x:row r="875" ht="23" customHeight="1">
      <x:c r="A875" s="2" t="str">
        <x:v>DEMO-205-3-14</x:v>
      </x:c>
      <x:c r="B875" s="15" t="d">
        <x:v>2026-08-03T00:00:00.000Z</x:v>
      </x:c>
      <x:c r="C875" s="2" t="n">
        <x:v>14</x:v>
      </x:c>
      <x:c r="D875" s="2" t="str">
        <x:v>DEMO-205</x:v>
      </x:c>
      <x:c r="E875" s="2" t="str">
        <x:v>Surprise Parcel</x:v>
      </x:c>
      <x:c r="F875" s="2" t="str">
        <x:v>Gifting</x:v>
      </x:c>
      <x:c r="G875" s="2" t="str">
        <x:v>Online</x:v>
      </x:c>
      <x:c r="H875" s="2" t="str">
        <x:v>Online</x:v>
      </x:c>
      <x:c r="I875" s="2" t="n">
        <x:v>44</x:v>
      </x:c>
      <x:c r="J875" s="2" t="n">
        <x:v>0</x:v>
      </x:c>
      <x:c r="K875" s="2" t="n">
        <x:f>I875-J875</x:f>
        <x:v>44</x:v>
      </x:c>
      <x:c r="L875" s="16" t="n">
        <x:v>26</x:v>
      </x:c>
      <x:c r="M875" s="16" t="n">
        <x:v>23.4</x:v>
      </x:c>
      <x:c r="N875" s="16" t="n">
        <x:v>11.96</x:v>
      </x:c>
      <x:c r="O875" s="16" t="n">
        <x:f>K875*M875</x:f>
        <x:v>1029.6</x:v>
      </x:c>
      <x:c r="P875" s="16" t="n">
        <x:f>K875*N875</x:f>
        <x:v>526.24</x:v>
      </x:c>
      <x:c r="Q875" s="16" t="n">
        <x:f>O875-P875</x:f>
        <x:v>503.3599999999999</x:v>
      </x:c>
      <x:c r="R875" s="2" t="n">
        <x:v>122</x:v>
      </x:c>
      <x:c r="S875" s="2" t="n">
        <x:v>0</x:v>
      </x:c>
      <x:c r="T875" s="2" t="n">
        <x:f>R875+S875+J875-I875</x:f>
        <x:v>78</x:v>
      </x:c>
      <x:c r="U875" s="2" t="n">
        <x:v>0</x:v>
      </x:c>
      <x:c r="V875" s="2" t="n">
        <x:v>3</x:v>
      </x:c>
      <x:c r="W875" s="2" t="n">
        <x:v>29</x:v>
      </x:c>
      <x:c r="X875" s="14" t="b">
        <x:v>1</x:v>
      </x:c>
      <x:c r="Y875" s="14" t="b">
        <x:v>0</x:v>
      </x:c>
      <x:c r="Z875" s="2" t="n">
        <x:f>ABS(T875-AA875)</x:f>
        <x:v>0</x:v>
      </x:c>
      <x:c r="AA875" s="2" t="n">
        <x:v>78</x:v>
      </x:c>
      <x:c r="AB875" s="2" t="n">
        <x:f>ABS(K875-W875)</x:f>
        <x:v>15</x:v>
      </x:c>
      <x:c r="AC875" s="2" t="n">
        <x:f>COUNTIF($A$2:$A$1921,A875)-1</x:f>
        <x:v>0</x:v>
      </x:c>
      <x:c r="AD875" s="2" t="n">
        <x:f>IF(AND(D875=D874,H875=H874,C875=C874+1),ABS(R875-T874),0)</x:f>
        <x:v>0</x:v>
      </x:c>
    </x:row>
    <x:row r="876" ht="23" customHeight="1">
      <x:c r="A876" s="2" t="str">
        <x:v>DEMO-205-3-15</x:v>
      </x:c>
      <x:c r="B876" s="15" t="d">
        <x:v>2026-08-10T00:00:00.000Z</x:v>
      </x:c>
      <x:c r="C876" s="2" t="n">
        <x:v>15</x:v>
      </x:c>
      <x:c r="D876" s="2" t="str">
        <x:v>DEMO-205</x:v>
      </x:c>
      <x:c r="E876" s="2" t="str">
        <x:v>Surprise Parcel</x:v>
      </x:c>
      <x:c r="F876" s="2" t="str">
        <x:v>Gifting</x:v>
      </x:c>
      <x:c r="G876" s="2" t="str">
        <x:v>Online</x:v>
      </x:c>
      <x:c r="H876" s="2" t="str">
        <x:v>Online</x:v>
      </x:c>
      <x:c r="I876" s="2" t="n">
        <x:v>16</x:v>
      </x:c>
      <x:c r="J876" s="2" t="n">
        <x:v>1</x:v>
      </x:c>
      <x:c r="K876" s="2" t="n">
        <x:f>I876-J876</x:f>
        <x:v>15</x:v>
      </x:c>
      <x:c r="L876" s="16" t="n">
        <x:v>26</x:v>
      </x:c>
      <x:c r="M876" s="16" t="n">
        <x:v>26</x:v>
      </x:c>
      <x:c r="N876" s="16" t="n">
        <x:v>11.96</x:v>
      </x:c>
      <x:c r="O876" s="16" t="n">
        <x:f>K876*M876</x:f>
        <x:v>390</x:v>
      </x:c>
      <x:c r="P876" s="16" t="n">
        <x:f>K876*N876</x:f>
        <x:v>179.4</x:v>
      </x:c>
      <x:c r="Q876" s="16" t="n">
        <x:f>O876-P876</x:f>
        <x:v>210.6</x:v>
      </x:c>
      <x:c r="R876" s="2" t="n">
        <x:v>78</x:v>
      </x:c>
      <x:c r="S876" s="2" t="n">
        <x:v>0</x:v>
      </x:c>
      <x:c r="T876" s="2" t="n">
        <x:f>R876+S876+J876-I876</x:f>
        <x:v>63</x:v>
      </x:c>
      <x:c r="U876" s="2" t="n">
        <x:v>0</x:v>
      </x:c>
      <x:c r="V876" s="2" t="n">
        <x:v>3</x:v>
      </x:c>
      <x:c r="W876" s="2" t="n">
        <x:v>35</x:v>
      </x:c>
      <x:c r="X876" s="14" t="b">
        <x:v>0</x:v>
      </x:c>
      <x:c r="Y876" s="14" t="b">
        <x:v>0</x:v>
      </x:c>
      <x:c r="Z876" s="2" t="n">
        <x:f>ABS(T876-AA876)</x:f>
        <x:v>0</x:v>
      </x:c>
      <x:c r="AA876" s="2" t="n">
        <x:v>63</x:v>
      </x:c>
      <x:c r="AB876" s="2" t="n">
        <x:f>ABS(K876-W876)</x:f>
        <x:v>20</x:v>
      </x:c>
      <x:c r="AC876" s="2" t="n">
        <x:f>COUNTIF($A$2:$A$1921,A876)-1</x:f>
        <x:v>0</x:v>
      </x:c>
      <x:c r="AD876" s="2" t="n">
        <x:f>IF(AND(D876=D875,H876=H875,C876=C875+1),ABS(R876-T875),0)</x:f>
        <x:v>0</x:v>
      </x:c>
    </x:row>
    <x:row r="877" ht="23" customHeight="1">
      <x:c r="A877" s="2" t="str">
        <x:v>DEMO-205-3-16</x:v>
      </x:c>
      <x:c r="B877" s="15" t="d">
        <x:v>2026-08-17T00:00:00.000Z</x:v>
      </x:c>
      <x:c r="C877" s="2" t="n">
        <x:v>16</x:v>
      </x:c>
      <x:c r="D877" s="2" t="str">
        <x:v>DEMO-205</x:v>
      </x:c>
      <x:c r="E877" s="2" t="str">
        <x:v>Surprise Parcel</x:v>
      </x:c>
      <x:c r="F877" s="2" t="str">
        <x:v>Gifting</x:v>
      </x:c>
      <x:c r="G877" s="2" t="str">
        <x:v>Online</x:v>
      </x:c>
      <x:c r="H877" s="2" t="str">
        <x:v>Online</x:v>
      </x:c>
      <x:c r="I877" s="2" t="n">
        <x:v>15</x:v>
      </x:c>
      <x:c r="J877" s="2" t="n">
        <x:v>0</x:v>
      </x:c>
      <x:c r="K877" s="2" t="n">
        <x:f>I877-J877</x:f>
        <x:v>15</x:v>
      </x:c>
      <x:c r="L877" s="16" t="n">
        <x:v>26</x:v>
      </x:c>
      <x:c r="M877" s="16" t="n">
        <x:v>26</x:v>
      </x:c>
      <x:c r="N877" s="16" t="n">
        <x:v>11.96</x:v>
      </x:c>
      <x:c r="O877" s="16" t="n">
        <x:f>K877*M877</x:f>
        <x:v>390</x:v>
      </x:c>
      <x:c r="P877" s="16" t="n">
        <x:f>K877*N877</x:f>
        <x:v>179.4</x:v>
      </x:c>
      <x:c r="Q877" s="16" t="n">
        <x:f>O877-P877</x:f>
        <x:v>210.6</x:v>
      </x:c>
      <x:c r="R877" s="2" t="n">
        <x:v>63</x:v>
      </x:c>
      <x:c r="S877" s="2" t="n">
        <x:v>0</x:v>
      </x:c>
      <x:c r="T877" s="2" t="n">
        <x:f>R877+S877+J877-I877</x:f>
        <x:v>48</x:v>
      </x:c>
      <x:c r="U877" s="2" t="n">
        <x:v>0</x:v>
      </x:c>
      <x:c r="V877" s="2" t="n">
        <x:v>3</x:v>
      </x:c>
      <x:c r="W877" s="2" t="n">
        <x:v>34</x:v>
      </x:c>
      <x:c r="X877" s="14" t="b">
        <x:v>0</x:v>
      </x:c>
      <x:c r="Y877" s="14" t="b">
        <x:v>0</x:v>
      </x:c>
      <x:c r="Z877" s="2" t="n">
        <x:f>ABS(T877-AA877)</x:f>
        <x:v>0</x:v>
      </x:c>
      <x:c r="AA877" s="2" t="n">
        <x:v>48</x:v>
      </x:c>
      <x:c r="AB877" s="2" t="n">
        <x:f>ABS(K877-W877)</x:f>
        <x:v>19</x:v>
      </x:c>
      <x:c r="AC877" s="2" t="n">
        <x:f>COUNTIF($A$2:$A$1921,A877)-1</x:f>
        <x:v>0</x:v>
      </x:c>
      <x:c r="AD877" s="2" t="n">
        <x:f>IF(AND(D877=D876,H877=H876,C877=C876+1),ABS(R877-T876),0)</x:f>
        <x:v>0</x:v>
      </x:c>
    </x:row>
    <x:row r="878" ht="23" customHeight="1">
      <x:c r="A878" s="2" t="str">
        <x:v>DEMO-205-3-17</x:v>
      </x:c>
      <x:c r="B878" s="15" t="d">
        <x:v>2026-08-24T00:00:00.000Z</x:v>
      </x:c>
      <x:c r="C878" s="2" t="n">
        <x:v>17</x:v>
      </x:c>
      <x:c r="D878" s="2" t="str">
        <x:v>DEMO-205</x:v>
      </x:c>
      <x:c r="E878" s="2" t="str">
        <x:v>Surprise Parcel</x:v>
      </x:c>
      <x:c r="F878" s="2" t="str">
        <x:v>Gifting</x:v>
      </x:c>
      <x:c r="G878" s="2" t="str">
        <x:v>Online</x:v>
      </x:c>
      <x:c r="H878" s="2" t="str">
        <x:v>Online</x:v>
      </x:c>
      <x:c r="I878" s="2" t="n">
        <x:v>20</x:v>
      </x:c>
      <x:c r="J878" s="2" t="n">
        <x:v>0</x:v>
      </x:c>
      <x:c r="K878" s="2" t="n">
        <x:f>I878-J878</x:f>
        <x:v>20</x:v>
      </x:c>
      <x:c r="L878" s="16" t="n">
        <x:v>26</x:v>
      </x:c>
      <x:c r="M878" s="16" t="n">
        <x:v>26</x:v>
      </x:c>
      <x:c r="N878" s="16" t="n">
        <x:v>11.96</x:v>
      </x:c>
      <x:c r="O878" s="16" t="n">
        <x:f>K878*M878</x:f>
        <x:v>520</x:v>
      </x:c>
      <x:c r="P878" s="16" t="n">
        <x:f>K878*N878</x:f>
        <x:v>239.20000000000002</x:v>
      </x:c>
      <x:c r="Q878" s="16" t="n">
        <x:f>O878-P878</x:f>
        <x:v>280.79999999999995</x:v>
      </x:c>
      <x:c r="R878" s="2" t="n">
        <x:v>48</x:v>
      </x:c>
      <x:c r="S878" s="2" t="n">
        <x:v>79</x:v>
      </x:c>
      <x:c r="T878" s="2" t="n">
        <x:f>R878+S878+J878-I878</x:f>
        <x:v>107</x:v>
      </x:c>
      <x:c r="U878" s="2" t="n">
        <x:v>0</x:v>
      </x:c>
      <x:c r="V878" s="2" t="n">
        <x:v>3</x:v>
      </x:c>
      <x:c r="W878" s="2" t="n">
        <x:v>28</x:v>
      </x:c>
      <x:c r="X878" s="14" t="b">
        <x:v>0</x:v>
      </x:c>
      <x:c r="Y878" s="14" t="b">
        <x:v>0</x:v>
      </x:c>
      <x:c r="Z878" s="2" t="n">
        <x:f>ABS(T878-AA878)</x:f>
        <x:v>0</x:v>
      </x:c>
      <x:c r="AA878" s="2" t="n">
        <x:v>107</x:v>
      </x:c>
      <x:c r="AB878" s="2" t="n">
        <x:f>ABS(K878-W878)</x:f>
        <x:v>8</x:v>
      </x:c>
      <x:c r="AC878" s="2" t="n">
        <x:f>COUNTIF($A$2:$A$1921,A878)-1</x:f>
        <x:v>0</x:v>
      </x:c>
      <x:c r="AD878" s="2" t="n">
        <x:f>IF(AND(D878=D877,H878=H877,C878=C877+1),ABS(R878-T877),0)</x:f>
        <x:v>0</x:v>
      </x:c>
    </x:row>
    <x:row r="879" ht="23" customHeight="1">
      <x:c r="A879" s="2" t="str">
        <x:v>DEMO-205-3-18</x:v>
      </x:c>
      <x:c r="B879" s="15" t="d">
        <x:v>2026-08-31T00:00:00.000Z</x:v>
      </x:c>
      <x:c r="C879" s="2" t="n">
        <x:v>18</x:v>
      </x:c>
      <x:c r="D879" s="2" t="str">
        <x:v>DEMO-205</x:v>
      </x:c>
      <x:c r="E879" s="2" t="str">
        <x:v>Surprise Parcel</x:v>
      </x:c>
      <x:c r="F879" s="2" t="str">
        <x:v>Gifting</x:v>
      </x:c>
      <x:c r="G879" s="2" t="str">
        <x:v>Online</x:v>
      </x:c>
      <x:c r="H879" s="2" t="str">
        <x:v>Online</x:v>
      </x:c>
      <x:c r="I879" s="2" t="n">
        <x:v>21</x:v>
      </x:c>
      <x:c r="J879" s="2" t="n">
        <x:v>0</x:v>
      </x:c>
      <x:c r="K879" s="2" t="n">
        <x:f>I879-J879</x:f>
        <x:v>21</x:v>
      </x:c>
      <x:c r="L879" s="16" t="n">
        <x:v>26</x:v>
      </x:c>
      <x:c r="M879" s="16" t="n">
        <x:v>26</x:v>
      </x:c>
      <x:c r="N879" s="16" t="n">
        <x:v>11.96</x:v>
      </x:c>
      <x:c r="O879" s="16" t="n">
        <x:f>K879*M879</x:f>
        <x:v>546</x:v>
      </x:c>
      <x:c r="P879" s="16" t="n">
        <x:f>K879*N879</x:f>
        <x:v>251.16000000000003</x:v>
      </x:c>
      <x:c r="Q879" s="16" t="n">
        <x:f>O879-P879</x:f>
        <x:v>294.84</x:v>
      </x:c>
      <x:c r="R879" s="2" t="n">
        <x:v>107</x:v>
      </x:c>
      <x:c r="S879" s="2" t="n">
        <x:v>0</x:v>
      </x:c>
      <x:c r="T879" s="2" t="n">
        <x:f>R879+S879+J879-I879</x:f>
        <x:v>86</x:v>
      </x:c>
      <x:c r="U879" s="2" t="n">
        <x:v>0</x:v>
      </x:c>
      <x:c r="V879" s="2" t="n">
        <x:v>3</x:v>
      </x:c>
      <x:c r="W879" s="2" t="n">
        <x:v>24</x:v>
      </x:c>
      <x:c r="X879" s="14" t="b">
        <x:v>0</x:v>
      </x:c>
      <x:c r="Y879" s="14" t="b">
        <x:v>0</x:v>
      </x:c>
      <x:c r="Z879" s="2" t="n">
        <x:f>ABS(T879-AA879)</x:f>
        <x:v>0</x:v>
      </x:c>
      <x:c r="AA879" s="2" t="n">
        <x:v>86</x:v>
      </x:c>
      <x:c r="AB879" s="2" t="n">
        <x:f>ABS(K879-W879)</x:f>
        <x:v>3</x:v>
      </x:c>
      <x:c r="AC879" s="2" t="n">
        <x:f>COUNTIF($A$2:$A$1921,A879)-1</x:f>
        <x:v>0</x:v>
      </x:c>
      <x:c r="AD879" s="2" t="n">
        <x:f>IF(AND(D879=D878,H879=H878,C879=C878+1),ABS(R879-T878),0)</x:f>
        <x:v>0</x:v>
      </x:c>
    </x:row>
    <x:row r="880" ht="23" customHeight="1">
      <x:c r="A880" s="2" t="str">
        <x:v>DEMO-205-3-19</x:v>
      </x:c>
      <x:c r="B880" s="15" t="d">
        <x:v>2026-09-07T00:00:00.000Z</x:v>
      </x:c>
      <x:c r="C880" s="2" t="n">
        <x:v>19</x:v>
      </x:c>
      <x:c r="D880" s="2" t="str">
        <x:v>DEMO-205</x:v>
      </x:c>
      <x:c r="E880" s="2" t="str">
        <x:v>Surprise Parcel</x:v>
      </x:c>
      <x:c r="F880" s="2" t="str">
        <x:v>Gifting</x:v>
      </x:c>
      <x:c r="G880" s="2" t="str">
        <x:v>Online</x:v>
      </x:c>
      <x:c r="H880" s="2" t="str">
        <x:v>Online</x:v>
      </x:c>
      <x:c r="I880" s="2" t="n">
        <x:v>22</x:v>
      </x:c>
      <x:c r="J880" s="2" t="n">
        <x:v>1</x:v>
      </x:c>
      <x:c r="K880" s="2" t="n">
        <x:f>I880-J880</x:f>
        <x:v>21</x:v>
      </x:c>
      <x:c r="L880" s="16" t="n">
        <x:v>26</x:v>
      </x:c>
      <x:c r="M880" s="16" t="n">
        <x:v>26</x:v>
      </x:c>
      <x:c r="N880" s="16" t="n">
        <x:v>11.96</x:v>
      </x:c>
      <x:c r="O880" s="16" t="n">
        <x:f>K880*M880</x:f>
        <x:v>546</x:v>
      </x:c>
      <x:c r="P880" s="16" t="n">
        <x:f>K880*N880</x:f>
        <x:v>251.16000000000003</x:v>
      </x:c>
      <x:c r="Q880" s="16" t="n">
        <x:f>O880-P880</x:f>
        <x:v>294.84</x:v>
      </x:c>
      <x:c r="R880" s="2" t="n">
        <x:v>86</x:v>
      </x:c>
      <x:c r="S880" s="2" t="n">
        <x:v>0</x:v>
      </x:c>
      <x:c r="T880" s="2" t="n">
        <x:f>R880+S880+J880-I880</x:f>
        <x:v>65</x:v>
      </x:c>
      <x:c r="U880" s="2" t="n">
        <x:v>0</x:v>
      </x:c>
      <x:c r="V880" s="2" t="n">
        <x:v>3</x:v>
      </x:c>
      <x:c r="W880" s="2" t="n">
        <x:v>18</x:v>
      </x:c>
      <x:c r="X880" s="14" t="b">
        <x:v>0</x:v>
      </x:c>
      <x:c r="Y880" s="14" t="b">
        <x:v>0</x:v>
      </x:c>
      <x:c r="Z880" s="2" t="n">
        <x:f>ABS(T880-AA880)</x:f>
        <x:v>0</x:v>
      </x:c>
      <x:c r="AA880" s="2" t="n">
        <x:v>65</x:v>
      </x:c>
      <x:c r="AB880" s="2" t="n">
        <x:f>ABS(K880-W880)</x:f>
        <x:v>3</x:v>
      </x:c>
      <x:c r="AC880" s="2" t="n">
        <x:f>COUNTIF($A$2:$A$1921,A880)-1</x:f>
        <x:v>0</x:v>
      </x:c>
      <x:c r="AD880" s="2" t="n">
        <x:f>IF(AND(D880=D879,H880=H879,C880=C879+1),ABS(R880-T879),0)</x:f>
        <x:v>0</x:v>
      </x:c>
    </x:row>
    <x:row r="881" ht="23" customHeight="1">
      <x:c r="A881" s="2" t="str">
        <x:v>DEMO-205-3-20</x:v>
      </x:c>
      <x:c r="B881" s="15" t="d">
        <x:v>2026-09-14T00:00:00.000Z</x:v>
      </x:c>
      <x:c r="C881" s="2" t="n">
        <x:v>20</x:v>
      </x:c>
      <x:c r="D881" s="2" t="str">
        <x:v>DEMO-205</x:v>
      </x:c>
      <x:c r="E881" s="2" t="str">
        <x:v>Surprise Parcel</x:v>
      </x:c>
      <x:c r="F881" s="2" t="str">
        <x:v>Gifting</x:v>
      </x:c>
      <x:c r="G881" s="2" t="str">
        <x:v>Online</x:v>
      </x:c>
      <x:c r="H881" s="2" t="str">
        <x:v>Online</x:v>
      </x:c>
      <x:c r="I881" s="2" t="n">
        <x:v>19</x:v>
      </x:c>
      <x:c r="J881" s="2" t="n">
        <x:v>0</x:v>
      </x:c>
      <x:c r="K881" s="2" t="n">
        <x:f>I881-J881</x:f>
        <x:v>19</x:v>
      </x:c>
      <x:c r="L881" s="16" t="n">
        <x:v>26</x:v>
      </x:c>
      <x:c r="M881" s="16" t="n">
        <x:v>26</x:v>
      </x:c>
      <x:c r="N881" s="16" t="n">
        <x:v>11.96</x:v>
      </x:c>
      <x:c r="O881" s="16" t="n">
        <x:f>K881*M881</x:f>
        <x:v>494</x:v>
      </x:c>
      <x:c r="P881" s="16" t="n">
        <x:f>K881*N881</x:f>
        <x:v>227.24</x:v>
      </x:c>
      <x:c r="Q881" s="16" t="n">
        <x:f>O881-P881</x:f>
        <x:v>266.76</x:v>
      </x:c>
      <x:c r="R881" s="2" t="n">
        <x:v>65</x:v>
      </x:c>
      <x:c r="S881" s="2" t="n">
        <x:v>0</x:v>
      </x:c>
      <x:c r="T881" s="2" t="n">
        <x:f>R881+S881+J881-I881</x:f>
        <x:v>46</x:v>
      </x:c>
      <x:c r="U881" s="2" t="n">
        <x:v>18</x:v>
      </x:c>
      <x:c r="V881" s="2" t="n">
        <x:v>3</x:v>
      </x:c>
      <x:c r="W881" s="2" t="n">
        <x:v>19</x:v>
      </x:c>
      <x:c r="X881" s="14" t="b">
        <x:v>0</x:v>
      </x:c>
      <x:c r="Y881" s="14" t="b">
        <x:v>0</x:v>
      </x:c>
      <x:c r="Z881" s="2" t="n">
        <x:f>ABS(T881-AA881)</x:f>
        <x:v>0</x:v>
      </x:c>
      <x:c r="AA881" s="2" t="n">
        <x:v>46</x:v>
      </x:c>
      <x:c r="AB881" s="2" t="n">
        <x:f>ABS(K881-W881)</x:f>
        <x:v>0</x:v>
      </x:c>
      <x:c r="AC881" s="2" t="n">
        <x:f>COUNTIF($A$2:$A$1921,A881)-1</x:f>
        <x:v>0</x:v>
      </x:c>
      <x:c r="AD881" s="2" t="n">
        <x:f>IF(AND(D881=D880,H881=H880,C881=C880+1),ABS(R881-T880),0)</x:f>
        <x:v>0</x:v>
      </x:c>
    </x:row>
    <x:row r="882" ht="23" customHeight="1">
      <x:c r="A882" s="2" t="str">
        <x:v>DEMO-206-0-1</x:v>
      </x:c>
      <x:c r="B882" s="15" t="d">
        <x:v>2026-05-04T00:00:00.000Z</x:v>
      </x:c>
      <x:c r="C882" s="2" t="n">
        <x:v>1</x:v>
      </x:c>
      <x:c r="D882" s="2" t="str">
        <x:v>DEMO-206</x:v>
      </x:c>
      <x:c r="E882" s="2" t="str">
        <x:v>Memory Capsule</x:v>
      </x:c>
      <x:c r="F882" s="2" t="str">
        <x:v>Gifting</x:v>
      </x:c>
      <x:c r="G882" s="2" t="str">
        <x:v>Stores</x:v>
      </x:c>
      <x:c r="H882" s="2" t="str">
        <x:v>North Arcade</x:v>
      </x:c>
      <x:c r="I882" s="2" t="n">
        <x:v>14</x:v>
      </x:c>
      <x:c r="J882" s="2" t="n">
        <x:v>0</x:v>
      </x:c>
      <x:c r="K882" s="2" t="n">
        <x:f>I882-J882</x:f>
        <x:v>14</x:v>
      </x:c>
      <x:c r="L882" s="16" t="n">
        <x:v>28</x:v>
      </x:c>
      <x:c r="M882" s="16" t="n">
        <x:v>28</x:v>
      </x:c>
      <x:c r="N882" s="16" t="n">
        <x:v>13.58</x:v>
      </x:c>
      <x:c r="O882" s="16" t="n">
        <x:f>K882*M882</x:f>
        <x:v>392</x:v>
      </x:c>
      <x:c r="P882" s="16" t="n">
        <x:f>K882*N882</x:f>
        <x:v>190.12</x:v>
      </x:c>
      <x:c r="Q882" s="16" t="n">
        <x:f>O882-P882</x:f>
        <x:v>201.88</x:v>
      </x:c>
      <x:c r="R882" s="2" t="n">
        <x:v>90</x:v>
      </x:c>
      <x:c r="S882" s="2" t="n">
        <x:v>59</x:v>
      </x:c>
      <x:c r="T882" s="2" t="n">
        <x:f>R882+S882+J882-I882</x:f>
        <x:v>135</x:v>
      </x:c>
      <x:c r="U882" s="2" t="n">
        <x:v>0</x:v>
      </x:c>
      <x:c r="V882" s="2" t="n">
        <x:v>4</x:v>
      </x:c>
      <x:c r="W882" s="2" t="n">
        <x:v>14</x:v>
      </x:c>
      <x:c r="X882" s="14" t="b">
        <x:v>0</x:v>
      </x:c>
      <x:c r="Y882" s="14" t="b">
        <x:v>0</x:v>
      </x:c>
      <x:c r="Z882" s="2" t="n">
        <x:f>ABS(T882-AA882)</x:f>
        <x:v>0</x:v>
      </x:c>
      <x:c r="AA882" s="2" t="n">
        <x:v>135</x:v>
      </x:c>
      <x:c r="AB882" s="2" t="n">
        <x:f>ABS(K882-W882)</x:f>
        <x:v>0</x:v>
      </x:c>
      <x:c r="AC882" s="2" t="n">
        <x:f>COUNTIF($A$2:$A$1921,A882)-1</x:f>
        <x:v>0</x:v>
      </x:c>
      <x:c r="AD882" s="2" t="n">
        <x:f>IF(AND(D882=D881,H882=H881,C882=C881+1),ABS(R882-T881),0)</x:f>
        <x:v>0</x:v>
      </x:c>
    </x:row>
    <x:row r="883" ht="23" customHeight="1">
      <x:c r="A883" s="2" t="str">
        <x:v>DEMO-206-0-2</x:v>
      </x:c>
      <x:c r="B883" s="15" t="d">
        <x:v>2026-05-11T00:00:00.000Z</x:v>
      </x:c>
      <x:c r="C883" s="2" t="n">
        <x:v>2</x:v>
      </x:c>
      <x:c r="D883" s="2" t="str">
        <x:v>DEMO-206</x:v>
      </x:c>
      <x:c r="E883" s="2" t="str">
        <x:v>Memory Capsule</x:v>
      </x:c>
      <x:c r="F883" s="2" t="str">
        <x:v>Gifting</x:v>
      </x:c>
      <x:c r="G883" s="2" t="str">
        <x:v>Stores</x:v>
      </x:c>
      <x:c r="H883" s="2" t="str">
        <x:v>North Arcade</x:v>
      </x:c>
      <x:c r="I883" s="2" t="n">
        <x:v>14</x:v>
      </x:c>
      <x:c r="J883" s="2" t="n">
        <x:v>0</x:v>
      </x:c>
      <x:c r="K883" s="2" t="n">
        <x:f>I883-J883</x:f>
        <x:v>14</x:v>
      </x:c>
      <x:c r="L883" s="16" t="n">
        <x:v>28</x:v>
      </x:c>
      <x:c r="M883" s="16" t="n">
        <x:v>28</x:v>
      </x:c>
      <x:c r="N883" s="16" t="n">
        <x:v>13.58</x:v>
      </x:c>
      <x:c r="O883" s="16" t="n">
        <x:f>K883*M883</x:f>
        <x:v>392</x:v>
      </x:c>
      <x:c r="P883" s="16" t="n">
        <x:f>K883*N883</x:f>
        <x:v>190.12</x:v>
      </x:c>
      <x:c r="Q883" s="16" t="n">
        <x:f>O883-P883</x:f>
        <x:v>201.88</x:v>
      </x:c>
      <x:c r="R883" s="2" t="n">
        <x:v>135</x:v>
      </x:c>
      <x:c r="S883" s="2" t="n">
        <x:v>0</x:v>
      </x:c>
      <x:c r="T883" s="2" t="n">
        <x:f>R883+S883+J883-I883</x:f>
        <x:v>121</x:v>
      </x:c>
      <x:c r="U883" s="2" t="n">
        <x:v>0</x:v>
      </x:c>
      <x:c r="V883" s="2" t="n">
        <x:v>4</x:v>
      </x:c>
      <x:c r="W883" s="2" t="n">
        <x:v>14</x:v>
      </x:c>
      <x:c r="X883" s="14" t="b">
        <x:v>0</x:v>
      </x:c>
      <x:c r="Y883" s="14" t="b">
        <x:v>0</x:v>
      </x:c>
      <x:c r="Z883" s="2" t="n">
        <x:f>ABS(T883-AA883)</x:f>
        <x:v>0</x:v>
      </x:c>
      <x:c r="AA883" s="2" t="n">
        <x:v>121</x:v>
      </x:c>
      <x:c r="AB883" s="2" t="n">
        <x:f>ABS(K883-W883)</x:f>
        <x:v>0</x:v>
      </x:c>
      <x:c r="AC883" s="2" t="n">
        <x:f>COUNTIF($A$2:$A$1921,A883)-1</x:f>
        <x:v>0</x:v>
      </x:c>
      <x:c r="AD883" s="2" t="n">
        <x:f>IF(AND(D883=D882,H883=H882,C883=C882+1),ABS(R883-T882),0)</x:f>
        <x:v>0</x:v>
      </x:c>
    </x:row>
    <x:row r="884" ht="23" customHeight="1">
      <x:c r="A884" s="2" t="str">
        <x:v>DEMO-206-0-3</x:v>
      </x:c>
      <x:c r="B884" s="15" t="d">
        <x:v>2026-05-18T00:00:00.000Z</x:v>
      </x:c>
      <x:c r="C884" s="2" t="n">
        <x:v>3</x:v>
      </x:c>
      <x:c r="D884" s="2" t="str">
        <x:v>DEMO-206</x:v>
      </x:c>
      <x:c r="E884" s="2" t="str">
        <x:v>Memory Capsule</x:v>
      </x:c>
      <x:c r="F884" s="2" t="str">
        <x:v>Gifting</x:v>
      </x:c>
      <x:c r="G884" s="2" t="str">
        <x:v>Stores</x:v>
      </x:c>
      <x:c r="H884" s="2" t="str">
        <x:v>North Arcade</x:v>
      </x:c>
      <x:c r="I884" s="2" t="n">
        <x:v>17</x:v>
      </x:c>
      <x:c r="J884" s="2" t="n">
        <x:v>1</x:v>
      </x:c>
      <x:c r="K884" s="2" t="n">
        <x:f>I884-J884</x:f>
        <x:v>16</x:v>
      </x:c>
      <x:c r="L884" s="16" t="n">
        <x:v>28</x:v>
      </x:c>
      <x:c r="M884" s="16" t="n">
        <x:v>28</x:v>
      </x:c>
      <x:c r="N884" s="16" t="n">
        <x:v>13.58</x:v>
      </x:c>
      <x:c r="O884" s="16" t="n">
        <x:f>K884*M884</x:f>
        <x:v>448</x:v>
      </x:c>
      <x:c r="P884" s="16" t="n">
        <x:f>K884*N884</x:f>
        <x:v>217.28</x:v>
      </x:c>
      <x:c r="Q884" s="16" t="n">
        <x:f>O884-P884</x:f>
        <x:v>230.72</x:v>
      </x:c>
      <x:c r="R884" s="2" t="n">
        <x:v>121</x:v>
      </x:c>
      <x:c r="S884" s="2" t="n">
        <x:v>0</x:v>
      </x:c>
      <x:c r="T884" s="2" t="n">
        <x:f>R884+S884+J884-I884</x:f>
        <x:v>105</x:v>
      </x:c>
      <x:c r="U884" s="2" t="n">
        <x:v>0</x:v>
      </x:c>
      <x:c r="V884" s="2" t="n">
        <x:v>4</x:v>
      </x:c>
      <x:c r="W884" s="2" t="n">
        <x:v>14</x:v>
      </x:c>
      <x:c r="X884" s="14" t="b">
        <x:v>0</x:v>
      </x:c>
      <x:c r="Y884" s="14" t="b">
        <x:v>0</x:v>
      </x:c>
      <x:c r="Z884" s="2" t="n">
        <x:f>ABS(T884-AA884)</x:f>
        <x:v>0</x:v>
      </x:c>
      <x:c r="AA884" s="2" t="n">
        <x:v>105</x:v>
      </x:c>
      <x:c r="AB884" s="2" t="n">
        <x:f>ABS(K884-W884)</x:f>
        <x:v>2</x:v>
      </x:c>
      <x:c r="AC884" s="2" t="n">
        <x:f>COUNTIF($A$2:$A$1921,A884)-1</x:f>
        <x:v>0</x:v>
      </x:c>
      <x:c r="AD884" s="2" t="n">
        <x:f>IF(AND(D884=D883,H884=H883,C884=C883+1),ABS(R884-T883),0)</x:f>
        <x:v>0</x:v>
      </x:c>
    </x:row>
    <x:row r="885" ht="23" customHeight="1">
      <x:c r="A885" s="2" t="str">
        <x:v>DEMO-206-0-4</x:v>
      </x:c>
      <x:c r="B885" s="15" t="d">
        <x:v>2026-05-25T00:00:00.000Z</x:v>
      </x:c>
      <x:c r="C885" s="2" t="n">
        <x:v>4</x:v>
      </x:c>
      <x:c r="D885" s="2" t="str">
        <x:v>DEMO-206</x:v>
      </x:c>
      <x:c r="E885" s="2" t="str">
        <x:v>Memory Capsule</x:v>
      </x:c>
      <x:c r="F885" s="2" t="str">
        <x:v>Gifting</x:v>
      </x:c>
      <x:c r="G885" s="2" t="str">
        <x:v>Stores</x:v>
      </x:c>
      <x:c r="H885" s="2" t="str">
        <x:v>North Arcade</x:v>
      </x:c>
      <x:c r="I885" s="2" t="n">
        <x:v>11</x:v>
      </x:c>
      <x:c r="J885" s="2" t="n">
        <x:v>0</x:v>
      </x:c>
      <x:c r="K885" s="2" t="n">
        <x:f>I885-J885</x:f>
        <x:v>11</x:v>
      </x:c>
      <x:c r="L885" s="16" t="n">
        <x:v>28</x:v>
      </x:c>
      <x:c r="M885" s="16" t="n">
        <x:v>28</x:v>
      </x:c>
      <x:c r="N885" s="16" t="n">
        <x:v>13.58</x:v>
      </x:c>
      <x:c r="O885" s="16" t="n">
        <x:f>K885*M885</x:f>
        <x:v>308</x:v>
      </x:c>
      <x:c r="P885" s="16" t="n">
        <x:f>K885*N885</x:f>
        <x:v>149.38</x:v>
      </x:c>
      <x:c r="Q885" s="16" t="n">
        <x:f>O885-P885</x:f>
        <x:v>158.62</x:v>
      </x:c>
      <x:c r="R885" s="2" t="n">
        <x:v>105</x:v>
      </x:c>
      <x:c r="S885" s="2" t="n">
        <x:v>0</x:v>
      </x:c>
      <x:c r="T885" s="2" t="n">
        <x:f>R885+S885+J885-I885</x:f>
        <x:v>94</x:v>
      </x:c>
      <x:c r="U885" s="2" t="n">
        <x:v>0</x:v>
      </x:c>
      <x:c r="V885" s="2" t="n">
        <x:v>4</x:v>
      </x:c>
      <x:c r="W885" s="2" t="n">
        <x:v>15</x:v>
      </x:c>
      <x:c r="X885" s="14" t="b">
        <x:v>0</x:v>
      </x:c>
      <x:c r="Y885" s="14" t="b">
        <x:v>0</x:v>
      </x:c>
      <x:c r="Z885" s="2" t="n">
        <x:f>ABS(T885-AA885)</x:f>
        <x:v>0</x:v>
      </x:c>
      <x:c r="AA885" s="2" t="n">
        <x:v>94</x:v>
      </x:c>
      <x:c r="AB885" s="2" t="n">
        <x:f>ABS(K885-W885)</x:f>
        <x:v>4</x:v>
      </x:c>
      <x:c r="AC885" s="2" t="n">
        <x:f>COUNTIF($A$2:$A$1921,A885)-1</x:f>
        <x:v>0</x:v>
      </x:c>
      <x:c r="AD885" s="2" t="n">
        <x:f>IF(AND(D885=D884,H885=H884,C885=C884+1),ABS(R885-T884),0)</x:f>
        <x:v>0</x:v>
      </x:c>
    </x:row>
    <x:row r="886" ht="23" customHeight="1">
      <x:c r="A886" s="2" t="str">
        <x:v>DEMO-206-0-5</x:v>
      </x:c>
      <x:c r="B886" s="15" t="d">
        <x:v>2026-06-01T00:00:00.000Z</x:v>
      </x:c>
      <x:c r="C886" s="2" t="n">
        <x:v>5</x:v>
      </x:c>
      <x:c r="D886" s="2" t="str">
        <x:v>DEMO-206</x:v>
      </x:c>
      <x:c r="E886" s="2" t="str">
        <x:v>Memory Capsule</x:v>
      </x:c>
      <x:c r="F886" s="2" t="str">
        <x:v>Gifting</x:v>
      </x:c>
      <x:c r="G886" s="2" t="str">
        <x:v>Stores</x:v>
      </x:c>
      <x:c r="H886" s="2" t="str">
        <x:v>North Arcade</x:v>
      </x:c>
      <x:c r="I886" s="2" t="n">
        <x:v>14</x:v>
      </x:c>
      <x:c r="J886" s="2" t="n">
        <x:v>0</x:v>
      </x:c>
      <x:c r="K886" s="2" t="n">
        <x:f>I886-J886</x:f>
        <x:v>14</x:v>
      </x:c>
      <x:c r="L886" s="16" t="n">
        <x:v>28</x:v>
      </x:c>
      <x:c r="M886" s="16" t="n">
        <x:v>28</x:v>
      </x:c>
      <x:c r="N886" s="16" t="n">
        <x:v>13.58</x:v>
      </x:c>
      <x:c r="O886" s="16" t="n">
        <x:f>K886*M886</x:f>
        <x:v>392</x:v>
      </x:c>
      <x:c r="P886" s="16" t="n">
        <x:f>K886*N886</x:f>
        <x:v>190.12</x:v>
      </x:c>
      <x:c r="Q886" s="16" t="n">
        <x:f>O886-P886</x:f>
        <x:v>201.88</x:v>
      </x:c>
      <x:c r="R886" s="2" t="n">
        <x:v>94</x:v>
      </x:c>
      <x:c r="S886" s="2" t="n">
        <x:v>59</x:v>
      </x:c>
      <x:c r="T886" s="2" t="n">
        <x:f>R886+S886+J886-I886</x:f>
        <x:v>139</x:v>
      </x:c>
      <x:c r="U886" s="2" t="n">
        <x:v>0</x:v>
      </x:c>
      <x:c r="V886" s="2" t="n">
        <x:v>4</x:v>
      </x:c>
      <x:c r="W886" s="2" t="n">
        <x:v>14</x:v>
      </x:c>
      <x:c r="X886" s="14" t="b">
        <x:v>0</x:v>
      </x:c>
      <x:c r="Y886" s="14" t="b">
        <x:v>0</x:v>
      </x:c>
      <x:c r="Z886" s="2" t="n">
        <x:f>ABS(T886-AA886)</x:f>
        <x:v>0</x:v>
      </x:c>
      <x:c r="AA886" s="2" t="n">
        <x:v>139</x:v>
      </x:c>
      <x:c r="AB886" s="2" t="n">
        <x:f>ABS(K886-W886)</x:f>
        <x:v>0</x:v>
      </x:c>
      <x:c r="AC886" s="2" t="n">
        <x:f>COUNTIF($A$2:$A$1921,A886)-1</x:f>
        <x:v>0</x:v>
      </x:c>
      <x:c r="AD886" s="2" t="n">
        <x:f>IF(AND(D886=D885,H886=H885,C886=C885+1),ABS(R886-T885),0)</x:f>
        <x:v>0</x:v>
      </x:c>
    </x:row>
    <x:row r="887" ht="23" customHeight="1">
      <x:c r="A887" s="2" t="str">
        <x:v>DEMO-206-0-6</x:v>
      </x:c>
      <x:c r="B887" s="15" t="d">
        <x:v>2026-06-08T00:00:00.000Z</x:v>
      </x:c>
      <x:c r="C887" s="2" t="n">
        <x:v>6</x:v>
      </x:c>
      <x:c r="D887" s="2" t="str">
        <x:v>DEMO-206</x:v>
      </x:c>
      <x:c r="E887" s="2" t="str">
        <x:v>Memory Capsule</x:v>
      </x:c>
      <x:c r="F887" s="2" t="str">
        <x:v>Gifting</x:v>
      </x:c>
      <x:c r="G887" s="2" t="str">
        <x:v>Stores</x:v>
      </x:c>
      <x:c r="H887" s="2" t="str">
        <x:v>North Arcade</x:v>
      </x:c>
      <x:c r="I887" s="2" t="n">
        <x:v>13</x:v>
      </x:c>
      <x:c r="J887" s="2" t="n">
        <x:v>0</x:v>
      </x:c>
      <x:c r="K887" s="2" t="n">
        <x:f>I887-J887</x:f>
        <x:v>13</x:v>
      </x:c>
      <x:c r="L887" s="16" t="n">
        <x:v>28</x:v>
      </x:c>
      <x:c r="M887" s="16" t="n">
        <x:v>28</x:v>
      </x:c>
      <x:c r="N887" s="16" t="n">
        <x:v>13.58</x:v>
      </x:c>
      <x:c r="O887" s="16" t="n">
        <x:f>K887*M887</x:f>
        <x:v>364</x:v>
      </x:c>
      <x:c r="P887" s="16" t="n">
        <x:f>K887*N887</x:f>
        <x:v>176.54</x:v>
      </x:c>
      <x:c r="Q887" s="16" t="n">
        <x:f>O887-P887</x:f>
        <x:v>187.46</x:v>
      </x:c>
      <x:c r="R887" s="2" t="n">
        <x:v>139</x:v>
      </x:c>
      <x:c r="S887" s="2" t="n">
        <x:v>0</x:v>
      </x:c>
      <x:c r="T887" s="2" t="n">
        <x:f>R887+S887+J887-I887</x:f>
        <x:v>126</x:v>
      </x:c>
      <x:c r="U887" s="2" t="n">
        <x:v>0</x:v>
      </x:c>
      <x:c r="V887" s="2" t="n">
        <x:v>4</x:v>
      </x:c>
      <x:c r="W887" s="2" t="n">
        <x:v>14</x:v>
      </x:c>
      <x:c r="X887" s="14" t="b">
        <x:v>0</x:v>
      </x:c>
      <x:c r="Y887" s="14" t="b">
        <x:v>0</x:v>
      </x:c>
      <x:c r="Z887" s="2" t="n">
        <x:f>ABS(T887-AA887)</x:f>
        <x:v>0</x:v>
      </x:c>
      <x:c r="AA887" s="2" t="n">
        <x:v>126</x:v>
      </x:c>
      <x:c r="AB887" s="2" t="n">
        <x:f>ABS(K887-W887)</x:f>
        <x:v>1</x:v>
      </x:c>
      <x:c r="AC887" s="2" t="n">
        <x:f>COUNTIF($A$2:$A$1921,A887)-1</x:f>
        <x:v>0</x:v>
      </x:c>
      <x:c r="AD887" s="2" t="n">
        <x:f>IF(AND(D887=D886,H887=H886,C887=C886+1),ABS(R887-T886),0)</x:f>
        <x:v>0</x:v>
      </x:c>
    </x:row>
    <x:row r="888" ht="23" customHeight="1">
      <x:c r="A888" s="2" t="str">
        <x:v>DEMO-206-0-7</x:v>
      </x:c>
      <x:c r="B888" s="15" t="d">
        <x:v>2026-06-15T00:00:00.000Z</x:v>
      </x:c>
      <x:c r="C888" s="2" t="n">
        <x:v>7</x:v>
      </x:c>
      <x:c r="D888" s="2" t="str">
        <x:v>DEMO-206</x:v>
      </x:c>
      <x:c r="E888" s="2" t="str">
        <x:v>Memory Capsule</x:v>
      </x:c>
      <x:c r="F888" s="2" t="str">
        <x:v>Gifting</x:v>
      </x:c>
      <x:c r="G888" s="2" t="str">
        <x:v>Stores</x:v>
      </x:c>
      <x:c r="H888" s="2" t="str">
        <x:v>North Arcade</x:v>
      </x:c>
      <x:c r="I888" s="2" t="n">
        <x:v>15</x:v>
      </x:c>
      <x:c r="J888" s="2" t="n">
        <x:v>1</x:v>
      </x:c>
      <x:c r="K888" s="2" t="n">
        <x:f>I888-J888</x:f>
        <x:v>14</x:v>
      </x:c>
      <x:c r="L888" s="16" t="n">
        <x:v>28</x:v>
      </x:c>
      <x:c r="M888" s="16" t="n">
        <x:v>28</x:v>
      </x:c>
      <x:c r="N888" s="16" t="n">
        <x:v>13.58</x:v>
      </x:c>
      <x:c r="O888" s="16" t="n">
        <x:f>K888*M888</x:f>
        <x:v>392</x:v>
      </x:c>
      <x:c r="P888" s="16" t="n">
        <x:f>K888*N888</x:f>
        <x:v>190.12</x:v>
      </x:c>
      <x:c r="Q888" s="16" t="n">
        <x:f>O888-P888</x:f>
        <x:v>201.88</x:v>
      </x:c>
      <x:c r="R888" s="2" t="n">
        <x:v>126</x:v>
      </x:c>
      <x:c r="S888" s="2" t="n">
        <x:v>0</x:v>
      </x:c>
      <x:c r="T888" s="2" t="n">
        <x:f>R888+S888+J888-I888</x:f>
        <x:v>112</x:v>
      </x:c>
      <x:c r="U888" s="2" t="n">
        <x:v>0</x:v>
      </x:c>
      <x:c r="V888" s="2" t="n">
        <x:v>4</x:v>
      </x:c>
      <x:c r="W888" s="2" t="n">
        <x:v>14</x:v>
      </x:c>
      <x:c r="X888" s="14" t="b">
        <x:v>0</x:v>
      </x:c>
      <x:c r="Y888" s="14" t="b">
        <x:v>0</x:v>
      </x:c>
      <x:c r="Z888" s="2" t="n">
        <x:f>ABS(T888-AA888)</x:f>
        <x:v>0</x:v>
      </x:c>
      <x:c r="AA888" s="2" t="n">
        <x:v>112</x:v>
      </x:c>
      <x:c r="AB888" s="2" t="n">
        <x:f>ABS(K888-W888)</x:f>
        <x:v>0</x:v>
      </x:c>
      <x:c r="AC888" s="2" t="n">
        <x:f>COUNTIF($A$2:$A$1921,A888)-1</x:f>
        <x:v>0</x:v>
      </x:c>
      <x:c r="AD888" s="2" t="n">
        <x:f>IF(AND(D888=D887,H888=H887,C888=C887+1),ABS(R888-T887),0)</x:f>
        <x:v>0</x:v>
      </x:c>
    </x:row>
    <x:row r="889" ht="23" customHeight="1">
      <x:c r="A889" s="2" t="str">
        <x:v>DEMO-206-0-8</x:v>
      </x:c>
      <x:c r="B889" s="15" t="d">
        <x:v>2026-06-22T00:00:00.000Z</x:v>
      </x:c>
      <x:c r="C889" s="2" t="n">
        <x:v>8</x:v>
      </x:c>
      <x:c r="D889" s="2" t="str">
        <x:v>DEMO-206</x:v>
      </x:c>
      <x:c r="E889" s="2" t="str">
        <x:v>Memory Capsule</x:v>
      </x:c>
      <x:c r="F889" s="2" t="str">
        <x:v>Gifting</x:v>
      </x:c>
      <x:c r="G889" s="2" t="str">
        <x:v>Stores</x:v>
      </x:c>
      <x:c r="H889" s="2" t="str">
        <x:v>North Arcade</x:v>
      </x:c>
      <x:c r="I889" s="2" t="n">
        <x:v>16</x:v>
      </x:c>
      <x:c r="J889" s="2" t="n">
        <x:v>1</x:v>
      </x:c>
      <x:c r="K889" s="2" t="n">
        <x:f>I889-J889</x:f>
        <x:v>15</x:v>
      </x:c>
      <x:c r="L889" s="16" t="n">
        <x:v>28</x:v>
      </x:c>
      <x:c r="M889" s="16" t="n">
        <x:v>28</x:v>
      </x:c>
      <x:c r="N889" s="16" t="n">
        <x:v>13.58</x:v>
      </x:c>
      <x:c r="O889" s="16" t="n">
        <x:f>K889*M889</x:f>
        <x:v>420</x:v>
      </x:c>
      <x:c r="P889" s="16" t="n">
        <x:f>K889*N889</x:f>
        <x:v>203.7</x:v>
      </x:c>
      <x:c r="Q889" s="16" t="n">
        <x:f>O889-P889</x:f>
        <x:v>216.3</x:v>
      </x:c>
      <x:c r="R889" s="2" t="n">
        <x:v>112</x:v>
      </x:c>
      <x:c r="S889" s="2" t="n">
        <x:v>0</x:v>
      </x:c>
      <x:c r="T889" s="2" t="n">
        <x:f>R889+S889+J889-I889</x:f>
        <x:v>97</x:v>
      </x:c>
      <x:c r="U889" s="2" t="n">
        <x:v>0</x:v>
      </x:c>
      <x:c r="V889" s="2" t="n">
        <x:v>4</x:v>
      </x:c>
      <x:c r="W889" s="2" t="n">
        <x:v>13</x:v>
      </x:c>
      <x:c r="X889" s="14" t="b">
        <x:v>0</x:v>
      </x:c>
      <x:c r="Y889" s="14" t="b">
        <x:v>0</x:v>
      </x:c>
      <x:c r="Z889" s="2" t="n">
        <x:f>ABS(T889-AA889)</x:f>
        <x:v>0</x:v>
      </x:c>
      <x:c r="AA889" s="2" t="n">
        <x:v>97</x:v>
      </x:c>
      <x:c r="AB889" s="2" t="n">
        <x:f>ABS(K889-W889)</x:f>
        <x:v>2</x:v>
      </x:c>
      <x:c r="AC889" s="2" t="n">
        <x:f>COUNTIF($A$2:$A$1921,A889)-1</x:f>
        <x:v>0</x:v>
      </x:c>
      <x:c r="AD889" s="2" t="n">
        <x:f>IF(AND(D889=D888,H889=H888,C889=C888+1),ABS(R889-T888),0)</x:f>
        <x:v>0</x:v>
      </x:c>
    </x:row>
    <x:row r="890" ht="23" customHeight="1">
      <x:c r="A890" s="2" t="str">
        <x:v>DEMO-206-0-9</x:v>
      </x:c>
      <x:c r="B890" s="15" t="d">
        <x:v>2026-06-29T00:00:00.000Z</x:v>
      </x:c>
      <x:c r="C890" s="2" t="n">
        <x:v>9</x:v>
      </x:c>
      <x:c r="D890" s="2" t="str">
        <x:v>DEMO-206</x:v>
      </x:c>
      <x:c r="E890" s="2" t="str">
        <x:v>Memory Capsule</x:v>
      </x:c>
      <x:c r="F890" s="2" t="str">
        <x:v>Gifting</x:v>
      </x:c>
      <x:c r="G890" s="2" t="str">
        <x:v>Stores</x:v>
      </x:c>
      <x:c r="H890" s="2" t="str">
        <x:v>North Arcade</x:v>
      </x:c>
      <x:c r="I890" s="2" t="n">
        <x:v>12</x:v>
      </x:c>
      <x:c r="J890" s="2" t="n">
        <x:v>0</x:v>
      </x:c>
      <x:c r="K890" s="2" t="n">
        <x:f>I890-J890</x:f>
        <x:v>12</x:v>
      </x:c>
      <x:c r="L890" s="16" t="n">
        <x:v>28</x:v>
      </x:c>
      <x:c r="M890" s="16" t="n">
        <x:v>28</x:v>
      </x:c>
      <x:c r="N890" s="16" t="n">
        <x:v>13.58</x:v>
      </x:c>
      <x:c r="O890" s="16" t="n">
        <x:f>K890*M890</x:f>
        <x:v>336</x:v>
      </x:c>
      <x:c r="P890" s="16" t="n">
        <x:f>K890*N890</x:f>
        <x:v>162.96</x:v>
      </x:c>
      <x:c r="Q890" s="16" t="n">
        <x:f>O890-P890</x:f>
        <x:v>173.04</x:v>
      </x:c>
      <x:c r="R890" s="2" t="n">
        <x:v>97</x:v>
      </x:c>
      <x:c r="S890" s="2" t="n">
        <x:v>59</x:v>
      </x:c>
      <x:c r="T890" s="2" t="n">
        <x:f>R890+S890+J890-I890</x:f>
        <x:v>144</x:v>
      </x:c>
      <x:c r="U890" s="2" t="n">
        <x:v>0</x:v>
      </x:c>
      <x:c r="V890" s="2" t="n">
        <x:v>4</x:v>
      </x:c>
      <x:c r="W890" s="2" t="n">
        <x:v>14</x:v>
      </x:c>
      <x:c r="X890" s="14" t="b">
        <x:v>0</x:v>
      </x:c>
      <x:c r="Y890" s="14" t="b">
        <x:v>0</x:v>
      </x:c>
      <x:c r="Z890" s="2" t="n">
        <x:f>ABS(T890-AA890)</x:f>
        <x:v>0</x:v>
      </x:c>
      <x:c r="AA890" s="2" t="n">
        <x:v>144</x:v>
      </x:c>
      <x:c r="AB890" s="2" t="n">
        <x:f>ABS(K890-W890)</x:f>
        <x:v>2</x:v>
      </x:c>
      <x:c r="AC890" s="2" t="n">
        <x:f>COUNTIF($A$2:$A$1921,A890)-1</x:f>
        <x:v>0</x:v>
      </x:c>
      <x:c r="AD890" s="2" t="n">
        <x:f>IF(AND(D890=D889,H890=H889,C890=C889+1),ABS(R890-T889),0)</x:f>
        <x:v>0</x:v>
      </x:c>
    </x:row>
    <x:row r="891" ht="23" customHeight="1">
      <x:c r="A891" s="2" t="str">
        <x:v>DEMO-206-0-10</x:v>
      </x:c>
      <x:c r="B891" s="15" t="d">
        <x:v>2026-07-06T00:00:00.000Z</x:v>
      </x:c>
      <x:c r="C891" s="2" t="n">
        <x:v>10</x:v>
      </x:c>
      <x:c r="D891" s="2" t="str">
        <x:v>DEMO-206</x:v>
      </x:c>
      <x:c r="E891" s="2" t="str">
        <x:v>Memory Capsule</x:v>
      </x:c>
      <x:c r="F891" s="2" t="str">
        <x:v>Gifting</x:v>
      </x:c>
      <x:c r="G891" s="2" t="str">
        <x:v>Stores</x:v>
      </x:c>
      <x:c r="H891" s="2" t="str">
        <x:v>North Arcade</x:v>
      </x:c>
      <x:c r="I891" s="2" t="n">
        <x:v>16</x:v>
      </x:c>
      <x:c r="J891" s="2" t="n">
        <x:v>1</x:v>
      </x:c>
      <x:c r="K891" s="2" t="n">
        <x:f>I891-J891</x:f>
        <x:v>15</x:v>
      </x:c>
      <x:c r="L891" s="16" t="n">
        <x:v>28</x:v>
      </x:c>
      <x:c r="M891" s="16" t="n">
        <x:v>28</x:v>
      </x:c>
      <x:c r="N891" s="16" t="n">
        <x:v>13.58</x:v>
      </x:c>
      <x:c r="O891" s="16" t="n">
        <x:f>K891*M891</x:f>
        <x:v>420</x:v>
      </x:c>
      <x:c r="P891" s="16" t="n">
        <x:f>K891*N891</x:f>
        <x:v>203.7</x:v>
      </x:c>
      <x:c r="Q891" s="16" t="n">
        <x:f>O891-P891</x:f>
        <x:v>216.3</x:v>
      </x:c>
      <x:c r="R891" s="2" t="n">
        <x:v>144</x:v>
      </x:c>
      <x:c r="S891" s="2" t="n">
        <x:v>0</x:v>
      </x:c>
      <x:c r="T891" s="2" t="n">
        <x:f>R891+S891+J891-I891</x:f>
        <x:v>129</x:v>
      </x:c>
      <x:c r="U891" s="2" t="n">
        <x:v>0</x:v>
      </x:c>
      <x:c r="V891" s="2" t="n">
        <x:v>4</x:v>
      </x:c>
      <x:c r="W891" s="2" t="n">
        <x:v>14</x:v>
      </x:c>
      <x:c r="X891" s="14" t="b">
        <x:v>0</x:v>
      </x:c>
      <x:c r="Y891" s="14" t="b">
        <x:v>0</x:v>
      </x:c>
      <x:c r="Z891" s="2" t="n">
        <x:f>ABS(T891-AA891)</x:f>
        <x:v>0</x:v>
      </x:c>
      <x:c r="AA891" s="2" t="n">
        <x:v>129</x:v>
      </x:c>
      <x:c r="AB891" s="2" t="n">
        <x:f>ABS(K891-W891)</x:f>
        <x:v>1</x:v>
      </x:c>
      <x:c r="AC891" s="2" t="n">
        <x:f>COUNTIF($A$2:$A$1921,A891)-1</x:f>
        <x:v>0</x:v>
      </x:c>
      <x:c r="AD891" s="2" t="n">
        <x:f>IF(AND(D891=D890,H891=H890,C891=C890+1),ABS(R891-T890),0)</x:f>
        <x:v>0</x:v>
      </x:c>
    </x:row>
    <x:row r="892" ht="23" customHeight="1">
      <x:c r="A892" s="2" t="str">
        <x:v>DEMO-206-0-11</x:v>
      </x:c>
      <x:c r="B892" s="15" t="d">
        <x:v>2026-07-13T00:00:00.000Z</x:v>
      </x:c>
      <x:c r="C892" s="2" t="n">
        <x:v>11</x:v>
      </x:c>
      <x:c r="D892" s="2" t="str">
        <x:v>DEMO-206</x:v>
      </x:c>
      <x:c r="E892" s="2" t="str">
        <x:v>Memory Capsule</x:v>
      </x:c>
      <x:c r="F892" s="2" t="str">
        <x:v>Gifting</x:v>
      </x:c>
      <x:c r="G892" s="2" t="str">
        <x:v>Stores</x:v>
      </x:c>
      <x:c r="H892" s="2" t="str">
        <x:v>North Arcade</x:v>
      </x:c>
      <x:c r="I892" s="2" t="n">
        <x:v>16</x:v>
      </x:c>
      <x:c r="J892" s="2" t="n">
        <x:v>0</x:v>
      </x:c>
      <x:c r="K892" s="2" t="n">
        <x:f>I892-J892</x:f>
        <x:v>16</x:v>
      </x:c>
      <x:c r="L892" s="16" t="n">
        <x:v>28</x:v>
      </x:c>
      <x:c r="M892" s="16" t="n">
        <x:v>28</x:v>
      </x:c>
      <x:c r="N892" s="16" t="n">
        <x:v>13.58</x:v>
      </x:c>
      <x:c r="O892" s="16" t="n">
        <x:f>K892*M892</x:f>
        <x:v>448</x:v>
      </x:c>
      <x:c r="P892" s="16" t="n">
        <x:f>K892*N892</x:f>
        <x:v>217.28</x:v>
      </x:c>
      <x:c r="Q892" s="16" t="n">
        <x:f>O892-P892</x:f>
        <x:v>230.72</x:v>
      </x:c>
      <x:c r="R892" s="2" t="n">
        <x:v>129</x:v>
      </x:c>
      <x:c r="S892" s="2" t="n">
        <x:v>0</x:v>
      </x:c>
      <x:c r="T892" s="2" t="n">
        <x:f>R892+S892+J892-I892</x:f>
        <x:v>113</x:v>
      </x:c>
      <x:c r="U892" s="2" t="n">
        <x:v>0</x:v>
      </x:c>
      <x:c r="V892" s="2" t="n">
        <x:v>4</x:v>
      </x:c>
      <x:c r="W892" s="2" t="n">
        <x:v>14</x:v>
      </x:c>
      <x:c r="X892" s="14" t="b">
        <x:v>0</x:v>
      </x:c>
      <x:c r="Y892" s="14" t="b">
        <x:v>0</x:v>
      </x:c>
      <x:c r="Z892" s="2" t="n">
        <x:f>ABS(T892-AA892)</x:f>
        <x:v>0</x:v>
      </x:c>
      <x:c r="AA892" s="2" t="n">
        <x:v>113</x:v>
      </x:c>
      <x:c r="AB892" s="2" t="n">
        <x:f>ABS(K892-W892)</x:f>
        <x:v>2</x:v>
      </x:c>
      <x:c r="AC892" s="2" t="n">
        <x:f>COUNTIF($A$2:$A$1921,A892)-1</x:f>
        <x:v>0</x:v>
      </x:c>
      <x:c r="AD892" s="2" t="n">
        <x:f>IF(AND(D892=D891,H892=H891,C892=C891+1),ABS(R892-T891),0)</x:f>
        <x:v>0</x:v>
      </x:c>
    </x:row>
    <x:row r="893" ht="23" customHeight="1">
      <x:c r="A893" s="2" t="str">
        <x:v>DEMO-206-0-12</x:v>
      </x:c>
      <x:c r="B893" s="15" t="d">
        <x:v>2026-07-20T00:00:00.000Z</x:v>
      </x:c>
      <x:c r="C893" s="2" t="n">
        <x:v>12</x:v>
      </x:c>
      <x:c r="D893" s="2" t="str">
        <x:v>DEMO-206</x:v>
      </x:c>
      <x:c r="E893" s="2" t="str">
        <x:v>Memory Capsule</x:v>
      </x:c>
      <x:c r="F893" s="2" t="str">
        <x:v>Gifting</x:v>
      </x:c>
      <x:c r="G893" s="2" t="str">
        <x:v>Stores</x:v>
      </x:c>
      <x:c r="H893" s="2" t="str">
        <x:v>North Arcade</x:v>
      </x:c>
      <x:c r="I893" s="2" t="n">
        <x:v>31</x:v>
      </x:c>
      <x:c r="J893" s="2" t="n">
        <x:v>0</x:v>
      </x:c>
      <x:c r="K893" s="2" t="n">
        <x:f>I893-J893</x:f>
        <x:v>31</x:v>
      </x:c>
      <x:c r="L893" s="16" t="n">
        <x:v>28</x:v>
      </x:c>
      <x:c r="M893" s="16" t="n">
        <x:v>25.2</x:v>
      </x:c>
      <x:c r="N893" s="16" t="n">
        <x:v>13.58</x:v>
      </x:c>
      <x:c r="O893" s="16" t="n">
        <x:f>K893*M893</x:f>
        <x:v>781.1999999999999</x:v>
      </x:c>
      <x:c r="P893" s="16" t="n">
        <x:f>K893*N893</x:f>
        <x:v>420.98</x:v>
      </x:c>
      <x:c r="Q893" s="16" t="n">
        <x:f>O893-P893</x:f>
        <x:v>360.2199999999999</x:v>
      </x:c>
      <x:c r="R893" s="2" t="n">
        <x:v>113</x:v>
      </x:c>
      <x:c r="S893" s="2" t="n">
        <x:v>0</x:v>
      </x:c>
      <x:c r="T893" s="2" t="n">
        <x:f>R893+S893+J893-I893</x:f>
        <x:v>82</x:v>
      </x:c>
      <x:c r="U893" s="2" t="n">
        <x:v>0</x:v>
      </x:c>
      <x:c r="V893" s="2" t="n">
        <x:v>4</x:v>
      </x:c>
      <x:c r="W893" s="2" t="n">
        <x:v>15</x:v>
      </x:c>
      <x:c r="X893" s="14" t="b">
        <x:v>1</x:v>
      </x:c>
      <x:c r="Y893" s="14" t="b">
        <x:v>0</x:v>
      </x:c>
      <x:c r="Z893" s="2" t="n">
        <x:f>ABS(T893-AA893)</x:f>
        <x:v>0</x:v>
      </x:c>
      <x:c r="AA893" s="2" t="n">
        <x:v>82</x:v>
      </x:c>
      <x:c r="AB893" s="2" t="n">
        <x:f>ABS(K893-W893)</x:f>
        <x:v>16</x:v>
      </x:c>
      <x:c r="AC893" s="2" t="n">
        <x:f>COUNTIF($A$2:$A$1921,A893)-1</x:f>
        <x:v>0</x:v>
      </x:c>
      <x:c r="AD893" s="2" t="n">
        <x:f>IF(AND(D893=D892,H893=H892,C893=C892+1),ABS(R893-T892),0)</x:f>
        <x:v>0</x:v>
      </x:c>
    </x:row>
    <x:row r="894" ht="23" customHeight="1">
      <x:c r="A894" s="2" t="str">
        <x:v>DEMO-206-0-13</x:v>
      </x:c>
      <x:c r="B894" s="15" t="d">
        <x:v>2026-07-27T00:00:00.000Z</x:v>
      </x:c>
      <x:c r="C894" s="2" t="n">
        <x:v>13</x:v>
      </x:c>
      <x:c r="D894" s="2" t="str">
        <x:v>DEMO-206</x:v>
      </x:c>
      <x:c r="E894" s="2" t="str">
        <x:v>Memory Capsule</x:v>
      </x:c>
      <x:c r="F894" s="2" t="str">
        <x:v>Gifting</x:v>
      </x:c>
      <x:c r="G894" s="2" t="str">
        <x:v>Stores</x:v>
      </x:c>
      <x:c r="H894" s="2" t="str">
        <x:v>North Arcade</x:v>
      </x:c>
      <x:c r="I894" s="2" t="n">
        <x:v>29</x:v>
      </x:c>
      <x:c r="J894" s="2" t="n">
        <x:v>0</x:v>
      </x:c>
      <x:c r="K894" s="2" t="n">
        <x:f>I894-J894</x:f>
        <x:v>29</x:v>
      </x:c>
      <x:c r="L894" s="16" t="n">
        <x:v>28</x:v>
      </x:c>
      <x:c r="M894" s="16" t="n">
        <x:v>25.2</x:v>
      </x:c>
      <x:c r="N894" s="16" t="n">
        <x:v>13.58</x:v>
      </x:c>
      <x:c r="O894" s="16" t="n">
        <x:f>K894*M894</x:f>
        <x:v>730.8</x:v>
      </x:c>
      <x:c r="P894" s="16" t="n">
        <x:f>K894*N894</x:f>
        <x:v>393.82</x:v>
      </x:c>
      <x:c r="Q894" s="16" t="n">
        <x:f>O894-P894</x:f>
        <x:v>336.97999999999996</x:v>
      </x:c>
      <x:c r="R894" s="2" t="n">
        <x:v>82</x:v>
      </x:c>
      <x:c r="S894" s="2" t="n">
        <x:v>59</x:v>
      </x:c>
      <x:c r="T894" s="2" t="n">
        <x:f>R894+S894+J894-I894</x:f>
        <x:v>112</x:v>
      </x:c>
      <x:c r="U894" s="2" t="n">
        <x:v>0</x:v>
      </x:c>
      <x:c r="V894" s="2" t="n">
        <x:v>4</x:v>
      </x:c>
      <x:c r="W894" s="2" t="n">
        <x:v>19</x:v>
      </x:c>
      <x:c r="X894" s="14" t="b">
        <x:v>1</x:v>
      </x:c>
      <x:c r="Y894" s="14" t="b">
        <x:v>0</x:v>
      </x:c>
      <x:c r="Z894" s="2" t="n">
        <x:f>ABS(T894-AA894)</x:f>
        <x:v>0</x:v>
      </x:c>
      <x:c r="AA894" s="2" t="n">
        <x:v>112</x:v>
      </x:c>
      <x:c r="AB894" s="2" t="n">
        <x:f>ABS(K894-W894)</x:f>
        <x:v>10</x:v>
      </x:c>
      <x:c r="AC894" s="2" t="n">
        <x:f>COUNTIF($A$2:$A$1921,A894)-1</x:f>
        <x:v>0</x:v>
      </x:c>
      <x:c r="AD894" s="2" t="n">
        <x:f>IF(AND(D894=D893,H894=H893,C894=C893+1),ABS(R894-T893),0)</x:f>
        <x:v>0</x:v>
      </x:c>
    </x:row>
    <x:row r="895" ht="23" customHeight="1">
      <x:c r="A895" s="2" t="str">
        <x:v>DEMO-206-0-14</x:v>
      </x:c>
      <x:c r="B895" s="15" t="d">
        <x:v>2026-08-03T00:00:00.000Z</x:v>
      </x:c>
      <x:c r="C895" s="2" t="n">
        <x:v>14</x:v>
      </x:c>
      <x:c r="D895" s="2" t="str">
        <x:v>DEMO-206</x:v>
      </x:c>
      <x:c r="E895" s="2" t="str">
        <x:v>Memory Capsule</x:v>
      </x:c>
      <x:c r="F895" s="2" t="str">
        <x:v>Gifting</x:v>
      </x:c>
      <x:c r="G895" s="2" t="str">
        <x:v>Stores</x:v>
      </x:c>
      <x:c r="H895" s="2" t="str">
        <x:v>North Arcade</x:v>
      </x:c>
      <x:c r="I895" s="2" t="n">
        <x:v>34</x:v>
      </x:c>
      <x:c r="J895" s="2" t="n">
        <x:v>0</x:v>
      </x:c>
      <x:c r="K895" s="2" t="n">
        <x:f>I895-J895</x:f>
        <x:v>34</x:v>
      </x:c>
      <x:c r="L895" s="16" t="n">
        <x:v>28</x:v>
      </x:c>
      <x:c r="M895" s="16" t="n">
        <x:v>25.2</x:v>
      </x:c>
      <x:c r="N895" s="16" t="n">
        <x:v>13.58</x:v>
      </x:c>
      <x:c r="O895" s="16" t="n">
        <x:f>K895*M895</x:f>
        <x:v>856.8</x:v>
      </x:c>
      <x:c r="P895" s="16" t="n">
        <x:f>K895*N895</x:f>
        <x:v>461.72</x:v>
      </x:c>
      <x:c r="Q895" s="16" t="n">
        <x:f>O895-P895</x:f>
        <x:v>395.0799999999999</x:v>
      </x:c>
      <x:c r="R895" s="2" t="n">
        <x:v>112</x:v>
      </x:c>
      <x:c r="S895" s="2" t="n">
        <x:v>0</x:v>
      </x:c>
      <x:c r="T895" s="2" t="n">
        <x:f>R895+S895+J895-I895</x:f>
        <x:v>78</x:v>
      </x:c>
      <x:c r="U895" s="2" t="n">
        <x:v>0</x:v>
      </x:c>
      <x:c r="V895" s="2" t="n">
        <x:v>4</x:v>
      </x:c>
      <x:c r="W895" s="2" t="n">
        <x:v>23</x:v>
      </x:c>
      <x:c r="X895" s="14" t="b">
        <x:v>1</x:v>
      </x:c>
      <x:c r="Y895" s="14" t="b">
        <x:v>0</x:v>
      </x:c>
      <x:c r="Z895" s="2" t="n">
        <x:f>ABS(T895-AA895)</x:f>
        <x:v>0</x:v>
      </x:c>
      <x:c r="AA895" s="2" t="n">
        <x:v>78</x:v>
      </x:c>
      <x:c r="AB895" s="2" t="n">
        <x:f>ABS(K895-W895)</x:f>
        <x:v>11</x:v>
      </x:c>
      <x:c r="AC895" s="2" t="n">
        <x:f>COUNTIF($A$2:$A$1921,A895)-1</x:f>
        <x:v>0</x:v>
      </x:c>
      <x:c r="AD895" s="2" t="n">
        <x:f>IF(AND(D895=D894,H895=H894,C895=C894+1),ABS(R895-T894),0)</x:f>
        <x:v>0</x:v>
      </x:c>
    </x:row>
    <x:row r="896" ht="23" customHeight="1">
      <x:c r="A896" s="2" t="str">
        <x:v>DEMO-206-0-15</x:v>
      </x:c>
      <x:c r="B896" s="15" t="d">
        <x:v>2026-08-10T00:00:00.000Z</x:v>
      </x:c>
      <x:c r="C896" s="2" t="n">
        <x:v>15</x:v>
      </x:c>
      <x:c r="D896" s="2" t="str">
        <x:v>DEMO-206</x:v>
      </x:c>
      <x:c r="E896" s="2" t="str">
        <x:v>Memory Capsule</x:v>
      </x:c>
      <x:c r="F896" s="2" t="str">
        <x:v>Gifting</x:v>
      </x:c>
      <x:c r="G896" s="2" t="str">
        <x:v>Stores</x:v>
      </x:c>
      <x:c r="H896" s="2" t="str">
        <x:v>North Arcade</x:v>
      </x:c>
      <x:c r="I896" s="2" t="n">
        <x:v>14</x:v>
      </x:c>
      <x:c r="J896" s="2" t="n">
        <x:v>0</x:v>
      </x:c>
      <x:c r="K896" s="2" t="n">
        <x:f>I896-J896</x:f>
        <x:v>14</x:v>
      </x:c>
      <x:c r="L896" s="16" t="n">
        <x:v>28</x:v>
      </x:c>
      <x:c r="M896" s="16" t="n">
        <x:v>28</x:v>
      </x:c>
      <x:c r="N896" s="16" t="n">
        <x:v>13.58</x:v>
      </x:c>
      <x:c r="O896" s="16" t="n">
        <x:f>K896*M896</x:f>
        <x:v>392</x:v>
      </x:c>
      <x:c r="P896" s="16" t="n">
        <x:f>K896*N896</x:f>
        <x:v>190.12</x:v>
      </x:c>
      <x:c r="Q896" s="16" t="n">
        <x:f>O896-P896</x:f>
        <x:v>201.88</x:v>
      </x:c>
      <x:c r="R896" s="2" t="n">
        <x:v>78</x:v>
      </x:c>
      <x:c r="S896" s="2" t="n">
        <x:v>0</x:v>
      </x:c>
      <x:c r="T896" s="2" t="n">
        <x:f>R896+S896+J896-I896</x:f>
        <x:v>64</x:v>
      </x:c>
      <x:c r="U896" s="2" t="n">
        <x:v>0</x:v>
      </x:c>
      <x:c r="V896" s="2" t="n">
        <x:v>4</x:v>
      </x:c>
      <x:c r="W896" s="2" t="n">
        <x:v>28</x:v>
      </x:c>
      <x:c r="X896" s="14" t="b">
        <x:v>0</x:v>
      </x:c>
      <x:c r="Y896" s="14" t="b">
        <x:v>0</x:v>
      </x:c>
      <x:c r="Z896" s="2" t="n">
        <x:f>ABS(T896-AA896)</x:f>
        <x:v>0</x:v>
      </x:c>
      <x:c r="AA896" s="2" t="n">
        <x:v>64</x:v>
      </x:c>
      <x:c r="AB896" s="2" t="n">
        <x:f>ABS(K896-W896)</x:f>
        <x:v>14</x:v>
      </x:c>
      <x:c r="AC896" s="2" t="n">
        <x:f>COUNTIF($A$2:$A$1921,A896)-1</x:f>
        <x:v>0</x:v>
      </x:c>
      <x:c r="AD896" s="2" t="n">
        <x:f>IF(AND(D896=D895,H896=H895,C896=C895+1),ABS(R896-T895),0)</x:f>
        <x:v>0</x:v>
      </x:c>
    </x:row>
    <x:row r="897" ht="23" customHeight="1">
      <x:c r="A897" s="2" t="str">
        <x:v>DEMO-206-0-16</x:v>
      </x:c>
      <x:c r="B897" s="15" t="d">
        <x:v>2026-08-17T00:00:00.000Z</x:v>
      </x:c>
      <x:c r="C897" s="2" t="n">
        <x:v>16</x:v>
      </x:c>
      <x:c r="D897" s="2" t="str">
        <x:v>DEMO-206</x:v>
      </x:c>
      <x:c r="E897" s="2" t="str">
        <x:v>Memory Capsule</x:v>
      </x:c>
      <x:c r="F897" s="2" t="str">
        <x:v>Gifting</x:v>
      </x:c>
      <x:c r="G897" s="2" t="str">
        <x:v>Stores</x:v>
      </x:c>
      <x:c r="H897" s="2" t="str">
        <x:v>North Arcade</x:v>
      </x:c>
      <x:c r="I897" s="2" t="n">
        <x:v>14</x:v>
      </x:c>
      <x:c r="J897" s="2" t="n">
        <x:v>0</x:v>
      </x:c>
      <x:c r="K897" s="2" t="n">
        <x:f>I897-J897</x:f>
        <x:v>14</x:v>
      </x:c>
      <x:c r="L897" s="16" t="n">
        <x:v>28</x:v>
      </x:c>
      <x:c r="M897" s="16" t="n">
        <x:v>28</x:v>
      </x:c>
      <x:c r="N897" s="16" t="n">
        <x:v>13.58</x:v>
      </x:c>
      <x:c r="O897" s="16" t="n">
        <x:f>K897*M897</x:f>
        <x:v>392</x:v>
      </x:c>
      <x:c r="P897" s="16" t="n">
        <x:f>K897*N897</x:f>
        <x:v>190.12</x:v>
      </x:c>
      <x:c r="Q897" s="16" t="n">
        <x:f>O897-P897</x:f>
        <x:v>201.88</x:v>
      </x:c>
      <x:c r="R897" s="2" t="n">
        <x:v>64</x:v>
      </x:c>
      <x:c r="S897" s="2" t="n">
        <x:v>0</x:v>
      </x:c>
      <x:c r="T897" s="2" t="n">
        <x:f>R897+S897+J897-I897</x:f>
        <x:v>50</x:v>
      </x:c>
      <x:c r="U897" s="2" t="n">
        <x:v>0</x:v>
      </x:c>
      <x:c r="V897" s="2" t="n">
        <x:v>4</x:v>
      </x:c>
      <x:c r="W897" s="2" t="n">
        <x:v>27</x:v>
      </x:c>
      <x:c r="X897" s="14" t="b">
        <x:v>0</x:v>
      </x:c>
      <x:c r="Y897" s="14" t="b">
        <x:v>0</x:v>
      </x:c>
      <x:c r="Z897" s="2" t="n">
        <x:f>ABS(T897-AA897)</x:f>
        <x:v>0</x:v>
      </x:c>
      <x:c r="AA897" s="2" t="n">
        <x:v>50</x:v>
      </x:c>
      <x:c r="AB897" s="2" t="n">
        <x:f>ABS(K897-W897)</x:f>
        <x:v>13</x:v>
      </x:c>
      <x:c r="AC897" s="2" t="n">
        <x:f>COUNTIF($A$2:$A$1921,A897)-1</x:f>
        <x:v>0</x:v>
      </x:c>
      <x:c r="AD897" s="2" t="n">
        <x:f>IF(AND(D897=D896,H897=H896,C897=C896+1),ABS(R897-T896),0)</x:f>
        <x:v>0</x:v>
      </x:c>
    </x:row>
    <x:row r="898" ht="23" customHeight="1">
      <x:c r="A898" s="2" t="str">
        <x:v>DEMO-206-0-17</x:v>
      </x:c>
      <x:c r="B898" s="15" t="d">
        <x:v>2026-08-24T00:00:00.000Z</x:v>
      </x:c>
      <x:c r="C898" s="2" t="n">
        <x:v>17</x:v>
      </x:c>
      <x:c r="D898" s="2" t="str">
        <x:v>DEMO-206</x:v>
      </x:c>
      <x:c r="E898" s="2" t="str">
        <x:v>Memory Capsule</x:v>
      </x:c>
      <x:c r="F898" s="2" t="str">
        <x:v>Gifting</x:v>
      </x:c>
      <x:c r="G898" s="2" t="str">
        <x:v>Stores</x:v>
      </x:c>
      <x:c r="H898" s="2" t="str">
        <x:v>North Arcade</x:v>
      </x:c>
      <x:c r="I898" s="2" t="n">
        <x:v>15</x:v>
      </x:c>
      <x:c r="J898" s="2" t="n">
        <x:v>0</x:v>
      </x:c>
      <x:c r="K898" s="2" t="n">
        <x:f>I898-J898</x:f>
        <x:v>15</x:v>
      </x:c>
      <x:c r="L898" s="16" t="n">
        <x:v>28</x:v>
      </x:c>
      <x:c r="M898" s="16" t="n">
        <x:v>28</x:v>
      </x:c>
      <x:c r="N898" s="16" t="n">
        <x:v>13.58</x:v>
      </x:c>
      <x:c r="O898" s="16" t="n">
        <x:f>K898*M898</x:f>
        <x:v>420</x:v>
      </x:c>
      <x:c r="P898" s="16" t="n">
        <x:f>K898*N898</x:f>
        <x:v>203.7</x:v>
      </x:c>
      <x:c r="Q898" s="16" t="n">
        <x:f>O898-P898</x:f>
        <x:v>216.3</x:v>
      </x:c>
      <x:c r="R898" s="2" t="n">
        <x:v>50</x:v>
      </x:c>
      <x:c r="S898" s="2" t="n">
        <x:v>59</x:v>
      </x:c>
      <x:c r="T898" s="2" t="n">
        <x:f>R898+S898+J898-I898</x:f>
        <x:v>94</x:v>
      </x:c>
      <x:c r="U898" s="2" t="n">
        <x:v>0</x:v>
      </x:c>
      <x:c r="V898" s="2" t="n">
        <x:v>4</x:v>
      </x:c>
      <x:c r="W898" s="2" t="n">
        <x:v>23</x:v>
      </x:c>
      <x:c r="X898" s="14" t="b">
        <x:v>0</x:v>
      </x:c>
      <x:c r="Y898" s="14" t="b">
        <x:v>0</x:v>
      </x:c>
      <x:c r="Z898" s="2" t="n">
        <x:f>ABS(T898-AA898)</x:f>
        <x:v>0</x:v>
      </x:c>
      <x:c r="AA898" s="2" t="n">
        <x:v>94</x:v>
      </x:c>
      <x:c r="AB898" s="2" t="n">
        <x:f>ABS(K898-W898)</x:f>
        <x:v>8</x:v>
      </x:c>
      <x:c r="AC898" s="2" t="n">
        <x:f>COUNTIF($A$2:$A$1921,A898)-1</x:f>
        <x:v>0</x:v>
      </x:c>
      <x:c r="AD898" s="2" t="n">
        <x:f>IF(AND(D898=D897,H898=H897,C898=C897+1),ABS(R898-T897),0)</x:f>
        <x:v>0</x:v>
      </x:c>
    </x:row>
    <x:row r="899" ht="23" customHeight="1">
      <x:c r="A899" s="2" t="str">
        <x:v>DEMO-206-0-18</x:v>
      </x:c>
      <x:c r="B899" s="15" t="d">
        <x:v>2026-08-31T00:00:00.000Z</x:v>
      </x:c>
      <x:c r="C899" s="2" t="n">
        <x:v>18</x:v>
      </x:c>
      <x:c r="D899" s="2" t="str">
        <x:v>DEMO-206</x:v>
      </x:c>
      <x:c r="E899" s="2" t="str">
        <x:v>Memory Capsule</x:v>
      </x:c>
      <x:c r="F899" s="2" t="str">
        <x:v>Gifting</x:v>
      </x:c>
      <x:c r="G899" s="2" t="str">
        <x:v>Stores</x:v>
      </x:c>
      <x:c r="H899" s="2" t="str">
        <x:v>North Arcade</x:v>
      </x:c>
      <x:c r="I899" s="2" t="n">
        <x:v>16</x:v>
      </x:c>
      <x:c r="J899" s="2" t="n">
        <x:v>1</x:v>
      </x:c>
      <x:c r="K899" s="2" t="n">
        <x:f>I899-J899</x:f>
        <x:v>15</x:v>
      </x:c>
      <x:c r="L899" s="16" t="n">
        <x:v>28</x:v>
      </x:c>
      <x:c r="M899" s="16" t="n">
        <x:v>28</x:v>
      </x:c>
      <x:c r="N899" s="16" t="n">
        <x:v>13.58</x:v>
      </x:c>
      <x:c r="O899" s="16" t="n">
        <x:f>K899*M899</x:f>
        <x:v>420</x:v>
      </x:c>
      <x:c r="P899" s="16" t="n">
        <x:f>K899*N899</x:f>
        <x:v>203.7</x:v>
      </x:c>
      <x:c r="Q899" s="16" t="n">
        <x:f>O899-P899</x:f>
        <x:v>216.3</x:v>
      </x:c>
      <x:c r="R899" s="2" t="n">
        <x:v>94</x:v>
      </x:c>
      <x:c r="S899" s="2" t="n">
        <x:v>0</x:v>
      </x:c>
      <x:c r="T899" s="2" t="n">
        <x:f>R899+S899+J899-I899</x:f>
        <x:v>79</x:v>
      </x:c>
      <x:c r="U899" s="2" t="n">
        <x:v>0</x:v>
      </x:c>
      <x:c r="V899" s="2" t="n">
        <x:v>4</x:v>
      </x:c>
      <x:c r="W899" s="2" t="n">
        <x:v>19</x:v>
      </x:c>
      <x:c r="X899" s="14" t="b">
        <x:v>0</x:v>
      </x:c>
      <x:c r="Y899" s="14" t="b">
        <x:v>0</x:v>
      </x:c>
      <x:c r="Z899" s="2" t="n">
        <x:f>ABS(T899-AA899)</x:f>
        <x:v>0</x:v>
      </x:c>
      <x:c r="AA899" s="2" t="n">
        <x:v>79</x:v>
      </x:c>
      <x:c r="AB899" s="2" t="n">
        <x:f>ABS(K899-W899)</x:f>
        <x:v>4</x:v>
      </x:c>
      <x:c r="AC899" s="2" t="n">
        <x:f>COUNTIF($A$2:$A$1921,A899)-1</x:f>
        <x:v>0</x:v>
      </x:c>
      <x:c r="AD899" s="2" t="n">
        <x:f>IF(AND(D899=D898,H899=H898,C899=C898+1),ABS(R899-T898),0)</x:f>
        <x:v>0</x:v>
      </x:c>
    </x:row>
    <x:row r="900" ht="23" customHeight="1">
      <x:c r="A900" s="2" t="str">
        <x:v>DEMO-206-0-19</x:v>
      </x:c>
      <x:c r="B900" s="15" t="d">
        <x:v>2026-09-07T00:00:00.000Z</x:v>
      </x:c>
      <x:c r="C900" s="2" t="n">
        <x:v>19</x:v>
      </x:c>
      <x:c r="D900" s="2" t="str">
        <x:v>DEMO-206</x:v>
      </x:c>
      <x:c r="E900" s="2" t="str">
        <x:v>Memory Capsule</x:v>
      </x:c>
      <x:c r="F900" s="2" t="str">
        <x:v>Gifting</x:v>
      </x:c>
      <x:c r="G900" s="2" t="str">
        <x:v>Stores</x:v>
      </x:c>
      <x:c r="H900" s="2" t="str">
        <x:v>North Arcade</x:v>
      </x:c>
      <x:c r="I900" s="2" t="n">
        <x:v>14</x:v>
      </x:c>
      <x:c r="J900" s="2" t="n">
        <x:v>0</x:v>
      </x:c>
      <x:c r="K900" s="2" t="n">
        <x:f>I900-J900</x:f>
        <x:v>14</x:v>
      </x:c>
      <x:c r="L900" s="16" t="n">
        <x:v>28</x:v>
      </x:c>
      <x:c r="M900" s="16" t="n">
        <x:v>28</x:v>
      </x:c>
      <x:c r="N900" s="16" t="n">
        <x:v>13.58</x:v>
      </x:c>
      <x:c r="O900" s="16" t="n">
        <x:f>K900*M900</x:f>
        <x:v>392</x:v>
      </x:c>
      <x:c r="P900" s="16" t="n">
        <x:f>K900*N900</x:f>
        <x:v>190.12</x:v>
      </x:c>
      <x:c r="Q900" s="16" t="n">
        <x:f>O900-P900</x:f>
        <x:v>201.88</x:v>
      </x:c>
      <x:c r="R900" s="2" t="n">
        <x:v>79</x:v>
      </x:c>
      <x:c r="S900" s="2" t="n">
        <x:v>0</x:v>
      </x:c>
      <x:c r="T900" s="2" t="n">
        <x:f>R900+S900+J900-I900</x:f>
        <x:v>65</x:v>
      </x:c>
      <x:c r="U900" s="2" t="n">
        <x:v>0</x:v>
      </x:c>
      <x:c r="V900" s="2" t="n">
        <x:v>4</x:v>
      </x:c>
      <x:c r="W900" s="2" t="n">
        <x:v>15</x:v>
      </x:c>
      <x:c r="X900" s="14" t="b">
        <x:v>0</x:v>
      </x:c>
      <x:c r="Y900" s="14" t="b">
        <x:v>0</x:v>
      </x:c>
      <x:c r="Z900" s="2" t="n">
        <x:f>ABS(T900-AA900)</x:f>
        <x:v>0</x:v>
      </x:c>
      <x:c r="AA900" s="2" t="n">
        <x:v>65</x:v>
      </x:c>
      <x:c r="AB900" s="2" t="n">
        <x:f>ABS(K900-W900)</x:f>
        <x:v>1</x:v>
      </x:c>
      <x:c r="AC900" s="2" t="n">
        <x:f>COUNTIF($A$2:$A$1921,A900)-1</x:f>
        <x:v>0</x:v>
      </x:c>
      <x:c r="AD900" s="2" t="n">
        <x:f>IF(AND(D900=D899,H900=H899,C900=C899+1),ABS(R900-T899),0)</x:f>
        <x:v>0</x:v>
      </x:c>
    </x:row>
    <x:row r="901" ht="23" customHeight="1">
      <x:c r="A901" s="2" t="str">
        <x:v>DEMO-206-0-20</x:v>
      </x:c>
      <x:c r="B901" s="15" t="d">
        <x:v>2026-09-14T00:00:00.000Z</x:v>
      </x:c>
      <x:c r="C901" s="2" t="n">
        <x:v>20</x:v>
      </x:c>
      <x:c r="D901" s="2" t="str">
        <x:v>DEMO-206</x:v>
      </x:c>
      <x:c r="E901" s="2" t="str">
        <x:v>Memory Capsule</x:v>
      </x:c>
      <x:c r="F901" s="2" t="str">
        <x:v>Gifting</x:v>
      </x:c>
      <x:c r="G901" s="2" t="str">
        <x:v>Stores</x:v>
      </x:c>
      <x:c r="H901" s="2" t="str">
        <x:v>North Arcade</x:v>
      </x:c>
      <x:c r="I901" s="2" t="n">
        <x:v>14</x:v>
      </x:c>
      <x:c r="J901" s="2" t="n">
        <x:v>0</x:v>
      </x:c>
      <x:c r="K901" s="2" t="n">
        <x:f>I901-J901</x:f>
        <x:v>14</x:v>
      </x:c>
      <x:c r="L901" s="16" t="n">
        <x:v>28</x:v>
      </x:c>
      <x:c r="M901" s="16" t="n">
        <x:v>28</x:v>
      </x:c>
      <x:c r="N901" s="16" t="n">
        <x:v>13.58</x:v>
      </x:c>
      <x:c r="O901" s="16" t="n">
        <x:f>K901*M901</x:f>
        <x:v>392</x:v>
      </x:c>
      <x:c r="P901" s="16" t="n">
        <x:f>K901*N901</x:f>
        <x:v>190.12</x:v>
      </x:c>
      <x:c r="Q901" s="16" t="n">
        <x:f>O901-P901</x:f>
        <x:v>201.88</x:v>
      </x:c>
      <x:c r="R901" s="2" t="n">
        <x:v>65</x:v>
      </x:c>
      <x:c r="S901" s="2" t="n">
        <x:v>0</x:v>
      </x:c>
      <x:c r="T901" s="2" t="n">
        <x:f>R901+S901+J901-I901</x:f>
        <x:v>51</x:v>
      </x:c>
      <x:c r="U901" s="2" t="n">
        <x:v>18</x:v>
      </x:c>
      <x:c r="V901" s="2" t="n">
        <x:v>4</x:v>
      </x:c>
      <x:c r="W901" s="2" t="n">
        <x:v>15</x:v>
      </x:c>
      <x:c r="X901" s="14" t="b">
        <x:v>0</x:v>
      </x:c>
      <x:c r="Y901" s="14" t="b">
        <x:v>0</x:v>
      </x:c>
      <x:c r="Z901" s="2" t="n">
        <x:f>ABS(T901-AA901)</x:f>
        <x:v>0</x:v>
      </x:c>
      <x:c r="AA901" s="2" t="n">
        <x:v>51</x:v>
      </x:c>
      <x:c r="AB901" s="2" t="n">
        <x:f>ABS(K901-W901)</x:f>
        <x:v>1</x:v>
      </x:c>
      <x:c r="AC901" s="2" t="n">
        <x:f>COUNTIF($A$2:$A$1921,A901)-1</x:f>
        <x:v>0</x:v>
      </x:c>
      <x:c r="AD901" s="2" t="n">
        <x:f>IF(AND(D901=D900,H901=H900,C901=C900+1),ABS(R901-T900),0)</x:f>
        <x:v>0</x:v>
      </x:c>
    </x:row>
    <x:row r="902" ht="23" customHeight="1">
      <x:c r="A902" s="2" t="str">
        <x:v>DEMO-206-1-1</x:v>
      </x:c>
      <x:c r="B902" s="15" t="d">
        <x:v>2026-05-04T00:00:00.000Z</x:v>
      </x:c>
      <x:c r="C902" s="2" t="n">
        <x:v>1</x:v>
      </x:c>
      <x:c r="D902" s="2" t="str">
        <x:v>DEMO-206</x:v>
      </x:c>
      <x:c r="E902" s="2" t="str">
        <x:v>Memory Capsule</x:v>
      </x:c>
      <x:c r="F902" s="2" t="str">
        <x:v>Gifting</x:v>
      </x:c>
      <x:c r="G902" s="2" t="str">
        <x:v>Stores</x:v>
      </x:c>
      <x:c r="H902" s="2" t="str">
        <x:v>Riverside</x:v>
      </x:c>
      <x:c r="I902" s="2" t="n">
        <x:v>12</x:v>
      </x:c>
      <x:c r="J902" s="2" t="n">
        <x:v>1</x:v>
      </x:c>
      <x:c r="K902" s="2" t="n">
        <x:f>I902-J902</x:f>
        <x:v>11</x:v>
      </x:c>
      <x:c r="L902" s="16" t="n">
        <x:v>28</x:v>
      </x:c>
      <x:c r="M902" s="16" t="n">
        <x:v>28</x:v>
      </x:c>
      <x:c r="N902" s="16" t="n">
        <x:v>13.58</x:v>
      </x:c>
      <x:c r="O902" s="16" t="n">
        <x:f>K902*M902</x:f>
        <x:v>308</x:v>
      </x:c>
      <x:c r="P902" s="16" t="n">
        <x:f>K902*N902</x:f>
        <x:v>149.38</x:v>
      </x:c>
      <x:c r="Q902" s="16" t="n">
        <x:f>O902-P902</x:f>
        <x:v>158.62</x:v>
      </x:c>
      <x:c r="R902" s="2" t="n">
        <x:v>90</x:v>
      </x:c>
      <x:c r="S902" s="2" t="n">
        <x:v>59</x:v>
      </x:c>
      <x:c r="T902" s="2" t="n">
        <x:f>R902+S902+J902-I902</x:f>
        <x:v>138</x:v>
      </x:c>
      <x:c r="U902" s="2" t="n">
        <x:v>0</x:v>
      </x:c>
      <x:c r="V902" s="2" t="n">
        <x:v>4</x:v>
      </x:c>
      <x:c r="W902" s="2" t="n">
        <x:v>14</x:v>
      </x:c>
      <x:c r="X902" s="14" t="b">
        <x:v>0</x:v>
      </x:c>
      <x:c r="Y902" s="14" t="b">
        <x:v>0</x:v>
      </x:c>
      <x:c r="Z902" s="2" t="n">
        <x:f>ABS(T902-AA902)</x:f>
        <x:v>0</x:v>
      </x:c>
      <x:c r="AA902" s="2" t="n">
        <x:v>138</x:v>
      </x:c>
      <x:c r="AB902" s="2" t="n">
        <x:f>ABS(K902-W902)</x:f>
        <x:v>3</x:v>
      </x:c>
      <x:c r="AC902" s="2" t="n">
        <x:f>COUNTIF($A$2:$A$1921,A902)-1</x:f>
        <x:v>0</x:v>
      </x:c>
      <x:c r="AD902" s="2" t="n">
        <x:f>IF(AND(D902=D901,H902=H901,C902=C901+1),ABS(R902-T901),0)</x:f>
        <x:v>0</x:v>
      </x:c>
    </x:row>
    <x:row r="903" ht="23" customHeight="1">
      <x:c r="A903" s="2" t="str">
        <x:v>DEMO-206-1-2</x:v>
      </x:c>
      <x:c r="B903" s="15" t="d">
        <x:v>2026-05-11T00:00:00.000Z</x:v>
      </x:c>
      <x:c r="C903" s="2" t="n">
        <x:v>2</x:v>
      </x:c>
      <x:c r="D903" s="2" t="str">
        <x:v>DEMO-206</x:v>
      </x:c>
      <x:c r="E903" s="2" t="str">
        <x:v>Memory Capsule</x:v>
      </x:c>
      <x:c r="F903" s="2" t="str">
        <x:v>Gifting</x:v>
      </x:c>
      <x:c r="G903" s="2" t="str">
        <x:v>Stores</x:v>
      </x:c>
      <x:c r="H903" s="2" t="str">
        <x:v>Riverside</x:v>
      </x:c>
      <x:c r="I903" s="2" t="n">
        <x:v>16</x:v>
      </x:c>
      <x:c r="J903" s="2" t="n">
        <x:v>1</x:v>
      </x:c>
      <x:c r="K903" s="2" t="n">
        <x:f>I903-J903</x:f>
        <x:v>15</x:v>
      </x:c>
      <x:c r="L903" s="16" t="n">
        <x:v>28</x:v>
      </x:c>
      <x:c r="M903" s="16" t="n">
        <x:v>28</x:v>
      </x:c>
      <x:c r="N903" s="16" t="n">
        <x:v>13.58</x:v>
      </x:c>
      <x:c r="O903" s="16" t="n">
        <x:f>K903*M903</x:f>
        <x:v>420</x:v>
      </x:c>
      <x:c r="P903" s="16" t="n">
        <x:f>K903*N903</x:f>
        <x:v>203.7</x:v>
      </x:c>
      <x:c r="Q903" s="16" t="n">
        <x:f>O903-P903</x:f>
        <x:v>216.3</x:v>
      </x:c>
      <x:c r="R903" s="2" t="n">
        <x:v>138</x:v>
      </x:c>
      <x:c r="S903" s="2" t="n">
        <x:v>0</x:v>
      </x:c>
      <x:c r="T903" s="2" t="n">
        <x:f>R903+S903+J903-I903</x:f>
        <x:v>123</x:v>
      </x:c>
      <x:c r="U903" s="2" t="n">
        <x:v>0</x:v>
      </x:c>
      <x:c r="V903" s="2" t="n">
        <x:v>4</x:v>
      </x:c>
      <x:c r="W903" s="2" t="n">
        <x:v>11</x:v>
      </x:c>
      <x:c r="X903" s="14" t="b">
        <x:v>0</x:v>
      </x:c>
      <x:c r="Y903" s="14" t="b">
        <x:v>0</x:v>
      </x:c>
      <x:c r="Z903" s="2" t="n">
        <x:f>ABS(T903-AA903)</x:f>
        <x:v>0</x:v>
      </x:c>
      <x:c r="AA903" s="2" t="n">
        <x:v>123</x:v>
      </x:c>
      <x:c r="AB903" s="2" t="n">
        <x:f>ABS(K903-W903)</x:f>
        <x:v>4</x:v>
      </x:c>
      <x:c r="AC903" s="2" t="n">
        <x:f>COUNTIF($A$2:$A$1921,A903)-1</x:f>
        <x:v>0</x:v>
      </x:c>
      <x:c r="AD903" s="2" t="n">
        <x:f>IF(AND(D903=D902,H903=H902,C903=C902+1),ABS(R903-T902),0)</x:f>
        <x:v>0</x:v>
      </x:c>
    </x:row>
    <x:row r="904" ht="23" customHeight="1">
      <x:c r="A904" s="2" t="str">
        <x:v>DEMO-206-1-3</x:v>
      </x:c>
      <x:c r="B904" s="15" t="d">
        <x:v>2026-05-18T00:00:00.000Z</x:v>
      </x:c>
      <x:c r="C904" s="2" t="n">
        <x:v>3</x:v>
      </x:c>
      <x:c r="D904" s="2" t="str">
        <x:v>DEMO-206</x:v>
      </x:c>
      <x:c r="E904" s="2" t="str">
        <x:v>Memory Capsule</x:v>
      </x:c>
      <x:c r="F904" s="2" t="str">
        <x:v>Gifting</x:v>
      </x:c>
      <x:c r="G904" s="2" t="str">
        <x:v>Stores</x:v>
      </x:c>
      <x:c r="H904" s="2" t="str">
        <x:v>Riverside</x:v>
      </x:c>
      <x:c r="I904" s="2" t="n">
        <x:v>15</x:v>
      </x:c>
      <x:c r="J904" s="2" t="n">
        <x:v>0</x:v>
      </x:c>
      <x:c r="K904" s="2" t="n">
        <x:f>I904-J904</x:f>
        <x:v>15</x:v>
      </x:c>
      <x:c r="L904" s="16" t="n">
        <x:v>28</x:v>
      </x:c>
      <x:c r="M904" s="16" t="n">
        <x:v>28</x:v>
      </x:c>
      <x:c r="N904" s="16" t="n">
        <x:v>13.58</x:v>
      </x:c>
      <x:c r="O904" s="16" t="n">
        <x:f>K904*M904</x:f>
        <x:v>420</x:v>
      </x:c>
      <x:c r="P904" s="16" t="n">
        <x:f>K904*N904</x:f>
        <x:v>203.7</x:v>
      </x:c>
      <x:c r="Q904" s="16" t="n">
        <x:f>O904-P904</x:f>
        <x:v>216.3</x:v>
      </x:c>
      <x:c r="R904" s="2" t="n">
        <x:v>123</x:v>
      </x:c>
      <x:c r="S904" s="2" t="n">
        <x:v>0</x:v>
      </x:c>
      <x:c r="T904" s="2" t="n">
        <x:f>R904+S904+J904-I904</x:f>
        <x:v>108</x:v>
      </x:c>
      <x:c r="U904" s="2" t="n">
        <x:v>0</x:v>
      </x:c>
      <x:c r="V904" s="2" t="n">
        <x:v>4</x:v>
      </x:c>
      <x:c r="W904" s="2" t="n">
        <x:v>13</x:v>
      </x:c>
      <x:c r="X904" s="14" t="b">
        <x:v>0</x:v>
      </x:c>
      <x:c r="Y904" s="14" t="b">
        <x:v>0</x:v>
      </x:c>
      <x:c r="Z904" s="2" t="n">
        <x:f>ABS(T904-AA904)</x:f>
        <x:v>0</x:v>
      </x:c>
      <x:c r="AA904" s="2" t="n">
        <x:v>108</x:v>
      </x:c>
      <x:c r="AB904" s="2" t="n">
        <x:f>ABS(K904-W904)</x:f>
        <x:v>2</x:v>
      </x:c>
      <x:c r="AC904" s="2" t="n">
        <x:f>COUNTIF($A$2:$A$1921,A904)-1</x:f>
        <x:v>0</x:v>
      </x:c>
      <x:c r="AD904" s="2" t="n">
        <x:f>IF(AND(D904=D903,H904=H903,C904=C903+1),ABS(R904-T903),0)</x:f>
        <x:v>0</x:v>
      </x:c>
    </x:row>
    <x:row r="905" ht="23" customHeight="1">
      <x:c r="A905" s="2" t="str">
        <x:v>DEMO-206-1-4</x:v>
      </x:c>
      <x:c r="B905" s="15" t="d">
        <x:v>2026-05-25T00:00:00.000Z</x:v>
      </x:c>
      <x:c r="C905" s="2" t="n">
        <x:v>4</x:v>
      </x:c>
      <x:c r="D905" s="2" t="str">
        <x:v>DEMO-206</x:v>
      </x:c>
      <x:c r="E905" s="2" t="str">
        <x:v>Memory Capsule</x:v>
      </x:c>
      <x:c r="F905" s="2" t="str">
        <x:v>Gifting</x:v>
      </x:c>
      <x:c r="G905" s="2" t="str">
        <x:v>Stores</x:v>
      </x:c>
      <x:c r="H905" s="2" t="str">
        <x:v>Riverside</x:v>
      </x:c>
      <x:c r="I905" s="2" t="n">
        <x:v>13</x:v>
      </x:c>
      <x:c r="J905" s="2" t="n">
        <x:v>0</x:v>
      </x:c>
      <x:c r="K905" s="2" t="n">
        <x:f>I905-J905</x:f>
        <x:v>13</x:v>
      </x:c>
      <x:c r="L905" s="16" t="n">
        <x:v>28</x:v>
      </x:c>
      <x:c r="M905" s="16" t="n">
        <x:v>28</x:v>
      </x:c>
      <x:c r="N905" s="16" t="n">
        <x:v>13.58</x:v>
      </x:c>
      <x:c r="O905" s="16" t="n">
        <x:f>K905*M905</x:f>
        <x:v>364</x:v>
      </x:c>
      <x:c r="P905" s="16" t="n">
        <x:f>K905*N905</x:f>
        <x:v>176.54</x:v>
      </x:c>
      <x:c r="Q905" s="16" t="n">
        <x:f>O905-P905</x:f>
        <x:v>187.46</x:v>
      </x:c>
      <x:c r="R905" s="2" t="n">
        <x:v>108</x:v>
      </x:c>
      <x:c r="S905" s="2" t="n">
        <x:v>0</x:v>
      </x:c>
      <x:c r="T905" s="2" t="n">
        <x:f>R905+S905+J905-I905</x:f>
        <x:v>95</x:v>
      </x:c>
      <x:c r="U905" s="2" t="n">
        <x:v>0</x:v>
      </x:c>
      <x:c r="V905" s="2" t="n">
        <x:v>4</x:v>
      </x:c>
      <x:c r="W905" s="2" t="n">
        <x:v>14</x:v>
      </x:c>
      <x:c r="X905" s="14" t="b">
        <x:v>0</x:v>
      </x:c>
      <x:c r="Y905" s="14" t="b">
        <x:v>0</x:v>
      </x:c>
      <x:c r="Z905" s="2" t="n">
        <x:f>ABS(T905-AA905)</x:f>
        <x:v>0</x:v>
      </x:c>
      <x:c r="AA905" s="2" t="n">
        <x:v>95</x:v>
      </x:c>
      <x:c r="AB905" s="2" t="n">
        <x:f>ABS(K905-W905)</x:f>
        <x:v>1</x:v>
      </x:c>
      <x:c r="AC905" s="2" t="n">
        <x:f>COUNTIF($A$2:$A$1921,A905)-1</x:f>
        <x:v>0</x:v>
      </x:c>
      <x:c r="AD905" s="2" t="n">
        <x:f>IF(AND(D905=D904,H905=H904,C905=C904+1),ABS(R905-T904),0)</x:f>
        <x:v>0</x:v>
      </x:c>
    </x:row>
    <x:row r="906" ht="23" customHeight="1">
      <x:c r="A906" s="2" t="str">
        <x:v>DEMO-206-1-5</x:v>
      </x:c>
      <x:c r="B906" s="15" t="d">
        <x:v>2026-06-01T00:00:00.000Z</x:v>
      </x:c>
      <x:c r="C906" s="2" t="n">
        <x:v>5</x:v>
      </x:c>
      <x:c r="D906" s="2" t="str">
        <x:v>DEMO-206</x:v>
      </x:c>
      <x:c r="E906" s="2" t="str">
        <x:v>Memory Capsule</x:v>
      </x:c>
      <x:c r="F906" s="2" t="str">
        <x:v>Gifting</x:v>
      </x:c>
      <x:c r="G906" s="2" t="str">
        <x:v>Stores</x:v>
      </x:c>
      <x:c r="H906" s="2" t="str">
        <x:v>Riverside</x:v>
      </x:c>
      <x:c r="I906" s="2" t="n">
        <x:v>14</x:v>
      </x:c>
      <x:c r="J906" s="2" t="n">
        <x:v>0</x:v>
      </x:c>
      <x:c r="K906" s="2" t="n">
        <x:f>I906-J906</x:f>
        <x:v>14</x:v>
      </x:c>
      <x:c r="L906" s="16" t="n">
        <x:v>28</x:v>
      </x:c>
      <x:c r="M906" s="16" t="n">
        <x:v>28</x:v>
      </x:c>
      <x:c r="N906" s="16" t="n">
        <x:v>13.58</x:v>
      </x:c>
      <x:c r="O906" s="16" t="n">
        <x:f>K906*M906</x:f>
        <x:v>392</x:v>
      </x:c>
      <x:c r="P906" s="16" t="n">
        <x:f>K906*N906</x:f>
        <x:v>190.12</x:v>
      </x:c>
      <x:c r="Q906" s="16" t="n">
        <x:f>O906-P906</x:f>
        <x:v>201.88</x:v>
      </x:c>
      <x:c r="R906" s="2" t="n">
        <x:v>95</x:v>
      </x:c>
      <x:c r="S906" s="2" t="n">
        <x:v>59</x:v>
      </x:c>
      <x:c r="T906" s="2" t="n">
        <x:f>R906+S906+J906-I906</x:f>
        <x:v>140</x:v>
      </x:c>
      <x:c r="U906" s="2" t="n">
        <x:v>0</x:v>
      </x:c>
      <x:c r="V906" s="2" t="n">
        <x:v>4</x:v>
      </x:c>
      <x:c r="W906" s="2" t="n">
        <x:v>14</x:v>
      </x:c>
      <x:c r="X906" s="14" t="b">
        <x:v>0</x:v>
      </x:c>
      <x:c r="Y906" s="14" t="b">
        <x:v>0</x:v>
      </x:c>
      <x:c r="Z906" s="2" t="n">
        <x:f>ABS(T906-AA906)</x:f>
        <x:v>0</x:v>
      </x:c>
      <x:c r="AA906" s="2" t="n">
        <x:v>140</x:v>
      </x:c>
      <x:c r="AB906" s="2" t="n">
        <x:f>ABS(K906-W906)</x:f>
        <x:v>0</x:v>
      </x:c>
      <x:c r="AC906" s="2" t="n">
        <x:f>COUNTIF($A$2:$A$1921,A906)-1</x:f>
        <x:v>0</x:v>
      </x:c>
      <x:c r="AD906" s="2" t="n">
        <x:f>IF(AND(D906=D905,H906=H905,C906=C905+1),ABS(R906-T905),0)</x:f>
        <x:v>0</x:v>
      </x:c>
    </x:row>
    <x:row r="907" ht="23" customHeight="1">
      <x:c r="A907" s="2" t="str">
        <x:v>DEMO-206-1-6</x:v>
      </x:c>
      <x:c r="B907" s="15" t="d">
        <x:v>2026-06-08T00:00:00.000Z</x:v>
      </x:c>
      <x:c r="C907" s="2" t="n">
        <x:v>6</x:v>
      </x:c>
      <x:c r="D907" s="2" t="str">
        <x:v>DEMO-206</x:v>
      </x:c>
      <x:c r="E907" s="2" t="str">
        <x:v>Memory Capsule</x:v>
      </x:c>
      <x:c r="F907" s="2" t="str">
        <x:v>Gifting</x:v>
      </x:c>
      <x:c r="G907" s="2" t="str">
        <x:v>Stores</x:v>
      </x:c>
      <x:c r="H907" s="2" t="str">
        <x:v>Riverside</x:v>
      </x:c>
      <x:c r="I907" s="2" t="n">
        <x:v>11</x:v>
      </x:c>
      <x:c r="J907" s="2" t="n">
        <x:v>1</x:v>
      </x:c>
      <x:c r="K907" s="2" t="n">
        <x:f>I907-J907</x:f>
        <x:v>10</x:v>
      </x:c>
      <x:c r="L907" s="16" t="n">
        <x:v>28</x:v>
      </x:c>
      <x:c r="M907" s="16" t="n">
        <x:v>28</x:v>
      </x:c>
      <x:c r="N907" s="16" t="n">
        <x:v>13.58</x:v>
      </x:c>
      <x:c r="O907" s="16" t="n">
        <x:f>K907*M907</x:f>
        <x:v>280</x:v>
      </x:c>
      <x:c r="P907" s="16" t="n">
        <x:f>K907*N907</x:f>
        <x:v>135.8</x:v>
      </x:c>
      <x:c r="Q907" s="16" t="n">
        <x:f>O907-P907</x:f>
        <x:v>144.2</x:v>
      </x:c>
      <x:c r="R907" s="2" t="n">
        <x:v>140</x:v>
      </x:c>
      <x:c r="S907" s="2" t="n">
        <x:v>0</x:v>
      </x:c>
      <x:c r="T907" s="2" t="n">
        <x:f>R907+S907+J907-I907</x:f>
        <x:v>130</x:v>
      </x:c>
      <x:c r="U907" s="2" t="n">
        <x:v>0</x:v>
      </x:c>
      <x:c r="V907" s="2" t="n">
        <x:v>4</x:v>
      </x:c>
      <x:c r="W907" s="2" t="n">
        <x:v>14</x:v>
      </x:c>
      <x:c r="X907" s="14" t="b">
        <x:v>0</x:v>
      </x:c>
      <x:c r="Y907" s="14" t="b">
        <x:v>0</x:v>
      </x:c>
      <x:c r="Z907" s="2" t="n">
        <x:f>ABS(T907-AA907)</x:f>
        <x:v>0</x:v>
      </x:c>
      <x:c r="AA907" s="2" t="n">
        <x:v>130</x:v>
      </x:c>
      <x:c r="AB907" s="2" t="n">
        <x:f>ABS(K907-W907)</x:f>
        <x:v>4</x:v>
      </x:c>
      <x:c r="AC907" s="2" t="n">
        <x:f>COUNTIF($A$2:$A$1921,A907)-1</x:f>
        <x:v>0</x:v>
      </x:c>
      <x:c r="AD907" s="2" t="n">
        <x:f>IF(AND(D907=D906,H907=H906,C907=C906+1),ABS(R907-T906),0)</x:f>
        <x:v>0</x:v>
      </x:c>
    </x:row>
    <x:row r="908" ht="23" customHeight="1">
      <x:c r="A908" s="2" t="str">
        <x:v>DEMO-206-1-7</x:v>
      </x:c>
      <x:c r="B908" s="15" t="d">
        <x:v>2026-06-15T00:00:00.000Z</x:v>
      </x:c>
      <x:c r="C908" s="2" t="n">
        <x:v>7</x:v>
      </x:c>
      <x:c r="D908" s="2" t="str">
        <x:v>DEMO-206</x:v>
      </x:c>
      <x:c r="E908" s="2" t="str">
        <x:v>Memory Capsule</x:v>
      </x:c>
      <x:c r="F908" s="2" t="str">
        <x:v>Gifting</x:v>
      </x:c>
      <x:c r="G908" s="2" t="str">
        <x:v>Stores</x:v>
      </x:c>
      <x:c r="H908" s="2" t="str">
        <x:v>Riverside</x:v>
      </x:c>
      <x:c r="I908" s="2" t="n">
        <x:v>14</x:v>
      </x:c>
      <x:c r="J908" s="2" t="n">
        <x:v>0</x:v>
      </x:c>
      <x:c r="K908" s="2" t="n">
        <x:f>I908-J908</x:f>
        <x:v>14</x:v>
      </x:c>
      <x:c r="L908" s="16" t="n">
        <x:v>28</x:v>
      </x:c>
      <x:c r="M908" s="16" t="n">
        <x:v>28</x:v>
      </x:c>
      <x:c r="N908" s="16" t="n">
        <x:v>13.58</x:v>
      </x:c>
      <x:c r="O908" s="16" t="n">
        <x:f>K908*M908</x:f>
        <x:v>392</x:v>
      </x:c>
      <x:c r="P908" s="16" t="n">
        <x:f>K908*N908</x:f>
        <x:v>190.12</x:v>
      </x:c>
      <x:c r="Q908" s="16" t="n">
        <x:f>O908-P908</x:f>
        <x:v>201.88</x:v>
      </x:c>
      <x:c r="R908" s="2" t="n">
        <x:v>130</x:v>
      </x:c>
      <x:c r="S908" s="2" t="n">
        <x:v>0</x:v>
      </x:c>
      <x:c r="T908" s="2" t="n">
        <x:f>R908+S908+J908-I908</x:f>
        <x:v>116</x:v>
      </x:c>
      <x:c r="U908" s="2" t="n">
        <x:v>0</x:v>
      </x:c>
      <x:c r="V908" s="2" t="n">
        <x:v>4</x:v>
      </x:c>
      <x:c r="W908" s="2" t="n">
        <x:v>13</x:v>
      </x:c>
      <x:c r="X908" s="14" t="b">
        <x:v>0</x:v>
      </x:c>
      <x:c r="Y908" s="14" t="b">
        <x:v>0</x:v>
      </x:c>
      <x:c r="Z908" s="2" t="n">
        <x:f>ABS(T908-AA908)</x:f>
        <x:v>0</x:v>
      </x:c>
      <x:c r="AA908" s="2" t="n">
        <x:v>116</x:v>
      </x:c>
      <x:c r="AB908" s="2" t="n">
        <x:f>ABS(K908-W908)</x:f>
        <x:v>1</x:v>
      </x:c>
      <x:c r="AC908" s="2" t="n">
        <x:f>COUNTIF($A$2:$A$1921,A908)-1</x:f>
        <x:v>0</x:v>
      </x:c>
      <x:c r="AD908" s="2" t="n">
        <x:f>IF(AND(D908=D907,H908=H907,C908=C907+1),ABS(R908-T907),0)</x:f>
        <x:v>0</x:v>
      </x:c>
    </x:row>
    <x:row r="909" ht="23" customHeight="1">
      <x:c r="A909" s="2" t="str">
        <x:v>DEMO-206-1-8</x:v>
      </x:c>
      <x:c r="B909" s="15" t="d">
        <x:v>2026-06-22T00:00:00.000Z</x:v>
      </x:c>
      <x:c r="C909" s="2" t="n">
        <x:v>8</x:v>
      </x:c>
      <x:c r="D909" s="2" t="str">
        <x:v>DEMO-206</x:v>
      </x:c>
      <x:c r="E909" s="2" t="str">
        <x:v>Memory Capsule</x:v>
      </x:c>
      <x:c r="F909" s="2" t="str">
        <x:v>Gifting</x:v>
      </x:c>
      <x:c r="G909" s="2" t="str">
        <x:v>Stores</x:v>
      </x:c>
      <x:c r="H909" s="2" t="str">
        <x:v>Riverside</x:v>
      </x:c>
      <x:c r="I909" s="2" t="n">
        <x:v>16</x:v>
      </x:c>
      <x:c r="J909" s="2" t="n">
        <x:v>0</x:v>
      </x:c>
      <x:c r="K909" s="2" t="n">
        <x:f>I909-J909</x:f>
        <x:v>16</x:v>
      </x:c>
      <x:c r="L909" s="16" t="n">
        <x:v>28</x:v>
      </x:c>
      <x:c r="M909" s="16" t="n">
        <x:v>28</x:v>
      </x:c>
      <x:c r="N909" s="16" t="n">
        <x:v>13.58</x:v>
      </x:c>
      <x:c r="O909" s="16" t="n">
        <x:f>K909*M909</x:f>
        <x:v>448</x:v>
      </x:c>
      <x:c r="P909" s="16" t="n">
        <x:f>K909*N909</x:f>
        <x:v>217.28</x:v>
      </x:c>
      <x:c r="Q909" s="16" t="n">
        <x:f>O909-P909</x:f>
        <x:v>230.72</x:v>
      </x:c>
      <x:c r="R909" s="2" t="n">
        <x:v>116</x:v>
      </x:c>
      <x:c r="S909" s="2" t="n">
        <x:v>0</x:v>
      </x:c>
      <x:c r="T909" s="2" t="n">
        <x:f>R909+S909+J909-I909</x:f>
        <x:v>100</x:v>
      </x:c>
      <x:c r="U909" s="2" t="n">
        <x:v>0</x:v>
      </x:c>
      <x:c r="V909" s="2" t="n">
        <x:v>4</x:v>
      </x:c>
      <x:c r="W909" s="2" t="n">
        <x:v>13</x:v>
      </x:c>
      <x:c r="X909" s="14" t="b">
        <x:v>0</x:v>
      </x:c>
      <x:c r="Y909" s="14" t="b">
        <x:v>0</x:v>
      </x:c>
      <x:c r="Z909" s="2" t="n">
        <x:f>ABS(T909-AA909)</x:f>
        <x:v>0</x:v>
      </x:c>
      <x:c r="AA909" s="2" t="n">
        <x:v>100</x:v>
      </x:c>
      <x:c r="AB909" s="2" t="n">
        <x:f>ABS(K909-W909)</x:f>
        <x:v>3</x:v>
      </x:c>
      <x:c r="AC909" s="2" t="n">
        <x:f>COUNTIF($A$2:$A$1921,A909)-1</x:f>
        <x:v>0</x:v>
      </x:c>
      <x:c r="AD909" s="2" t="n">
        <x:f>IF(AND(D909=D908,H909=H908,C909=C908+1),ABS(R909-T908),0)</x:f>
        <x:v>0</x:v>
      </x:c>
    </x:row>
    <x:row r="910" ht="23" customHeight="1">
      <x:c r="A910" s="2" t="str">
        <x:v>DEMO-206-1-9</x:v>
      </x:c>
      <x:c r="B910" s="15" t="d">
        <x:v>2026-06-29T00:00:00.000Z</x:v>
      </x:c>
      <x:c r="C910" s="2" t="n">
        <x:v>9</x:v>
      </x:c>
      <x:c r="D910" s="2" t="str">
        <x:v>DEMO-206</x:v>
      </x:c>
      <x:c r="E910" s="2" t="str">
        <x:v>Memory Capsule</x:v>
      </x:c>
      <x:c r="F910" s="2" t="str">
        <x:v>Gifting</x:v>
      </x:c>
      <x:c r="G910" s="2" t="str">
        <x:v>Stores</x:v>
      </x:c>
      <x:c r="H910" s="2" t="str">
        <x:v>Riverside</x:v>
      </x:c>
      <x:c r="I910" s="2" t="n">
        <x:v>14</x:v>
      </x:c>
      <x:c r="J910" s="2" t="n">
        <x:v>1</x:v>
      </x:c>
      <x:c r="K910" s="2" t="n">
        <x:f>I910-J910</x:f>
        <x:v>13</x:v>
      </x:c>
      <x:c r="L910" s="16" t="n">
        <x:v>28</x:v>
      </x:c>
      <x:c r="M910" s="16" t="n">
        <x:v>28</x:v>
      </x:c>
      <x:c r="N910" s="16" t="n">
        <x:v>13.58</x:v>
      </x:c>
      <x:c r="O910" s="16" t="n">
        <x:f>K910*M910</x:f>
        <x:v>364</x:v>
      </x:c>
      <x:c r="P910" s="16" t="n">
        <x:f>K910*N910</x:f>
        <x:v>176.54</x:v>
      </x:c>
      <x:c r="Q910" s="16" t="n">
        <x:f>O910-P910</x:f>
        <x:v>187.46</x:v>
      </x:c>
      <x:c r="R910" s="2" t="n">
        <x:v>100</x:v>
      </x:c>
      <x:c r="S910" s="2" t="n">
        <x:v>59</x:v>
      </x:c>
      <x:c r="T910" s="2" t="n">
        <x:f>R910+S910+J910-I910</x:f>
        <x:v>146</x:v>
      </x:c>
      <x:c r="U910" s="2" t="n">
        <x:v>0</x:v>
      </x:c>
      <x:c r="V910" s="2" t="n">
        <x:v>4</x:v>
      </x:c>
      <x:c r="W910" s="2" t="n">
        <x:v>14</x:v>
      </x:c>
      <x:c r="X910" s="14" t="b">
        <x:v>0</x:v>
      </x:c>
      <x:c r="Y910" s="14" t="b">
        <x:v>0</x:v>
      </x:c>
      <x:c r="Z910" s="2" t="n">
        <x:f>ABS(T910-AA910)</x:f>
        <x:v>0</x:v>
      </x:c>
      <x:c r="AA910" s="2" t="n">
        <x:v>146</x:v>
      </x:c>
      <x:c r="AB910" s="2" t="n">
        <x:f>ABS(K910-W910)</x:f>
        <x:v>1</x:v>
      </x:c>
      <x:c r="AC910" s="2" t="n">
        <x:f>COUNTIF($A$2:$A$1921,A910)-1</x:f>
        <x:v>0</x:v>
      </x:c>
      <x:c r="AD910" s="2" t="n">
        <x:f>IF(AND(D910=D909,H910=H909,C910=C909+1),ABS(R910-T909),0)</x:f>
        <x:v>0</x:v>
      </x:c>
    </x:row>
    <x:row r="911" ht="23" customHeight="1">
      <x:c r="A911" s="2" t="str">
        <x:v>DEMO-206-1-10</x:v>
      </x:c>
      <x:c r="B911" s="15" t="d">
        <x:v>2026-07-06T00:00:00.000Z</x:v>
      </x:c>
      <x:c r="C911" s="2" t="n">
        <x:v>10</x:v>
      </x:c>
      <x:c r="D911" s="2" t="str">
        <x:v>DEMO-206</x:v>
      </x:c>
      <x:c r="E911" s="2" t="str">
        <x:v>Memory Capsule</x:v>
      </x:c>
      <x:c r="F911" s="2" t="str">
        <x:v>Gifting</x:v>
      </x:c>
      <x:c r="G911" s="2" t="str">
        <x:v>Stores</x:v>
      </x:c>
      <x:c r="H911" s="2" t="str">
        <x:v>Riverside</x:v>
      </x:c>
      <x:c r="I911" s="2" t="n">
        <x:v>13</x:v>
      </x:c>
      <x:c r="J911" s="2" t="n">
        <x:v>0</x:v>
      </x:c>
      <x:c r="K911" s="2" t="n">
        <x:f>I911-J911</x:f>
        <x:v>13</x:v>
      </x:c>
      <x:c r="L911" s="16" t="n">
        <x:v>28</x:v>
      </x:c>
      <x:c r="M911" s="16" t="n">
        <x:v>28</x:v>
      </x:c>
      <x:c r="N911" s="16" t="n">
        <x:v>13.58</x:v>
      </x:c>
      <x:c r="O911" s="16" t="n">
        <x:f>K911*M911</x:f>
        <x:v>364</x:v>
      </x:c>
      <x:c r="P911" s="16" t="n">
        <x:f>K911*N911</x:f>
        <x:v>176.54</x:v>
      </x:c>
      <x:c r="Q911" s="16" t="n">
        <x:f>O911-P911</x:f>
        <x:v>187.46</x:v>
      </x:c>
      <x:c r="R911" s="2" t="n">
        <x:v>146</x:v>
      </x:c>
      <x:c r="S911" s="2" t="n">
        <x:v>0</x:v>
      </x:c>
      <x:c r="T911" s="2" t="n">
        <x:f>R911+S911+J911-I911</x:f>
        <x:v>133</x:v>
      </x:c>
      <x:c r="U911" s="2" t="n">
        <x:v>0</x:v>
      </x:c>
      <x:c r="V911" s="2" t="n">
        <x:v>4</x:v>
      </x:c>
      <x:c r="W911" s="2" t="n">
        <x:v>13</x:v>
      </x:c>
      <x:c r="X911" s="14" t="b">
        <x:v>0</x:v>
      </x:c>
      <x:c r="Y911" s="14" t="b">
        <x:v>0</x:v>
      </x:c>
      <x:c r="Z911" s="2" t="n">
        <x:f>ABS(T911-AA911)</x:f>
        <x:v>0</x:v>
      </x:c>
      <x:c r="AA911" s="2" t="n">
        <x:v>133</x:v>
      </x:c>
      <x:c r="AB911" s="2" t="n">
        <x:f>ABS(K911-W911)</x:f>
        <x:v>0</x:v>
      </x:c>
      <x:c r="AC911" s="2" t="n">
        <x:f>COUNTIF($A$2:$A$1921,A911)-1</x:f>
        <x:v>0</x:v>
      </x:c>
      <x:c r="AD911" s="2" t="n">
        <x:f>IF(AND(D911=D910,H911=H910,C911=C910+1),ABS(R911-T910),0)</x:f>
        <x:v>0</x:v>
      </x:c>
    </x:row>
    <x:row r="912" ht="23" customHeight="1">
      <x:c r="A912" s="2" t="str">
        <x:v>DEMO-206-1-11</x:v>
      </x:c>
      <x:c r="B912" s="15" t="d">
        <x:v>2026-07-13T00:00:00.000Z</x:v>
      </x:c>
      <x:c r="C912" s="2" t="n">
        <x:v>11</x:v>
      </x:c>
      <x:c r="D912" s="2" t="str">
        <x:v>DEMO-206</x:v>
      </x:c>
      <x:c r="E912" s="2" t="str">
        <x:v>Memory Capsule</x:v>
      </x:c>
      <x:c r="F912" s="2" t="str">
        <x:v>Gifting</x:v>
      </x:c>
      <x:c r="G912" s="2" t="str">
        <x:v>Stores</x:v>
      </x:c>
      <x:c r="H912" s="2" t="str">
        <x:v>Riverside</x:v>
      </x:c>
      <x:c r="I912" s="2" t="n">
        <x:v>16</x:v>
      </x:c>
      <x:c r="J912" s="2" t="n">
        <x:v>0</x:v>
      </x:c>
      <x:c r="K912" s="2" t="n">
        <x:f>I912-J912</x:f>
        <x:v>16</x:v>
      </x:c>
      <x:c r="L912" s="16" t="n">
        <x:v>28</x:v>
      </x:c>
      <x:c r="M912" s="16" t="n">
        <x:v>28</x:v>
      </x:c>
      <x:c r="N912" s="16" t="n">
        <x:v>13.58</x:v>
      </x:c>
      <x:c r="O912" s="16" t="n">
        <x:f>K912*M912</x:f>
        <x:v>448</x:v>
      </x:c>
      <x:c r="P912" s="16" t="n">
        <x:f>K912*N912</x:f>
        <x:v>217.28</x:v>
      </x:c>
      <x:c r="Q912" s="16" t="n">
        <x:f>O912-P912</x:f>
        <x:v>230.72</x:v>
      </x:c>
      <x:c r="R912" s="2" t="n">
        <x:v>133</x:v>
      </x:c>
      <x:c r="S912" s="2" t="n">
        <x:v>0</x:v>
      </x:c>
      <x:c r="T912" s="2" t="n">
        <x:f>R912+S912+J912-I912</x:f>
        <x:v>117</x:v>
      </x:c>
      <x:c r="U912" s="2" t="n">
        <x:v>0</x:v>
      </x:c>
      <x:c r="V912" s="2" t="n">
        <x:v>4</x:v>
      </x:c>
      <x:c r="W912" s="2" t="n">
        <x:v>14</x:v>
      </x:c>
      <x:c r="X912" s="14" t="b">
        <x:v>0</x:v>
      </x:c>
      <x:c r="Y912" s="14" t="b">
        <x:v>0</x:v>
      </x:c>
      <x:c r="Z912" s="2" t="n">
        <x:f>ABS(T912-AA912)</x:f>
        <x:v>0</x:v>
      </x:c>
      <x:c r="AA912" s="2" t="n">
        <x:v>117</x:v>
      </x:c>
      <x:c r="AB912" s="2" t="n">
        <x:f>ABS(K912-W912)</x:f>
        <x:v>2</x:v>
      </x:c>
      <x:c r="AC912" s="2" t="n">
        <x:f>COUNTIF($A$2:$A$1921,A912)-1</x:f>
        <x:v>0</x:v>
      </x:c>
      <x:c r="AD912" s="2" t="n">
        <x:f>IF(AND(D912=D911,H912=H911,C912=C911+1),ABS(R912-T911),0)</x:f>
        <x:v>0</x:v>
      </x:c>
    </x:row>
    <x:row r="913" ht="23" customHeight="1">
      <x:c r="A913" s="2" t="str">
        <x:v>DEMO-206-1-12</x:v>
      </x:c>
      <x:c r="B913" s="15" t="d">
        <x:v>2026-07-20T00:00:00.000Z</x:v>
      </x:c>
      <x:c r="C913" s="2" t="n">
        <x:v>12</x:v>
      </x:c>
      <x:c r="D913" s="2" t="str">
        <x:v>DEMO-206</x:v>
      </x:c>
      <x:c r="E913" s="2" t="str">
        <x:v>Memory Capsule</x:v>
      </x:c>
      <x:c r="F913" s="2" t="str">
        <x:v>Gifting</x:v>
      </x:c>
      <x:c r="G913" s="2" t="str">
        <x:v>Stores</x:v>
      </x:c>
      <x:c r="H913" s="2" t="str">
        <x:v>Riverside</x:v>
      </x:c>
      <x:c r="I913" s="2" t="n">
        <x:v>27</x:v>
      </x:c>
      <x:c r="J913" s="2" t="n">
        <x:v>1</x:v>
      </x:c>
      <x:c r="K913" s="2" t="n">
        <x:f>I913-J913</x:f>
        <x:v>26</x:v>
      </x:c>
      <x:c r="L913" s="16" t="n">
        <x:v>28</x:v>
      </x:c>
      <x:c r="M913" s="16" t="n">
        <x:v>25.2</x:v>
      </x:c>
      <x:c r="N913" s="16" t="n">
        <x:v>13.58</x:v>
      </x:c>
      <x:c r="O913" s="16" t="n">
        <x:f>K913*M913</x:f>
        <x:v>655.1999999999999</x:v>
      </x:c>
      <x:c r="P913" s="16" t="n">
        <x:f>K913*N913</x:f>
        <x:v>353.08</x:v>
      </x:c>
      <x:c r="Q913" s="16" t="n">
        <x:f>O913-P913</x:f>
        <x:v>302.11999999999995</x:v>
      </x:c>
      <x:c r="R913" s="2" t="n">
        <x:v>117</x:v>
      </x:c>
      <x:c r="S913" s="2" t="n">
        <x:v>0</x:v>
      </x:c>
      <x:c r="T913" s="2" t="n">
        <x:f>R913+S913+J913-I913</x:f>
        <x:v>91</x:v>
      </x:c>
      <x:c r="U913" s="2" t="n">
        <x:v>0</x:v>
      </x:c>
      <x:c r="V913" s="2" t="n">
        <x:v>4</x:v>
      </x:c>
      <x:c r="W913" s="2" t="n">
        <x:v>15</x:v>
      </x:c>
      <x:c r="X913" s="14" t="b">
        <x:v>1</x:v>
      </x:c>
      <x:c r="Y913" s="14" t="b">
        <x:v>0</x:v>
      </x:c>
      <x:c r="Z913" s="2" t="n">
        <x:f>ABS(T913-AA913)</x:f>
        <x:v>0</x:v>
      </x:c>
      <x:c r="AA913" s="2" t="n">
        <x:v>91</x:v>
      </x:c>
      <x:c r="AB913" s="2" t="n">
        <x:f>ABS(K913-W913)</x:f>
        <x:v>11</x:v>
      </x:c>
      <x:c r="AC913" s="2" t="n">
        <x:f>COUNTIF($A$2:$A$1921,A913)-1</x:f>
        <x:v>0</x:v>
      </x:c>
      <x:c r="AD913" s="2" t="n">
        <x:f>IF(AND(D913=D912,H913=H912,C913=C912+1),ABS(R913-T912),0)</x:f>
        <x:v>0</x:v>
      </x:c>
    </x:row>
    <x:row r="914" ht="23" customHeight="1">
      <x:c r="A914" s="2" t="str">
        <x:v>DEMO-206-1-13</x:v>
      </x:c>
      <x:c r="B914" s="15" t="d">
        <x:v>2026-07-27T00:00:00.000Z</x:v>
      </x:c>
      <x:c r="C914" s="2" t="n">
        <x:v>13</x:v>
      </x:c>
      <x:c r="D914" s="2" t="str">
        <x:v>DEMO-206</x:v>
      </x:c>
      <x:c r="E914" s="2" t="str">
        <x:v>Memory Capsule</x:v>
      </x:c>
      <x:c r="F914" s="2" t="str">
        <x:v>Gifting</x:v>
      </x:c>
      <x:c r="G914" s="2" t="str">
        <x:v>Stores</x:v>
      </x:c>
      <x:c r="H914" s="2" t="str">
        <x:v>Riverside</x:v>
      </x:c>
      <x:c r="I914" s="2" t="n">
        <x:v>34</x:v>
      </x:c>
      <x:c r="J914" s="2" t="n">
        <x:v>0</x:v>
      </x:c>
      <x:c r="K914" s="2" t="n">
        <x:f>I914-J914</x:f>
        <x:v>34</x:v>
      </x:c>
      <x:c r="L914" s="16" t="n">
        <x:v>28</x:v>
      </x:c>
      <x:c r="M914" s="16" t="n">
        <x:v>25.2</x:v>
      </x:c>
      <x:c r="N914" s="16" t="n">
        <x:v>13.58</x:v>
      </x:c>
      <x:c r="O914" s="16" t="n">
        <x:f>K914*M914</x:f>
        <x:v>856.8</x:v>
      </x:c>
      <x:c r="P914" s="16" t="n">
        <x:f>K914*N914</x:f>
        <x:v>461.72</x:v>
      </x:c>
      <x:c r="Q914" s="16" t="n">
        <x:f>O914-P914</x:f>
        <x:v>395.0799999999999</x:v>
      </x:c>
      <x:c r="R914" s="2" t="n">
        <x:v>91</x:v>
      </x:c>
      <x:c r="S914" s="2" t="n">
        <x:v>59</x:v>
      </x:c>
      <x:c r="T914" s="2" t="n">
        <x:f>R914+S914+J914-I914</x:f>
        <x:v>116</x:v>
      </x:c>
      <x:c r="U914" s="2" t="n">
        <x:v>0</x:v>
      </x:c>
      <x:c r="V914" s="2" t="n">
        <x:v>4</x:v>
      </x:c>
      <x:c r="W914" s="2" t="n">
        <x:v>17</x:v>
      </x:c>
      <x:c r="X914" s="14" t="b">
        <x:v>1</x:v>
      </x:c>
      <x:c r="Y914" s="14" t="b">
        <x:v>0</x:v>
      </x:c>
      <x:c r="Z914" s="2" t="n">
        <x:f>ABS(T914-AA914)</x:f>
        <x:v>0</x:v>
      </x:c>
      <x:c r="AA914" s="2" t="n">
        <x:v>116</x:v>
      </x:c>
      <x:c r="AB914" s="2" t="n">
        <x:f>ABS(K914-W914)</x:f>
        <x:v>17</x:v>
      </x:c>
      <x:c r="AC914" s="2" t="n">
        <x:f>COUNTIF($A$2:$A$1921,A914)-1</x:f>
        <x:v>0</x:v>
      </x:c>
      <x:c r="AD914" s="2" t="n">
        <x:f>IF(AND(D914=D913,H914=H913,C914=C913+1),ABS(R914-T913),0)</x:f>
        <x:v>0</x:v>
      </x:c>
    </x:row>
    <x:row r="915" ht="23" customHeight="1">
      <x:c r="A915" s="2" t="str">
        <x:v>DEMO-206-1-14</x:v>
      </x:c>
      <x:c r="B915" s="15" t="d">
        <x:v>2026-08-03T00:00:00.000Z</x:v>
      </x:c>
      <x:c r="C915" s="2" t="n">
        <x:v>14</x:v>
      </x:c>
      <x:c r="D915" s="2" t="str">
        <x:v>DEMO-206</x:v>
      </x:c>
      <x:c r="E915" s="2" t="str">
        <x:v>Memory Capsule</x:v>
      </x:c>
      <x:c r="F915" s="2" t="str">
        <x:v>Gifting</x:v>
      </x:c>
      <x:c r="G915" s="2" t="str">
        <x:v>Stores</x:v>
      </x:c>
      <x:c r="H915" s="2" t="str">
        <x:v>Riverside</x:v>
      </x:c>
      <x:c r="I915" s="2" t="n">
        <x:v>34</x:v>
      </x:c>
      <x:c r="J915" s="2" t="n">
        <x:v>1</x:v>
      </x:c>
      <x:c r="K915" s="2" t="n">
        <x:f>I915-J915</x:f>
        <x:v>33</x:v>
      </x:c>
      <x:c r="L915" s="16" t="n">
        <x:v>28</x:v>
      </x:c>
      <x:c r="M915" s="16" t="n">
        <x:v>25.2</x:v>
      </x:c>
      <x:c r="N915" s="16" t="n">
        <x:v>13.58</x:v>
      </x:c>
      <x:c r="O915" s="16" t="n">
        <x:f>K915*M915</x:f>
        <x:v>831.6</x:v>
      </x:c>
      <x:c r="P915" s="16" t="n">
        <x:f>K915*N915</x:f>
        <x:v>448.14</x:v>
      </x:c>
      <x:c r="Q915" s="16" t="n">
        <x:f>O915-P915</x:f>
        <x:v>383.46000000000004</x:v>
      </x:c>
      <x:c r="R915" s="2" t="n">
        <x:v>116</x:v>
      </x:c>
      <x:c r="S915" s="2" t="n">
        <x:v>0</x:v>
      </x:c>
      <x:c r="T915" s="2" t="n">
        <x:f>R915+S915+J915-I915</x:f>
        <x:v>83</x:v>
      </x:c>
      <x:c r="U915" s="2" t="n">
        <x:v>0</x:v>
      </x:c>
      <x:c r="V915" s="2" t="n">
        <x:v>4</x:v>
      </x:c>
      <x:c r="W915" s="2" t="n">
        <x:v>22</x:v>
      </x:c>
      <x:c r="X915" s="14" t="b">
        <x:v>1</x:v>
      </x:c>
      <x:c r="Y915" s="14" t="b">
        <x:v>0</x:v>
      </x:c>
      <x:c r="Z915" s="2" t="n">
        <x:f>ABS(T915-AA915)</x:f>
        <x:v>0</x:v>
      </x:c>
      <x:c r="AA915" s="2" t="n">
        <x:v>83</x:v>
      </x:c>
      <x:c r="AB915" s="2" t="n">
        <x:f>ABS(K915-W915)</x:f>
        <x:v>11</x:v>
      </x:c>
      <x:c r="AC915" s="2" t="n">
        <x:f>COUNTIF($A$2:$A$1921,A915)-1</x:f>
        <x:v>0</x:v>
      </x:c>
      <x:c r="AD915" s="2" t="n">
        <x:f>IF(AND(D915=D914,H915=H914,C915=C914+1),ABS(R915-T914),0)</x:f>
        <x:v>0</x:v>
      </x:c>
    </x:row>
    <x:row r="916" ht="23" customHeight="1">
      <x:c r="A916" s="2" t="str">
        <x:v>DEMO-206-1-15</x:v>
      </x:c>
      <x:c r="B916" s="15" t="d">
        <x:v>2026-08-10T00:00:00.000Z</x:v>
      </x:c>
      <x:c r="C916" s="2" t="n">
        <x:v>15</x:v>
      </x:c>
      <x:c r="D916" s="2" t="str">
        <x:v>DEMO-206</x:v>
      </x:c>
      <x:c r="E916" s="2" t="str">
        <x:v>Memory Capsule</x:v>
      </x:c>
      <x:c r="F916" s="2" t="str">
        <x:v>Gifting</x:v>
      </x:c>
      <x:c r="G916" s="2" t="str">
        <x:v>Stores</x:v>
      </x:c>
      <x:c r="H916" s="2" t="str">
        <x:v>Riverside</x:v>
      </x:c>
      <x:c r="I916" s="2" t="n">
        <x:v>11</x:v>
      </x:c>
      <x:c r="J916" s="2" t="n">
        <x:v>0</x:v>
      </x:c>
      <x:c r="K916" s="2" t="n">
        <x:f>I916-J916</x:f>
        <x:v>11</x:v>
      </x:c>
      <x:c r="L916" s="16" t="n">
        <x:v>28</x:v>
      </x:c>
      <x:c r="M916" s="16" t="n">
        <x:v>28</x:v>
      </x:c>
      <x:c r="N916" s="16" t="n">
        <x:v>13.58</x:v>
      </x:c>
      <x:c r="O916" s="16" t="n">
        <x:f>K916*M916</x:f>
        <x:v>308</x:v>
      </x:c>
      <x:c r="P916" s="16" t="n">
        <x:f>K916*N916</x:f>
        <x:v>149.38</x:v>
      </x:c>
      <x:c r="Q916" s="16" t="n">
        <x:f>O916-P916</x:f>
        <x:v>158.62</x:v>
      </x:c>
      <x:c r="R916" s="2" t="n">
        <x:v>83</x:v>
      </x:c>
      <x:c r="S916" s="2" t="n">
        <x:v>0</x:v>
      </x:c>
      <x:c r="T916" s="2" t="n">
        <x:f>R916+S916+J916-I916</x:f>
        <x:v>72</x:v>
      </x:c>
      <x:c r="U916" s="2" t="n">
        <x:v>0</x:v>
      </x:c>
      <x:c r="V916" s="2" t="n">
        <x:v>4</x:v>
      </x:c>
      <x:c r="W916" s="2" t="n">
        <x:v>27</x:v>
      </x:c>
      <x:c r="X916" s="14" t="b">
        <x:v>0</x:v>
      </x:c>
      <x:c r="Y916" s="14" t="b">
        <x:v>0</x:v>
      </x:c>
      <x:c r="Z916" s="2" t="n">
        <x:f>ABS(T916-AA916)</x:f>
        <x:v>0</x:v>
      </x:c>
      <x:c r="AA916" s="2" t="n">
        <x:v>72</x:v>
      </x:c>
      <x:c r="AB916" s="2" t="n">
        <x:f>ABS(K916-W916)</x:f>
        <x:v>16</x:v>
      </x:c>
      <x:c r="AC916" s="2" t="n">
        <x:f>COUNTIF($A$2:$A$1921,A916)-1</x:f>
        <x:v>0</x:v>
      </x:c>
      <x:c r="AD916" s="2" t="n">
        <x:f>IF(AND(D916=D915,H916=H915,C916=C915+1),ABS(R916-T915),0)</x:f>
        <x:v>0</x:v>
      </x:c>
    </x:row>
    <x:row r="917" ht="23" customHeight="1">
      <x:c r="A917" s="2" t="str">
        <x:v>DEMO-206-1-16</x:v>
      </x:c>
      <x:c r="B917" s="15" t="d">
        <x:v>2026-08-17T00:00:00.000Z</x:v>
      </x:c>
      <x:c r="C917" s="2" t="n">
        <x:v>16</x:v>
      </x:c>
      <x:c r="D917" s="2" t="str">
        <x:v>DEMO-206</x:v>
      </x:c>
      <x:c r="E917" s="2" t="str">
        <x:v>Memory Capsule</x:v>
      </x:c>
      <x:c r="F917" s="2" t="str">
        <x:v>Gifting</x:v>
      </x:c>
      <x:c r="G917" s="2" t="str">
        <x:v>Stores</x:v>
      </x:c>
      <x:c r="H917" s="2" t="str">
        <x:v>Riverside</x:v>
      </x:c>
      <x:c r="I917" s="2" t="n">
        <x:v>13</x:v>
      </x:c>
      <x:c r="J917" s="2" t="n">
        <x:v>0</x:v>
      </x:c>
      <x:c r="K917" s="2" t="n">
        <x:f>I917-J917</x:f>
        <x:v>13</x:v>
      </x:c>
      <x:c r="L917" s="16" t="n">
        <x:v>28</x:v>
      </x:c>
      <x:c r="M917" s="16" t="n">
        <x:v>28</x:v>
      </x:c>
      <x:c r="N917" s="16" t="n">
        <x:v>13.58</x:v>
      </x:c>
      <x:c r="O917" s="16" t="n">
        <x:f>K917*M917</x:f>
        <x:v>364</x:v>
      </x:c>
      <x:c r="P917" s="16" t="n">
        <x:f>K917*N917</x:f>
        <x:v>176.54</x:v>
      </x:c>
      <x:c r="Q917" s="16" t="n">
        <x:f>O917-P917</x:f>
        <x:v>187.46</x:v>
      </x:c>
      <x:c r="R917" s="2" t="n">
        <x:v>72</x:v>
      </x:c>
      <x:c r="S917" s="2" t="n">
        <x:v>0</x:v>
      </x:c>
      <x:c r="T917" s="2" t="n">
        <x:f>R917+S917+J917-I917</x:f>
        <x:v>59</x:v>
      </x:c>
      <x:c r="U917" s="2" t="n">
        <x:v>0</x:v>
      </x:c>
      <x:c r="V917" s="2" t="n">
        <x:v>4</x:v>
      </x:c>
      <x:c r="W917" s="2" t="n">
        <x:v>26</x:v>
      </x:c>
      <x:c r="X917" s="14" t="b">
        <x:v>0</x:v>
      </x:c>
      <x:c r="Y917" s="14" t="b">
        <x:v>0</x:v>
      </x:c>
      <x:c r="Z917" s="2" t="n">
        <x:f>ABS(T917-AA917)</x:f>
        <x:v>0</x:v>
      </x:c>
      <x:c r="AA917" s="2" t="n">
        <x:v>59</x:v>
      </x:c>
      <x:c r="AB917" s="2" t="n">
        <x:f>ABS(K917-W917)</x:f>
        <x:v>13</x:v>
      </x:c>
      <x:c r="AC917" s="2" t="n">
        <x:f>COUNTIF($A$2:$A$1921,A917)-1</x:f>
        <x:v>0</x:v>
      </x:c>
      <x:c r="AD917" s="2" t="n">
        <x:f>IF(AND(D917=D916,H917=H916,C917=C916+1),ABS(R917-T916),0)</x:f>
        <x:v>0</x:v>
      </x:c>
    </x:row>
    <x:row r="918" ht="23" customHeight="1">
      <x:c r="A918" s="2" t="str">
        <x:v>DEMO-206-1-17</x:v>
      </x:c>
      <x:c r="B918" s="15" t="d">
        <x:v>2026-08-24T00:00:00.000Z</x:v>
      </x:c>
      <x:c r="C918" s="2" t="n">
        <x:v>17</x:v>
      </x:c>
      <x:c r="D918" s="2" t="str">
        <x:v>DEMO-206</x:v>
      </x:c>
      <x:c r="E918" s="2" t="str">
        <x:v>Memory Capsule</x:v>
      </x:c>
      <x:c r="F918" s="2" t="str">
        <x:v>Gifting</x:v>
      </x:c>
      <x:c r="G918" s="2" t="str">
        <x:v>Stores</x:v>
      </x:c>
      <x:c r="H918" s="2" t="str">
        <x:v>Riverside</x:v>
      </x:c>
      <x:c r="I918" s="2" t="n">
        <x:v>13</x:v>
      </x:c>
      <x:c r="J918" s="2" t="n">
        <x:v>0</x:v>
      </x:c>
      <x:c r="K918" s="2" t="n">
        <x:f>I918-J918</x:f>
        <x:v>13</x:v>
      </x:c>
      <x:c r="L918" s="16" t="n">
        <x:v>28</x:v>
      </x:c>
      <x:c r="M918" s="16" t="n">
        <x:v>28</x:v>
      </x:c>
      <x:c r="N918" s="16" t="n">
        <x:v>13.58</x:v>
      </x:c>
      <x:c r="O918" s="16" t="n">
        <x:f>K918*M918</x:f>
        <x:v>364</x:v>
      </x:c>
      <x:c r="P918" s="16" t="n">
        <x:f>K918*N918</x:f>
        <x:v>176.54</x:v>
      </x:c>
      <x:c r="Q918" s="16" t="n">
        <x:f>O918-P918</x:f>
        <x:v>187.46</x:v>
      </x:c>
      <x:c r="R918" s="2" t="n">
        <x:v>59</x:v>
      </x:c>
      <x:c r="S918" s="2" t="n">
        <x:v>59</x:v>
      </x:c>
      <x:c r="T918" s="2" t="n">
        <x:f>R918+S918+J918-I918</x:f>
        <x:v>105</x:v>
      </x:c>
      <x:c r="U918" s="2" t="n">
        <x:v>0</x:v>
      </x:c>
      <x:c r="V918" s="2" t="n">
        <x:v>4</x:v>
      </x:c>
      <x:c r="W918" s="2" t="n">
        <x:v>23</x:v>
      </x:c>
      <x:c r="X918" s="14" t="b">
        <x:v>0</x:v>
      </x:c>
      <x:c r="Y918" s="14" t="b">
        <x:v>0</x:v>
      </x:c>
      <x:c r="Z918" s="2" t="n">
        <x:f>ABS(T918-AA918)</x:f>
        <x:v>0</x:v>
      </x:c>
      <x:c r="AA918" s="2" t="n">
        <x:v>105</x:v>
      </x:c>
      <x:c r="AB918" s="2" t="n">
        <x:f>ABS(K918-W918)</x:f>
        <x:v>10</x:v>
      </x:c>
      <x:c r="AC918" s="2" t="n">
        <x:f>COUNTIF($A$2:$A$1921,A918)-1</x:f>
        <x:v>0</x:v>
      </x:c>
      <x:c r="AD918" s="2" t="n">
        <x:f>IF(AND(D918=D917,H918=H917,C918=C917+1),ABS(R918-T917),0)</x:f>
        <x:v>0</x:v>
      </x:c>
    </x:row>
    <x:row r="919" ht="23" customHeight="1">
      <x:c r="A919" s="2" t="str">
        <x:v>DEMO-206-1-18</x:v>
      </x:c>
      <x:c r="B919" s="15" t="d">
        <x:v>2026-08-31T00:00:00.000Z</x:v>
      </x:c>
      <x:c r="C919" s="2" t="n">
        <x:v>18</x:v>
      </x:c>
      <x:c r="D919" s="2" t="str">
        <x:v>DEMO-206</x:v>
      </x:c>
      <x:c r="E919" s="2" t="str">
        <x:v>Memory Capsule</x:v>
      </x:c>
      <x:c r="F919" s="2" t="str">
        <x:v>Gifting</x:v>
      </x:c>
      <x:c r="G919" s="2" t="str">
        <x:v>Stores</x:v>
      </x:c>
      <x:c r="H919" s="2" t="str">
        <x:v>Riverside</x:v>
      </x:c>
      <x:c r="I919" s="2" t="n">
        <x:v>14</x:v>
      </x:c>
      <x:c r="J919" s="2" t="n">
        <x:v>0</x:v>
      </x:c>
      <x:c r="K919" s="2" t="n">
        <x:f>I919-J919</x:f>
        <x:v>14</x:v>
      </x:c>
      <x:c r="L919" s="16" t="n">
        <x:v>28</x:v>
      </x:c>
      <x:c r="M919" s="16" t="n">
        <x:v>28</x:v>
      </x:c>
      <x:c r="N919" s="16" t="n">
        <x:v>13.58</x:v>
      </x:c>
      <x:c r="O919" s="16" t="n">
        <x:f>K919*M919</x:f>
        <x:v>392</x:v>
      </x:c>
      <x:c r="P919" s="16" t="n">
        <x:f>K919*N919</x:f>
        <x:v>190.12</x:v>
      </x:c>
      <x:c r="Q919" s="16" t="n">
        <x:f>O919-P919</x:f>
        <x:v>201.88</x:v>
      </x:c>
      <x:c r="R919" s="2" t="n">
        <x:v>105</x:v>
      </x:c>
      <x:c r="S919" s="2" t="n">
        <x:v>0</x:v>
      </x:c>
      <x:c r="T919" s="2" t="n">
        <x:f>R919+S919+J919-I919</x:f>
        <x:v>91</x:v>
      </x:c>
      <x:c r="U919" s="2" t="n">
        <x:v>0</x:v>
      </x:c>
      <x:c r="V919" s="2" t="n">
        <x:v>4</x:v>
      </x:c>
      <x:c r="W919" s="2" t="n">
        <x:v>18</x:v>
      </x:c>
      <x:c r="X919" s="14" t="b">
        <x:v>0</x:v>
      </x:c>
      <x:c r="Y919" s="14" t="b">
        <x:v>0</x:v>
      </x:c>
      <x:c r="Z919" s="2" t="n">
        <x:f>ABS(T919-AA919)</x:f>
        <x:v>0</x:v>
      </x:c>
      <x:c r="AA919" s="2" t="n">
        <x:v>91</x:v>
      </x:c>
      <x:c r="AB919" s="2" t="n">
        <x:f>ABS(K919-W919)</x:f>
        <x:v>4</x:v>
      </x:c>
      <x:c r="AC919" s="2" t="n">
        <x:f>COUNTIF($A$2:$A$1921,A919)-1</x:f>
        <x:v>0</x:v>
      </x:c>
      <x:c r="AD919" s="2" t="n">
        <x:f>IF(AND(D919=D918,H919=H918,C919=C918+1),ABS(R919-T918),0)</x:f>
        <x:v>0</x:v>
      </x:c>
    </x:row>
    <x:row r="920" ht="23" customHeight="1">
      <x:c r="A920" s="2" t="str">
        <x:v>DEMO-206-1-19</x:v>
      </x:c>
      <x:c r="B920" s="15" t="d">
        <x:v>2026-09-07T00:00:00.000Z</x:v>
      </x:c>
      <x:c r="C920" s="2" t="n">
        <x:v>19</x:v>
      </x:c>
      <x:c r="D920" s="2" t="str">
        <x:v>DEMO-206</x:v>
      </x:c>
      <x:c r="E920" s="2" t="str">
        <x:v>Memory Capsule</x:v>
      </x:c>
      <x:c r="F920" s="2" t="str">
        <x:v>Gifting</x:v>
      </x:c>
      <x:c r="G920" s="2" t="str">
        <x:v>Stores</x:v>
      </x:c>
      <x:c r="H920" s="2" t="str">
        <x:v>Riverside</x:v>
      </x:c>
      <x:c r="I920" s="2" t="n">
        <x:v>13</x:v>
      </x:c>
      <x:c r="J920" s="2" t="n">
        <x:v>1</x:v>
      </x:c>
      <x:c r="K920" s="2" t="n">
        <x:f>I920-J920</x:f>
        <x:v>12</x:v>
      </x:c>
      <x:c r="L920" s="16" t="n">
        <x:v>28</x:v>
      </x:c>
      <x:c r="M920" s="16" t="n">
        <x:v>28</x:v>
      </x:c>
      <x:c r="N920" s="16" t="n">
        <x:v>13.58</x:v>
      </x:c>
      <x:c r="O920" s="16" t="n">
        <x:f>K920*M920</x:f>
        <x:v>336</x:v>
      </x:c>
      <x:c r="P920" s="16" t="n">
        <x:f>K920*N920</x:f>
        <x:v>162.96</x:v>
      </x:c>
      <x:c r="Q920" s="16" t="n">
        <x:f>O920-P920</x:f>
        <x:v>173.04</x:v>
      </x:c>
      <x:c r="R920" s="2" t="n">
        <x:v>91</x:v>
      </x:c>
      <x:c r="S920" s="2" t="n">
        <x:v>0</x:v>
      </x:c>
      <x:c r="T920" s="2" t="n">
        <x:f>R920+S920+J920-I920</x:f>
        <x:v>79</x:v>
      </x:c>
      <x:c r="U920" s="2" t="n">
        <x:v>0</x:v>
      </x:c>
      <x:c r="V920" s="2" t="n">
        <x:v>4</x:v>
      </x:c>
      <x:c r="W920" s="2" t="n">
        <x:v>13</x:v>
      </x:c>
      <x:c r="X920" s="14" t="b">
        <x:v>0</x:v>
      </x:c>
      <x:c r="Y920" s="14" t="b">
        <x:v>0</x:v>
      </x:c>
      <x:c r="Z920" s="2" t="n">
        <x:f>ABS(T920-AA920)</x:f>
        <x:v>0</x:v>
      </x:c>
      <x:c r="AA920" s="2" t="n">
        <x:v>79</x:v>
      </x:c>
      <x:c r="AB920" s="2" t="n">
        <x:f>ABS(K920-W920)</x:f>
        <x:v>1</x:v>
      </x:c>
      <x:c r="AC920" s="2" t="n">
        <x:f>COUNTIF($A$2:$A$1921,A920)-1</x:f>
        <x:v>0</x:v>
      </x:c>
      <x:c r="AD920" s="2" t="n">
        <x:f>IF(AND(D920=D919,H920=H919,C920=C919+1),ABS(R920-T919),0)</x:f>
        <x:v>0</x:v>
      </x:c>
    </x:row>
    <x:row r="921" ht="23" customHeight="1">
      <x:c r="A921" s="2" t="str">
        <x:v>DEMO-206-1-20</x:v>
      </x:c>
      <x:c r="B921" s="15" t="d">
        <x:v>2026-09-14T00:00:00.000Z</x:v>
      </x:c>
      <x:c r="C921" s="2" t="n">
        <x:v>20</x:v>
      </x:c>
      <x:c r="D921" s="2" t="str">
        <x:v>DEMO-206</x:v>
      </x:c>
      <x:c r="E921" s="2" t="str">
        <x:v>Memory Capsule</x:v>
      </x:c>
      <x:c r="F921" s="2" t="str">
        <x:v>Gifting</x:v>
      </x:c>
      <x:c r="G921" s="2" t="str">
        <x:v>Stores</x:v>
      </x:c>
      <x:c r="H921" s="2" t="str">
        <x:v>Riverside</x:v>
      </x:c>
      <x:c r="I921" s="2" t="n">
        <x:v>14</x:v>
      </x:c>
      <x:c r="J921" s="2" t="n">
        <x:v>0</x:v>
      </x:c>
      <x:c r="K921" s="2" t="n">
        <x:f>I921-J921</x:f>
        <x:v>14</x:v>
      </x:c>
      <x:c r="L921" s="16" t="n">
        <x:v>28</x:v>
      </x:c>
      <x:c r="M921" s="16" t="n">
        <x:v>28</x:v>
      </x:c>
      <x:c r="N921" s="16" t="n">
        <x:v>13.58</x:v>
      </x:c>
      <x:c r="O921" s="16" t="n">
        <x:f>K921*M921</x:f>
        <x:v>392</x:v>
      </x:c>
      <x:c r="P921" s="16" t="n">
        <x:f>K921*N921</x:f>
        <x:v>190.12</x:v>
      </x:c>
      <x:c r="Q921" s="16" t="n">
        <x:f>O921-P921</x:f>
        <x:v>201.88</x:v>
      </x:c>
      <x:c r="R921" s="2" t="n">
        <x:v>79</x:v>
      </x:c>
      <x:c r="S921" s="2" t="n">
        <x:v>0</x:v>
      </x:c>
      <x:c r="T921" s="2" t="n">
        <x:f>R921+S921+J921-I921</x:f>
        <x:v>65</x:v>
      </x:c>
      <x:c r="U921" s="2" t="n">
        <x:v>18</x:v>
      </x:c>
      <x:c r="V921" s="2" t="n">
        <x:v>4</x:v>
      </x:c>
      <x:c r="W921" s="2" t="n">
        <x:v>13</x:v>
      </x:c>
      <x:c r="X921" s="14" t="b">
        <x:v>0</x:v>
      </x:c>
      <x:c r="Y921" s="14" t="b">
        <x:v>0</x:v>
      </x:c>
      <x:c r="Z921" s="2" t="n">
        <x:f>ABS(T921-AA921)</x:f>
        <x:v>0</x:v>
      </x:c>
      <x:c r="AA921" s="2" t="n">
        <x:v>65</x:v>
      </x:c>
      <x:c r="AB921" s="2" t="n">
        <x:f>ABS(K921-W921)</x:f>
        <x:v>1</x:v>
      </x:c>
      <x:c r="AC921" s="2" t="n">
        <x:f>COUNTIF($A$2:$A$1921,A921)-1</x:f>
        <x:v>0</x:v>
      </x:c>
      <x:c r="AD921" s="2" t="n">
        <x:f>IF(AND(D921=D920,H921=H920,C921=C920+1),ABS(R921-T920),0)</x:f>
        <x:v>0</x:v>
      </x:c>
    </x:row>
    <x:row r="922" ht="23" customHeight="1">
      <x:c r="A922" s="2" t="str">
        <x:v>DEMO-206-2-1</x:v>
      </x:c>
      <x:c r="B922" s="15" t="d">
        <x:v>2026-05-04T00:00:00.000Z</x:v>
      </x:c>
      <x:c r="C922" s="2" t="n">
        <x:v>1</x:v>
      </x:c>
      <x:c r="D922" s="2" t="str">
        <x:v>DEMO-206</x:v>
      </x:c>
      <x:c r="E922" s="2" t="str">
        <x:v>Memory Capsule</x:v>
      </x:c>
      <x:c r="F922" s="2" t="str">
        <x:v>Gifting</x:v>
      </x:c>
      <x:c r="G922" s="2" t="str">
        <x:v>Stores</x:v>
      </x:c>
      <x:c r="H922" s="2" t="str">
        <x:v>Central Market</x:v>
      </x:c>
      <x:c r="I922" s="2" t="n">
        <x:v>17</x:v>
      </x:c>
      <x:c r="J922" s="2" t="n">
        <x:v>0</x:v>
      </x:c>
      <x:c r="K922" s="2" t="n">
        <x:f>I922-J922</x:f>
        <x:v>17</x:v>
      </x:c>
      <x:c r="L922" s="16" t="n">
        <x:v>28</x:v>
      </x:c>
      <x:c r="M922" s="16" t="n">
        <x:v>28</x:v>
      </x:c>
      <x:c r="N922" s="16" t="n">
        <x:v>13.58</x:v>
      </x:c>
      <x:c r="O922" s="16" t="n">
        <x:f>K922*M922</x:f>
        <x:v>476</x:v>
      </x:c>
      <x:c r="P922" s="16" t="n">
        <x:f>K922*N922</x:f>
        <x:v>230.86</x:v>
      </x:c>
      <x:c r="Q922" s="16" t="n">
        <x:f>O922-P922</x:f>
        <x:v>245.14</x:v>
      </x:c>
      <x:c r="R922" s="2" t="n">
        <x:v>90</x:v>
      </x:c>
      <x:c r="S922" s="2" t="n">
        <x:v>59</x:v>
      </x:c>
      <x:c r="T922" s="2" t="n">
        <x:f>R922+S922+J922-I922</x:f>
        <x:v>132</x:v>
      </x:c>
      <x:c r="U922" s="2" t="n">
        <x:v>0</x:v>
      </x:c>
      <x:c r="V922" s="2" t="n">
        <x:v>4</x:v>
      </x:c>
      <x:c r="W922" s="2" t="n">
        <x:v>14</x:v>
      </x:c>
      <x:c r="X922" s="14" t="b">
        <x:v>0</x:v>
      </x:c>
      <x:c r="Y922" s="14" t="b">
        <x:v>0</x:v>
      </x:c>
      <x:c r="Z922" s="2" t="n">
        <x:f>ABS(T922-AA922)</x:f>
        <x:v>0</x:v>
      </x:c>
      <x:c r="AA922" s="2" t="n">
        <x:v>132</x:v>
      </x:c>
      <x:c r="AB922" s="2" t="n">
        <x:f>ABS(K922-W922)</x:f>
        <x:v>3</x:v>
      </x:c>
      <x:c r="AC922" s="2" t="n">
        <x:f>COUNTIF($A$2:$A$1921,A922)-1</x:f>
        <x:v>0</x:v>
      </x:c>
      <x:c r="AD922" s="2" t="n">
        <x:f>IF(AND(D922=D921,H922=H921,C922=C921+1),ABS(R922-T921),0)</x:f>
        <x:v>0</x:v>
      </x:c>
    </x:row>
    <x:row r="923" ht="23" customHeight="1">
      <x:c r="A923" s="2" t="str">
        <x:v>DEMO-206-2-2</x:v>
      </x:c>
      <x:c r="B923" s="15" t="d">
        <x:v>2026-05-11T00:00:00.000Z</x:v>
      </x:c>
      <x:c r="C923" s="2" t="n">
        <x:v>2</x:v>
      </x:c>
      <x:c r="D923" s="2" t="str">
        <x:v>DEMO-206</x:v>
      </x:c>
      <x:c r="E923" s="2" t="str">
        <x:v>Memory Capsule</x:v>
      </x:c>
      <x:c r="F923" s="2" t="str">
        <x:v>Gifting</x:v>
      </x:c>
      <x:c r="G923" s="2" t="str">
        <x:v>Stores</x:v>
      </x:c>
      <x:c r="H923" s="2" t="str">
        <x:v>Central Market</x:v>
      </x:c>
      <x:c r="I923" s="2" t="n">
        <x:v>14</x:v>
      </x:c>
      <x:c r="J923" s="2" t="n">
        <x:v>0</x:v>
      </x:c>
      <x:c r="K923" s="2" t="n">
        <x:f>I923-J923</x:f>
        <x:v>14</x:v>
      </x:c>
      <x:c r="L923" s="16" t="n">
        <x:v>28</x:v>
      </x:c>
      <x:c r="M923" s="16" t="n">
        <x:v>28</x:v>
      </x:c>
      <x:c r="N923" s="16" t="n">
        <x:v>13.58</x:v>
      </x:c>
      <x:c r="O923" s="16" t="n">
        <x:f>K923*M923</x:f>
        <x:v>392</x:v>
      </x:c>
      <x:c r="P923" s="16" t="n">
        <x:f>K923*N923</x:f>
        <x:v>190.12</x:v>
      </x:c>
      <x:c r="Q923" s="16" t="n">
        <x:f>O923-P923</x:f>
        <x:v>201.88</x:v>
      </x:c>
      <x:c r="R923" s="2" t="n">
        <x:v>132</x:v>
      </x:c>
      <x:c r="S923" s="2" t="n">
        <x:v>0</x:v>
      </x:c>
      <x:c r="T923" s="2" t="n">
        <x:f>R923+S923+J923-I923</x:f>
        <x:v>118</x:v>
      </x:c>
      <x:c r="U923" s="2" t="n">
        <x:v>0</x:v>
      </x:c>
      <x:c r="V923" s="2" t="n">
        <x:v>4</x:v>
      </x:c>
      <x:c r="W923" s="2" t="n">
        <x:v>17</x:v>
      </x:c>
      <x:c r="X923" s="14" t="b">
        <x:v>0</x:v>
      </x:c>
      <x:c r="Y923" s="14" t="b">
        <x:v>0</x:v>
      </x:c>
      <x:c r="Z923" s="2" t="n">
        <x:f>ABS(T923-AA923)</x:f>
        <x:v>0</x:v>
      </x:c>
      <x:c r="AA923" s="2" t="n">
        <x:v>118</x:v>
      </x:c>
      <x:c r="AB923" s="2" t="n">
        <x:f>ABS(K923-W923)</x:f>
        <x:v>3</x:v>
      </x:c>
      <x:c r="AC923" s="2" t="n">
        <x:f>COUNTIF($A$2:$A$1921,A923)-1</x:f>
        <x:v>0</x:v>
      </x:c>
      <x:c r="AD923" s="2" t="n">
        <x:f>IF(AND(D923=D922,H923=H922,C923=C922+1),ABS(R923-T922),0)</x:f>
        <x:v>0</x:v>
      </x:c>
    </x:row>
    <x:row r="924" ht="23" customHeight="1">
      <x:c r="A924" s="2" t="str">
        <x:v>DEMO-206-2-3</x:v>
      </x:c>
      <x:c r="B924" s="15" t="d">
        <x:v>2026-05-18T00:00:00.000Z</x:v>
      </x:c>
      <x:c r="C924" s="2" t="n">
        <x:v>3</x:v>
      </x:c>
      <x:c r="D924" s="2" t="str">
        <x:v>DEMO-206</x:v>
      </x:c>
      <x:c r="E924" s="2" t="str">
        <x:v>Memory Capsule</x:v>
      </x:c>
      <x:c r="F924" s="2" t="str">
        <x:v>Gifting</x:v>
      </x:c>
      <x:c r="G924" s="2" t="str">
        <x:v>Stores</x:v>
      </x:c>
      <x:c r="H924" s="2" t="str">
        <x:v>Central Market</x:v>
      </x:c>
      <x:c r="I924" s="2" t="n">
        <x:v>12</x:v>
      </x:c>
      <x:c r="J924" s="2" t="n">
        <x:v>0</x:v>
      </x:c>
      <x:c r="K924" s="2" t="n">
        <x:f>I924-J924</x:f>
        <x:v>12</x:v>
      </x:c>
      <x:c r="L924" s="16" t="n">
        <x:v>28</x:v>
      </x:c>
      <x:c r="M924" s="16" t="n">
        <x:v>28</x:v>
      </x:c>
      <x:c r="N924" s="16" t="n">
        <x:v>13.58</x:v>
      </x:c>
      <x:c r="O924" s="16" t="n">
        <x:f>K924*M924</x:f>
        <x:v>336</x:v>
      </x:c>
      <x:c r="P924" s="16" t="n">
        <x:f>K924*N924</x:f>
        <x:v>162.96</x:v>
      </x:c>
      <x:c r="Q924" s="16" t="n">
        <x:f>O924-P924</x:f>
        <x:v>173.04</x:v>
      </x:c>
      <x:c r="R924" s="2" t="n">
        <x:v>118</x:v>
      </x:c>
      <x:c r="S924" s="2" t="n">
        <x:v>0</x:v>
      </x:c>
      <x:c r="T924" s="2" t="n">
        <x:f>R924+S924+J924-I924</x:f>
        <x:v>106</x:v>
      </x:c>
      <x:c r="U924" s="2" t="n">
        <x:v>0</x:v>
      </x:c>
      <x:c r="V924" s="2" t="n">
        <x:v>4</x:v>
      </x:c>
      <x:c r="W924" s="2" t="n">
        <x:v>16</x:v>
      </x:c>
      <x:c r="X924" s="14" t="b">
        <x:v>0</x:v>
      </x:c>
      <x:c r="Y924" s="14" t="b">
        <x:v>0</x:v>
      </x:c>
      <x:c r="Z924" s="2" t="n">
        <x:f>ABS(T924-AA924)</x:f>
        <x:v>0</x:v>
      </x:c>
      <x:c r="AA924" s="2" t="n">
        <x:v>106</x:v>
      </x:c>
      <x:c r="AB924" s="2" t="n">
        <x:f>ABS(K924-W924)</x:f>
        <x:v>4</x:v>
      </x:c>
      <x:c r="AC924" s="2" t="n">
        <x:f>COUNTIF($A$2:$A$1921,A924)-1</x:f>
        <x:v>0</x:v>
      </x:c>
      <x:c r="AD924" s="2" t="n">
        <x:f>IF(AND(D924=D923,H924=H923,C924=C923+1),ABS(R924-T923),0)</x:f>
        <x:v>0</x:v>
      </x:c>
    </x:row>
    <x:row r="925" ht="23" customHeight="1">
      <x:c r="A925" s="2" t="str">
        <x:v>DEMO-206-2-4</x:v>
      </x:c>
      <x:c r="B925" s="15" t="d">
        <x:v>2026-05-25T00:00:00.000Z</x:v>
      </x:c>
      <x:c r="C925" s="2" t="n">
        <x:v>4</x:v>
      </x:c>
      <x:c r="D925" s="2" t="str">
        <x:v>DEMO-206</x:v>
      </x:c>
      <x:c r="E925" s="2" t="str">
        <x:v>Memory Capsule</x:v>
      </x:c>
      <x:c r="F925" s="2" t="str">
        <x:v>Gifting</x:v>
      </x:c>
      <x:c r="G925" s="2" t="str">
        <x:v>Stores</x:v>
      </x:c>
      <x:c r="H925" s="2" t="str">
        <x:v>Central Market</x:v>
      </x:c>
      <x:c r="I925" s="2" t="n">
        <x:v>13</x:v>
      </x:c>
      <x:c r="J925" s="2" t="n">
        <x:v>0</x:v>
      </x:c>
      <x:c r="K925" s="2" t="n">
        <x:f>I925-J925</x:f>
        <x:v>13</x:v>
      </x:c>
      <x:c r="L925" s="16" t="n">
        <x:v>28</x:v>
      </x:c>
      <x:c r="M925" s="16" t="n">
        <x:v>28</x:v>
      </x:c>
      <x:c r="N925" s="16" t="n">
        <x:v>13.58</x:v>
      </x:c>
      <x:c r="O925" s="16" t="n">
        <x:f>K925*M925</x:f>
        <x:v>364</x:v>
      </x:c>
      <x:c r="P925" s="16" t="n">
        <x:f>K925*N925</x:f>
        <x:v>176.54</x:v>
      </x:c>
      <x:c r="Q925" s="16" t="n">
        <x:f>O925-P925</x:f>
        <x:v>187.46</x:v>
      </x:c>
      <x:c r="R925" s="2" t="n">
        <x:v>106</x:v>
      </x:c>
      <x:c r="S925" s="2" t="n">
        <x:v>0</x:v>
      </x:c>
      <x:c r="T925" s="2" t="n">
        <x:f>R925+S925+J925-I925</x:f>
        <x:v>93</x:v>
      </x:c>
      <x:c r="U925" s="2" t="n">
        <x:v>0</x:v>
      </x:c>
      <x:c r="V925" s="2" t="n">
        <x:v>4</x:v>
      </x:c>
      <x:c r="W925" s="2" t="n">
        <x:v>14</x:v>
      </x:c>
      <x:c r="X925" s="14" t="b">
        <x:v>0</x:v>
      </x:c>
      <x:c r="Y925" s="14" t="b">
        <x:v>0</x:v>
      </x:c>
      <x:c r="Z925" s="2" t="n">
        <x:f>ABS(T925-AA925)</x:f>
        <x:v>0</x:v>
      </x:c>
      <x:c r="AA925" s="2" t="n">
        <x:v>93</x:v>
      </x:c>
      <x:c r="AB925" s="2" t="n">
        <x:f>ABS(K925-W925)</x:f>
        <x:v>1</x:v>
      </x:c>
      <x:c r="AC925" s="2" t="n">
        <x:f>COUNTIF($A$2:$A$1921,A925)-1</x:f>
        <x:v>0</x:v>
      </x:c>
      <x:c r="AD925" s="2" t="n">
        <x:f>IF(AND(D925=D924,H925=H924,C925=C924+1),ABS(R925-T924),0)</x:f>
        <x:v>0</x:v>
      </x:c>
    </x:row>
    <x:row r="926" ht="23" customHeight="1">
      <x:c r="A926" s="2" t="str">
        <x:v>DEMO-206-2-5</x:v>
      </x:c>
      <x:c r="B926" s="15" t="d">
        <x:v>2026-06-01T00:00:00.000Z</x:v>
      </x:c>
      <x:c r="C926" s="2" t="n">
        <x:v>5</x:v>
      </x:c>
      <x:c r="D926" s="2" t="str">
        <x:v>DEMO-206</x:v>
      </x:c>
      <x:c r="E926" s="2" t="str">
        <x:v>Memory Capsule</x:v>
      </x:c>
      <x:c r="F926" s="2" t="str">
        <x:v>Gifting</x:v>
      </x:c>
      <x:c r="G926" s="2" t="str">
        <x:v>Stores</x:v>
      </x:c>
      <x:c r="H926" s="2" t="str">
        <x:v>Central Market</x:v>
      </x:c>
      <x:c r="I926" s="2" t="n">
        <x:v>14</x:v>
      </x:c>
      <x:c r="J926" s="2" t="n">
        <x:v>0</x:v>
      </x:c>
      <x:c r="K926" s="2" t="n">
        <x:f>I926-J926</x:f>
        <x:v>14</x:v>
      </x:c>
      <x:c r="L926" s="16" t="n">
        <x:v>28</x:v>
      </x:c>
      <x:c r="M926" s="16" t="n">
        <x:v>28</x:v>
      </x:c>
      <x:c r="N926" s="16" t="n">
        <x:v>13.58</x:v>
      </x:c>
      <x:c r="O926" s="16" t="n">
        <x:f>K926*M926</x:f>
        <x:v>392</x:v>
      </x:c>
      <x:c r="P926" s="16" t="n">
        <x:f>K926*N926</x:f>
        <x:v>190.12</x:v>
      </x:c>
      <x:c r="Q926" s="16" t="n">
        <x:f>O926-P926</x:f>
        <x:v>201.88</x:v>
      </x:c>
      <x:c r="R926" s="2" t="n">
        <x:v>93</x:v>
      </x:c>
      <x:c r="S926" s="2" t="n">
        <x:v>59</x:v>
      </x:c>
      <x:c r="T926" s="2" t="n">
        <x:f>R926+S926+J926-I926</x:f>
        <x:v>138</x:v>
      </x:c>
      <x:c r="U926" s="2" t="n">
        <x:v>0</x:v>
      </x:c>
      <x:c r="V926" s="2" t="n">
        <x:v>4</x:v>
      </x:c>
      <x:c r="W926" s="2" t="n">
        <x:v>14</x:v>
      </x:c>
      <x:c r="X926" s="14" t="b">
        <x:v>0</x:v>
      </x:c>
      <x:c r="Y926" s="14" t="b">
        <x:v>0</x:v>
      </x:c>
      <x:c r="Z926" s="2" t="n">
        <x:f>ABS(T926-AA926)</x:f>
        <x:v>0</x:v>
      </x:c>
      <x:c r="AA926" s="2" t="n">
        <x:v>138</x:v>
      </x:c>
      <x:c r="AB926" s="2" t="n">
        <x:f>ABS(K926-W926)</x:f>
        <x:v>0</x:v>
      </x:c>
      <x:c r="AC926" s="2" t="n">
        <x:f>COUNTIF($A$2:$A$1921,A926)-1</x:f>
        <x:v>0</x:v>
      </x:c>
      <x:c r="AD926" s="2" t="n">
        <x:f>IF(AND(D926=D925,H926=H925,C926=C925+1),ABS(R926-T925),0)</x:f>
        <x:v>0</x:v>
      </x:c>
    </x:row>
    <x:row r="927" ht="23" customHeight="1">
      <x:c r="A927" s="2" t="str">
        <x:v>DEMO-206-2-6</x:v>
      </x:c>
      <x:c r="B927" s="15" t="d">
        <x:v>2026-06-08T00:00:00.000Z</x:v>
      </x:c>
      <x:c r="C927" s="2" t="n">
        <x:v>6</x:v>
      </x:c>
      <x:c r="D927" s="2" t="str">
        <x:v>DEMO-206</x:v>
      </x:c>
      <x:c r="E927" s="2" t="str">
        <x:v>Memory Capsule</x:v>
      </x:c>
      <x:c r="F927" s="2" t="str">
        <x:v>Gifting</x:v>
      </x:c>
      <x:c r="G927" s="2" t="str">
        <x:v>Stores</x:v>
      </x:c>
      <x:c r="H927" s="2" t="str">
        <x:v>Central Market</x:v>
      </x:c>
      <x:c r="I927" s="2" t="n">
        <x:v>16</x:v>
      </x:c>
      <x:c r="J927" s="2" t="n">
        <x:v>1</x:v>
      </x:c>
      <x:c r="K927" s="2" t="n">
        <x:f>I927-J927</x:f>
        <x:v>15</x:v>
      </x:c>
      <x:c r="L927" s="16" t="n">
        <x:v>28</x:v>
      </x:c>
      <x:c r="M927" s="16" t="n">
        <x:v>28</x:v>
      </x:c>
      <x:c r="N927" s="16" t="n">
        <x:v>13.58</x:v>
      </x:c>
      <x:c r="O927" s="16" t="n">
        <x:f>K927*M927</x:f>
        <x:v>420</x:v>
      </x:c>
      <x:c r="P927" s="16" t="n">
        <x:f>K927*N927</x:f>
        <x:v>203.7</x:v>
      </x:c>
      <x:c r="Q927" s="16" t="n">
        <x:f>O927-P927</x:f>
        <x:v>216.3</x:v>
      </x:c>
      <x:c r="R927" s="2" t="n">
        <x:v>138</x:v>
      </x:c>
      <x:c r="S927" s="2" t="n">
        <x:v>0</x:v>
      </x:c>
      <x:c r="T927" s="2" t="n">
        <x:f>R927+S927+J927-I927</x:f>
        <x:v>123</x:v>
      </x:c>
      <x:c r="U927" s="2" t="n">
        <x:v>0</x:v>
      </x:c>
      <x:c r="V927" s="2" t="n">
        <x:v>4</x:v>
      </x:c>
      <x:c r="W927" s="2" t="n">
        <x:v>13</x:v>
      </x:c>
      <x:c r="X927" s="14" t="b">
        <x:v>0</x:v>
      </x:c>
      <x:c r="Y927" s="14" t="b">
        <x:v>0</x:v>
      </x:c>
      <x:c r="Z927" s="2" t="n">
        <x:f>ABS(T927-AA927)</x:f>
        <x:v>0</x:v>
      </x:c>
      <x:c r="AA927" s="2" t="n">
        <x:v>123</x:v>
      </x:c>
      <x:c r="AB927" s="2" t="n">
        <x:f>ABS(K927-W927)</x:f>
        <x:v>2</x:v>
      </x:c>
      <x:c r="AC927" s="2" t="n">
        <x:f>COUNTIF($A$2:$A$1921,A927)-1</x:f>
        <x:v>0</x:v>
      </x:c>
      <x:c r="AD927" s="2" t="n">
        <x:f>IF(AND(D927=D926,H927=H926,C927=C926+1),ABS(R927-T926),0)</x:f>
        <x:v>0</x:v>
      </x:c>
    </x:row>
    <x:row r="928" ht="23" customHeight="1">
      <x:c r="A928" s="2" t="str">
        <x:v>DEMO-206-2-7</x:v>
      </x:c>
      <x:c r="B928" s="15" t="d">
        <x:v>2026-06-15T00:00:00.000Z</x:v>
      </x:c>
      <x:c r="C928" s="2" t="n">
        <x:v>7</x:v>
      </x:c>
      <x:c r="D928" s="2" t="str">
        <x:v>DEMO-206</x:v>
      </x:c>
      <x:c r="E928" s="2" t="str">
        <x:v>Memory Capsule</x:v>
      </x:c>
      <x:c r="F928" s="2" t="str">
        <x:v>Gifting</x:v>
      </x:c>
      <x:c r="G928" s="2" t="str">
        <x:v>Stores</x:v>
      </x:c>
      <x:c r="H928" s="2" t="str">
        <x:v>Central Market</x:v>
      </x:c>
      <x:c r="I928" s="2" t="n">
        <x:v>14</x:v>
      </x:c>
      <x:c r="J928" s="2" t="n">
        <x:v>0</x:v>
      </x:c>
      <x:c r="K928" s="2" t="n">
        <x:f>I928-J928</x:f>
        <x:v>14</x:v>
      </x:c>
      <x:c r="L928" s="16" t="n">
        <x:v>28</x:v>
      </x:c>
      <x:c r="M928" s="16" t="n">
        <x:v>28</x:v>
      </x:c>
      <x:c r="N928" s="16" t="n">
        <x:v>13.58</x:v>
      </x:c>
      <x:c r="O928" s="16" t="n">
        <x:f>K928*M928</x:f>
        <x:v>392</x:v>
      </x:c>
      <x:c r="P928" s="16" t="n">
        <x:f>K928*N928</x:f>
        <x:v>190.12</x:v>
      </x:c>
      <x:c r="Q928" s="16" t="n">
        <x:f>O928-P928</x:f>
        <x:v>201.88</x:v>
      </x:c>
      <x:c r="R928" s="2" t="n">
        <x:v>123</x:v>
      </x:c>
      <x:c r="S928" s="2" t="n">
        <x:v>0</x:v>
      </x:c>
      <x:c r="T928" s="2" t="n">
        <x:f>R928+S928+J928-I928</x:f>
        <x:v>109</x:v>
      </x:c>
      <x:c r="U928" s="2" t="n">
        <x:v>0</x:v>
      </x:c>
      <x:c r="V928" s="2" t="n">
        <x:v>4</x:v>
      </x:c>
      <x:c r="W928" s="2" t="n">
        <x:v>14</x:v>
      </x:c>
      <x:c r="X928" s="14" t="b">
        <x:v>0</x:v>
      </x:c>
      <x:c r="Y928" s="14" t="b">
        <x:v>0</x:v>
      </x:c>
      <x:c r="Z928" s="2" t="n">
        <x:f>ABS(T928-AA928)</x:f>
        <x:v>0</x:v>
      </x:c>
      <x:c r="AA928" s="2" t="n">
        <x:v>109</x:v>
      </x:c>
      <x:c r="AB928" s="2" t="n">
        <x:f>ABS(K928-W928)</x:f>
        <x:v>0</x:v>
      </x:c>
      <x:c r="AC928" s="2" t="n">
        <x:f>COUNTIF($A$2:$A$1921,A928)-1</x:f>
        <x:v>0</x:v>
      </x:c>
      <x:c r="AD928" s="2" t="n">
        <x:f>IF(AND(D928=D927,H928=H927,C928=C927+1),ABS(R928-T927),0)</x:f>
        <x:v>0</x:v>
      </x:c>
    </x:row>
    <x:row r="929" ht="23" customHeight="1">
      <x:c r="A929" s="2" t="str">
        <x:v>DEMO-206-2-8</x:v>
      </x:c>
      <x:c r="B929" s="15" t="d">
        <x:v>2026-06-22T00:00:00.000Z</x:v>
      </x:c>
      <x:c r="C929" s="2" t="n">
        <x:v>8</x:v>
      </x:c>
      <x:c r="D929" s="2" t="str">
        <x:v>DEMO-206</x:v>
      </x:c>
      <x:c r="E929" s="2" t="str">
        <x:v>Memory Capsule</x:v>
      </x:c>
      <x:c r="F929" s="2" t="str">
        <x:v>Gifting</x:v>
      </x:c>
      <x:c r="G929" s="2" t="str">
        <x:v>Stores</x:v>
      </x:c>
      <x:c r="H929" s="2" t="str">
        <x:v>Central Market</x:v>
      </x:c>
      <x:c r="I929" s="2" t="n">
        <x:v>16</x:v>
      </x:c>
      <x:c r="J929" s="2" t="n">
        <x:v>0</x:v>
      </x:c>
      <x:c r="K929" s="2" t="n">
        <x:f>I929-J929</x:f>
        <x:v>16</x:v>
      </x:c>
      <x:c r="L929" s="16" t="n">
        <x:v>28</x:v>
      </x:c>
      <x:c r="M929" s="16" t="n">
        <x:v>28</x:v>
      </x:c>
      <x:c r="N929" s="16" t="n">
        <x:v>13.58</x:v>
      </x:c>
      <x:c r="O929" s="16" t="n">
        <x:f>K929*M929</x:f>
        <x:v>448</x:v>
      </x:c>
      <x:c r="P929" s="16" t="n">
        <x:f>K929*N929</x:f>
        <x:v>217.28</x:v>
      </x:c>
      <x:c r="Q929" s="16" t="n">
        <x:f>O929-P929</x:f>
        <x:v>230.72</x:v>
      </x:c>
      <x:c r="R929" s="2" t="n">
        <x:v>109</x:v>
      </x:c>
      <x:c r="S929" s="2" t="n">
        <x:v>0</x:v>
      </x:c>
      <x:c r="T929" s="2" t="n">
        <x:f>R929+S929+J929-I929</x:f>
        <x:v>93</x:v>
      </x:c>
      <x:c r="U929" s="2" t="n">
        <x:v>0</x:v>
      </x:c>
      <x:c r="V929" s="2" t="n">
        <x:v>4</x:v>
      </x:c>
      <x:c r="W929" s="2" t="n">
        <x:v>14</x:v>
      </x:c>
      <x:c r="X929" s="14" t="b">
        <x:v>0</x:v>
      </x:c>
      <x:c r="Y929" s="14" t="b">
        <x:v>0</x:v>
      </x:c>
      <x:c r="Z929" s="2" t="n">
        <x:f>ABS(T929-AA929)</x:f>
        <x:v>0</x:v>
      </x:c>
      <x:c r="AA929" s="2" t="n">
        <x:v>93</x:v>
      </x:c>
      <x:c r="AB929" s="2" t="n">
        <x:f>ABS(K929-W929)</x:f>
        <x:v>2</x:v>
      </x:c>
      <x:c r="AC929" s="2" t="n">
        <x:f>COUNTIF($A$2:$A$1921,A929)-1</x:f>
        <x:v>0</x:v>
      </x:c>
      <x:c r="AD929" s="2" t="n">
        <x:f>IF(AND(D929=D928,H929=H928,C929=C928+1),ABS(R929-T928),0)</x:f>
        <x:v>0</x:v>
      </x:c>
    </x:row>
    <x:row r="930" ht="23" customHeight="1">
      <x:c r="A930" s="2" t="str">
        <x:v>DEMO-206-2-9</x:v>
      </x:c>
      <x:c r="B930" s="15" t="d">
        <x:v>2026-06-29T00:00:00.000Z</x:v>
      </x:c>
      <x:c r="C930" s="2" t="n">
        <x:v>9</x:v>
      </x:c>
      <x:c r="D930" s="2" t="str">
        <x:v>DEMO-206</x:v>
      </x:c>
      <x:c r="E930" s="2" t="str">
        <x:v>Memory Capsule</x:v>
      </x:c>
      <x:c r="F930" s="2" t="str">
        <x:v>Gifting</x:v>
      </x:c>
      <x:c r="G930" s="2" t="str">
        <x:v>Stores</x:v>
      </x:c>
      <x:c r="H930" s="2" t="str">
        <x:v>Central Market</x:v>
      </x:c>
      <x:c r="I930" s="2" t="n">
        <x:v>14</x:v>
      </x:c>
      <x:c r="J930" s="2" t="n">
        <x:v>0</x:v>
      </x:c>
      <x:c r="K930" s="2" t="n">
        <x:f>I930-J930</x:f>
        <x:v>14</x:v>
      </x:c>
      <x:c r="L930" s="16" t="n">
        <x:v>28</x:v>
      </x:c>
      <x:c r="M930" s="16" t="n">
        <x:v>28</x:v>
      </x:c>
      <x:c r="N930" s="16" t="n">
        <x:v>13.58</x:v>
      </x:c>
      <x:c r="O930" s="16" t="n">
        <x:f>K930*M930</x:f>
        <x:v>392</x:v>
      </x:c>
      <x:c r="P930" s="16" t="n">
        <x:f>K930*N930</x:f>
        <x:v>190.12</x:v>
      </x:c>
      <x:c r="Q930" s="16" t="n">
        <x:f>O930-P930</x:f>
        <x:v>201.88</x:v>
      </x:c>
      <x:c r="R930" s="2" t="n">
        <x:v>93</x:v>
      </x:c>
      <x:c r="S930" s="2" t="n">
        <x:v>59</x:v>
      </x:c>
      <x:c r="T930" s="2" t="n">
        <x:f>R930+S930+J930-I930</x:f>
        <x:v>138</x:v>
      </x:c>
      <x:c r="U930" s="2" t="n">
        <x:v>0</x:v>
      </x:c>
      <x:c r="V930" s="2" t="n">
        <x:v>4</x:v>
      </x:c>
      <x:c r="W930" s="2" t="n">
        <x:v>15</x:v>
      </x:c>
      <x:c r="X930" s="14" t="b">
        <x:v>0</x:v>
      </x:c>
      <x:c r="Y930" s="14" t="b">
        <x:v>0</x:v>
      </x:c>
      <x:c r="Z930" s="2" t="n">
        <x:f>ABS(T930-AA930)</x:f>
        <x:v>0</x:v>
      </x:c>
      <x:c r="AA930" s="2" t="n">
        <x:v>138</x:v>
      </x:c>
      <x:c r="AB930" s="2" t="n">
        <x:f>ABS(K930-W930)</x:f>
        <x:v>1</x:v>
      </x:c>
      <x:c r="AC930" s="2" t="n">
        <x:f>COUNTIF($A$2:$A$1921,A930)-1</x:f>
        <x:v>0</x:v>
      </x:c>
      <x:c r="AD930" s="2" t="n">
        <x:f>IF(AND(D930=D929,H930=H929,C930=C929+1),ABS(R930-T929),0)</x:f>
        <x:v>0</x:v>
      </x:c>
    </x:row>
    <x:row r="931" ht="23" customHeight="1">
      <x:c r="A931" s="2" t="str">
        <x:v>DEMO-206-2-10</x:v>
      </x:c>
      <x:c r="B931" s="15" t="d">
        <x:v>2026-07-06T00:00:00.000Z</x:v>
      </x:c>
      <x:c r="C931" s="2" t="n">
        <x:v>10</x:v>
      </x:c>
      <x:c r="D931" s="2" t="str">
        <x:v>DEMO-206</x:v>
      </x:c>
      <x:c r="E931" s="2" t="str">
        <x:v>Memory Capsule</x:v>
      </x:c>
      <x:c r="F931" s="2" t="str">
        <x:v>Gifting</x:v>
      </x:c>
      <x:c r="G931" s="2" t="str">
        <x:v>Stores</x:v>
      </x:c>
      <x:c r="H931" s="2" t="str">
        <x:v>Central Market</x:v>
      </x:c>
      <x:c r="I931" s="2" t="n">
        <x:v>15</x:v>
      </x:c>
      <x:c r="J931" s="2" t="n">
        <x:v>0</x:v>
      </x:c>
      <x:c r="K931" s="2" t="n">
        <x:f>I931-J931</x:f>
        <x:v>15</x:v>
      </x:c>
      <x:c r="L931" s="16" t="n">
        <x:v>28</x:v>
      </x:c>
      <x:c r="M931" s="16" t="n">
        <x:v>28</x:v>
      </x:c>
      <x:c r="N931" s="16" t="n">
        <x:v>13.58</x:v>
      </x:c>
      <x:c r="O931" s="16" t="n">
        <x:f>K931*M931</x:f>
        <x:v>420</x:v>
      </x:c>
      <x:c r="P931" s="16" t="n">
        <x:f>K931*N931</x:f>
        <x:v>203.7</x:v>
      </x:c>
      <x:c r="Q931" s="16" t="n">
        <x:f>O931-P931</x:f>
        <x:v>216.3</x:v>
      </x:c>
      <x:c r="R931" s="2" t="n">
        <x:v>138</x:v>
      </x:c>
      <x:c r="S931" s="2" t="n">
        <x:v>0</x:v>
      </x:c>
      <x:c r="T931" s="2" t="n">
        <x:f>R931+S931+J931-I931</x:f>
        <x:v>123</x:v>
      </x:c>
      <x:c r="U931" s="2" t="n">
        <x:v>0</x:v>
      </x:c>
      <x:c r="V931" s="2" t="n">
        <x:v>4</x:v>
      </x:c>
      <x:c r="W931" s="2" t="n">
        <x:v>15</x:v>
      </x:c>
      <x:c r="X931" s="14" t="b">
        <x:v>0</x:v>
      </x:c>
      <x:c r="Y931" s="14" t="b">
        <x:v>0</x:v>
      </x:c>
      <x:c r="Z931" s="2" t="n">
        <x:f>ABS(T931-AA931)</x:f>
        <x:v>0</x:v>
      </x:c>
      <x:c r="AA931" s="2" t="n">
        <x:v>123</x:v>
      </x:c>
      <x:c r="AB931" s="2" t="n">
        <x:f>ABS(K931-W931)</x:f>
        <x:v>0</x:v>
      </x:c>
      <x:c r="AC931" s="2" t="n">
        <x:f>COUNTIF($A$2:$A$1921,A931)-1</x:f>
        <x:v>0</x:v>
      </x:c>
      <x:c r="AD931" s="2" t="n">
        <x:f>IF(AND(D931=D930,H931=H930,C931=C930+1),ABS(R931-T930),0)</x:f>
        <x:v>0</x:v>
      </x:c>
    </x:row>
    <x:row r="932" ht="23" customHeight="1">
      <x:c r="A932" s="2" t="str">
        <x:v>DEMO-206-2-11</x:v>
      </x:c>
      <x:c r="B932" s="15" t="d">
        <x:v>2026-07-13T00:00:00.000Z</x:v>
      </x:c>
      <x:c r="C932" s="2" t="n">
        <x:v>11</x:v>
      </x:c>
      <x:c r="D932" s="2" t="str">
        <x:v>DEMO-206</x:v>
      </x:c>
      <x:c r="E932" s="2" t="str">
        <x:v>Memory Capsule</x:v>
      </x:c>
      <x:c r="F932" s="2" t="str">
        <x:v>Gifting</x:v>
      </x:c>
      <x:c r="G932" s="2" t="str">
        <x:v>Stores</x:v>
      </x:c>
      <x:c r="H932" s="2" t="str">
        <x:v>Central Market</x:v>
      </x:c>
      <x:c r="I932" s="2" t="n">
        <x:v>12</x:v>
      </x:c>
      <x:c r="J932" s="2" t="n">
        <x:v>1</x:v>
      </x:c>
      <x:c r="K932" s="2" t="n">
        <x:f>I932-J932</x:f>
        <x:v>11</x:v>
      </x:c>
      <x:c r="L932" s="16" t="n">
        <x:v>28</x:v>
      </x:c>
      <x:c r="M932" s="16" t="n">
        <x:v>28</x:v>
      </x:c>
      <x:c r="N932" s="16" t="n">
        <x:v>13.58</x:v>
      </x:c>
      <x:c r="O932" s="16" t="n">
        <x:f>K932*M932</x:f>
        <x:v>308</x:v>
      </x:c>
      <x:c r="P932" s="16" t="n">
        <x:f>K932*N932</x:f>
        <x:v>149.38</x:v>
      </x:c>
      <x:c r="Q932" s="16" t="n">
        <x:f>O932-P932</x:f>
        <x:v>158.62</x:v>
      </x:c>
      <x:c r="R932" s="2" t="n">
        <x:v>123</x:v>
      </x:c>
      <x:c r="S932" s="2" t="n">
        <x:v>0</x:v>
      </x:c>
      <x:c r="T932" s="2" t="n">
        <x:f>R932+S932+J932-I932</x:f>
        <x:v>112</x:v>
      </x:c>
      <x:c r="U932" s="2" t="n">
        <x:v>0</x:v>
      </x:c>
      <x:c r="V932" s="2" t="n">
        <x:v>4</x:v>
      </x:c>
      <x:c r="W932" s="2" t="n">
        <x:v>15</x:v>
      </x:c>
      <x:c r="X932" s="14" t="b">
        <x:v>0</x:v>
      </x:c>
      <x:c r="Y932" s="14" t="b">
        <x:v>0</x:v>
      </x:c>
      <x:c r="Z932" s="2" t="n">
        <x:f>ABS(T932-AA932)</x:f>
        <x:v>0</x:v>
      </x:c>
      <x:c r="AA932" s="2" t="n">
        <x:v>112</x:v>
      </x:c>
      <x:c r="AB932" s="2" t="n">
        <x:f>ABS(K932-W932)</x:f>
        <x:v>4</x:v>
      </x:c>
      <x:c r="AC932" s="2" t="n">
        <x:f>COUNTIF($A$2:$A$1921,A932)-1</x:f>
        <x:v>0</x:v>
      </x:c>
      <x:c r="AD932" s="2" t="n">
        <x:f>IF(AND(D932=D931,H932=H931,C932=C931+1),ABS(R932-T931),0)</x:f>
        <x:v>0</x:v>
      </x:c>
    </x:row>
    <x:row r="933" ht="23" customHeight="1">
      <x:c r="A933" s="2" t="str">
        <x:v>DEMO-206-2-12</x:v>
      </x:c>
      <x:c r="B933" s="15" t="d">
        <x:v>2026-07-20T00:00:00.000Z</x:v>
      </x:c>
      <x:c r="C933" s="2" t="n">
        <x:v>12</x:v>
      </x:c>
      <x:c r="D933" s="2" t="str">
        <x:v>DEMO-206</x:v>
      </x:c>
      <x:c r="E933" s="2" t="str">
        <x:v>Memory Capsule</x:v>
      </x:c>
      <x:c r="F933" s="2" t="str">
        <x:v>Gifting</x:v>
      </x:c>
      <x:c r="G933" s="2" t="str">
        <x:v>Stores</x:v>
      </x:c>
      <x:c r="H933" s="2" t="str">
        <x:v>Central Market</x:v>
      </x:c>
      <x:c r="I933" s="2" t="n">
        <x:v>31</x:v>
      </x:c>
      <x:c r="J933" s="2" t="n">
        <x:v>0</x:v>
      </x:c>
      <x:c r="K933" s="2" t="n">
        <x:f>I933-J933</x:f>
        <x:v>31</x:v>
      </x:c>
      <x:c r="L933" s="16" t="n">
        <x:v>28</x:v>
      </x:c>
      <x:c r="M933" s="16" t="n">
        <x:v>25.2</x:v>
      </x:c>
      <x:c r="N933" s="16" t="n">
        <x:v>13.58</x:v>
      </x:c>
      <x:c r="O933" s="16" t="n">
        <x:f>K933*M933</x:f>
        <x:v>781.1999999999999</x:v>
      </x:c>
      <x:c r="P933" s="16" t="n">
        <x:f>K933*N933</x:f>
        <x:v>420.98</x:v>
      </x:c>
      <x:c r="Q933" s="16" t="n">
        <x:f>O933-P933</x:f>
        <x:v>360.2199999999999</x:v>
      </x:c>
      <x:c r="R933" s="2" t="n">
        <x:v>112</x:v>
      </x:c>
      <x:c r="S933" s="2" t="n">
        <x:v>0</x:v>
      </x:c>
      <x:c r="T933" s="2" t="n">
        <x:f>R933+S933+J933-I933</x:f>
        <x:v>81</x:v>
      </x:c>
      <x:c r="U933" s="2" t="n">
        <x:v>0</x:v>
      </x:c>
      <x:c r="V933" s="2" t="n">
        <x:v>4</x:v>
      </x:c>
      <x:c r="W933" s="2" t="n">
        <x:v>14</x:v>
      </x:c>
      <x:c r="X933" s="14" t="b">
        <x:v>1</x:v>
      </x:c>
      <x:c r="Y933" s="14" t="b">
        <x:v>0</x:v>
      </x:c>
      <x:c r="Z933" s="2" t="n">
        <x:f>ABS(T933-AA933)</x:f>
        <x:v>0</x:v>
      </x:c>
      <x:c r="AA933" s="2" t="n">
        <x:v>81</x:v>
      </x:c>
      <x:c r="AB933" s="2" t="n">
        <x:f>ABS(K933-W933)</x:f>
        <x:v>17</x:v>
      </x:c>
      <x:c r="AC933" s="2" t="n">
        <x:f>COUNTIF($A$2:$A$1921,A933)-1</x:f>
        <x:v>0</x:v>
      </x:c>
      <x:c r="AD933" s="2" t="n">
        <x:f>IF(AND(D933=D932,H933=H932,C933=C932+1),ABS(R933-T932),0)</x:f>
        <x:v>0</x:v>
      </x:c>
    </x:row>
    <x:row r="934" ht="23" customHeight="1">
      <x:c r="A934" s="2" t="str">
        <x:v>DEMO-206-2-13</x:v>
      </x:c>
      <x:c r="B934" s="15" t="d">
        <x:v>2026-07-27T00:00:00.000Z</x:v>
      </x:c>
      <x:c r="C934" s="2" t="n">
        <x:v>13</x:v>
      </x:c>
      <x:c r="D934" s="2" t="str">
        <x:v>DEMO-206</x:v>
      </x:c>
      <x:c r="E934" s="2" t="str">
        <x:v>Memory Capsule</x:v>
      </x:c>
      <x:c r="F934" s="2" t="str">
        <x:v>Gifting</x:v>
      </x:c>
      <x:c r="G934" s="2" t="str">
        <x:v>Stores</x:v>
      </x:c>
      <x:c r="H934" s="2" t="str">
        <x:v>Central Market</x:v>
      </x:c>
      <x:c r="I934" s="2" t="n">
        <x:v>33</x:v>
      </x:c>
      <x:c r="J934" s="2" t="n">
        <x:v>0</x:v>
      </x:c>
      <x:c r="K934" s="2" t="n">
        <x:f>I934-J934</x:f>
        <x:v>33</x:v>
      </x:c>
      <x:c r="L934" s="16" t="n">
        <x:v>28</x:v>
      </x:c>
      <x:c r="M934" s="16" t="n">
        <x:v>25.2</x:v>
      </x:c>
      <x:c r="N934" s="16" t="n">
        <x:v>13.58</x:v>
      </x:c>
      <x:c r="O934" s="16" t="n">
        <x:f>K934*M934</x:f>
        <x:v>831.6</x:v>
      </x:c>
      <x:c r="P934" s="16" t="n">
        <x:f>K934*N934</x:f>
        <x:v>448.14</x:v>
      </x:c>
      <x:c r="Q934" s="16" t="n">
        <x:f>O934-P934</x:f>
        <x:v>383.46000000000004</x:v>
      </x:c>
      <x:c r="R934" s="2" t="n">
        <x:v>81</x:v>
      </x:c>
      <x:c r="S934" s="2" t="n">
        <x:v>59</x:v>
      </x:c>
      <x:c r="T934" s="2" t="n">
        <x:f>R934+S934+J934-I934</x:f>
        <x:v>107</x:v>
      </x:c>
      <x:c r="U934" s="2" t="n">
        <x:v>0</x:v>
      </x:c>
      <x:c r="V934" s="2" t="n">
        <x:v>4</x:v>
      </x:c>
      <x:c r="W934" s="2" t="n">
        <x:v>18</x:v>
      </x:c>
      <x:c r="X934" s="14" t="b">
        <x:v>1</x:v>
      </x:c>
      <x:c r="Y934" s="14" t="b">
        <x:v>0</x:v>
      </x:c>
      <x:c r="Z934" s="2" t="n">
        <x:f>ABS(T934-AA934)</x:f>
        <x:v>0</x:v>
      </x:c>
      <x:c r="AA934" s="2" t="n">
        <x:v>107</x:v>
      </x:c>
      <x:c r="AB934" s="2" t="n">
        <x:f>ABS(K934-W934)</x:f>
        <x:v>15</x:v>
      </x:c>
      <x:c r="AC934" s="2" t="n">
        <x:f>COUNTIF($A$2:$A$1921,A934)-1</x:f>
        <x:v>0</x:v>
      </x:c>
      <x:c r="AD934" s="2" t="n">
        <x:f>IF(AND(D934=D933,H934=H933,C934=C933+1),ABS(R934-T933),0)</x:f>
        <x:v>0</x:v>
      </x:c>
    </x:row>
    <x:row r="935" ht="23" customHeight="1">
      <x:c r="A935" s="2" t="str">
        <x:v>DEMO-206-2-14</x:v>
      </x:c>
      <x:c r="B935" s="15" t="d">
        <x:v>2026-08-03T00:00:00.000Z</x:v>
      </x:c>
      <x:c r="C935" s="2" t="n">
        <x:v>14</x:v>
      </x:c>
      <x:c r="D935" s="2" t="str">
        <x:v>DEMO-206</x:v>
      </x:c>
      <x:c r="E935" s="2" t="str">
        <x:v>Memory Capsule</x:v>
      </x:c>
      <x:c r="F935" s="2" t="str">
        <x:v>Gifting</x:v>
      </x:c>
      <x:c r="G935" s="2" t="str">
        <x:v>Stores</x:v>
      </x:c>
      <x:c r="H935" s="2" t="str">
        <x:v>Central Market</x:v>
      </x:c>
      <x:c r="I935" s="2" t="n">
        <x:v>32</x:v>
      </x:c>
      <x:c r="J935" s="2" t="n">
        <x:v>0</x:v>
      </x:c>
      <x:c r="K935" s="2" t="n">
        <x:f>I935-J935</x:f>
        <x:v>32</x:v>
      </x:c>
      <x:c r="L935" s="16" t="n">
        <x:v>28</x:v>
      </x:c>
      <x:c r="M935" s="16" t="n">
        <x:v>25.2</x:v>
      </x:c>
      <x:c r="N935" s="16" t="n">
        <x:v>13.58</x:v>
      </x:c>
      <x:c r="O935" s="16" t="n">
        <x:f>K935*M935</x:f>
        <x:v>806.4</x:v>
      </x:c>
      <x:c r="P935" s="16" t="n">
        <x:f>K935*N935</x:f>
        <x:v>434.56</x:v>
      </x:c>
      <x:c r="Q935" s="16" t="n">
        <x:f>O935-P935</x:f>
        <x:v>371.84</x:v>
      </x:c>
      <x:c r="R935" s="2" t="n">
        <x:v>107</x:v>
      </x:c>
      <x:c r="S935" s="2" t="n">
        <x:v>0</x:v>
      </x:c>
      <x:c r="T935" s="2" t="n">
        <x:f>R935+S935+J935-I935</x:f>
        <x:v>75</x:v>
      </x:c>
      <x:c r="U935" s="2" t="n">
        <x:v>0</x:v>
      </x:c>
      <x:c r="V935" s="2" t="n">
        <x:v>4</x:v>
      </x:c>
      <x:c r="W935" s="2" t="n">
        <x:v>23</x:v>
      </x:c>
      <x:c r="X935" s="14" t="b">
        <x:v>1</x:v>
      </x:c>
      <x:c r="Y935" s="14" t="b">
        <x:v>0</x:v>
      </x:c>
      <x:c r="Z935" s="2" t="n">
        <x:f>ABS(T935-AA935)</x:f>
        <x:v>0</x:v>
      </x:c>
      <x:c r="AA935" s="2" t="n">
        <x:v>75</x:v>
      </x:c>
      <x:c r="AB935" s="2" t="n">
        <x:f>ABS(K935-W935)</x:f>
        <x:v>9</x:v>
      </x:c>
      <x:c r="AC935" s="2" t="n">
        <x:f>COUNTIF($A$2:$A$1921,A935)-1</x:f>
        <x:v>0</x:v>
      </x:c>
      <x:c r="AD935" s="2" t="n">
        <x:f>IF(AND(D935=D934,H935=H934,C935=C934+1),ABS(R935-T934),0)</x:f>
        <x:v>0</x:v>
      </x:c>
    </x:row>
    <x:row r="936" ht="23" customHeight="1">
      <x:c r="A936" s="2" t="str">
        <x:v>DEMO-206-2-15</x:v>
      </x:c>
      <x:c r="B936" s="15" t="d">
        <x:v>2026-08-10T00:00:00.000Z</x:v>
      </x:c>
      <x:c r="C936" s="2" t="n">
        <x:v>15</x:v>
      </x:c>
      <x:c r="D936" s="2" t="str">
        <x:v>DEMO-206</x:v>
      </x:c>
      <x:c r="E936" s="2" t="str">
        <x:v>Memory Capsule</x:v>
      </x:c>
      <x:c r="F936" s="2" t="str">
        <x:v>Gifting</x:v>
      </x:c>
      <x:c r="G936" s="2" t="str">
        <x:v>Stores</x:v>
      </x:c>
      <x:c r="H936" s="2" t="str">
        <x:v>Central Market</x:v>
      </x:c>
      <x:c r="I936" s="2" t="n">
        <x:v>17</x:v>
      </x:c>
      <x:c r="J936" s="2" t="n">
        <x:v>0</x:v>
      </x:c>
      <x:c r="K936" s="2" t="n">
        <x:f>I936-J936</x:f>
        <x:v>17</x:v>
      </x:c>
      <x:c r="L936" s="16" t="n">
        <x:v>28</x:v>
      </x:c>
      <x:c r="M936" s="16" t="n">
        <x:v>28</x:v>
      </x:c>
      <x:c r="N936" s="16" t="n">
        <x:v>13.58</x:v>
      </x:c>
      <x:c r="O936" s="16" t="n">
        <x:f>K936*M936</x:f>
        <x:v>476</x:v>
      </x:c>
      <x:c r="P936" s="16" t="n">
        <x:f>K936*N936</x:f>
        <x:v>230.86</x:v>
      </x:c>
      <x:c r="Q936" s="16" t="n">
        <x:f>O936-P936</x:f>
        <x:v>245.14</x:v>
      </x:c>
      <x:c r="R936" s="2" t="n">
        <x:v>75</x:v>
      </x:c>
      <x:c r="S936" s="2" t="n">
        <x:v>0</x:v>
      </x:c>
      <x:c r="T936" s="2" t="n">
        <x:f>R936+S936+J936-I936</x:f>
        <x:v>58</x:v>
      </x:c>
      <x:c r="U936" s="2" t="n">
        <x:v>0</x:v>
      </x:c>
      <x:c r="V936" s="2" t="n">
        <x:v>4</x:v>
      </x:c>
      <x:c r="W936" s="2" t="n">
        <x:v>27</x:v>
      </x:c>
      <x:c r="X936" s="14" t="b">
        <x:v>0</x:v>
      </x:c>
      <x:c r="Y936" s="14" t="b">
        <x:v>0</x:v>
      </x:c>
      <x:c r="Z936" s="2" t="n">
        <x:f>ABS(T936-AA936)</x:f>
        <x:v>0</x:v>
      </x:c>
      <x:c r="AA936" s="2" t="n">
        <x:v>58</x:v>
      </x:c>
      <x:c r="AB936" s="2" t="n">
        <x:f>ABS(K936-W936)</x:f>
        <x:v>10</x:v>
      </x:c>
      <x:c r="AC936" s="2" t="n">
        <x:f>COUNTIF($A$2:$A$1921,A936)-1</x:f>
        <x:v>0</x:v>
      </x:c>
      <x:c r="AD936" s="2" t="n">
        <x:f>IF(AND(D936=D935,H936=H935,C936=C935+1),ABS(R936-T935),0)</x:f>
        <x:v>0</x:v>
      </x:c>
    </x:row>
    <x:row r="937" ht="23" customHeight="1">
      <x:c r="A937" s="2" t="str">
        <x:v>DEMO-206-2-16</x:v>
      </x:c>
      <x:c r="B937" s="15" t="d">
        <x:v>2026-08-17T00:00:00.000Z</x:v>
      </x:c>
      <x:c r="C937" s="2" t="n">
        <x:v>16</x:v>
      </x:c>
      <x:c r="D937" s="2" t="str">
        <x:v>DEMO-206</x:v>
      </x:c>
      <x:c r="E937" s="2" t="str">
        <x:v>Memory Capsule</x:v>
      </x:c>
      <x:c r="F937" s="2" t="str">
        <x:v>Gifting</x:v>
      </x:c>
      <x:c r="G937" s="2" t="str">
        <x:v>Stores</x:v>
      </x:c>
      <x:c r="H937" s="2" t="str">
        <x:v>Central Market</x:v>
      </x:c>
      <x:c r="I937" s="2" t="n">
        <x:v>16</x:v>
      </x:c>
      <x:c r="J937" s="2" t="n">
        <x:v>0</x:v>
      </x:c>
      <x:c r="K937" s="2" t="n">
        <x:f>I937-J937</x:f>
        <x:v>16</x:v>
      </x:c>
      <x:c r="L937" s="16" t="n">
        <x:v>28</x:v>
      </x:c>
      <x:c r="M937" s="16" t="n">
        <x:v>28</x:v>
      </x:c>
      <x:c r="N937" s="16" t="n">
        <x:v>13.58</x:v>
      </x:c>
      <x:c r="O937" s="16" t="n">
        <x:f>K937*M937</x:f>
        <x:v>448</x:v>
      </x:c>
      <x:c r="P937" s="16" t="n">
        <x:f>K937*N937</x:f>
        <x:v>217.28</x:v>
      </x:c>
      <x:c r="Q937" s="16" t="n">
        <x:f>O937-P937</x:f>
        <x:v>230.72</x:v>
      </x:c>
      <x:c r="R937" s="2" t="n">
        <x:v>58</x:v>
      </x:c>
      <x:c r="S937" s="2" t="n">
        <x:v>0</x:v>
      </x:c>
      <x:c r="T937" s="2" t="n">
        <x:f>R937+S937+J937-I937</x:f>
        <x:v>42</x:v>
      </x:c>
      <x:c r="U937" s="2" t="n">
        <x:v>0</x:v>
      </x:c>
      <x:c r="V937" s="2" t="n">
        <x:v>4</x:v>
      </x:c>
      <x:c r="W937" s="2" t="n">
        <x:v>28</x:v>
      </x:c>
      <x:c r="X937" s="14" t="b">
        <x:v>0</x:v>
      </x:c>
      <x:c r="Y937" s="14" t="b">
        <x:v>0</x:v>
      </x:c>
      <x:c r="Z937" s="2" t="n">
        <x:f>ABS(T937-AA937)</x:f>
        <x:v>0</x:v>
      </x:c>
      <x:c r="AA937" s="2" t="n">
        <x:v>42</x:v>
      </x:c>
      <x:c r="AB937" s="2" t="n">
        <x:f>ABS(K937-W937)</x:f>
        <x:v>12</x:v>
      </x:c>
      <x:c r="AC937" s="2" t="n">
        <x:f>COUNTIF($A$2:$A$1921,A937)-1</x:f>
        <x:v>0</x:v>
      </x:c>
      <x:c r="AD937" s="2" t="n">
        <x:f>IF(AND(D937=D936,H937=H936,C937=C936+1),ABS(R937-T936),0)</x:f>
        <x:v>0</x:v>
      </x:c>
    </x:row>
    <x:row r="938" ht="23" customHeight="1">
      <x:c r="A938" s="2" t="str">
        <x:v>DEMO-206-2-17</x:v>
      </x:c>
      <x:c r="B938" s="15" t="d">
        <x:v>2026-08-24T00:00:00.000Z</x:v>
      </x:c>
      <x:c r="C938" s="2" t="n">
        <x:v>17</x:v>
      </x:c>
      <x:c r="D938" s="2" t="str">
        <x:v>DEMO-206</x:v>
      </x:c>
      <x:c r="E938" s="2" t="str">
        <x:v>Memory Capsule</x:v>
      </x:c>
      <x:c r="F938" s="2" t="str">
        <x:v>Gifting</x:v>
      </x:c>
      <x:c r="G938" s="2" t="str">
        <x:v>Stores</x:v>
      </x:c>
      <x:c r="H938" s="2" t="str">
        <x:v>Central Market</x:v>
      </x:c>
      <x:c r="I938" s="2" t="n">
        <x:v>13</x:v>
      </x:c>
      <x:c r="J938" s="2" t="n">
        <x:v>0</x:v>
      </x:c>
      <x:c r="K938" s="2" t="n">
        <x:f>I938-J938</x:f>
        <x:v>13</x:v>
      </x:c>
      <x:c r="L938" s="16" t="n">
        <x:v>28</x:v>
      </x:c>
      <x:c r="M938" s="16" t="n">
        <x:v>28</x:v>
      </x:c>
      <x:c r="N938" s="16" t="n">
        <x:v>13.58</x:v>
      </x:c>
      <x:c r="O938" s="16" t="n">
        <x:f>K938*M938</x:f>
        <x:v>364</x:v>
      </x:c>
      <x:c r="P938" s="16" t="n">
        <x:f>K938*N938</x:f>
        <x:v>176.54</x:v>
      </x:c>
      <x:c r="Q938" s="16" t="n">
        <x:f>O938-P938</x:f>
        <x:v>187.46</x:v>
      </x:c>
      <x:c r="R938" s="2" t="n">
        <x:v>42</x:v>
      </x:c>
      <x:c r="S938" s="2" t="n">
        <x:v>59</x:v>
      </x:c>
      <x:c r="T938" s="2" t="n">
        <x:f>R938+S938+J938-I938</x:f>
        <x:v>88</x:v>
      </x:c>
      <x:c r="U938" s="2" t="n">
        <x:v>0</x:v>
      </x:c>
      <x:c r="V938" s="2" t="n">
        <x:v>4</x:v>
      </x:c>
      <x:c r="W938" s="2" t="n">
        <x:v>25</x:v>
      </x:c>
      <x:c r="X938" s="14" t="b">
        <x:v>0</x:v>
      </x:c>
      <x:c r="Y938" s="14" t="b">
        <x:v>0</x:v>
      </x:c>
      <x:c r="Z938" s="2" t="n">
        <x:f>ABS(T938-AA938)</x:f>
        <x:v>0</x:v>
      </x:c>
      <x:c r="AA938" s="2" t="n">
        <x:v>88</x:v>
      </x:c>
      <x:c r="AB938" s="2" t="n">
        <x:f>ABS(K938-W938)</x:f>
        <x:v>12</x:v>
      </x:c>
      <x:c r="AC938" s="2" t="n">
        <x:f>COUNTIF($A$2:$A$1921,A938)-1</x:f>
        <x:v>0</x:v>
      </x:c>
      <x:c r="AD938" s="2" t="n">
        <x:f>IF(AND(D938=D937,H938=H937,C938=C937+1),ABS(R938-T937),0)</x:f>
        <x:v>0</x:v>
      </x:c>
    </x:row>
    <x:row r="939" ht="23" customHeight="1">
      <x:c r="A939" s="2" t="str">
        <x:v>DEMO-206-2-18</x:v>
      </x:c>
      <x:c r="B939" s="15" t="d">
        <x:v>2026-08-31T00:00:00.000Z</x:v>
      </x:c>
      <x:c r="C939" s="2" t="n">
        <x:v>18</x:v>
      </x:c>
      <x:c r="D939" s="2" t="str">
        <x:v>DEMO-206</x:v>
      </x:c>
      <x:c r="E939" s="2" t="str">
        <x:v>Memory Capsule</x:v>
      </x:c>
      <x:c r="F939" s="2" t="str">
        <x:v>Gifting</x:v>
      </x:c>
      <x:c r="G939" s="2" t="str">
        <x:v>Stores</x:v>
      </x:c>
      <x:c r="H939" s="2" t="str">
        <x:v>Central Market</x:v>
      </x:c>
      <x:c r="I939" s="2" t="n">
        <x:v>12</x:v>
      </x:c>
      <x:c r="J939" s="2" t="n">
        <x:v>0</x:v>
      </x:c>
      <x:c r="K939" s="2" t="n">
        <x:f>I939-J939</x:f>
        <x:v>12</x:v>
      </x:c>
      <x:c r="L939" s="16" t="n">
        <x:v>28</x:v>
      </x:c>
      <x:c r="M939" s="16" t="n">
        <x:v>28</x:v>
      </x:c>
      <x:c r="N939" s="16" t="n">
        <x:v>13.58</x:v>
      </x:c>
      <x:c r="O939" s="16" t="n">
        <x:f>K939*M939</x:f>
        <x:v>336</x:v>
      </x:c>
      <x:c r="P939" s="16" t="n">
        <x:f>K939*N939</x:f>
        <x:v>162.96</x:v>
      </x:c>
      <x:c r="Q939" s="16" t="n">
        <x:f>O939-P939</x:f>
        <x:v>173.04</x:v>
      </x:c>
      <x:c r="R939" s="2" t="n">
        <x:v>88</x:v>
      </x:c>
      <x:c r="S939" s="2" t="n">
        <x:v>0</x:v>
      </x:c>
      <x:c r="T939" s="2" t="n">
        <x:f>R939+S939+J939-I939</x:f>
        <x:v>76</x:v>
      </x:c>
      <x:c r="U939" s="2" t="n">
        <x:v>0</x:v>
      </x:c>
      <x:c r="V939" s="2" t="n">
        <x:v>4</x:v>
      </x:c>
      <x:c r="W939" s="2" t="n">
        <x:v>20</x:v>
      </x:c>
      <x:c r="X939" s="14" t="b">
        <x:v>0</x:v>
      </x:c>
      <x:c r="Y939" s="14" t="b">
        <x:v>0</x:v>
      </x:c>
      <x:c r="Z939" s="2" t="n">
        <x:f>ABS(T939-AA939)</x:f>
        <x:v>0</x:v>
      </x:c>
      <x:c r="AA939" s="2" t="n">
        <x:v>76</x:v>
      </x:c>
      <x:c r="AB939" s="2" t="n">
        <x:f>ABS(K939-W939)</x:f>
        <x:v>8</x:v>
      </x:c>
      <x:c r="AC939" s="2" t="n">
        <x:f>COUNTIF($A$2:$A$1921,A939)-1</x:f>
        <x:v>0</x:v>
      </x:c>
      <x:c r="AD939" s="2" t="n">
        <x:f>IF(AND(D939=D938,H939=H938,C939=C938+1),ABS(R939-T938),0)</x:f>
        <x:v>0</x:v>
      </x:c>
    </x:row>
    <x:row r="940" ht="23" customHeight="1">
      <x:c r="A940" s="2" t="str">
        <x:v>DEMO-206-2-19</x:v>
      </x:c>
      <x:c r="B940" s="15" t="d">
        <x:v>2026-09-07T00:00:00.000Z</x:v>
      </x:c>
      <x:c r="C940" s="2" t="n">
        <x:v>19</x:v>
      </x:c>
      <x:c r="D940" s="2" t="str">
        <x:v>DEMO-206</x:v>
      </x:c>
      <x:c r="E940" s="2" t="str">
        <x:v>Memory Capsule</x:v>
      </x:c>
      <x:c r="F940" s="2" t="str">
        <x:v>Gifting</x:v>
      </x:c>
      <x:c r="G940" s="2" t="str">
        <x:v>Stores</x:v>
      </x:c>
      <x:c r="H940" s="2" t="str">
        <x:v>Central Market</x:v>
      </x:c>
      <x:c r="I940" s="2" t="n">
        <x:v>11</x:v>
      </x:c>
      <x:c r="J940" s="2" t="n">
        <x:v>0</x:v>
      </x:c>
      <x:c r="K940" s="2" t="n">
        <x:f>I940-J940</x:f>
        <x:v>11</x:v>
      </x:c>
      <x:c r="L940" s="16" t="n">
        <x:v>28</x:v>
      </x:c>
      <x:c r="M940" s="16" t="n">
        <x:v>28</x:v>
      </x:c>
      <x:c r="N940" s="16" t="n">
        <x:v>13.58</x:v>
      </x:c>
      <x:c r="O940" s="16" t="n">
        <x:f>K940*M940</x:f>
        <x:v>308</x:v>
      </x:c>
      <x:c r="P940" s="16" t="n">
        <x:f>K940*N940</x:f>
        <x:v>149.38</x:v>
      </x:c>
      <x:c r="Q940" s="16" t="n">
        <x:f>O940-P940</x:f>
        <x:v>158.62</x:v>
      </x:c>
      <x:c r="R940" s="2" t="n">
        <x:v>76</x:v>
      </x:c>
      <x:c r="S940" s="2" t="n">
        <x:v>0</x:v>
      </x:c>
      <x:c r="T940" s="2" t="n">
        <x:f>R940+S940+J940-I940</x:f>
        <x:v>65</x:v>
      </x:c>
      <x:c r="U940" s="2" t="n">
        <x:v>0</x:v>
      </x:c>
      <x:c r="V940" s="2" t="n">
        <x:v>4</x:v>
      </x:c>
      <x:c r="W940" s="2" t="n">
        <x:v>15</x:v>
      </x:c>
      <x:c r="X940" s="14" t="b">
        <x:v>0</x:v>
      </x:c>
      <x:c r="Y940" s="14" t="b">
        <x:v>0</x:v>
      </x:c>
      <x:c r="Z940" s="2" t="n">
        <x:f>ABS(T940-AA940)</x:f>
        <x:v>0</x:v>
      </x:c>
      <x:c r="AA940" s="2" t="n">
        <x:v>65</x:v>
      </x:c>
      <x:c r="AB940" s="2" t="n">
        <x:f>ABS(K940-W940)</x:f>
        <x:v>4</x:v>
      </x:c>
      <x:c r="AC940" s="2" t="n">
        <x:f>COUNTIF($A$2:$A$1921,A940)-1</x:f>
        <x:v>0</x:v>
      </x:c>
      <x:c r="AD940" s="2" t="n">
        <x:f>IF(AND(D940=D939,H940=H939,C940=C939+1),ABS(R940-T939),0)</x:f>
        <x:v>0</x:v>
      </x:c>
    </x:row>
    <x:row r="941" ht="23" customHeight="1">
      <x:c r="A941" s="2" t="str">
        <x:v>DEMO-206-2-20</x:v>
      </x:c>
      <x:c r="B941" s="15" t="d">
        <x:v>2026-09-14T00:00:00.000Z</x:v>
      </x:c>
      <x:c r="C941" s="2" t="n">
        <x:v>20</x:v>
      </x:c>
      <x:c r="D941" s="2" t="str">
        <x:v>DEMO-206</x:v>
      </x:c>
      <x:c r="E941" s="2" t="str">
        <x:v>Memory Capsule</x:v>
      </x:c>
      <x:c r="F941" s="2" t="str">
        <x:v>Gifting</x:v>
      </x:c>
      <x:c r="G941" s="2" t="str">
        <x:v>Stores</x:v>
      </x:c>
      <x:c r="H941" s="2" t="str">
        <x:v>Central Market</x:v>
      </x:c>
      <x:c r="I941" s="2" t="n">
        <x:v>13</x:v>
      </x:c>
      <x:c r="J941" s="2" t="n">
        <x:v>0</x:v>
      </x:c>
      <x:c r="K941" s="2" t="n">
        <x:f>I941-J941</x:f>
        <x:v>13</x:v>
      </x:c>
      <x:c r="L941" s="16" t="n">
        <x:v>28</x:v>
      </x:c>
      <x:c r="M941" s="16" t="n">
        <x:v>28</x:v>
      </x:c>
      <x:c r="N941" s="16" t="n">
        <x:v>13.58</x:v>
      </x:c>
      <x:c r="O941" s="16" t="n">
        <x:f>K941*M941</x:f>
        <x:v>364</x:v>
      </x:c>
      <x:c r="P941" s="16" t="n">
        <x:f>K941*N941</x:f>
        <x:v>176.54</x:v>
      </x:c>
      <x:c r="Q941" s="16" t="n">
        <x:f>O941-P941</x:f>
        <x:v>187.46</x:v>
      </x:c>
      <x:c r="R941" s="2" t="n">
        <x:v>65</x:v>
      </x:c>
      <x:c r="S941" s="2" t="n">
        <x:v>0</x:v>
      </x:c>
      <x:c r="T941" s="2" t="n">
        <x:f>R941+S941+J941-I941</x:f>
        <x:v>52</x:v>
      </x:c>
      <x:c r="U941" s="2" t="n">
        <x:v>18</x:v>
      </x:c>
      <x:c r="V941" s="2" t="n">
        <x:v>4</x:v>
      </x:c>
      <x:c r="W941" s="2" t="n">
        <x:v>13</x:v>
      </x:c>
      <x:c r="X941" s="14" t="b">
        <x:v>0</x:v>
      </x:c>
      <x:c r="Y941" s="14" t="b">
        <x:v>0</x:v>
      </x:c>
      <x:c r="Z941" s="2" t="n">
        <x:f>ABS(T941-AA941)</x:f>
        <x:v>0</x:v>
      </x:c>
      <x:c r="AA941" s="2" t="n">
        <x:v>52</x:v>
      </x:c>
      <x:c r="AB941" s="2" t="n">
        <x:f>ABS(K941-W941)</x:f>
        <x:v>0</x:v>
      </x:c>
      <x:c r="AC941" s="2" t="n">
        <x:f>COUNTIF($A$2:$A$1921,A941)-1</x:f>
        <x:v>0</x:v>
      </x:c>
      <x:c r="AD941" s="2" t="n">
        <x:f>IF(AND(D941=D940,H941=H940,C941=C940+1),ABS(R941-T940),0)</x:f>
        <x:v>0</x:v>
      </x:c>
    </x:row>
    <x:row r="942" ht="23" customHeight="1">
      <x:c r="A942" s="2" t="str">
        <x:v>DEMO-206-3-1</x:v>
      </x:c>
      <x:c r="B942" s="15" t="d">
        <x:v>2026-05-04T00:00:00.000Z</x:v>
      </x:c>
      <x:c r="C942" s="2" t="n">
        <x:v>1</x:v>
      </x:c>
      <x:c r="D942" s="2" t="str">
        <x:v>DEMO-206</x:v>
      </x:c>
      <x:c r="E942" s="2" t="str">
        <x:v>Memory Capsule</x:v>
      </x:c>
      <x:c r="F942" s="2" t="str">
        <x:v>Gifting</x:v>
      </x:c>
      <x:c r="G942" s="2" t="str">
        <x:v>Online</x:v>
      </x:c>
      <x:c r="H942" s="2" t="str">
        <x:v>Online</x:v>
      </x:c>
      <x:c r="I942" s="2" t="n">
        <x:v>27</x:v>
      </x:c>
      <x:c r="J942" s="2" t="n">
        <x:v>0</x:v>
      </x:c>
      <x:c r="K942" s="2" t="n">
        <x:f>I942-J942</x:f>
        <x:v>27</x:v>
      </x:c>
      <x:c r="L942" s="16" t="n">
        <x:v>28</x:v>
      </x:c>
      <x:c r="M942" s="16" t="n">
        <x:v>28</x:v>
      </x:c>
      <x:c r="N942" s="16" t="n">
        <x:v>13.58</x:v>
      </x:c>
      <x:c r="O942" s="16" t="n">
        <x:f>K942*M942</x:f>
        <x:v>756</x:v>
      </x:c>
      <x:c r="P942" s="16" t="n">
        <x:f>K942*N942</x:f>
        <x:v>366.66</x:v>
      </x:c>
      <x:c r="Q942" s="16" t="n">
        <x:f>O942-P942</x:f>
        <x:v>389.34</x:v>
      </x:c>
      <x:c r="R942" s="2" t="n">
        <x:v>90</x:v>
      </x:c>
      <x:c r="S942" s="2" t="n">
        <x:v>100</x:v>
      </x:c>
      <x:c r="T942" s="2" t="n">
        <x:f>R942+S942+J942-I942</x:f>
        <x:v>163</x:v>
      </x:c>
      <x:c r="U942" s="2" t="n">
        <x:v>0</x:v>
      </x:c>
      <x:c r="V942" s="2" t="n">
        <x:v>4</x:v>
      </x:c>
      <x:c r="W942" s="2" t="n">
        <x:v>24</x:v>
      </x:c>
      <x:c r="X942" s="14" t="b">
        <x:v>0</x:v>
      </x:c>
      <x:c r="Y942" s="14" t="b">
        <x:v>0</x:v>
      </x:c>
      <x:c r="Z942" s="2" t="n">
        <x:f>ABS(T942-AA942)</x:f>
        <x:v>0</x:v>
      </x:c>
      <x:c r="AA942" s="2" t="n">
        <x:v>163</x:v>
      </x:c>
      <x:c r="AB942" s="2" t="n">
        <x:f>ABS(K942-W942)</x:f>
        <x:v>3</x:v>
      </x:c>
      <x:c r="AC942" s="2" t="n">
        <x:f>COUNTIF($A$2:$A$1921,A942)-1</x:f>
        <x:v>0</x:v>
      </x:c>
      <x:c r="AD942" s="2" t="n">
        <x:f>IF(AND(D942=D941,H942=H941,C942=C941+1),ABS(R942-T941),0)</x:f>
        <x:v>0</x:v>
      </x:c>
    </x:row>
    <x:row r="943" ht="23" customHeight="1">
      <x:c r="A943" s="2" t="str">
        <x:v>DEMO-206-3-2</x:v>
      </x:c>
      <x:c r="B943" s="15" t="d">
        <x:v>2026-05-11T00:00:00.000Z</x:v>
      </x:c>
      <x:c r="C943" s="2" t="n">
        <x:v>2</x:v>
      </x:c>
      <x:c r="D943" s="2" t="str">
        <x:v>DEMO-206</x:v>
      </x:c>
      <x:c r="E943" s="2" t="str">
        <x:v>Memory Capsule</x:v>
      </x:c>
      <x:c r="F943" s="2" t="str">
        <x:v>Gifting</x:v>
      </x:c>
      <x:c r="G943" s="2" t="str">
        <x:v>Online</x:v>
      </x:c>
      <x:c r="H943" s="2" t="str">
        <x:v>Online</x:v>
      </x:c>
      <x:c r="I943" s="2" t="n">
        <x:v>27</x:v>
      </x:c>
      <x:c r="J943" s="2" t="n">
        <x:v>0</x:v>
      </x:c>
      <x:c r="K943" s="2" t="n">
        <x:f>I943-J943</x:f>
        <x:v>27</x:v>
      </x:c>
      <x:c r="L943" s="16" t="n">
        <x:v>28</x:v>
      </x:c>
      <x:c r="M943" s="16" t="n">
        <x:v>28</x:v>
      </x:c>
      <x:c r="N943" s="16" t="n">
        <x:v>13.58</x:v>
      </x:c>
      <x:c r="O943" s="16" t="n">
        <x:f>K943*M943</x:f>
        <x:v>756</x:v>
      </x:c>
      <x:c r="P943" s="16" t="n">
        <x:f>K943*N943</x:f>
        <x:v>366.66</x:v>
      </x:c>
      <x:c r="Q943" s="16" t="n">
        <x:f>O943-P943</x:f>
        <x:v>389.34</x:v>
      </x:c>
      <x:c r="R943" s="2" t="n">
        <x:v>163</x:v>
      </x:c>
      <x:c r="S943" s="2" t="n">
        <x:v>0</x:v>
      </x:c>
      <x:c r="T943" s="2" t="n">
        <x:f>R943+S943+J943-I943</x:f>
        <x:v>136</x:v>
      </x:c>
      <x:c r="U943" s="2" t="n">
        <x:v>0</x:v>
      </x:c>
      <x:c r="V943" s="2" t="n">
        <x:v>4</x:v>
      </x:c>
      <x:c r="W943" s="2" t="n">
        <x:v>27</x:v>
      </x:c>
      <x:c r="X943" s="14" t="b">
        <x:v>0</x:v>
      </x:c>
      <x:c r="Y943" s="14" t="b">
        <x:v>0</x:v>
      </x:c>
      <x:c r="Z943" s="2" t="n">
        <x:f>ABS(T943-AA943)</x:f>
        <x:v>0</x:v>
      </x:c>
      <x:c r="AA943" s="2" t="n">
        <x:v>136</x:v>
      </x:c>
      <x:c r="AB943" s="2" t="n">
        <x:f>ABS(K943-W943)</x:f>
        <x:v>0</x:v>
      </x:c>
      <x:c r="AC943" s="2" t="n">
        <x:f>COUNTIF($A$2:$A$1921,A943)-1</x:f>
        <x:v>0</x:v>
      </x:c>
      <x:c r="AD943" s="2" t="n">
        <x:f>IF(AND(D943=D942,H943=H942,C943=C942+1),ABS(R943-T942),0)</x:f>
        <x:v>0</x:v>
      </x:c>
    </x:row>
    <x:row r="944" ht="23" customHeight="1">
      <x:c r="A944" s="2" t="str">
        <x:v>DEMO-206-3-3</x:v>
      </x:c>
      <x:c r="B944" s="15" t="d">
        <x:v>2026-05-18T00:00:00.000Z</x:v>
      </x:c>
      <x:c r="C944" s="2" t="n">
        <x:v>3</x:v>
      </x:c>
      <x:c r="D944" s="2" t="str">
        <x:v>DEMO-206</x:v>
      </x:c>
      <x:c r="E944" s="2" t="str">
        <x:v>Memory Capsule</x:v>
      </x:c>
      <x:c r="F944" s="2" t="str">
        <x:v>Gifting</x:v>
      </x:c>
      <x:c r="G944" s="2" t="str">
        <x:v>Online</x:v>
      </x:c>
      <x:c r="H944" s="2" t="str">
        <x:v>Online</x:v>
      </x:c>
      <x:c r="I944" s="2" t="n">
        <x:v>23</x:v>
      </x:c>
      <x:c r="J944" s="2" t="n">
        <x:v>0</x:v>
      </x:c>
      <x:c r="K944" s="2" t="n">
        <x:f>I944-J944</x:f>
        <x:v>23</x:v>
      </x:c>
      <x:c r="L944" s="16" t="n">
        <x:v>28</x:v>
      </x:c>
      <x:c r="M944" s="16" t="n">
        <x:v>28</x:v>
      </x:c>
      <x:c r="N944" s="16" t="n">
        <x:v>13.58</x:v>
      </x:c>
      <x:c r="O944" s="16" t="n">
        <x:f>K944*M944</x:f>
        <x:v>644</x:v>
      </x:c>
      <x:c r="P944" s="16" t="n">
        <x:f>K944*N944</x:f>
        <x:v>312.34</x:v>
      </x:c>
      <x:c r="Q944" s="16" t="n">
        <x:f>O944-P944</x:f>
        <x:v>331.66</x:v>
      </x:c>
      <x:c r="R944" s="2" t="n">
        <x:v>136</x:v>
      </x:c>
      <x:c r="S944" s="2" t="n">
        <x:v>0</x:v>
      </x:c>
      <x:c r="T944" s="2" t="n">
        <x:f>R944+S944+J944-I944</x:f>
        <x:v>113</x:v>
      </x:c>
      <x:c r="U944" s="2" t="n">
        <x:v>0</x:v>
      </x:c>
      <x:c r="V944" s="2" t="n">
        <x:v>4</x:v>
      </x:c>
      <x:c r="W944" s="2" t="n">
        <x:v>27</x:v>
      </x:c>
      <x:c r="X944" s="14" t="b">
        <x:v>0</x:v>
      </x:c>
      <x:c r="Y944" s="14" t="b">
        <x:v>0</x:v>
      </x:c>
      <x:c r="Z944" s="2" t="n">
        <x:f>ABS(T944-AA944)</x:f>
        <x:v>0</x:v>
      </x:c>
      <x:c r="AA944" s="2" t="n">
        <x:v>113</x:v>
      </x:c>
      <x:c r="AB944" s="2" t="n">
        <x:f>ABS(K944-W944)</x:f>
        <x:v>4</x:v>
      </x:c>
      <x:c r="AC944" s="2" t="n">
        <x:f>COUNTIF($A$2:$A$1921,A944)-1</x:f>
        <x:v>0</x:v>
      </x:c>
      <x:c r="AD944" s="2" t="n">
        <x:f>IF(AND(D944=D943,H944=H943,C944=C943+1),ABS(R944-T943),0)</x:f>
        <x:v>0</x:v>
      </x:c>
    </x:row>
    <x:row r="945" ht="23" customHeight="1">
      <x:c r="A945" s="2" t="str">
        <x:v>DEMO-206-3-4</x:v>
      </x:c>
      <x:c r="B945" s="15" t="d">
        <x:v>2026-05-25T00:00:00.000Z</x:v>
      </x:c>
      <x:c r="C945" s="2" t="n">
        <x:v>4</x:v>
      </x:c>
      <x:c r="D945" s="2" t="str">
        <x:v>DEMO-206</x:v>
      </x:c>
      <x:c r="E945" s="2" t="str">
        <x:v>Memory Capsule</x:v>
      </x:c>
      <x:c r="F945" s="2" t="str">
        <x:v>Gifting</x:v>
      </x:c>
      <x:c r="G945" s="2" t="str">
        <x:v>Online</x:v>
      </x:c>
      <x:c r="H945" s="2" t="str">
        <x:v>Online</x:v>
      </x:c>
      <x:c r="I945" s="2" t="n">
        <x:v>21</x:v>
      </x:c>
      <x:c r="J945" s="2" t="n">
        <x:v>1</x:v>
      </x:c>
      <x:c r="K945" s="2" t="n">
        <x:f>I945-J945</x:f>
        <x:v>20</x:v>
      </x:c>
      <x:c r="L945" s="16" t="n">
        <x:v>28</x:v>
      </x:c>
      <x:c r="M945" s="16" t="n">
        <x:v>28</x:v>
      </x:c>
      <x:c r="N945" s="16" t="n">
        <x:v>13.58</x:v>
      </x:c>
      <x:c r="O945" s="16" t="n">
        <x:f>K945*M945</x:f>
        <x:v>560</x:v>
      </x:c>
      <x:c r="P945" s="16" t="n">
        <x:f>K945*N945</x:f>
        <x:v>271.6</x:v>
      </x:c>
      <x:c r="Q945" s="16" t="n">
        <x:f>O945-P945</x:f>
        <x:v>288.4</x:v>
      </x:c>
      <x:c r="R945" s="2" t="n">
        <x:v>113</x:v>
      </x:c>
      <x:c r="S945" s="2" t="n">
        <x:v>0</x:v>
      </x:c>
      <x:c r="T945" s="2" t="n">
        <x:f>R945+S945+J945-I945</x:f>
        <x:v>93</x:v>
      </x:c>
      <x:c r="U945" s="2" t="n">
        <x:v>0</x:v>
      </x:c>
      <x:c r="V945" s="2" t="n">
        <x:v>4</x:v>
      </x:c>
      <x:c r="W945" s="2" t="n">
        <x:v>26</x:v>
      </x:c>
      <x:c r="X945" s="14" t="b">
        <x:v>0</x:v>
      </x:c>
      <x:c r="Y945" s="14" t="b">
        <x:v>0</x:v>
      </x:c>
      <x:c r="Z945" s="2" t="n">
        <x:f>ABS(T945-AA945)</x:f>
        <x:v>0</x:v>
      </x:c>
      <x:c r="AA945" s="2" t="n">
        <x:v>93</x:v>
      </x:c>
      <x:c r="AB945" s="2" t="n">
        <x:f>ABS(K945-W945)</x:f>
        <x:v>6</x:v>
      </x:c>
      <x:c r="AC945" s="2" t="n">
        <x:f>COUNTIF($A$2:$A$1921,A945)-1</x:f>
        <x:v>0</x:v>
      </x:c>
      <x:c r="AD945" s="2" t="n">
        <x:f>IF(AND(D945=D944,H945=H944,C945=C944+1),ABS(R945-T944),0)</x:f>
        <x:v>0</x:v>
      </x:c>
    </x:row>
    <x:row r="946" ht="23" customHeight="1">
      <x:c r="A946" s="2" t="str">
        <x:v>DEMO-206-3-5</x:v>
      </x:c>
      <x:c r="B946" s="15" t="d">
        <x:v>2026-06-01T00:00:00.000Z</x:v>
      </x:c>
      <x:c r="C946" s="2" t="n">
        <x:v>5</x:v>
      </x:c>
      <x:c r="D946" s="2" t="str">
        <x:v>DEMO-206</x:v>
      </x:c>
      <x:c r="E946" s="2" t="str">
        <x:v>Memory Capsule</x:v>
      </x:c>
      <x:c r="F946" s="2" t="str">
        <x:v>Gifting</x:v>
      </x:c>
      <x:c r="G946" s="2" t="str">
        <x:v>Online</x:v>
      </x:c>
      <x:c r="H946" s="2" t="str">
        <x:v>Online</x:v>
      </x:c>
      <x:c r="I946" s="2" t="n">
        <x:v>23</x:v>
      </x:c>
      <x:c r="J946" s="2" t="n">
        <x:v>1</x:v>
      </x:c>
      <x:c r="K946" s="2" t="n">
        <x:f>I946-J946</x:f>
        <x:v>22</x:v>
      </x:c>
      <x:c r="L946" s="16" t="n">
        <x:v>28</x:v>
      </x:c>
      <x:c r="M946" s="16" t="n">
        <x:v>28</x:v>
      </x:c>
      <x:c r="N946" s="16" t="n">
        <x:v>13.58</x:v>
      </x:c>
      <x:c r="O946" s="16" t="n">
        <x:f>K946*M946</x:f>
        <x:v>616</x:v>
      </x:c>
      <x:c r="P946" s="16" t="n">
        <x:f>K946*N946</x:f>
        <x:v>298.76</x:v>
      </x:c>
      <x:c r="Q946" s="16" t="n">
        <x:f>O946-P946</x:f>
        <x:v>317.24</x:v>
      </x:c>
      <x:c r="R946" s="2" t="n">
        <x:v>93</x:v>
      </x:c>
      <x:c r="S946" s="2" t="n">
        <x:v>100</x:v>
      </x:c>
      <x:c r="T946" s="2" t="n">
        <x:f>R946+S946+J946-I946</x:f>
        <x:v>171</x:v>
      </x:c>
      <x:c r="U946" s="2" t="n">
        <x:v>0</x:v>
      </x:c>
      <x:c r="V946" s="2" t="n">
        <x:v>4</x:v>
      </x:c>
      <x:c r="W946" s="2" t="n">
        <x:v>24</x:v>
      </x:c>
      <x:c r="X946" s="14" t="b">
        <x:v>0</x:v>
      </x:c>
      <x:c r="Y946" s="14" t="b">
        <x:v>0</x:v>
      </x:c>
      <x:c r="Z946" s="2" t="n">
        <x:f>ABS(T946-AA946)</x:f>
        <x:v>0</x:v>
      </x:c>
      <x:c r="AA946" s="2" t="n">
        <x:v>171</x:v>
      </x:c>
      <x:c r="AB946" s="2" t="n">
        <x:f>ABS(K946-W946)</x:f>
        <x:v>2</x:v>
      </x:c>
      <x:c r="AC946" s="2" t="n">
        <x:f>COUNTIF($A$2:$A$1921,A946)-1</x:f>
        <x:v>0</x:v>
      </x:c>
      <x:c r="AD946" s="2" t="n">
        <x:f>IF(AND(D946=D945,H946=H945,C946=C945+1),ABS(R946-T945),0)</x:f>
        <x:v>0</x:v>
      </x:c>
    </x:row>
    <x:row r="947" ht="23" customHeight="1">
      <x:c r="A947" s="2" t="str">
        <x:v>DEMO-206-3-6</x:v>
      </x:c>
      <x:c r="B947" s="15" t="d">
        <x:v>2026-06-08T00:00:00.000Z</x:v>
      </x:c>
      <x:c r="C947" s="2" t="n">
        <x:v>6</x:v>
      </x:c>
      <x:c r="D947" s="2" t="str">
        <x:v>DEMO-206</x:v>
      </x:c>
      <x:c r="E947" s="2" t="str">
        <x:v>Memory Capsule</x:v>
      </x:c>
      <x:c r="F947" s="2" t="str">
        <x:v>Gifting</x:v>
      </x:c>
      <x:c r="G947" s="2" t="str">
        <x:v>Online</x:v>
      </x:c>
      <x:c r="H947" s="2" t="str">
        <x:v>Online</x:v>
      </x:c>
      <x:c r="I947" s="2" t="n">
        <x:v>24</x:v>
      </x:c>
      <x:c r="J947" s="2" t="n">
        <x:v>0</x:v>
      </x:c>
      <x:c r="K947" s="2" t="n">
        <x:f>I947-J947</x:f>
        <x:v>24</x:v>
      </x:c>
      <x:c r="L947" s="16" t="n">
        <x:v>28</x:v>
      </x:c>
      <x:c r="M947" s="16" t="n">
        <x:v>28</x:v>
      </x:c>
      <x:c r="N947" s="16" t="n">
        <x:v>13.58</x:v>
      </x:c>
      <x:c r="O947" s="16" t="n">
        <x:f>K947*M947</x:f>
        <x:v>672</x:v>
      </x:c>
      <x:c r="P947" s="16" t="n">
        <x:f>K947*N947</x:f>
        <x:v>325.92</x:v>
      </x:c>
      <x:c r="Q947" s="16" t="n">
        <x:f>O947-P947</x:f>
        <x:v>346.08</x:v>
      </x:c>
      <x:c r="R947" s="2" t="n">
        <x:v>171</x:v>
      </x:c>
      <x:c r="S947" s="2" t="n">
        <x:v>0</x:v>
      </x:c>
      <x:c r="T947" s="2" t="n">
        <x:f>R947+S947+J947-I947</x:f>
        <x:v>147</x:v>
      </x:c>
      <x:c r="U947" s="2" t="n">
        <x:v>0</x:v>
      </x:c>
      <x:c r="V947" s="2" t="n">
        <x:v>4</x:v>
      </x:c>
      <x:c r="W947" s="2" t="n">
        <x:v>23</x:v>
      </x:c>
      <x:c r="X947" s="14" t="b">
        <x:v>0</x:v>
      </x:c>
      <x:c r="Y947" s="14" t="b">
        <x:v>0</x:v>
      </x:c>
      <x:c r="Z947" s="2" t="n">
        <x:f>ABS(T947-AA947)</x:f>
        <x:v>0</x:v>
      </x:c>
      <x:c r="AA947" s="2" t="n">
        <x:v>147</x:v>
      </x:c>
      <x:c r="AB947" s="2" t="n">
        <x:f>ABS(K947-W947)</x:f>
        <x:v>1</x:v>
      </x:c>
      <x:c r="AC947" s="2" t="n">
        <x:f>COUNTIF($A$2:$A$1921,A947)-1</x:f>
        <x:v>0</x:v>
      </x:c>
      <x:c r="AD947" s="2" t="n">
        <x:f>IF(AND(D947=D946,H947=H946,C947=C946+1),ABS(R947-T946),0)</x:f>
        <x:v>0</x:v>
      </x:c>
    </x:row>
    <x:row r="948" ht="23" customHeight="1">
      <x:c r="A948" s="2" t="str">
        <x:v>DEMO-206-3-7</x:v>
      </x:c>
      <x:c r="B948" s="15" t="d">
        <x:v>2026-06-15T00:00:00.000Z</x:v>
      </x:c>
      <x:c r="C948" s="2" t="n">
        <x:v>7</x:v>
      </x:c>
      <x:c r="D948" s="2" t="str">
        <x:v>DEMO-206</x:v>
      </x:c>
      <x:c r="E948" s="2" t="str">
        <x:v>Memory Capsule</x:v>
      </x:c>
      <x:c r="F948" s="2" t="str">
        <x:v>Gifting</x:v>
      </x:c>
      <x:c r="G948" s="2" t="str">
        <x:v>Online</x:v>
      </x:c>
      <x:c r="H948" s="2" t="str">
        <x:v>Online</x:v>
      </x:c>
      <x:c r="I948" s="2" t="n">
        <x:v>20</x:v>
      </x:c>
      <x:c r="J948" s="2" t="n">
        <x:v>0</x:v>
      </x:c>
      <x:c r="K948" s="2" t="n">
        <x:f>I948-J948</x:f>
        <x:v>20</x:v>
      </x:c>
      <x:c r="L948" s="16" t="n">
        <x:v>28</x:v>
      </x:c>
      <x:c r="M948" s="16" t="n">
        <x:v>28</x:v>
      </x:c>
      <x:c r="N948" s="16" t="n">
        <x:v>13.58</x:v>
      </x:c>
      <x:c r="O948" s="16" t="n">
        <x:f>K948*M948</x:f>
        <x:v>560</x:v>
      </x:c>
      <x:c r="P948" s="16" t="n">
        <x:f>K948*N948</x:f>
        <x:v>271.6</x:v>
      </x:c>
      <x:c r="Q948" s="16" t="n">
        <x:f>O948-P948</x:f>
        <x:v>288.4</x:v>
      </x:c>
      <x:c r="R948" s="2" t="n">
        <x:v>147</x:v>
      </x:c>
      <x:c r="S948" s="2" t="n">
        <x:v>0</x:v>
      </x:c>
      <x:c r="T948" s="2" t="n">
        <x:f>R948+S948+J948-I948</x:f>
        <x:v>127</x:v>
      </x:c>
      <x:c r="U948" s="2" t="n">
        <x:v>0</x:v>
      </x:c>
      <x:c r="V948" s="2" t="n">
        <x:v>4</x:v>
      </x:c>
      <x:c r="W948" s="2" t="n">
        <x:v>22</x:v>
      </x:c>
      <x:c r="X948" s="14" t="b">
        <x:v>0</x:v>
      </x:c>
      <x:c r="Y948" s="14" t="b">
        <x:v>0</x:v>
      </x:c>
      <x:c r="Z948" s="2" t="n">
        <x:f>ABS(T948-AA948)</x:f>
        <x:v>0</x:v>
      </x:c>
      <x:c r="AA948" s="2" t="n">
        <x:v>127</x:v>
      </x:c>
      <x:c r="AB948" s="2" t="n">
        <x:f>ABS(K948-W948)</x:f>
        <x:v>2</x:v>
      </x:c>
      <x:c r="AC948" s="2" t="n">
        <x:f>COUNTIF($A$2:$A$1921,A948)-1</x:f>
        <x:v>0</x:v>
      </x:c>
      <x:c r="AD948" s="2" t="n">
        <x:f>IF(AND(D948=D947,H948=H947,C948=C947+1),ABS(R948-T947),0)</x:f>
        <x:v>0</x:v>
      </x:c>
    </x:row>
    <x:row r="949" ht="23" customHeight="1">
      <x:c r="A949" s="2" t="str">
        <x:v>DEMO-206-3-8</x:v>
      </x:c>
      <x:c r="B949" s="15" t="d">
        <x:v>2026-06-22T00:00:00.000Z</x:v>
      </x:c>
      <x:c r="C949" s="2" t="n">
        <x:v>8</x:v>
      </x:c>
      <x:c r="D949" s="2" t="str">
        <x:v>DEMO-206</x:v>
      </x:c>
      <x:c r="E949" s="2" t="str">
        <x:v>Memory Capsule</x:v>
      </x:c>
      <x:c r="F949" s="2" t="str">
        <x:v>Gifting</x:v>
      </x:c>
      <x:c r="G949" s="2" t="str">
        <x:v>Online</x:v>
      </x:c>
      <x:c r="H949" s="2" t="str">
        <x:v>Online</x:v>
      </x:c>
      <x:c r="I949" s="2" t="n">
        <x:v>24</x:v>
      </x:c>
      <x:c r="J949" s="2" t="n">
        <x:v>0</x:v>
      </x:c>
      <x:c r="K949" s="2" t="n">
        <x:f>I949-J949</x:f>
        <x:v>24</x:v>
      </x:c>
      <x:c r="L949" s="16" t="n">
        <x:v>28</x:v>
      </x:c>
      <x:c r="M949" s="16" t="n">
        <x:v>28</x:v>
      </x:c>
      <x:c r="N949" s="16" t="n">
        <x:v>13.58</x:v>
      </x:c>
      <x:c r="O949" s="16" t="n">
        <x:f>K949*M949</x:f>
        <x:v>672</x:v>
      </x:c>
      <x:c r="P949" s="16" t="n">
        <x:f>K949*N949</x:f>
        <x:v>325.92</x:v>
      </x:c>
      <x:c r="Q949" s="16" t="n">
        <x:f>O949-P949</x:f>
        <x:v>346.08</x:v>
      </x:c>
      <x:c r="R949" s="2" t="n">
        <x:v>127</x:v>
      </x:c>
      <x:c r="S949" s="2" t="n">
        <x:v>0</x:v>
      </x:c>
      <x:c r="T949" s="2" t="n">
        <x:f>R949+S949+J949-I949</x:f>
        <x:v>103</x:v>
      </x:c>
      <x:c r="U949" s="2" t="n">
        <x:v>0</x:v>
      </x:c>
      <x:c r="V949" s="2" t="n">
        <x:v>4</x:v>
      </x:c>
      <x:c r="W949" s="2" t="n">
        <x:v>22</x:v>
      </x:c>
      <x:c r="X949" s="14" t="b">
        <x:v>0</x:v>
      </x:c>
      <x:c r="Y949" s="14" t="b">
        <x:v>0</x:v>
      </x:c>
      <x:c r="Z949" s="2" t="n">
        <x:f>ABS(T949-AA949)</x:f>
        <x:v>0</x:v>
      </x:c>
      <x:c r="AA949" s="2" t="n">
        <x:v>103</x:v>
      </x:c>
      <x:c r="AB949" s="2" t="n">
        <x:f>ABS(K949-W949)</x:f>
        <x:v>2</x:v>
      </x:c>
      <x:c r="AC949" s="2" t="n">
        <x:f>COUNTIF($A$2:$A$1921,A949)-1</x:f>
        <x:v>0</x:v>
      </x:c>
      <x:c r="AD949" s="2" t="n">
        <x:f>IF(AND(D949=D948,H949=H948,C949=C948+1),ABS(R949-T948),0)</x:f>
        <x:v>0</x:v>
      </x:c>
    </x:row>
    <x:row r="950" ht="23" customHeight="1">
      <x:c r="A950" s="2" t="str">
        <x:v>DEMO-206-3-9</x:v>
      </x:c>
      <x:c r="B950" s="15" t="d">
        <x:v>2026-06-29T00:00:00.000Z</x:v>
      </x:c>
      <x:c r="C950" s="2" t="n">
        <x:v>9</x:v>
      </x:c>
      <x:c r="D950" s="2" t="str">
        <x:v>DEMO-206</x:v>
      </x:c>
      <x:c r="E950" s="2" t="str">
        <x:v>Memory Capsule</x:v>
      </x:c>
      <x:c r="F950" s="2" t="str">
        <x:v>Gifting</x:v>
      </x:c>
      <x:c r="G950" s="2" t="str">
        <x:v>Online</x:v>
      </x:c>
      <x:c r="H950" s="2" t="str">
        <x:v>Online</x:v>
      </x:c>
      <x:c r="I950" s="2" t="n">
        <x:v>25</x:v>
      </x:c>
      <x:c r="J950" s="2" t="n">
        <x:v>0</x:v>
      </x:c>
      <x:c r="K950" s="2" t="n">
        <x:f>I950-J950</x:f>
        <x:v>25</x:v>
      </x:c>
      <x:c r="L950" s="16" t="n">
        <x:v>28</x:v>
      </x:c>
      <x:c r="M950" s="16" t="n">
        <x:v>28</x:v>
      </x:c>
      <x:c r="N950" s="16" t="n">
        <x:v>13.58</x:v>
      </x:c>
      <x:c r="O950" s="16" t="n">
        <x:f>K950*M950</x:f>
        <x:v>700</x:v>
      </x:c>
      <x:c r="P950" s="16" t="n">
        <x:f>K950*N950</x:f>
        <x:v>339.5</x:v>
      </x:c>
      <x:c r="Q950" s="16" t="n">
        <x:f>O950-P950</x:f>
        <x:v>360.5</x:v>
      </x:c>
      <x:c r="R950" s="2" t="n">
        <x:v>103</x:v>
      </x:c>
      <x:c r="S950" s="2" t="n">
        <x:v>100</x:v>
      </x:c>
      <x:c r="T950" s="2" t="n">
        <x:f>R950+S950+J950-I950</x:f>
        <x:v>178</x:v>
      </x:c>
      <x:c r="U950" s="2" t="n">
        <x:v>0</x:v>
      </x:c>
      <x:c r="V950" s="2" t="n">
        <x:v>4</x:v>
      </x:c>
      <x:c r="W950" s="2" t="n">
        <x:v>23</x:v>
      </x:c>
      <x:c r="X950" s="14" t="b">
        <x:v>0</x:v>
      </x:c>
      <x:c r="Y950" s="14" t="b">
        <x:v>0</x:v>
      </x:c>
      <x:c r="Z950" s="2" t="n">
        <x:f>ABS(T950-AA950)</x:f>
        <x:v>0</x:v>
      </x:c>
      <x:c r="AA950" s="2" t="n">
        <x:v>178</x:v>
      </x:c>
      <x:c r="AB950" s="2" t="n">
        <x:f>ABS(K950-W950)</x:f>
        <x:v>2</x:v>
      </x:c>
      <x:c r="AC950" s="2" t="n">
        <x:f>COUNTIF($A$2:$A$1921,A950)-1</x:f>
        <x:v>0</x:v>
      </x:c>
      <x:c r="AD950" s="2" t="n">
        <x:f>IF(AND(D950=D949,H950=H949,C950=C949+1),ABS(R950-T949),0)</x:f>
        <x:v>0</x:v>
      </x:c>
    </x:row>
    <x:row r="951" ht="23" customHeight="1">
      <x:c r="A951" s="2" t="str">
        <x:v>DEMO-206-3-10</x:v>
      </x:c>
      <x:c r="B951" s="15" t="d">
        <x:v>2026-07-06T00:00:00.000Z</x:v>
      </x:c>
      <x:c r="C951" s="2" t="n">
        <x:v>10</x:v>
      </x:c>
      <x:c r="D951" s="2" t="str">
        <x:v>DEMO-206</x:v>
      </x:c>
      <x:c r="E951" s="2" t="str">
        <x:v>Memory Capsule</x:v>
      </x:c>
      <x:c r="F951" s="2" t="str">
        <x:v>Gifting</x:v>
      </x:c>
      <x:c r="G951" s="2" t="str">
        <x:v>Online</x:v>
      </x:c>
      <x:c r="H951" s="2" t="str">
        <x:v>Online</x:v>
      </x:c>
      <x:c r="I951" s="2" t="n">
        <x:v>22</x:v>
      </x:c>
      <x:c r="J951" s="2" t="n">
        <x:v>0</x:v>
      </x:c>
      <x:c r="K951" s="2" t="n">
        <x:f>I951-J951</x:f>
        <x:v>22</x:v>
      </x:c>
      <x:c r="L951" s="16" t="n">
        <x:v>28</x:v>
      </x:c>
      <x:c r="M951" s="16" t="n">
        <x:v>28</x:v>
      </x:c>
      <x:c r="N951" s="16" t="n">
        <x:v>13.58</x:v>
      </x:c>
      <x:c r="O951" s="16" t="n">
        <x:f>K951*M951</x:f>
        <x:v>616</x:v>
      </x:c>
      <x:c r="P951" s="16" t="n">
        <x:f>K951*N951</x:f>
        <x:v>298.76</x:v>
      </x:c>
      <x:c r="Q951" s="16" t="n">
        <x:f>O951-P951</x:f>
        <x:v>317.24</x:v>
      </x:c>
      <x:c r="R951" s="2" t="n">
        <x:v>178</x:v>
      </x:c>
      <x:c r="S951" s="2" t="n">
        <x:v>0</x:v>
      </x:c>
      <x:c r="T951" s="2" t="n">
        <x:f>R951+S951+J951-I951</x:f>
        <x:v>156</x:v>
      </x:c>
      <x:c r="U951" s="2" t="n">
        <x:v>0</x:v>
      </x:c>
      <x:c r="V951" s="2" t="n">
        <x:v>4</x:v>
      </x:c>
      <x:c r="W951" s="2" t="n">
        <x:v>23</x:v>
      </x:c>
      <x:c r="X951" s="14" t="b">
        <x:v>0</x:v>
      </x:c>
      <x:c r="Y951" s="14" t="b">
        <x:v>0</x:v>
      </x:c>
      <x:c r="Z951" s="2" t="n">
        <x:f>ABS(T951-AA951)</x:f>
        <x:v>0</x:v>
      </x:c>
      <x:c r="AA951" s="2" t="n">
        <x:v>156</x:v>
      </x:c>
      <x:c r="AB951" s="2" t="n">
        <x:f>ABS(K951-W951)</x:f>
        <x:v>1</x:v>
      </x:c>
      <x:c r="AC951" s="2" t="n">
        <x:f>COUNTIF($A$2:$A$1921,A951)-1</x:f>
        <x:v>0</x:v>
      </x:c>
      <x:c r="AD951" s="2" t="n">
        <x:f>IF(AND(D951=D950,H951=H950,C951=C950+1),ABS(R951-T950),0)</x:f>
        <x:v>0</x:v>
      </x:c>
    </x:row>
    <x:row r="952" ht="23" customHeight="1">
      <x:c r="A952" s="2" t="str">
        <x:v>DEMO-206-3-11</x:v>
      </x:c>
      <x:c r="B952" s="15" t="d">
        <x:v>2026-07-13T00:00:00.000Z</x:v>
      </x:c>
      <x:c r="C952" s="2" t="n">
        <x:v>11</x:v>
      </x:c>
      <x:c r="D952" s="2" t="str">
        <x:v>DEMO-206</x:v>
      </x:c>
      <x:c r="E952" s="2" t="str">
        <x:v>Memory Capsule</x:v>
      </x:c>
      <x:c r="F952" s="2" t="str">
        <x:v>Gifting</x:v>
      </x:c>
      <x:c r="G952" s="2" t="str">
        <x:v>Online</x:v>
      </x:c>
      <x:c r="H952" s="2" t="str">
        <x:v>Online</x:v>
      </x:c>
      <x:c r="I952" s="2" t="n">
        <x:v>20</x:v>
      </x:c>
      <x:c r="J952" s="2" t="n">
        <x:v>0</x:v>
      </x:c>
      <x:c r="K952" s="2" t="n">
        <x:f>I952-J952</x:f>
        <x:v>20</x:v>
      </x:c>
      <x:c r="L952" s="16" t="n">
        <x:v>28</x:v>
      </x:c>
      <x:c r="M952" s="16" t="n">
        <x:v>28</x:v>
      </x:c>
      <x:c r="N952" s="16" t="n">
        <x:v>13.58</x:v>
      </x:c>
      <x:c r="O952" s="16" t="n">
        <x:f>K952*M952</x:f>
        <x:v>560</x:v>
      </x:c>
      <x:c r="P952" s="16" t="n">
        <x:f>K952*N952</x:f>
        <x:v>271.6</x:v>
      </x:c>
      <x:c r="Q952" s="16" t="n">
        <x:f>O952-P952</x:f>
        <x:v>288.4</x:v>
      </x:c>
      <x:c r="R952" s="2" t="n">
        <x:v>156</x:v>
      </x:c>
      <x:c r="S952" s="2" t="n">
        <x:v>0</x:v>
      </x:c>
      <x:c r="T952" s="2" t="n">
        <x:f>R952+S952+J952-I952</x:f>
        <x:v>136</x:v>
      </x:c>
      <x:c r="U952" s="2" t="n">
        <x:v>0</x:v>
      </x:c>
      <x:c r="V952" s="2" t="n">
        <x:v>4</x:v>
      </x:c>
      <x:c r="W952" s="2" t="n">
        <x:v>23</x:v>
      </x:c>
      <x:c r="X952" s="14" t="b">
        <x:v>0</x:v>
      </x:c>
      <x:c r="Y952" s="14" t="b">
        <x:v>0</x:v>
      </x:c>
      <x:c r="Z952" s="2" t="n">
        <x:f>ABS(T952-AA952)</x:f>
        <x:v>0</x:v>
      </x:c>
      <x:c r="AA952" s="2" t="n">
        <x:v>136</x:v>
      </x:c>
      <x:c r="AB952" s="2" t="n">
        <x:f>ABS(K952-W952)</x:f>
        <x:v>3</x:v>
      </x:c>
      <x:c r="AC952" s="2" t="n">
        <x:f>COUNTIF($A$2:$A$1921,A952)-1</x:f>
        <x:v>0</x:v>
      </x:c>
      <x:c r="AD952" s="2" t="n">
        <x:f>IF(AND(D952=D951,H952=H951,C952=C951+1),ABS(R952-T951),0)</x:f>
        <x:v>0</x:v>
      </x:c>
    </x:row>
    <x:row r="953" ht="23" customHeight="1">
      <x:c r="A953" s="2" t="str">
        <x:v>DEMO-206-3-12</x:v>
      </x:c>
      <x:c r="B953" s="15" t="d">
        <x:v>2026-07-20T00:00:00.000Z</x:v>
      </x:c>
      <x:c r="C953" s="2" t="n">
        <x:v>12</x:v>
      </x:c>
      <x:c r="D953" s="2" t="str">
        <x:v>DEMO-206</x:v>
      </x:c>
      <x:c r="E953" s="2" t="str">
        <x:v>Memory Capsule</x:v>
      </x:c>
      <x:c r="F953" s="2" t="str">
        <x:v>Gifting</x:v>
      </x:c>
      <x:c r="G953" s="2" t="str">
        <x:v>Online</x:v>
      </x:c>
      <x:c r="H953" s="2" t="str">
        <x:v>Online</x:v>
      </x:c>
      <x:c r="I953" s="2" t="n">
        <x:v>55</x:v>
      </x:c>
      <x:c r="J953" s="2" t="n">
        <x:v>0</x:v>
      </x:c>
      <x:c r="K953" s="2" t="n">
        <x:f>I953-J953</x:f>
        <x:v>55</x:v>
      </x:c>
      <x:c r="L953" s="16" t="n">
        <x:v>28</x:v>
      </x:c>
      <x:c r="M953" s="16" t="n">
        <x:v>25.2</x:v>
      </x:c>
      <x:c r="N953" s="16" t="n">
        <x:v>13.58</x:v>
      </x:c>
      <x:c r="O953" s="16" t="n">
        <x:f>K953*M953</x:f>
        <x:v>1386</x:v>
      </x:c>
      <x:c r="P953" s="16" t="n">
        <x:f>K953*N953</x:f>
        <x:v>746.9</x:v>
      </x:c>
      <x:c r="Q953" s="16" t="n">
        <x:f>O953-P953</x:f>
        <x:v>639.1</x:v>
      </x:c>
      <x:c r="R953" s="2" t="n">
        <x:v>136</x:v>
      </x:c>
      <x:c r="S953" s="2" t="n">
        <x:v>0</x:v>
      </x:c>
      <x:c r="T953" s="2" t="n">
        <x:f>R953+S953+J953-I953</x:f>
        <x:v>81</x:v>
      </x:c>
      <x:c r="U953" s="2" t="n">
        <x:v>0</x:v>
      </x:c>
      <x:c r="V953" s="2" t="n">
        <x:v>4</x:v>
      </x:c>
      <x:c r="W953" s="2" t="n">
        <x:v>23</x:v>
      </x:c>
      <x:c r="X953" s="14" t="b">
        <x:v>1</x:v>
      </x:c>
      <x:c r="Y953" s="14" t="b">
        <x:v>0</x:v>
      </x:c>
      <x:c r="Z953" s="2" t="n">
        <x:f>ABS(T953-AA953)</x:f>
        <x:v>0</x:v>
      </x:c>
      <x:c r="AA953" s="2" t="n">
        <x:v>81</x:v>
      </x:c>
      <x:c r="AB953" s="2" t="n">
        <x:f>ABS(K953-W953)</x:f>
        <x:v>32</x:v>
      </x:c>
      <x:c r="AC953" s="2" t="n">
        <x:f>COUNTIF($A$2:$A$1921,A953)-1</x:f>
        <x:v>0</x:v>
      </x:c>
      <x:c r="AD953" s="2" t="n">
        <x:f>IF(AND(D953=D952,H953=H952,C953=C952+1),ABS(R953-T952),0)</x:f>
        <x:v>0</x:v>
      </x:c>
    </x:row>
    <x:row r="954" ht="23" customHeight="1">
      <x:c r="A954" s="2" t="str">
        <x:v>DEMO-206-3-13</x:v>
      </x:c>
      <x:c r="B954" s="15" t="d">
        <x:v>2026-07-27T00:00:00.000Z</x:v>
      </x:c>
      <x:c r="C954" s="2" t="n">
        <x:v>13</x:v>
      </x:c>
      <x:c r="D954" s="2" t="str">
        <x:v>DEMO-206</x:v>
      </x:c>
      <x:c r="E954" s="2" t="str">
        <x:v>Memory Capsule</x:v>
      </x:c>
      <x:c r="F954" s="2" t="str">
        <x:v>Gifting</x:v>
      </x:c>
      <x:c r="G954" s="2" t="str">
        <x:v>Online</x:v>
      </x:c>
      <x:c r="H954" s="2" t="str">
        <x:v>Online</x:v>
      </x:c>
      <x:c r="I954" s="2" t="n">
        <x:v>45</x:v>
      </x:c>
      <x:c r="J954" s="2" t="n">
        <x:v>1</x:v>
      </x:c>
      <x:c r="K954" s="2" t="n">
        <x:f>I954-J954</x:f>
        <x:v>44</x:v>
      </x:c>
      <x:c r="L954" s="16" t="n">
        <x:v>28</x:v>
      </x:c>
      <x:c r="M954" s="16" t="n">
        <x:v>25.2</x:v>
      </x:c>
      <x:c r="N954" s="16" t="n">
        <x:v>13.58</x:v>
      </x:c>
      <x:c r="O954" s="16" t="n">
        <x:f>K954*M954</x:f>
        <x:v>1108.8</x:v>
      </x:c>
      <x:c r="P954" s="16" t="n">
        <x:f>K954*N954</x:f>
        <x:v>597.52</x:v>
      </x:c>
      <x:c r="Q954" s="16" t="n">
        <x:f>O954-P954</x:f>
        <x:v>511.28</x:v>
      </x:c>
      <x:c r="R954" s="2" t="n">
        <x:v>81</x:v>
      </x:c>
      <x:c r="S954" s="2" t="n">
        <x:v>100</x:v>
      </x:c>
      <x:c r="T954" s="2" t="n">
        <x:f>R954+S954+J954-I954</x:f>
        <x:v>137</x:v>
      </x:c>
      <x:c r="U954" s="2" t="n">
        <x:v>0</x:v>
      </x:c>
      <x:c r="V954" s="2" t="n">
        <x:v>4</x:v>
      </x:c>
      <x:c r="W954" s="2" t="n">
        <x:v>31</x:v>
      </x:c>
      <x:c r="X954" s="14" t="b">
        <x:v>1</x:v>
      </x:c>
      <x:c r="Y954" s="14" t="b">
        <x:v>0</x:v>
      </x:c>
      <x:c r="Z954" s="2" t="n">
        <x:f>ABS(T954-AA954)</x:f>
        <x:v>0</x:v>
      </x:c>
      <x:c r="AA954" s="2" t="n">
        <x:v>137</x:v>
      </x:c>
      <x:c r="AB954" s="2" t="n">
        <x:f>ABS(K954-W954)</x:f>
        <x:v>13</x:v>
      </x:c>
      <x:c r="AC954" s="2" t="n">
        <x:f>COUNTIF($A$2:$A$1921,A954)-1</x:f>
        <x:v>0</x:v>
      </x:c>
      <x:c r="AD954" s="2" t="n">
        <x:f>IF(AND(D954=D953,H954=H953,C954=C953+1),ABS(R954-T953),0)</x:f>
        <x:v>0</x:v>
      </x:c>
    </x:row>
    <x:row r="955" ht="23" customHeight="1">
      <x:c r="A955" s="2" t="str">
        <x:v>DEMO-206-3-14</x:v>
      </x:c>
      <x:c r="B955" s="15" t="d">
        <x:v>2026-08-03T00:00:00.000Z</x:v>
      </x:c>
      <x:c r="C955" s="2" t="n">
        <x:v>14</x:v>
      </x:c>
      <x:c r="D955" s="2" t="str">
        <x:v>DEMO-206</x:v>
      </x:c>
      <x:c r="E955" s="2" t="str">
        <x:v>Memory Capsule</x:v>
      </x:c>
      <x:c r="F955" s="2" t="str">
        <x:v>Gifting</x:v>
      </x:c>
      <x:c r="G955" s="2" t="str">
        <x:v>Online</x:v>
      </x:c>
      <x:c r="H955" s="2" t="str">
        <x:v>Online</x:v>
      </x:c>
      <x:c r="I955" s="2" t="n">
        <x:v>48</x:v>
      </x:c>
      <x:c r="J955" s="2" t="n">
        <x:v>1</x:v>
      </x:c>
      <x:c r="K955" s="2" t="n">
        <x:f>I955-J955</x:f>
        <x:v>47</x:v>
      </x:c>
      <x:c r="L955" s="16" t="n">
        <x:v>28</x:v>
      </x:c>
      <x:c r="M955" s="16" t="n">
        <x:v>25.2</x:v>
      </x:c>
      <x:c r="N955" s="16" t="n">
        <x:v>13.58</x:v>
      </x:c>
      <x:c r="O955" s="16" t="n">
        <x:f>K955*M955</x:f>
        <x:v>1184.3999999999999</x:v>
      </x:c>
      <x:c r="P955" s="16" t="n">
        <x:f>K955*N955</x:f>
        <x:v>638.26</x:v>
      </x:c>
      <x:c r="Q955" s="16" t="n">
        <x:f>O955-P955</x:f>
        <x:v>546.1399999999999</x:v>
      </x:c>
      <x:c r="R955" s="2" t="n">
        <x:v>137</x:v>
      </x:c>
      <x:c r="S955" s="2" t="n">
        <x:v>0</x:v>
      </x:c>
      <x:c r="T955" s="2" t="n">
        <x:f>R955+S955+J955-I955</x:f>
        <x:v>90</x:v>
      </x:c>
      <x:c r="U955" s="2" t="n">
        <x:v>0</x:v>
      </x:c>
      <x:c r="V955" s="2" t="n">
        <x:v>4</x:v>
      </x:c>
      <x:c r="W955" s="2" t="n">
        <x:v>35</x:v>
      </x:c>
      <x:c r="X955" s="14" t="b">
        <x:v>1</x:v>
      </x:c>
      <x:c r="Y955" s="14" t="b">
        <x:v>0</x:v>
      </x:c>
      <x:c r="Z955" s="2" t="n">
        <x:f>ABS(T955-AA955)</x:f>
        <x:v>0</x:v>
      </x:c>
      <x:c r="AA955" s="2" t="n">
        <x:v>90</x:v>
      </x:c>
      <x:c r="AB955" s="2" t="n">
        <x:f>ABS(K955-W955)</x:f>
        <x:v>12</x:v>
      </x:c>
      <x:c r="AC955" s="2" t="n">
        <x:f>COUNTIF($A$2:$A$1921,A955)-1</x:f>
        <x:v>0</x:v>
      </x:c>
      <x:c r="AD955" s="2" t="n">
        <x:f>IF(AND(D955=D954,H955=H954,C955=C954+1),ABS(R955-T954),0)</x:f>
        <x:v>0</x:v>
      </x:c>
    </x:row>
    <x:row r="956" ht="23" customHeight="1">
      <x:c r="A956" s="2" t="str">
        <x:v>DEMO-206-3-15</x:v>
      </x:c>
      <x:c r="B956" s="15" t="d">
        <x:v>2026-08-10T00:00:00.000Z</x:v>
      </x:c>
      <x:c r="C956" s="2" t="n">
        <x:v>15</x:v>
      </x:c>
      <x:c r="D956" s="2" t="str">
        <x:v>DEMO-206</x:v>
      </x:c>
      <x:c r="E956" s="2" t="str">
        <x:v>Memory Capsule</x:v>
      </x:c>
      <x:c r="F956" s="2" t="str">
        <x:v>Gifting</x:v>
      </x:c>
      <x:c r="G956" s="2" t="str">
        <x:v>Online</x:v>
      </x:c>
      <x:c r="H956" s="2" t="str">
        <x:v>Online</x:v>
      </x:c>
      <x:c r="I956" s="2" t="n">
        <x:v>24</x:v>
      </x:c>
      <x:c r="J956" s="2" t="n">
        <x:v>0</x:v>
      </x:c>
      <x:c r="K956" s="2" t="n">
        <x:f>I956-J956</x:f>
        <x:v>24</x:v>
      </x:c>
      <x:c r="L956" s="16" t="n">
        <x:v>28</x:v>
      </x:c>
      <x:c r="M956" s="16" t="n">
        <x:v>28</x:v>
      </x:c>
      <x:c r="N956" s="16" t="n">
        <x:v>13.58</x:v>
      </x:c>
      <x:c r="O956" s="16" t="n">
        <x:f>K956*M956</x:f>
        <x:v>672</x:v>
      </x:c>
      <x:c r="P956" s="16" t="n">
        <x:f>K956*N956</x:f>
        <x:v>325.92</x:v>
      </x:c>
      <x:c r="Q956" s="16" t="n">
        <x:f>O956-P956</x:f>
        <x:v>346.08</x:v>
      </x:c>
      <x:c r="R956" s="2" t="n">
        <x:v>90</x:v>
      </x:c>
      <x:c r="S956" s="2" t="n">
        <x:v>0</x:v>
      </x:c>
      <x:c r="T956" s="2" t="n">
        <x:f>R956+S956+J956-I956</x:f>
        <x:v>66</x:v>
      </x:c>
      <x:c r="U956" s="2" t="n">
        <x:v>0</x:v>
      </x:c>
      <x:c r="V956" s="2" t="n">
        <x:v>4</x:v>
      </x:c>
      <x:c r="W956" s="2" t="n">
        <x:v>42</x:v>
      </x:c>
      <x:c r="X956" s="14" t="b">
        <x:v>0</x:v>
      </x:c>
      <x:c r="Y956" s="14" t="b">
        <x:v>0</x:v>
      </x:c>
      <x:c r="Z956" s="2" t="n">
        <x:f>ABS(T956-AA956)</x:f>
        <x:v>0</x:v>
      </x:c>
      <x:c r="AA956" s="2" t="n">
        <x:v>66</x:v>
      </x:c>
      <x:c r="AB956" s="2" t="n">
        <x:f>ABS(K956-W956)</x:f>
        <x:v>18</x:v>
      </x:c>
      <x:c r="AC956" s="2" t="n">
        <x:f>COUNTIF($A$2:$A$1921,A956)-1</x:f>
        <x:v>0</x:v>
      </x:c>
      <x:c r="AD956" s="2" t="n">
        <x:f>IF(AND(D956=D955,H956=H955,C956=C955+1),ABS(R956-T955),0)</x:f>
        <x:v>0</x:v>
      </x:c>
    </x:row>
    <x:row r="957" ht="23" customHeight="1">
      <x:c r="A957" s="2" t="str">
        <x:v>DEMO-206-3-16</x:v>
      </x:c>
      <x:c r="B957" s="15" t="d">
        <x:v>2026-08-17T00:00:00.000Z</x:v>
      </x:c>
      <x:c r="C957" s="2" t="n">
        <x:v>16</x:v>
      </x:c>
      <x:c r="D957" s="2" t="str">
        <x:v>DEMO-206</x:v>
      </x:c>
      <x:c r="E957" s="2" t="str">
        <x:v>Memory Capsule</x:v>
      </x:c>
      <x:c r="F957" s="2" t="str">
        <x:v>Gifting</x:v>
      </x:c>
      <x:c r="G957" s="2" t="str">
        <x:v>Online</x:v>
      </x:c>
      <x:c r="H957" s="2" t="str">
        <x:v>Online</x:v>
      </x:c>
      <x:c r="I957" s="2" t="n">
        <x:v>20</x:v>
      </x:c>
      <x:c r="J957" s="2" t="n">
        <x:v>0</x:v>
      </x:c>
      <x:c r="K957" s="2" t="n">
        <x:f>I957-J957</x:f>
        <x:v>20</x:v>
      </x:c>
      <x:c r="L957" s="16" t="n">
        <x:v>28</x:v>
      </x:c>
      <x:c r="M957" s="16" t="n">
        <x:v>28</x:v>
      </x:c>
      <x:c r="N957" s="16" t="n">
        <x:v>13.58</x:v>
      </x:c>
      <x:c r="O957" s="16" t="n">
        <x:f>K957*M957</x:f>
        <x:v>560</x:v>
      </x:c>
      <x:c r="P957" s="16" t="n">
        <x:f>K957*N957</x:f>
        <x:v>271.6</x:v>
      </x:c>
      <x:c r="Q957" s="16" t="n">
        <x:f>O957-P957</x:f>
        <x:v>288.4</x:v>
      </x:c>
      <x:c r="R957" s="2" t="n">
        <x:v>66</x:v>
      </x:c>
      <x:c r="S957" s="2" t="n">
        <x:v>0</x:v>
      </x:c>
      <x:c r="T957" s="2" t="n">
        <x:f>R957+S957+J957-I957</x:f>
        <x:v>46</x:v>
      </x:c>
      <x:c r="U957" s="2" t="n">
        <x:v>0</x:v>
      </x:c>
      <x:c r="V957" s="2" t="n">
        <x:v>4</x:v>
      </x:c>
      <x:c r="W957" s="2" t="n">
        <x:v>43</x:v>
      </x:c>
      <x:c r="X957" s="14" t="b">
        <x:v>0</x:v>
      </x:c>
      <x:c r="Y957" s="14" t="b">
        <x:v>0</x:v>
      </x:c>
      <x:c r="Z957" s="2" t="n">
        <x:f>ABS(T957-AA957)</x:f>
        <x:v>0</x:v>
      </x:c>
      <x:c r="AA957" s="2" t="n">
        <x:v>46</x:v>
      </x:c>
      <x:c r="AB957" s="2" t="n">
        <x:f>ABS(K957-W957)</x:f>
        <x:v>23</x:v>
      </x:c>
      <x:c r="AC957" s="2" t="n">
        <x:f>COUNTIF($A$2:$A$1921,A957)-1</x:f>
        <x:v>0</x:v>
      </x:c>
      <x:c r="AD957" s="2" t="n">
        <x:f>IF(AND(D957=D956,H957=H956,C957=C956+1),ABS(R957-T956),0)</x:f>
        <x:v>0</x:v>
      </x:c>
    </x:row>
    <x:row r="958" ht="23" customHeight="1">
      <x:c r="A958" s="2" t="str">
        <x:v>DEMO-206-3-17</x:v>
      </x:c>
      <x:c r="B958" s="15" t="d">
        <x:v>2026-08-24T00:00:00.000Z</x:v>
      </x:c>
      <x:c r="C958" s="2" t="n">
        <x:v>17</x:v>
      </x:c>
      <x:c r="D958" s="2" t="str">
        <x:v>DEMO-206</x:v>
      </x:c>
      <x:c r="E958" s="2" t="str">
        <x:v>Memory Capsule</x:v>
      </x:c>
      <x:c r="F958" s="2" t="str">
        <x:v>Gifting</x:v>
      </x:c>
      <x:c r="G958" s="2" t="str">
        <x:v>Online</x:v>
      </x:c>
      <x:c r="H958" s="2" t="str">
        <x:v>Online</x:v>
      </x:c>
      <x:c r="I958" s="2" t="n">
        <x:v>20</x:v>
      </x:c>
      <x:c r="J958" s="2" t="n">
        <x:v>0</x:v>
      </x:c>
      <x:c r="K958" s="2" t="n">
        <x:f>I958-J958</x:f>
        <x:v>20</x:v>
      </x:c>
      <x:c r="L958" s="16" t="n">
        <x:v>28</x:v>
      </x:c>
      <x:c r="M958" s="16" t="n">
        <x:v>28</x:v>
      </x:c>
      <x:c r="N958" s="16" t="n">
        <x:v>13.58</x:v>
      </x:c>
      <x:c r="O958" s="16" t="n">
        <x:f>K958*M958</x:f>
        <x:v>560</x:v>
      </x:c>
      <x:c r="P958" s="16" t="n">
        <x:f>K958*N958</x:f>
        <x:v>271.6</x:v>
      </x:c>
      <x:c r="Q958" s="16" t="n">
        <x:f>O958-P958</x:f>
        <x:v>288.4</x:v>
      </x:c>
      <x:c r="R958" s="2" t="n">
        <x:v>46</x:v>
      </x:c>
      <x:c r="S958" s="2" t="n">
        <x:v>100</x:v>
      </x:c>
      <x:c r="T958" s="2" t="n">
        <x:f>R958+S958+J958-I958</x:f>
        <x:v>126</x:v>
      </x:c>
      <x:c r="U958" s="2" t="n">
        <x:v>0</x:v>
      </x:c>
      <x:c r="V958" s="2" t="n">
        <x:v>4</x:v>
      </x:c>
      <x:c r="W958" s="2" t="n">
        <x:v>34</x:v>
      </x:c>
      <x:c r="X958" s="14" t="b">
        <x:v>0</x:v>
      </x:c>
      <x:c r="Y958" s="14" t="b">
        <x:v>0</x:v>
      </x:c>
      <x:c r="Z958" s="2" t="n">
        <x:f>ABS(T958-AA958)</x:f>
        <x:v>0</x:v>
      </x:c>
      <x:c r="AA958" s="2" t="n">
        <x:v>126</x:v>
      </x:c>
      <x:c r="AB958" s="2" t="n">
        <x:f>ABS(K958-W958)</x:f>
        <x:v>14</x:v>
      </x:c>
      <x:c r="AC958" s="2" t="n">
        <x:f>COUNTIF($A$2:$A$1921,A958)-1</x:f>
        <x:v>0</x:v>
      </x:c>
      <x:c r="AD958" s="2" t="n">
        <x:f>IF(AND(D958=D957,H958=H957,C958=C957+1),ABS(R958-T957),0)</x:f>
        <x:v>0</x:v>
      </x:c>
    </x:row>
    <x:row r="959" ht="23" customHeight="1">
      <x:c r="A959" s="2" t="str">
        <x:v>DEMO-206-3-18</x:v>
      </x:c>
      <x:c r="B959" s="15" t="d">
        <x:v>2026-08-31T00:00:00.000Z</x:v>
      </x:c>
      <x:c r="C959" s="2" t="n">
        <x:v>18</x:v>
      </x:c>
      <x:c r="D959" s="2" t="str">
        <x:v>DEMO-206</x:v>
      </x:c>
      <x:c r="E959" s="2" t="str">
        <x:v>Memory Capsule</x:v>
      </x:c>
      <x:c r="F959" s="2" t="str">
        <x:v>Gifting</x:v>
      </x:c>
      <x:c r="G959" s="2" t="str">
        <x:v>Online</x:v>
      </x:c>
      <x:c r="H959" s="2" t="str">
        <x:v>Online</x:v>
      </x:c>
      <x:c r="I959" s="2" t="n">
        <x:v>20</x:v>
      </x:c>
      <x:c r="J959" s="2" t="n">
        <x:v>0</x:v>
      </x:c>
      <x:c r="K959" s="2" t="n">
        <x:f>I959-J959</x:f>
        <x:v>20</x:v>
      </x:c>
      <x:c r="L959" s="16" t="n">
        <x:v>28</x:v>
      </x:c>
      <x:c r="M959" s="16" t="n">
        <x:v>28</x:v>
      </x:c>
      <x:c r="N959" s="16" t="n">
        <x:v>13.58</x:v>
      </x:c>
      <x:c r="O959" s="16" t="n">
        <x:f>K959*M959</x:f>
        <x:v>560</x:v>
      </x:c>
      <x:c r="P959" s="16" t="n">
        <x:f>K959*N959</x:f>
        <x:v>271.6</x:v>
      </x:c>
      <x:c r="Q959" s="16" t="n">
        <x:f>O959-P959</x:f>
        <x:v>288.4</x:v>
      </x:c>
      <x:c r="R959" s="2" t="n">
        <x:v>126</x:v>
      </x:c>
      <x:c r="S959" s="2" t="n">
        <x:v>0</x:v>
      </x:c>
      <x:c r="T959" s="2" t="n">
        <x:f>R959+S959+J959-I959</x:f>
        <x:v>106</x:v>
      </x:c>
      <x:c r="U959" s="2" t="n">
        <x:v>0</x:v>
      </x:c>
      <x:c r="V959" s="2" t="n">
        <x:v>4</x:v>
      </x:c>
      <x:c r="W959" s="2" t="n">
        <x:v>28</x:v>
      </x:c>
      <x:c r="X959" s="14" t="b">
        <x:v>0</x:v>
      </x:c>
      <x:c r="Y959" s="14" t="b">
        <x:v>0</x:v>
      </x:c>
      <x:c r="Z959" s="2" t="n">
        <x:f>ABS(T959-AA959)</x:f>
        <x:v>0</x:v>
      </x:c>
      <x:c r="AA959" s="2" t="n">
        <x:v>106</x:v>
      </x:c>
      <x:c r="AB959" s="2" t="n">
        <x:f>ABS(K959-W959)</x:f>
        <x:v>8</x:v>
      </x:c>
      <x:c r="AC959" s="2" t="n">
        <x:f>COUNTIF($A$2:$A$1921,A959)-1</x:f>
        <x:v>0</x:v>
      </x:c>
      <x:c r="AD959" s="2" t="n">
        <x:f>IF(AND(D959=D958,H959=H958,C959=C958+1),ABS(R959-T958),0)</x:f>
        <x:v>0</x:v>
      </x:c>
    </x:row>
    <x:row r="960" ht="23" customHeight="1">
      <x:c r="A960" s="2" t="str">
        <x:v>DEMO-206-3-19</x:v>
      </x:c>
      <x:c r="B960" s="15" t="d">
        <x:v>2026-09-07T00:00:00.000Z</x:v>
      </x:c>
      <x:c r="C960" s="2" t="n">
        <x:v>19</x:v>
      </x:c>
      <x:c r="D960" s="2" t="str">
        <x:v>DEMO-206</x:v>
      </x:c>
      <x:c r="E960" s="2" t="str">
        <x:v>Memory Capsule</x:v>
      </x:c>
      <x:c r="F960" s="2" t="str">
        <x:v>Gifting</x:v>
      </x:c>
      <x:c r="G960" s="2" t="str">
        <x:v>Online</x:v>
      </x:c>
      <x:c r="H960" s="2" t="str">
        <x:v>Online</x:v>
      </x:c>
      <x:c r="I960" s="2" t="n">
        <x:v>24</x:v>
      </x:c>
      <x:c r="J960" s="2" t="n">
        <x:v>0</x:v>
      </x:c>
      <x:c r="K960" s="2" t="n">
        <x:f>I960-J960</x:f>
        <x:v>24</x:v>
      </x:c>
      <x:c r="L960" s="16" t="n">
        <x:v>28</x:v>
      </x:c>
      <x:c r="M960" s="16" t="n">
        <x:v>28</x:v>
      </x:c>
      <x:c r="N960" s="16" t="n">
        <x:v>13.58</x:v>
      </x:c>
      <x:c r="O960" s="16" t="n">
        <x:f>K960*M960</x:f>
        <x:v>672</x:v>
      </x:c>
      <x:c r="P960" s="16" t="n">
        <x:f>K960*N960</x:f>
        <x:v>325.92</x:v>
      </x:c>
      <x:c r="Q960" s="16" t="n">
        <x:f>O960-P960</x:f>
        <x:v>346.08</x:v>
      </x:c>
      <x:c r="R960" s="2" t="n">
        <x:v>106</x:v>
      </x:c>
      <x:c r="S960" s="2" t="n">
        <x:v>0</x:v>
      </x:c>
      <x:c r="T960" s="2" t="n">
        <x:f>R960+S960+J960-I960</x:f>
        <x:v>82</x:v>
      </x:c>
      <x:c r="U960" s="2" t="n">
        <x:v>0</x:v>
      </x:c>
      <x:c r="V960" s="2" t="n">
        <x:v>4</x:v>
      </x:c>
      <x:c r="W960" s="2" t="n">
        <x:v>21</x:v>
      </x:c>
      <x:c r="X960" s="14" t="b">
        <x:v>0</x:v>
      </x:c>
      <x:c r="Y960" s="14" t="b">
        <x:v>0</x:v>
      </x:c>
      <x:c r="Z960" s="2" t="n">
        <x:f>ABS(T960-AA960)</x:f>
        <x:v>0</x:v>
      </x:c>
      <x:c r="AA960" s="2" t="n">
        <x:v>82</x:v>
      </x:c>
      <x:c r="AB960" s="2" t="n">
        <x:f>ABS(K960-W960)</x:f>
        <x:v>3</x:v>
      </x:c>
      <x:c r="AC960" s="2" t="n">
        <x:f>COUNTIF($A$2:$A$1921,A960)-1</x:f>
        <x:v>0</x:v>
      </x:c>
      <x:c r="AD960" s="2" t="n">
        <x:f>IF(AND(D960=D959,H960=H959,C960=C959+1),ABS(R960-T959),0)</x:f>
        <x:v>0</x:v>
      </x:c>
    </x:row>
    <x:row r="961" ht="23" customHeight="1">
      <x:c r="A961" s="2" t="str">
        <x:v>DEMO-206-3-20</x:v>
      </x:c>
      <x:c r="B961" s="15" t="d">
        <x:v>2026-09-14T00:00:00.000Z</x:v>
      </x:c>
      <x:c r="C961" s="2" t="n">
        <x:v>20</x:v>
      </x:c>
      <x:c r="D961" s="2" t="str">
        <x:v>DEMO-206</x:v>
      </x:c>
      <x:c r="E961" s="2" t="str">
        <x:v>Memory Capsule</x:v>
      </x:c>
      <x:c r="F961" s="2" t="str">
        <x:v>Gifting</x:v>
      </x:c>
      <x:c r="G961" s="2" t="str">
        <x:v>Online</x:v>
      </x:c>
      <x:c r="H961" s="2" t="str">
        <x:v>Online</x:v>
      </x:c>
      <x:c r="I961" s="2" t="n">
        <x:v>26</x:v>
      </x:c>
      <x:c r="J961" s="2" t="n">
        <x:v>0</x:v>
      </x:c>
      <x:c r="K961" s="2" t="n">
        <x:f>I961-J961</x:f>
        <x:v>26</x:v>
      </x:c>
      <x:c r="L961" s="16" t="n">
        <x:v>28</x:v>
      </x:c>
      <x:c r="M961" s="16" t="n">
        <x:v>28</x:v>
      </x:c>
      <x:c r="N961" s="16" t="n">
        <x:v>13.58</x:v>
      </x:c>
      <x:c r="O961" s="16" t="n">
        <x:f>K961*M961</x:f>
        <x:v>728</x:v>
      </x:c>
      <x:c r="P961" s="16" t="n">
        <x:f>K961*N961</x:f>
        <x:v>353.08</x:v>
      </x:c>
      <x:c r="Q961" s="16" t="n">
        <x:f>O961-P961</x:f>
        <x:v>374.92</x:v>
      </x:c>
      <x:c r="R961" s="2" t="n">
        <x:v>82</x:v>
      </x:c>
      <x:c r="S961" s="2" t="n">
        <x:v>0</x:v>
      </x:c>
      <x:c r="T961" s="2" t="n">
        <x:f>R961+S961+J961-I961</x:f>
        <x:v>56</x:v>
      </x:c>
      <x:c r="U961" s="2" t="n">
        <x:v>18</x:v>
      </x:c>
      <x:c r="V961" s="2" t="n">
        <x:v>4</x:v>
      </x:c>
      <x:c r="W961" s="2" t="n">
        <x:v>21</x:v>
      </x:c>
      <x:c r="X961" s="14" t="b">
        <x:v>0</x:v>
      </x:c>
      <x:c r="Y961" s="14" t="b">
        <x:v>0</x:v>
      </x:c>
      <x:c r="Z961" s="2" t="n">
        <x:f>ABS(T961-AA961)</x:f>
        <x:v>0</x:v>
      </x:c>
      <x:c r="AA961" s="2" t="n">
        <x:v>56</x:v>
      </x:c>
      <x:c r="AB961" s="2" t="n">
        <x:f>ABS(K961-W961)</x:f>
        <x:v>5</x:v>
      </x:c>
      <x:c r="AC961" s="2" t="n">
        <x:f>COUNTIF($A$2:$A$1921,A961)-1</x:f>
        <x:v>0</x:v>
      </x:c>
      <x:c r="AD961" s="2" t="n">
        <x:f>IF(AND(D961=D960,H961=H960,C961=C960+1),ABS(R961-T960),0)</x:f>
        <x:v>0</x:v>
      </x:c>
    </x:row>
    <x:row r="962" ht="23" customHeight="1">
      <x:c r="A962" s="2" t="str">
        <x:v>DEMO-301-0-1</x:v>
      </x:c>
      <x:c r="B962" s="15" t="d">
        <x:v>2026-05-04T00:00:00.000Z</x:v>
      </x:c>
      <x:c r="C962" s="2" t="n">
        <x:v>1</x:v>
      </x:c>
      <x:c r="D962" s="2" t="str">
        <x:v>DEMO-301</x:v>
      </x:c>
      <x:c r="E962" s="2" t="str">
        <x:v>Dawn Travel Cup</x:v>
      </x:c>
      <x:c r="F962" s="2" t="str">
        <x:v>Lifestyle</x:v>
      </x:c>
      <x:c r="G962" s="2" t="str">
        <x:v>Stores</x:v>
      </x:c>
      <x:c r="H962" s="2" t="str">
        <x:v>North Arcade</x:v>
      </x:c>
      <x:c r="I962" s="2" t="n">
        <x:v>13</x:v>
      </x:c>
      <x:c r="J962" s="2" t="n">
        <x:v>0</x:v>
      </x:c>
      <x:c r="K962" s="2" t="n">
        <x:f>I962-J962</x:f>
        <x:v>13</x:v>
      </x:c>
      <x:c r="L962" s="16" t="n">
        <x:v>24</x:v>
      </x:c>
      <x:c r="M962" s="16" t="n">
        <x:v>24</x:v>
      </x:c>
      <x:c r="N962" s="16" t="n">
        <x:v>8.64</x:v>
      </x:c>
      <x:c r="O962" s="16" t="n">
        <x:f>K962*M962</x:f>
        <x:v>312</x:v>
      </x:c>
      <x:c r="P962" s="16" t="n">
        <x:f>K962*N962</x:f>
        <x:v>112.32000000000001</x:v>
      </x:c>
      <x:c r="Q962" s="16" t="n">
        <x:f>O962-P962</x:f>
        <x:v>199.68</x:v>
      </x:c>
      <x:c r="R962" s="2" t="n">
        <x:v>140</x:v>
      </x:c>
      <x:c r="S962" s="2" t="n">
        <x:v>65</x:v>
      </x:c>
      <x:c r="T962" s="2" t="n">
        <x:f>R962+S962+J962-I962</x:f>
        <x:v>192</x:v>
      </x:c>
      <x:c r="U962" s="2" t="n">
        <x:v>0</x:v>
      </x:c>
      <x:c r="V962" s="2" t="n">
        <x:v>2</x:v>
      </x:c>
      <x:c r="W962" s="2" t="n">
        <x:v>11</x:v>
      </x:c>
      <x:c r="X962" s="14" t="b">
        <x:v>0</x:v>
      </x:c>
      <x:c r="Y962" s="14" t="b">
        <x:v>0</x:v>
      </x:c>
      <x:c r="Z962" s="2" t="n">
        <x:f>ABS(T962-AA962)</x:f>
        <x:v>0</x:v>
      </x:c>
      <x:c r="AA962" s="2" t="n">
        <x:v>192</x:v>
      </x:c>
      <x:c r="AB962" s="2" t="n">
        <x:f>ABS(K962-W962)</x:f>
        <x:v>2</x:v>
      </x:c>
      <x:c r="AC962" s="2" t="n">
        <x:f>COUNTIF($A$2:$A$1921,A962)-1</x:f>
        <x:v>0</x:v>
      </x:c>
      <x:c r="AD962" s="2" t="n">
        <x:f>IF(AND(D962=D961,H962=H961,C962=C961+1),ABS(R962-T961),0)</x:f>
        <x:v>0</x:v>
      </x:c>
    </x:row>
    <x:row r="963" ht="23" customHeight="1">
      <x:c r="A963" s="2" t="str">
        <x:v>DEMO-301-0-2</x:v>
      </x:c>
      <x:c r="B963" s="15" t="d">
        <x:v>2026-05-11T00:00:00.000Z</x:v>
      </x:c>
      <x:c r="C963" s="2" t="n">
        <x:v>2</x:v>
      </x:c>
      <x:c r="D963" s="2" t="str">
        <x:v>DEMO-301</x:v>
      </x:c>
      <x:c r="E963" s="2" t="str">
        <x:v>Dawn Travel Cup</x:v>
      </x:c>
      <x:c r="F963" s="2" t="str">
        <x:v>Lifestyle</x:v>
      </x:c>
      <x:c r="G963" s="2" t="str">
        <x:v>Stores</x:v>
      </x:c>
      <x:c r="H963" s="2" t="str">
        <x:v>North Arcade</x:v>
      </x:c>
      <x:c r="I963" s="2" t="n">
        <x:v>9</x:v>
      </x:c>
      <x:c r="J963" s="2" t="n">
        <x:v>0</x:v>
      </x:c>
      <x:c r="K963" s="2" t="n">
        <x:f>I963-J963</x:f>
        <x:v>9</x:v>
      </x:c>
      <x:c r="L963" s="16" t="n">
        <x:v>24</x:v>
      </x:c>
      <x:c r="M963" s="16" t="n">
        <x:v>24</x:v>
      </x:c>
      <x:c r="N963" s="16" t="n">
        <x:v>8.64</x:v>
      </x:c>
      <x:c r="O963" s="16" t="n">
        <x:f>K963*M963</x:f>
        <x:v>216</x:v>
      </x:c>
      <x:c r="P963" s="16" t="n">
        <x:f>K963*N963</x:f>
        <x:v>77.76</x:v>
      </x:c>
      <x:c r="Q963" s="16" t="n">
        <x:f>O963-P963</x:f>
        <x:v>138.24</x:v>
      </x:c>
      <x:c r="R963" s="2" t="n">
        <x:v>192</x:v>
      </x:c>
      <x:c r="S963" s="2" t="n">
        <x:v>0</x:v>
      </x:c>
      <x:c r="T963" s="2" t="n">
        <x:f>R963+S963+J963-I963</x:f>
        <x:v>183</x:v>
      </x:c>
      <x:c r="U963" s="2" t="n">
        <x:v>0</x:v>
      </x:c>
      <x:c r="V963" s="2" t="n">
        <x:v>2</x:v>
      </x:c>
      <x:c r="W963" s="2" t="n">
        <x:v>13</x:v>
      </x:c>
      <x:c r="X963" s="14" t="b">
        <x:v>0</x:v>
      </x:c>
      <x:c r="Y963" s="14" t="b">
        <x:v>0</x:v>
      </x:c>
      <x:c r="Z963" s="2" t="n">
        <x:f>ABS(T963-AA963)</x:f>
        <x:v>0</x:v>
      </x:c>
      <x:c r="AA963" s="2" t="n">
        <x:v>183</x:v>
      </x:c>
      <x:c r="AB963" s="2" t="n">
        <x:f>ABS(K963-W963)</x:f>
        <x:v>4</x:v>
      </x:c>
      <x:c r="AC963" s="2" t="n">
        <x:f>COUNTIF($A$2:$A$1921,A963)-1</x:f>
        <x:v>0</x:v>
      </x:c>
      <x:c r="AD963" s="2" t="n">
        <x:f>IF(AND(D963=D962,H963=H962,C963=C962+1),ABS(R963-T962),0)</x:f>
        <x:v>0</x:v>
      </x:c>
    </x:row>
    <x:row r="964" ht="23" customHeight="1">
      <x:c r="A964" s="2" t="str">
        <x:v>DEMO-301-0-3</x:v>
      </x:c>
      <x:c r="B964" s="15" t="d">
        <x:v>2026-05-18T00:00:00.000Z</x:v>
      </x:c>
      <x:c r="C964" s="2" t="n">
        <x:v>3</x:v>
      </x:c>
      <x:c r="D964" s="2" t="str">
        <x:v>DEMO-301</x:v>
      </x:c>
      <x:c r="E964" s="2" t="str">
        <x:v>Dawn Travel Cup</x:v>
      </x:c>
      <x:c r="F964" s="2" t="str">
        <x:v>Lifestyle</x:v>
      </x:c>
      <x:c r="G964" s="2" t="str">
        <x:v>Stores</x:v>
      </x:c>
      <x:c r="H964" s="2" t="str">
        <x:v>North Arcade</x:v>
      </x:c>
      <x:c r="I964" s="2" t="n">
        <x:v>12</x:v>
      </x:c>
      <x:c r="J964" s="2" t="n">
        <x:v>0</x:v>
      </x:c>
      <x:c r="K964" s="2" t="n">
        <x:f>I964-J964</x:f>
        <x:v>12</x:v>
      </x:c>
      <x:c r="L964" s="16" t="n">
        <x:v>24</x:v>
      </x:c>
      <x:c r="M964" s="16" t="n">
        <x:v>24</x:v>
      </x:c>
      <x:c r="N964" s="16" t="n">
        <x:v>8.64</x:v>
      </x:c>
      <x:c r="O964" s="16" t="n">
        <x:f>K964*M964</x:f>
        <x:v>288</x:v>
      </x:c>
      <x:c r="P964" s="16" t="n">
        <x:f>K964*N964</x:f>
        <x:v>103.68</x:v>
      </x:c>
      <x:c r="Q964" s="16" t="n">
        <x:f>O964-P964</x:f>
        <x:v>184.32</x:v>
      </x:c>
      <x:c r="R964" s="2" t="n">
        <x:v>183</x:v>
      </x:c>
      <x:c r="S964" s="2" t="n">
        <x:v>0</x:v>
      </x:c>
      <x:c r="T964" s="2" t="n">
        <x:f>R964+S964+J964-I964</x:f>
        <x:v>171</x:v>
      </x:c>
      <x:c r="U964" s="2" t="n">
        <x:v>0</x:v>
      </x:c>
      <x:c r="V964" s="2" t="n">
        <x:v>2</x:v>
      </x:c>
      <x:c r="W964" s="2" t="n">
        <x:v>11</x:v>
      </x:c>
      <x:c r="X964" s="14" t="b">
        <x:v>0</x:v>
      </x:c>
      <x:c r="Y964" s="14" t="b">
        <x:v>0</x:v>
      </x:c>
      <x:c r="Z964" s="2" t="n">
        <x:f>ABS(T964-AA964)</x:f>
        <x:v>0</x:v>
      </x:c>
      <x:c r="AA964" s="2" t="n">
        <x:v>171</x:v>
      </x:c>
      <x:c r="AB964" s="2" t="n">
        <x:f>ABS(K964-W964)</x:f>
        <x:v>1</x:v>
      </x:c>
      <x:c r="AC964" s="2" t="n">
        <x:f>COUNTIF($A$2:$A$1921,A964)-1</x:f>
        <x:v>0</x:v>
      </x:c>
      <x:c r="AD964" s="2" t="n">
        <x:f>IF(AND(D964=D963,H964=H963,C964=C963+1),ABS(R964-T963),0)</x:f>
        <x:v>0</x:v>
      </x:c>
    </x:row>
    <x:row r="965" ht="23" customHeight="1">
      <x:c r="A965" s="2" t="str">
        <x:v>DEMO-301-0-4</x:v>
      </x:c>
      <x:c r="B965" s="15" t="d">
        <x:v>2026-05-25T00:00:00.000Z</x:v>
      </x:c>
      <x:c r="C965" s="2" t="n">
        <x:v>4</x:v>
      </x:c>
      <x:c r="D965" s="2" t="str">
        <x:v>DEMO-301</x:v>
      </x:c>
      <x:c r="E965" s="2" t="str">
        <x:v>Dawn Travel Cup</x:v>
      </x:c>
      <x:c r="F965" s="2" t="str">
        <x:v>Lifestyle</x:v>
      </x:c>
      <x:c r="G965" s="2" t="str">
        <x:v>Stores</x:v>
      </x:c>
      <x:c r="H965" s="2" t="str">
        <x:v>North Arcade</x:v>
      </x:c>
      <x:c r="I965" s="2" t="n">
        <x:v>11</x:v>
      </x:c>
      <x:c r="J965" s="2" t="n">
        <x:v>0</x:v>
      </x:c>
      <x:c r="K965" s="2" t="n">
        <x:f>I965-J965</x:f>
        <x:v>11</x:v>
      </x:c>
      <x:c r="L965" s="16" t="n">
        <x:v>24</x:v>
      </x:c>
      <x:c r="M965" s="16" t="n">
        <x:v>24</x:v>
      </x:c>
      <x:c r="N965" s="16" t="n">
        <x:v>8.64</x:v>
      </x:c>
      <x:c r="O965" s="16" t="n">
        <x:f>K965*M965</x:f>
        <x:v>264</x:v>
      </x:c>
      <x:c r="P965" s="16" t="n">
        <x:f>K965*N965</x:f>
        <x:v>95.04</x:v>
      </x:c>
      <x:c r="Q965" s="16" t="n">
        <x:f>O965-P965</x:f>
        <x:v>168.95999999999998</x:v>
      </x:c>
      <x:c r="R965" s="2" t="n">
        <x:v>171</x:v>
      </x:c>
      <x:c r="S965" s="2" t="n">
        <x:v>0</x:v>
      </x:c>
      <x:c r="T965" s="2" t="n">
        <x:f>R965+S965+J965-I965</x:f>
        <x:v>160</x:v>
      </x:c>
      <x:c r="U965" s="2" t="n">
        <x:v>0</x:v>
      </x:c>
      <x:c r="V965" s="2" t="n">
        <x:v>2</x:v>
      </x:c>
      <x:c r="W965" s="2" t="n">
        <x:v>11</x:v>
      </x:c>
      <x:c r="X965" s="14" t="b">
        <x:v>0</x:v>
      </x:c>
      <x:c r="Y965" s="14" t="b">
        <x:v>0</x:v>
      </x:c>
      <x:c r="Z965" s="2" t="n">
        <x:f>ABS(T965-AA965)</x:f>
        <x:v>0</x:v>
      </x:c>
      <x:c r="AA965" s="2" t="n">
        <x:v>160</x:v>
      </x:c>
      <x:c r="AB965" s="2" t="n">
        <x:f>ABS(K965-W965)</x:f>
        <x:v>0</x:v>
      </x:c>
      <x:c r="AC965" s="2" t="n">
        <x:f>COUNTIF($A$2:$A$1921,A965)-1</x:f>
        <x:v>0</x:v>
      </x:c>
      <x:c r="AD965" s="2" t="n">
        <x:f>IF(AND(D965=D964,H965=H964,C965=C964+1),ABS(R965-T964),0)</x:f>
        <x:v>0</x:v>
      </x:c>
    </x:row>
    <x:row r="966" ht="23" customHeight="1">
      <x:c r="A966" s="2" t="str">
        <x:v>DEMO-301-0-5</x:v>
      </x:c>
      <x:c r="B966" s="15" t="d">
        <x:v>2026-06-01T00:00:00.000Z</x:v>
      </x:c>
      <x:c r="C966" s="2" t="n">
        <x:v>5</x:v>
      </x:c>
      <x:c r="D966" s="2" t="str">
        <x:v>DEMO-301</x:v>
      </x:c>
      <x:c r="E966" s="2" t="str">
        <x:v>Dawn Travel Cup</x:v>
      </x:c>
      <x:c r="F966" s="2" t="str">
        <x:v>Lifestyle</x:v>
      </x:c>
      <x:c r="G966" s="2" t="str">
        <x:v>Stores</x:v>
      </x:c>
      <x:c r="H966" s="2" t="str">
        <x:v>North Arcade</x:v>
      </x:c>
      <x:c r="I966" s="2" t="n">
        <x:v>9</x:v>
      </x:c>
      <x:c r="J966" s="2" t="n">
        <x:v>1</x:v>
      </x:c>
      <x:c r="K966" s="2" t="n">
        <x:f>I966-J966</x:f>
        <x:v>8</x:v>
      </x:c>
      <x:c r="L966" s="16" t="n">
        <x:v>24</x:v>
      </x:c>
      <x:c r="M966" s="16" t="n">
        <x:v>24</x:v>
      </x:c>
      <x:c r="N966" s="16" t="n">
        <x:v>8.64</x:v>
      </x:c>
      <x:c r="O966" s="16" t="n">
        <x:f>K966*M966</x:f>
        <x:v>192</x:v>
      </x:c>
      <x:c r="P966" s="16" t="n">
        <x:f>K966*N966</x:f>
        <x:v>69.12</x:v>
      </x:c>
      <x:c r="Q966" s="16" t="n">
        <x:f>O966-P966</x:f>
        <x:v>122.88</x:v>
      </x:c>
      <x:c r="R966" s="2" t="n">
        <x:v>160</x:v>
      </x:c>
      <x:c r="S966" s="2" t="n">
        <x:v>65</x:v>
      </x:c>
      <x:c r="T966" s="2" t="n">
        <x:f>R966+S966+J966-I966</x:f>
        <x:v>217</x:v>
      </x:c>
      <x:c r="U966" s="2" t="n">
        <x:v>0</x:v>
      </x:c>
      <x:c r="V966" s="2" t="n">
        <x:v>2</x:v>
      </x:c>
      <x:c r="W966" s="2" t="n">
        <x:v>11</x:v>
      </x:c>
      <x:c r="X966" s="14" t="b">
        <x:v>0</x:v>
      </x:c>
      <x:c r="Y966" s="14" t="b">
        <x:v>0</x:v>
      </x:c>
      <x:c r="Z966" s="2" t="n">
        <x:f>ABS(T966-AA966)</x:f>
        <x:v>0</x:v>
      </x:c>
      <x:c r="AA966" s="2" t="n">
        <x:v>217</x:v>
      </x:c>
      <x:c r="AB966" s="2" t="n">
        <x:f>ABS(K966-W966)</x:f>
        <x:v>3</x:v>
      </x:c>
      <x:c r="AC966" s="2" t="n">
        <x:f>COUNTIF($A$2:$A$1921,A966)-1</x:f>
        <x:v>0</x:v>
      </x:c>
      <x:c r="AD966" s="2" t="n">
        <x:f>IF(AND(D966=D965,H966=H965,C966=C965+1),ABS(R966-T965),0)</x:f>
        <x:v>0</x:v>
      </x:c>
    </x:row>
    <x:row r="967" ht="23" customHeight="1">
      <x:c r="A967" s="2" t="str">
        <x:v>DEMO-301-0-6</x:v>
      </x:c>
      <x:c r="B967" s="15" t="d">
        <x:v>2026-06-08T00:00:00.000Z</x:v>
      </x:c>
      <x:c r="C967" s="2" t="n">
        <x:v>6</x:v>
      </x:c>
      <x:c r="D967" s="2" t="str">
        <x:v>DEMO-301</x:v>
      </x:c>
      <x:c r="E967" s="2" t="str">
        <x:v>Dawn Travel Cup</x:v>
      </x:c>
      <x:c r="F967" s="2" t="str">
        <x:v>Lifestyle</x:v>
      </x:c>
      <x:c r="G967" s="2" t="str">
        <x:v>Stores</x:v>
      </x:c>
      <x:c r="H967" s="2" t="str">
        <x:v>North Arcade</x:v>
      </x:c>
      <x:c r="I967" s="2" t="n">
        <x:v>8</x:v>
      </x:c>
      <x:c r="J967" s="2" t="n">
        <x:v>0</x:v>
      </x:c>
      <x:c r="K967" s="2" t="n">
        <x:f>I967-J967</x:f>
        <x:v>8</x:v>
      </x:c>
      <x:c r="L967" s="16" t="n">
        <x:v>24</x:v>
      </x:c>
      <x:c r="M967" s="16" t="n">
        <x:v>24</x:v>
      </x:c>
      <x:c r="N967" s="16" t="n">
        <x:v>8.64</x:v>
      </x:c>
      <x:c r="O967" s="16" t="n">
        <x:f>K967*M967</x:f>
        <x:v>192</x:v>
      </x:c>
      <x:c r="P967" s="16" t="n">
        <x:f>K967*N967</x:f>
        <x:v>69.12</x:v>
      </x:c>
      <x:c r="Q967" s="16" t="n">
        <x:f>O967-P967</x:f>
        <x:v>122.88</x:v>
      </x:c>
      <x:c r="R967" s="2" t="n">
        <x:v>217</x:v>
      </x:c>
      <x:c r="S967" s="2" t="n">
        <x:v>0</x:v>
      </x:c>
      <x:c r="T967" s="2" t="n">
        <x:f>R967+S967+J967-I967</x:f>
        <x:v>209</x:v>
      </x:c>
      <x:c r="U967" s="2" t="n">
        <x:v>0</x:v>
      </x:c>
      <x:c r="V967" s="2" t="n">
        <x:v>2</x:v>
      </x:c>
      <x:c r="W967" s="2" t="n">
        <x:v>10</x:v>
      </x:c>
      <x:c r="X967" s="14" t="b">
        <x:v>0</x:v>
      </x:c>
      <x:c r="Y967" s="14" t="b">
        <x:v>0</x:v>
      </x:c>
      <x:c r="Z967" s="2" t="n">
        <x:f>ABS(T967-AA967)</x:f>
        <x:v>0</x:v>
      </x:c>
      <x:c r="AA967" s="2" t="n">
        <x:v>209</x:v>
      </x:c>
      <x:c r="AB967" s="2" t="n">
        <x:f>ABS(K967-W967)</x:f>
        <x:v>2</x:v>
      </x:c>
      <x:c r="AC967" s="2" t="n">
        <x:f>COUNTIF($A$2:$A$1921,A967)-1</x:f>
        <x:v>0</x:v>
      </x:c>
      <x:c r="AD967" s="2" t="n">
        <x:f>IF(AND(D967=D966,H967=H966,C967=C966+1),ABS(R967-T966),0)</x:f>
        <x:v>0</x:v>
      </x:c>
    </x:row>
    <x:row r="968" ht="23" customHeight="1">
      <x:c r="A968" s="2" t="str">
        <x:v>DEMO-301-0-7</x:v>
      </x:c>
      <x:c r="B968" s="15" t="d">
        <x:v>2026-06-15T00:00:00.000Z</x:v>
      </x:c>
      <x:c r="C968" s="2" t="n">
        <x:v>7</x:v>
      </x:c>
      <x:c r="D968" s="2" t="str">
        <x:v>DEMO-301</x:v>
      </x:c>
      <x:c r="E968" s="2" t="str">
        <x:v>Dawn Travel Cup</x:v>
      </x:c>
      <x:c r="F968" s="2" t="str">
        <x:v>Lifestyle</x:v>
      </x:c>
      <x:c r="G968" s="2" t="str">
        <x:v>Stores</x:v>
      </x:c>
      <x:c r="H968" s="2" t="str">
        <x:v>North Arcade</x:v>
      </x:c>
      <x:c r="I968" s="2" t="n">
        <x:v>10</x:v>
      </x:c>
      <x:c r="J968" s="2" t="n">
        <x:v>0</x:v>
      </x:c>
      <x:c r="K968" s="2" t="n">
        <x:f>I968-J968</x:f>
        <x:v>10</x:v>
      </x:c>
      <x:c r="L968" s="16" t="n">
        <x:v>24</x:v>
      </x:c>
      <x:c r="M968" s="16" t="n">
        <x:v>24</x:v>
      </x:c>
      <x:c r="N968" s="16" t="n">
        <x:v>8.64</x:v>
      </x:c>
      <x:c r="O968" s="16" t="n">
        <x:f>K968*M968</x:f>
        <x:v>240</x:v>
      </x:c>
      <x:c r="P968" s="16" t="n">
        <x:f>K968*N968</x:f>
        <x:v>86.4</x:v>
      </x:c>
      <x:c r="Q968" s="16" t="n">
        <x:f>O968-P968</x:f>
        <x:v>153.6</x:v>
      </x:c>
      <x:c r="R968" s="2" t="n">
        <x:v>209</x:v>
      </x:c>
      <x:c r="S968" s="2" t="n">
        <x:v>0</x:v>
      </x:c>
      <x:c r="T968" s="2" t="n">
        <x:f>R968+S968+J968-I968</x:f>
        <x:v>199</x:v>
      </x:c>
      <x:c r="U968" s="2" t="n">
        <x:v>0</x:v>
      </x:c>
      <x:c r="V968" s="2" t="n">
        <x:v>2</x:v>
      </x:c>
      <x:c r="W968" s="2" t="n">
        <x:v>10</x:v>
      </x:c>
      <x:c r="X968" s="14" t="b">
        <x:v>0</x:v>
      </x:c>
      <x:c r="Y968" s="14" t="b">
        <x:v>0</x:v>
      </x:c>
      <x:c r="Z968" s="2" t="n">
        <x:f>ABS(T968-AA968)</x:f>
        <x:v>0</x:v>
      </x:c>
      <x:c r="AA968" s="2" t="n">
        <x:v>199</x:v>
      </x:c>
      <x:c r="AB968" s="2" t="n">
        <x:f>ABS(K968-W968)</x:f>
        <x:v>0</x:v>
      </x:c>
      <x:c r="AC968" s="2" t="n">
        <x:f>COUNTIF($A$2:$A$1921,A968)-1</x:f>
        <x:v>0</x:v>
      </x:c>
      <x:c r="AD968" s="2" t="n">
        <x:f>IF(AND(D968=D967,H968=H967,C968=C967+1),ABS(R968-T967),0)</x:f>
        <x:v>0</x:v>
      </x:c>
    </x:row>
    <x:row r="969" ht="23" customHeight="1">
      <x:c r="A969" s="2" t="str">
        <x:v>DEMO-301-0-8</x:v>
      </x:c>
      <x:c r="B969" s="15" t="d">
        <x:v>2026-06-22T00:00:00.000Z</x:v>
      </x:c>
      <x:c r="C969" s="2" t="n">
        <x:v>8</x:v>
      </x:c>
      <x:c r="D969" s="2" t="str">
        <x:v>DEMO-301</x:v>
      </x:c>
      <x:c r="E969" s="2" t="str">
        <x:v>Dawn Travel Cup</x:v>
      </x:c>
      <x:c r="F969" s="2" t="str">
        <x:v>Lifestyle</x:v>
      </x:c>
      <x:c r="G969" s="2" t="str">
        <x:v>Stores</x:v>
      </x:c>
      <x:c r="H969" s="2" t="str">
        <x:v>North Arcade</x:v>
      </x:c>
      <x:c r="I969" s="2" t="n">
        <x:v>8</x:v>
      </x:c>
      <x:c r="J969" s="2" t="n">
        <x:v>1</x:v>
      </x:c>
      <x:c r="K969" s="2" t="n">
        <x:f>I969-J969</x:f>
        <x:v>7</x:v>
      </x:c>
      <x:c r="L969" s="16" t="n">
        <x:v>24</x:v>
      </x:c>
      <x:c r="M969" s="16" t="n">
        <x:v>24</x:v>
      </x:c>
      <x:c r="N969" s="16" t="n">
        <x:v>8.64</x:v>
      </x:c>
      <x:c r="O969" s="16" t="n">
        <x:f>K969*M969</x:f>
        <x:v>168</x:v>
      </x:c>
      <x:c r="P969" s="16" t="n">
        <x:f>K969*N969</x:f>
        <x:v>60.480000000000004</x:v>
      </x:c>
      <x:c r="Q969" s="16" t="n">
        <x:f>O969-P969</x:f>
        <x:v>107.52</x:v>
      </x:c>
      <x:c r="R969" s="2" t="n">
        <x:v>199</x:v>
      </x:c>
      <x:c r="S969" s="2" t="n">
        <x:v>0</x:v>
      </x:c>
      <x:c r="T969" s="2" t="n">
        <x:f>R969+S969+J969-I969</x:f>
        <x:v>192</x:v>
      </x:c>
      <x:c r="U969" s="2" t="n">
        <x:v>0</x:v>
      </x:c>
      <x:c r="V969" s="2" t="n">
        <x:v>2</x:v>
      </x:c>
      <x:c r="W969" s="2" t="n">
        <x:v>9</x:v>
      </x:c>
      <x:c r="X969" s="14" t="b">
        <x:v>0</x:v>
      </x:c>
      <x:c r="Y969" s="14" t="b">
        <x:v>0</x:v>
      </x:c>
      <x:c r="Z969" s="2" t="n">
        <x:f>ABS(T969-AA969)</x:f>
        <x:v>0</x:v>
      </x:c>
      <x:c r="AA969" s="2" t="n">
        <x:v>192</x:v>
      </x:c>
      <x:c r="AB969" s="2" t="n">
        <x:f>ABS(K969-W969)</x:f>
        <x:v>2</x:v>
      </x:c>
      <x:c r="AC969" s="2" t="n">
        <x:f>COUNTIF($A$2:$A$1921,A969)-1</x:f>
        <x:v>0</x:v>
      </x:c>
      <x:c r="AD969" s="2" t="n">
        <x:f>IF(AND(D969=D968,H969=H968,C969=C968+1),ABS(R969-T968),0)</x:f>
        <x:v>0</x:v>
      </x:c>
    </x:row>
    <x:row r="970" ht="23" customHeight="1">
      <x:c r="A970" s="2" t="str">
        <x:v>DEMO-301-0-9</x:v>
      </x:c>
      <x:c r="B970" s="15" t="d">
        <x:v>2026-06-29T00:00:00.000Z</x:v>
      </x:c>
      <x:c r="C970" s="2" t="n">
        <x:v>9</x:v>
      </x:c>
      <x:c r="D970" s="2" t="str">
        <x:v>DEMO-301</x:v>
      </x:c>
      <x:c r="E970" s="2" t="str">
        <x:v>Dawn Travel Cup</x:v>
      </x:c>
      <x:c r="F970" s="2" t="str">
        <x:v>Lifestyle</x:v>
      </x:c>
      <x:c r="G970" s="2" t="str">
        <x:v>Stores</x:v>
      </x:c>
      <x:c r="H970" s="2" t="str">
        <x:v>North Arcade</x:v>
      </x:c>
      <x:c r="I970" s="2" t="n">
        <x:v>9</x:v>
      </x:c>
      <x:c r="J970" s="2" t="n">
        <x:v>0</x:v>
      </x:c>
      <x:c r="K970" s="2" t="n">
        <x:f>I970-J970</x:f>
        <x:v>9</x:v>
      </x:c>
      <x:c r="L970" s="16" t="n">
        <x:v>24</x:v>
      </x:c>
      <x:c r="M970" s="16" t="n">
        <x:v>24</x:v>
      </x:c>
      <x:c r="N970" s="16" t="n">
        <x:v>8.64</x:v>
      </x:c>
      <x:c r="O970" s="16" t="n">
        <x:f>K970*M970</x:f>
        <x:v>216</x:v>
      </x:c>
      <x:c r="P970" s="16" t="n">
        <x:f>K970*N970</x:f>
        <x:v>77.76</x:v>
      </x:c>
      <x:c r="Q970" s="16" t="n">
        <x:f>O970-P970</x:f>
        <x:v>138.24</x:v>
      </x:c>
      <x:c r="R970" s="2" t="n">
        <x:v>192</x:v>
      </x:c>
      <x:c r="S970" s="2" t="n">
        <x:v>65</x:v>
      </x:c>
      <x:c r="T970" s="2" t="n">
        <x:f>R970+S970+J970-I970</x:f>
        <x:v>248</x:v>
      </x:c>
      <x:c r="U970" s="2" t="n">
        <x:v>0</x:v>
      </x:c>
      <x:c r="V970" s="2" t="n">
        <x:v>2</x:v>
      </x:c>
      <x:c r="W970" s="2" t="n">
        <x:v>8</x:v>
      </x:c>
      <x:c r="X970" s="14" t="b">
        <x:v>0</x:v>
      </x:c>
      <x:c r="Y970" s="14" t="b">
        <x:v>0</x:v>
      </x:c>
      <x:c r="Z970" s="2" t="n">
        <x:f>ABS(T970-AA970)</x:f>
        <x:v>0</x:v>
      </x:c>
      <x:c r="AA970" s="2" t="n">
        <x:v>248</x:v>
      </x:c>
      <x:c r="AB970" s="2" t="n">
        <x:f>ABS(K970-W970)</x:f>
        <x:v>1</x:v>
      </x:c>
      <x:c r="AC970" s="2" t="n">
        <x:f>COUNTIF($A$2:$A$1921,A970)-1</x:f>
        <x:v>0</x:v>
      </x:c>
      <x:c r="AD970" s="2" t="n">
        <x:f>IF(AND(D970=D969,H970=H969,C970=C969+1),ABS(R970-T969),0)</x:f>
        <x:v>0</x:v>
      </x:c>
    </x:row>
    <x:row r="971" ht="23" customHeight="1">
      <x:c r="A971" s="2" t="str">
        <x:v>DEMO-301-0-10</x:v>
      </x:c>
      <x:c r="B971" s="15" t="d">
        <x:v>2026-07-06T00:00:00.000Z</x:v>
      </x:c>
      <x:c r="C971" s="2" t="n">
        <x:v>10</x:v>
      </x:c>
      <x:c r="D971" s="2" t="str">
        <x:v>DEMO-301</x:v>
      </x:c>
      <x:c r="E971" s="2" t="str">
        <x:v>Dawn Travel Cup</x:v>
      </x:c>
      <x:c r="F971" s="2" t="str">
        <x:v>Lifestyle</x:v>
      </x:c>
      <x:c r="G971" s="2" t="str">
        <x:v>Stores</x:v>
      </x:c>
      <x:c r="H971" s="2" t="str">
        <x:v>North Arcade</x:v>
      </x:c>
      <x:c r="I971" s="2" t="n">
        <x:v>9</x:v>
      </x:c>
      <x:c r="J971" s="2" t="n">
        <x:v>0</x:v>
      </x:c>
      <x:c r="K971" s="2" t="n">
        <x:f>I971-J971</x:f>
        <x:v>9</x:v>
      </x:c>
      <x:c r="L971" s="16" t="n">
        <x:v>24</x:v>
      </x:c>
      <x:c r="M971" s="16" t="n">
        <x:v>24</x:v>
      </x:c>
      <x:c r="N971" s="16" t="n">
        <x:v>8.64</x:v>
      </x:c>
      <x:c r="O971" s="16" t="n">
        <x:f>K971*M971</x:f>
        <x:v>216</x:v>
      </x:c>
      <x:c r="P971" s="16" t="n">
        <x:f>K971*N971</x:f>
        <x:v>77.76</x:v>
      </x:c>
      <x:c r="Q971" s="16" t="n">
        <x:f>O971-P971</x:f>
        <x:v>138.24</x:v>
      </x:c>
      <x:c r="R971" s="2" t="n">
        <x:v>248</x:v>
      </x:c>
      <x:c r="S971" s="2" t="n">
        <x:v>0</x:v>
      </x:c>
      <x:c r="T971" s="2" t="n">
        <x:f>R971+S971+J971-I971</x:f>
        <x:v>239</x:v>
      </x:c>
      <x:c r="U971" s="2" t="n">
        <x:v>0</x:v>
      </x:c>
      <x:c r="V971" s="2" t="n">
        <x:v>2</x:v>
      </x:c>
      <x:c r="W971" s="2" t="n">
        <x:v>9</x:v>
      </x:c>
      <x:c r="X971" s="14" t="b">
        <x:v>0</x:v>
      </x:c>
      <x:c r="Y971" s="14" t="b">
        <x:v>0</x:v>
      </x:c>
      <x:c r="Z971" s="2" t="n">
        <x:f>ABS(T971-AA971)</x:f>
        <x:v>0</x:v>
      </x:c>
      <x:c r="AA971" s="2" t="n">
        <x:v>239</x:v>
      </x:c>
      <x:c r="AB971" s="2" t="n">
        <x:f>ABS(K971-W971)</x:f>
        <x:v>0</x:v>
      </x:c>
      <x:c r="AC971" s="2" t="n">
        <x:f>COUNTIF($A$2:$A$1921,A971)-1</x:f>
        <x:v>0</x:v>
      </x:c>
      <x:c r="AD971" s="2" t="n">
        <x:f>IF(AND(D971=D970,H971=H970,C971=C970+1),ABS(R971-T970),0)</x:f>
        <x:v>0</x:v>
      </x:c>
    </x:row>
    <x:row r="972" ht="23" customHeight="1">
      <x:c r="A972" s="2" t="str">
        <x:v>DEMO-301-0-11</x:v>
      </x:c>
      <x:c r="B972" s="15" t="d">
        <x:v>2026-07-13T00:00:00.000Z</x:v>
      </x:c>
      <x:c r="C972" s="2" t="n">
        <x:v>11</x:v>
      </x:c>
      <x:c r="D972" s="2" t="str">
        <x:v>DEMO-301</x:v>
      </x:c>
      <x:c r="E972" s="2" t="str">
        <x:v>Dawn Travel Cup</x:v>
      </x:c>
      <x:c r="F972" s="2" t="str">
        <x:v>Lifestyle</x:v>
      </x:c>
      <x:c r="G972" s="2" t="str">
        <x:v>Stores</x:v>
      </x:c>
      <x:c r="H972" s="2" t="str">
        <x:v>North Arcade</x:v>
      </x:c>
      <x:c r="I972" s="2" t="n">
        <x:v>9</x:v>
      </x:c>
      <x:c r="J972" s="2" t="n">
        <x:v>0</x:v>
      </x:c>
      <x:c r="K972" s="2" t="n">
        <x:f>I972-J972</x:f>
        <x:v>9</x:v>
      </x:c>
      <x:c r="L972" s="16" t="n">
        <x:v>24</x:v>
      </x:c>
      <x:c r="M972" s="16" t="n">
        <x:v>24</x:v>
      </x:c>
      <x:c r="N972" s="16" t="n">
        <x:v>8.64</x:v>
      </x:c>
      <x:c r="O972" s="16" t="n">
        <x:f>K972*M972</x:f>
        <x:v>216</x:v>
      </x:c>
      <x:c r="P972" s="16" t="n">
        <x:f>K972*N972</x:f>
        <x:v>77.76</x:v>
      </x:c>
      <x:c r="Q972" s="16" t="n">
        <x:f>O972-P972</x:f>
        <x:v>138.24</x:v>
      </x:c>
      <x:c r="R972" s="2" t="n">
        <x:v>239</x:v>
      </x:c>
      <x:c r="S972" s="2" t="n">
        <x:v>0</x:v>
      </x:c>
      <x:c r="T972" s="2" t="n">
        <x:f>R972+S972+J972-I972</x:f>
        <x:v>230</x:v>
      </x:c>
      <x:c r="U972" s="2" t="n">
        <x:v>0</x:v>
      </x:c>
      <x:c r="V972" s="2" t="n">
        <x:v>2</x:v>
      </x:c>
      <x:c r="W972" s="2" t="n">
        <x:v>9</x:v>
      </x:c>
      <x:c r="X972" s="14" t="b">
        <x:v>0</x:v>
      </x:c>
      <x:c r="Y972" s="14" t="b">
        <x:v>0</x:v>
      </x:c>
      <x:c r="Z972" s="2" t="n">
        <x:f>ABS(T972-AA972)</x:f>
        <x:v>0</x:v>
      </x:c>
      <x:c r="AA972" s="2" t="n">
        <x:v>230</x:v>
      </x:c>
      <x:c r="AB972" s="2" t="n">
        <x:f>ABS(K972-W972)</x:f>
        <x:v>0</x:v>
      </x:c>
      <x:c r="AC972" s="2" t="n">
        <x:f>COUNTIF($A$2:$A$1921,A972)-1</x:f>
        <x:v>0</x:v>
      </x:c>
      <x:c r="AD972" s="2" t="n">
        <x:f>IF(AND(D972=D971,H972=H971,C972=C971+1),ABS(R972-T971),0)</x:f>
        <x:v>0</x:v>
      </x:c>
    </x:row>
    <x:row r="973" ht="23" customHeight="1">
      <x:c r="A973" s="2" t="str">
        <x:v>DEMO-301-0-12</x:v>
      </x:c>
      <x:c r="B973" s="15" t="d">
        <x:v>2026-07-20T00:00:00.000Z</x:v>
      </x:c>
      <x:c r="C973" s="2" t="n">
        <x:v>12</x:v>
      </x:c>
      <x:c r="D973" s="2" t="str">
        <x:v>DEMO-301</x:v>
      </x:c>
      <x:c r="E973" s="2" t="str">
        <x:v>Dawn Travel Cup</x:v>
      </x:c>
      <x:c r="F973" s="2" t="str">
        <x:v>Lifestyle</x:v>
      </x:c>
      <x:c r="G973" s="2" t="str">
        <x:v>Stores</x:v>
      </x:c>
      <x:c r="H973" s="2" t="str">
        <x:v>North Arcade</x:v>
      </x:c>
      <x:c r="I973" s="2" t="n">
        <x:v>8</x:v>
      </x:c>
      <x:c r="J973" s="2" t="n">
        <x:v>0</x:v>
      </x:c>
      <x:c r="K973" s="2" t="n">
        <x:f>I973-J973</x:f>
        <x:v>8</x:v>
      </x:c>
      <x:c r="L973" s="16" t="n">
        <x:v>24</x:v>
      </x:c>
      <x:c r="M973" s="16" t="n">
        <x:v>24</x:v>
      </x:c>
      <x:c r="N973" s="16" t="n">
        <x:v>8.64</x:v>
      </x:c>
      <x:c r="O973" s="16" t="n">
        <x:f>K973*M973</x:f>
        <x:v>192</x:v>
      </x:c>
      <x:c r="P973" s="16" t="n">
        <x:f>K973*N973</x:f>
        <x:v>69.12</x:v>
      </x:c>
      <x:c r="Q973" s="16" t="n">
        <x:f>O973-P973</x:f>
        <x:v>122.88</x:v>
      </x:c>
      <x:c r="R973" s="2" t="n">
        <x:v>230</x:v>
      </x:c>
      <x:c r="S973" s="2" t="n">
        <x:v>0</x:v>
      </x:c>
      <x:c r="T973" s="2" t="n">
        <x:f>R973+S973+J973-I973</x:f>
        <x:v>222</x:v>
      </x:c>
      <x:c r="U973" s="2" t="n">
        <x:v>0</x:v>
      </x:c>
      <x:c r="V973" s="2" t="n">
        <x:v>2</x:v>
      </x:c>
      <x:c r="W973" s="2" t="n">
        <x:v>9</x:v>
      </x:c>
      <x:c r="X973" s="14" t="b">
        <x:v>0</x:v>
      </x:c>
      <x:c r="Y973" s="14" t="b">
        <x:v>0</x:v>
      </x:c>
      <x:c r="Z973" s="2" t="n">
        <x:f>ABS(T973-AA973)</x:f>
        <x:v>0</x:v>
      </x:c>
      <x:c r="AA973" s="2" t="n">
        <x:v>222</x:v>
      </x:c>
      <x:c r="AB973" s="2" t="n">
        <x:f>ABS(K973-W973)</x:f>
        <x:v>1</x:v>
      </x:c>
      <x:c r="AC973" s="2" t="n">
        <x:f>COUNTIF($A$2:$A$1921,A973)-1</x:f>
        <x:v>0</x:v>
      </x:c>
      <x:c r="AD973" s="2" t="n">
        <x:f>IF(AND(D973=D972,H973=H972,C973=C972+1),ABS(R973-T972),0)</x:f>
        <x:v>0</x:v>
      </x:c>
    </x:row>
    <x:row r="974" ht="23" customHeight="1">
      <x:c r="A974" s="2" t="str">
        <x:v>DEMO-301-0-13</x:v>
      </x:c>
      <x:c r="B974" s="15" t="d">
        <x:v>2026-07-27T00:00:00.000Z</x:v>
      </x:c>
      <x:c r="C974" s="2" t="n">
        <x:v>13</x:v>
      </x:c>
      <x:c r="D974" s="2" t="str">
        <x:v>DEMO-301</x:v>
      </x:c>
      <x:c r="E974" s="2" t="str">
        <x:v>Dawn Travel Cup</x:v>
      </x:c>
      <x:c r="F974" s="2" t="str">
        <x:v>Lifestyle</x:v>
      </x:c>
      <x:c r="G974" s="2" t="str">
        <x:v>Stores</x:v>
      </x:c>
      <x:c r="H974" s="2" t="str">
        <x:v>North Arcade</x:v>
      </x:c>
      <x:c r="I974" s="2" t="n">
        <x:v>6</x:v>
      </x:c>
      <x:c r="J974" s="2" t="n">
        <x:v>0</x:v>
      </x:c>
      <x:c r="K974" s="2" t="n">
        <x:f>I974-J974</x:f>
        <x:v>6</x:v>
      </x:c>
      <x:c r="L974" s="16" t="n">
        <x:v>24</x:v>
      </x:c>
      <x:c r="M974" s="16" t="n">
        <x:v>24</x:v>
      </x:c>
      <x:c r="N974" s="16" t="n">
        <x:v>8.64</x:v>
      </x:c>
      <x:c r="O974" s="16" t="n">
        <x:f>K974*M974</x:f>
        <x:v>144</x:v>
      </x:c>
      <x:c r="P974" s="16" t="n">
        <x:f>K974*N974</x:f>
        <x:v>51.84</x:v>
      </x:c>
      <x:c r="Q974" s="16" t="n">
        <x:f>O974-P974</x:f>
        <x:v>92.16</x:v>
      </x:c>
      <x:c r="R974" s="2" t="n">
        <x:v>222</x:v>
      </x:c>
      <x:c r="S974" s="2" t="n">
        <x:v>65</x:v>
      </x:c>
      <x:c r="T974" s="2" t="n">
        <x:f>R974+S974+J974-I974</x:f>
        <x:v>281</x:v>
      </x:c>
      <x:c r="U974" s="2" t="n">
        <x:v>0</x:v>
      </x:c>
      <x:c r="V974" s="2" t="n">
        <x:v>2</x:v>
      </x:c>
      <x:c r="W974" s="2" t="n">
        <x:v>9</x:v>
      </x:c>
      <x:c r="X974" s="14" t="b">
        <x:v>0</x:v>
      </x:c>
      <x:c r="Y974" s="14" t="b">
        <x:v>0</x:v>
      </x:c>
      <x:c r="Z974" s="2" t="n">
        <x:f>ABS(T974-AA974)</x:f>
        <x:v>0</x:v>
      </x:c>
      <x:c r="AA974" s="2" t="n">
        <x:v>281</x:v>
      </x:c>
      <x:c r="AB974" s="2" t="n">
        <x:f>ABS(K974-W974)</x:f>
        <x:v>3</x:v>
      </x:c>
      <x:c r="AC974" s="2" t="n">
        <x:f>COUNTIF($A$2:$A$1921,A974)-1</x:f>
        <x:v>0</x:v>
      </x:c>
      <x:c r="AD974" s="2" t="n">
        <x:f>IF(AND(D974=D973,H974=H973,C974=C973+1),ABS(R974-T973),0)</x:f>
        <x:v>0</x:v>
      </x:c>
    </x:row>
    <x:row r="975" ht="23" customHeight="1">
      <x:c r="A975" s="2" t="str">
        <x:v>DEMO-301-0-14</x:v>
      </x:c>
      <x:c r="B975" s="15" t="d">
        <x:v>2026-08-03T00:00:00.000Z</x:v>
      </x:c>
      <x:c r="C975" s="2" t="n">
        <x:v>14</x:v>
      </x:c>
      <x:c r="D975" s="2" t="str">
        <x:v>DEMO-301</x:v>
      </x:c>
      <x:c r="E975" s="2" t="str">
        <x:v>Dawn Travel Cup</x:v>
      </x:c>
      <x:c r="F975" s="2" t="str">
        <x:v>Lifestyle</x:v>
      </x:c>
      <x:c r="G975" s="2" t="str">
        <x:v>Stores</x:v>
      </x:c>
      <x:c r="H975" s="2" t="str">
        <x:v>North Arcade</x:v>
      </x:c>
      <x:c r="I975" s="2" t="n">
        <x:v>7</x:v>
      </x:c>
      <x:c r="J975" s="2" t="n">
        <x:v>0</x:v>
      </x:c>
      <x:c r="K975" s="2" t="n">
        <x:f>I975-J975</x:f>
        <x:v>7</x:v>
      </x:c>
      <x:c r="L975" s="16" t="n">
        <x:v>24</x:v>
      </x:c>
      <x:c r="M975" s="16" t="n">
        <x:v>24</x:v>
      </x:c>
      <x:c r="N975" s="16" t="n">
        <x:v>8.64</x:v>
      </x:c>
      <x:c r="O975" s="16" t="n">
        <x:f>K975*M975</x:f>
        <x:v>168</x:v>
      </x:c>
      <x:c r="P975" s="16" t="n">
        <x:f>K975*N975</x:f>
        <x:v>60.480000000000004</x:v>
      </x:c>
      <x:c r="Q975" s="16" t="n">
        <x:f>O975-P975</x:f>
        <x:v>107.52</x:v>
      </x:c>
      <x:c r="R975" s="2" t="n">
        <x:v>281</x:v>
      </x:c>
      <x:c r="S975" s="2" t="n">
        <x:v>0</x:v>
      </x:c>
      <x:c r="T975" s="2" t="n">
        <x:f>R975+S975+J975-I975</x:f>
        <x:v>274</x:v>
      </x:c>
      <x:c r="U975" s="2" t="n">
        <x:v>0</x:v>
      </x:c>
      <x:c r="V975" s="2" t="n">
        <x:v>2</x:v>
      </x:c>
      <x:c r="W975" s="2" t="n">
        <x:v>8</x:v>
      </x:c>
      <x:c r="X975" s="14" t="b">
        <x:v>0</x:v>
      </x:c>
      <x:c r="Y975" s="14" t="b">
        <x:v>0</x:v>
      </x:c>
      <x:c r="Z975" s="2" t="n">
        <x:f>ABS(T975-AA975)</x:f>
        <x:v>0</x:v>
      </x:c>
      <x:c r="AA975" s="2" t="n">
        <x:v>274</x:v>
      </x:c>
      <x:c r="AB975" s="2" t="n">
        <x:f>ABS(K975-W975)</x:f>
        <x:v>1</x:v>
      </x:c>
      <x:c r="AC975" s="2" t="n">
        <x:f>COUNTIF($A$2:$A$1921,A975)-1</x:f>
        <x:v>0</x:v>
      </x:c>
      <x:c r="AD975" s="2" t="n">
        <x:f>IF(AND(D975=D974,H975=H974,C975=C974+1),ABS(R975-T974),0)</x:f>
        <x:v>0</x:v>
      </x:c>
    </x:row>
    <x:row r="976" ht="23" customHeight="1">
      <x:c r="A976" s="2" t="str">
        <x:v>DEMO-301-0-15</x:v>
      </x:c>
      <x:c r="B976" s="15" t="d">
        <x:v>2026-08-10T00:00:00.000Z</x:v>
      </x:c>
      <x:c r="C976" s="2" t="n">
        <x:v>15</x:v>
      </x:c>
      <x:c r="D976" s="2" t="str">
        <x:v>DEMO-301</x:v>
      </x:c>
      <x:c r="E976" s="2" t="str">
        <x:v>Dawn Travel Cup</x:v>
      </x:c>
      <x:c r="F976" s="2" t="str">
        <x:v>Lifestyle</x:v>
      </x:c>
      <x:c r="G976" s="2" t="str">
        <x:v>Stores</x:v>
      </x:c>
      <x:c r="H976" s="2" t="str">
        <x:v>North Arcade</x:v>
      </x:c>
      <x:c r="I976" s="2" t="n">
        <x:v>7</x:v>
      </x:c>
      <x:c r="J976" s="2" t="n">
        <x:v>1</x:v>
      </x:c>
      <x:c r="K976" s="2" t="n">
        <x:f>I976-J976</x:f>
        <x:v>6</x:v>
      </x:c>
      <x:c r="L976" s="16" t="n">
        <x:v>24</x:v>
      </x:c>
      <x:c r="M976" s="16" t="n">
        <x:v>24</x:v>
      </x:c>
      <x:c r="N976" s="16" t="n">
        <x:v>8.64</x:v>
      </x:c>
      <x:c r="O976" s="16" t="n">
        <x:f>K976*M976</x:f>
        <x:v>144</x:v>
      </x:c>
      <x:c r="P976" s="16" t="n">
        <x:f>K976*N976</x:f>
        <x:v>51.84</x:v>
      </x:c>
      <x:c r="Q976" s="16" t="n">
        <x:f>O976-P976</x:f>
        <x:v>92.16</x:v>
      </x:c>
      <x:c r="R976" s="2" t="n">
        <x:v>274</x:v>
      </x:c>
      <x:c r="S976" s="2" t="n">
        <x:v>0</x:v>
      </x:c>
      <x:c r="T976" s="2" t="n">
        <x:f>R976+S976+J976-I976</x:f>
        <x:v>268</x:v>
      </x:c>
      <x:c r="U976" s="2" t="n">
        <x:v>0</x:v>
      </x:c>
      <x:c r="V976" s="2" t="n">
        <x:v>2</x:v>
      </x:c>
      <x:c r="W976" s="2" t="n">
        <x:v>8</x:v>
      </x:c>
      <x:c r="X976" s="14" t="b">
        <x:v>0</x:v>
      </x:c>
      <x:c r="Y976" s="14" t="b">
        <x:v>0</x:v>
      </x:c>
      <x:c r="Z976" s="2" t="n">
        <x:f>ABS(T976-AA976)</x:f>
        <x:v>0</x:v>
      </x:c>
      <x:c r="AA976" s="2" t="n">
        <x:v>268</x:v>
      </x:c>
      <x:c r="AB976" s="2" t="n">
        <x:f>ABS(K976-W976)</x:f>
        <x:v>2</x:v>
      </x:c>
      <x:c r="AC976" s="2" t="n">
        <x:f>COUNTIF($A$2:$A$1921,A976)-1</x:f>
        <x:v>0</x:v>
      </x:c>
      <x:c r="AD976" s="2" t="n">
        <x:f>IF(AND(D976=D975,H976=H975,C976=C975+1),ABS(R976-T975),0)</x:f>
        <x:v>0</x:v>
      </x:c>
    </x:row>
    <x:row r="977" ht="23" customHeight="1">
      <x:c r="A977" s="2" t="str">
        <x:v>DEMO-301-0-16</x:v>
      </x:c>
      <x:c r="B977" s="15" t="d">
        <x:v>2026-08-17T00:00:00.000Z</x:v>
      </x:c>
      <x:c r="C977" s="2" t="n">
        <x:v>16</x:v>
      </x:c>
      <x:c r="D977" s="2" t="str">
        <x:v>DEMO-301</x:v>
      </x:c>
      <x:c r="E977" s="2" t="str">
        <x:v>Dawn Travel Cup</x:v>
      </x:c>
      <x:c r="F977" s="2" t="str">
        <x:v>Lifestyle</x:v>
      </x:c>
      <x:c r="G977" s="2" t="str">
        <x:v>Stores</x:v>
      </x:c>
      <x:c r="H977" s="2" t="str">
        <x:v>North Arcade</x:v>
      </x:c>
      <x:c r="I977" s="2" t="n">
        <x:v>6</x:v>
      </x:c>
      <x:c r="J977" s="2" t="n">
        <x:v>1</x:v>
      </x:c>
      <x:c r="K977" s="2" t="n">
        <x:f>I977-J977</x:f>
        <x:v>5</x:v>
      </x:c>
      <x:c r="L977" s="16" t="n">
        <x:v>24</x:v>
      </x:c>
      <x:c r="M977" s="16" t="n">
        <x:v>24</x:v>
      </x:c>
      <x:c r="N977" s="16" t="n">
        <x:v>8.64</x:v>
      </x:c>
      <x:c r="O977" s="16" t="n">
        <x:f>K977*M977</x:f>
        <x:v>120</x:v>
      </x:c>
      <x:c r="P977" s="16" t="n">
        <x:f>K977*N977</x:f>
        <x:v>43.2</x:v>
      </x:c>
      <x:c r="Q977" s="16" t="n">
        <x:f>O977-P977</x:f>
        <x:v>76.8</x:v>
      </x:c>
      <x:c r="R977" s="2" t="n">
        <x:v>268</x:v>
      </x:c>
      <x:c r="S977" s="2" t="n">
        <x:v>0</x:v>
      </x:c>
      <x:c r="T977" s="2" t="n">
        <x:f>R977+S977+J977-I977</x:f>
        <x:v>263</x:v>
      </x:c>
      <x:c r="U977" s="2" t="n">
        <x:v>0</x:v>
      </x:c>
      <x:c r="V977" s="2" t="n">
        <x:v>2</x:v>
      </x:c>
      <x:c r="W977" s="2" t="n">
        <x:v>7</x:v>
      </x:c>
      <x:c r="X977" s="14" t="b">
        <x:v>0</x:v>
      </x:c>
      <x:c r="Y977" s="14" t="b">
        <x:v>0</x:v>
      </x:c>
      <x:c r="Z977" s="2" t="n">
        <x:f>ABS(T977-AA977)</x:f>
        <x:v>0</x:v>
      </x:c>
      <x:c r="AA977" s="2" t="n">
        <x:v>263</x:v>
      </x:c>
      <x:c r="AB977" s="2" t="n">
        <x:f>ABS(K977-W977)</x:f>
        <x:v>2</x:v>
      </x:c>
      <x:c r="AC977" s="2" t="n">
        <x:f>COUNTIF($A$2:$A$1921,A977)-1</x:f>
        <x:v>0</x:v>
      </x:c>
      <x:c r="AD977" s="2" t="n">
        <x:f>IF(AND(D977=D976,H977=H976,C977=C976+1),ABS(R977-T976),0)</x:f>
        <x:v>0</x:v>
      </x:c>
    </x:row>
    <x:row r="978" ht="23" customHeight="1">
      <x:c r="A978" s="2" t="str">
        <x:v>DEMO-301-0-17</x:v>
      </x:c>
      <x:c r="B978" s="15" t="d">
        <x:v>2026-08-24T00:00:00.000Z</x:v>
      </x:c>
      <x:c r="C978" s="2" t="n">
        <x:v>17</x:v>
      </x:c>
      <x:c r="D978" s="2" t="str">
        <x:v>DEMO-301</x:v>
      </x:c>
      <x:c r="E978" s="2" t="str">
        <x:v>Dawn Travel Cup</x:v>
      </x:c>
      <x:c r="F978" s="2" t="str">
        <x:v>Lifestyle</x:v>
      </x:c>
      <x:c r="G978" s="2" t="str">
        <x:v>Stores</x:v>
      </x:c>
      <x:c r="H978" s="2" t="str">
        <x:v>North Arcade</x:v>
      </x:c>
      <x:c r="I978" s="2" t="n">
        <x:v>8</x:v>
      </x:c>
      <x:c r="J978" s="2" t="n">
        <x:v>0</x:v>
      </x:c>
      <x:c r="K978" s="2" t="n">
        <x:f>I978-J978</x:f>
        <x:v>8</x:v>
      </x:c>
      <x:c r="L978" s="16" t="n">
        <x:v>24</x:v>
      </x:c>
      <x:c r="M978" s="16" t="n">
        <x:v>19.2</x:v>
      </x:c>
      <x:c r="N978" s="16" t="n">
        <x:v>8.64</x:v>
      </x:c>
      <x:c r="O978" s="16" t="n">
        <x:f>K978*M978</x:f>
        <x:v>153.6</x:v>
      </x:c>
      <x:c r="P978" s="16" t="n">
        <x:f>K978*N978</x:f>
        <x:v>69.12</x:v>
      </x:c>
      <x:c r="Q978" s="16" t="n">
        <x:f>O978-P978</x:f>
        <x:v>84.47999999999999</x:v>
      </x:c>
      <x:c r="R978" s="2" t="n">
        <x:v>263</x:v>
      </x:c>
      <x:c r="S978" s="2" t="n">
        <x:v>65</x:v>
      </x:c>
      <x:c r="T978" s="2" t="n">
        <x:f>R978+S978+J978-I978</x:f>
        <x:v>320</x:v>
      </x:c>
      <x:c r="U978" s="2" t="n">
        <x:v>0</x:v>
      </x:c>
      <x:c r="V978" s="2" t="n">
        <x:v>2</x:v>
      </x:c>
      <x:c r="W978" s="2" t="n">
        <x:v>6</x:v>
      </x:c>
      <x:c r="X978" s="14" t="b">
        <x:v>0</x:v>
      </x:c>
      <x:c r="Y978" s="14" t="b">
        <x:v>1</x:v>
      </x:c>
      <x:c r="Z978" s="2" t="n">
        <x:f>ABS(T978-AA978)</x:f>
        <x:v>0</x:v>
      </x:c>
      <x:c r="AA978" s="2" t="n">
        <x:v>320</x:v>
      </x:c>
      <x:c r="AB978" s="2" t="n">
        <x:f>ABS(K978-W978)</x:f>
        <x:v>2</x:v>
      </x:c>
      <x:c r="AC978" s="2" t="n">
        <x:f>COUNTIF($A$2:$A$1921,A978)-1</x:f>
        <x:v>0</x:v>
      </x:c>
      <x:c r="AD978" s="2" t="n">
        <x:f>IF(AND(D978=D977,H978=H977,C978=C977+1),ABS(R978-T977),0)</x:f>
        <x:v>0</x:v>
      </x:c>
    </x:row>
    <x:row r="979" ht="23" customHeight="1">
      <x:c r="A979" s="2" t="str">
        <x:v>DEMO-301-0-18</x:v>
      </x:c>
      <x:c r="B979" s="15" t="d">
        <x:v>2026-08-31T00:00:00.000Z</x:v>
      </x:c>
      <x:c r="C979" s="2" t="n">
        <x:v>18</x:v>
      </x:c>
      <x:c r="D979" s="2" t="str">
        <x:v>DEMO-301</x:v>
      </x:c>
      <x:c r="E979" s="2" t="str">
        <x:v>Dawn Travel Cup</x:v>
      </x:c>
      <x:c r="F979" s="2" t="str">
        <x:v>Lifestyle</x:v>
      </x:c>
      <x:c r="G979" s="2" t="str">
        <x:v>Stores</x:v>
      </x:c>
      <x:c r="H979" s="2" t="str">
        <x:v>North Arcade</x:v>
      </x:c>
      <x:c r="I979" s="2" t="n">
        <x:v>6</x:v>
      </x:c>
      <x:c r="J979" s="2" t="n">
        <x:v>0</x:v>
      </x:c>
      <x:c r="K979" s="2" t="n">
        <x:f>I979-J979</x:f>
        <x:v>6</x:v>
      </x:c>
      <x:c r="L979" s="16" t="n">
        <x:v>24</x:v>
      </x:c>
      <x:c r="M979" s="16" t="n">
        <x:v>19.2</x:v>
      </x:c>
      <x:c r="N979" s="16" t="n">
        <x:v>8.64</x:v>
      </x:c>
      <x:c r="O979" s="16" t="n">
        <x:f>K979*M979</x:f>
        <x:v>115.19999999999999</x:v>
      </x:c>
      <x:c r="P979" s="16" t="n">
        <x:f>K979*N979</x:f>
        <x:v>51.84</x:v>
      </x:c>
      <x:c r="Q979" s="16" t="n">
        <x:f>O979-P979</x:f>
        <x:v>63.359999999999985</x:v>
      </x:c>
      <x:c r="R979" s="2" t="n">
        <x:v>320</x:v>
      </x:c>
      <x:c r="S979" s="2" t="n">
        <x:v>0</x:v>
      </x:c>
      <x:c r="T979" s="2" t="n">
        <x:f>R979+S979+J979-I979</x:f>
        <x:v>314</x:v>
      </x:c>
      <x:c r="U979" s="2" t="n">
        <x:v>0</x:v>
      </x:c>
      <x:c r="V979" s="2" t="n">
        <x:v>2</x:v>
      </x:c>
      <x:c r="W979" s="2" t="n">
        <x:v>7</x:v>
      </x:c>
      <x:c r="X979" s="14" t="b">
        <x:v>0</x:v>
      </x:c>
      <x:c r="Y979" s="14" t="b">
        <x:v>1</x:v>
      </x:c>
      <x:c r="Z979" s="2" t="n">
        <x:f>ABS(T979-AA979)</x:f>
        <x:v>0</x:v>
      </x:c>
      <x:c r="AA979" s="2" t="n">
        <x:v>314</x:v>
      </x:c>
      <x:c r="AB979" s="2" t="n">
        <x:f>ABS(K979-W979)</x:f>
        <x:v>1</x:v>
      </x:c>
      <x:c r="AC979" s="2" t="n">
        <x:f>COUNTIF($A$2:$A$1921,A979)-1</x:f>
        <x:v>0</x:v>
      </x:c>
      <x:c r="AD979" s="2" t="n">
        <x:f>IF(AND(D979=D978,H979=H978,C979=C978+1),ABS(R979-T978),0)</x:f>
        <x:v>0</x:v>
      </x:c>
    </x:row>
    <x:row r="980" ht="23" customHeight="1">
      <x:c r="A980" s="2" t="str">
        <x:v>DEMO-301-0-19</x:v>
      </x:c>
      <x:c r="B980" s="15" t="d">
        <x:v>2026-09-07T00:00:00.000Z</x:v>
      </x:c>
      <x:c r="C980" s="2" t="n">
        <x:v>19</x:v>
      </x:c>
      <x:c r="D980" s="2" t="str">
        <x:v>DEMO-301</x:v>
      </x:c>
      <x:c r="E980" s="2" t="str">
        <x:v>Dawn Travel Cup</x:v>
      </x:c>
      <x:c r="F980" s="2" t="str">
        <x:v>Lifestyle</x:v>
      </x:c>
      <x:c r="G980" s="2" t="str">
        <x:v>Stores</x:v>
      </x:c>
      <x:c r="H980" s="2" t="str">
        <x:v>North Arcade</x:v>
      </x:c>
      <x:c r="I980" s="2" t="n">
        <x:v>8</x:v>
      </x:c>
      <x:c r="J980" s="2" t="n">
        <x:v>0</x:v>
      </x:c>
      <x:c r="K980" s="2" t="n">
        <x:f>I980-J980</x:f>
        <x:v>8</x:v>
      </x:c>
      <x:c r="L980" s="16" t="n">
        <x:v>24</x:v>
      </x:c>
      <x:c r="M980" s="16" t="n">
        <x:v>19.2</x:v>
      </x:c>
      <x:c r="N980" s="16" t="n">
        <x:v>8.64</x:v>
      </x:c>
      <x:c r="O980" s="16" t="n">
        <x:f>K980*M980</x:f>
        <x:v>153.6</x:v>
      </x:c>
      <x:c r="P980" s="16" t="n">
        <x:f>K980*N980</x:f>
        <x:v>69.12</x:v>
      </x:c>
      <x:c r="Q980" s="16" t="n">
        <x:f>O980-P980</x:f>
        <x:v>84.47999999999999</x:v>
      </x:c>
      <x:c r="R980" s="2" t="n">
        <x:v>314</x:v>
      </x:c>
      <x:c r="S980" s="2" t="n">
        <x:v>0</x:v>
      </x:c>
      <x:c r="T980" s="2" t="n">
        <x:f>R980+S980+J980-I980</x:f>
        <x:v>306</x:v>
      </x:c>
      <x:c r="U980" s="2" t="n">
        <x:v>0</x:v>
      </x:c>
      <x:c r="V980" s="2" t="n">
        <x:v>2</x:v>
      </x:c>
      <x:c r="W980" s="2" t="n">
        <x:v>6</x:v>
      </x:c>
      <x:c r="X980" s="14" t="b">
        <x:v>0</x:v>
      </x:c>
      <x:c r="Y980" s="14" t="b">
        <x:v>1</x:v>
      </x:c>
      <x:c r="Z980" s="2" t="n">
        <x:f>ABS(T980-AA980)</x:f>
        <x:v>0</x:v>
      </x:c>
      <x:c r="AA980" s="2" t="n">
        <x:v>306</x:v>
      </x:c>
      <x:c r="AB980" s="2" t="n">
        <x:f>ABS(K980-W980)</x:f>
        <x:v>2</x:v>
      </x:c>
      <x:c r="AC980" s="2" t="n">
        <x:f>COUNTIF($A$2:$A$1921,A980)-1</x:f>
        <x:v>0</x:v>
      </x:c>
      <x:c r="AD980" s="2" t="n">
        <x:f>IF(AND(D980=D979,H980=H979,C980=C979+1),ABS(R980-T979),0)</x:f>
        <x:v>0</x:v>
      </x:c>
    </x:row>
    <x:row r="981" ht="23" customHeight="1">
      <x:c r="A981" s="2" t="str">
        <x:v>DEMO-301-0-20</x:v>
      </x:c>
      <x:c r="B981" s="15" t="d">
        <x:v>2026-09-14T00:00:00.000Z</x:v>
      </x:c>
      <x:c r="C981" s="2" t="n">
        <x:v>20</x:v>
      </x:c>
      <x:c r="D981" s="2" t="str">
        <x:v>DEMO-301</x:v>
      </x:c>
      <x:c r="E981" s="2" t="str">
        <x:v>Dawn Travel Cup</x:v>
      </x:c>
      <x:c r="F981" s="2" t="str">
        <x:v>Lifestyle</x:v>
      </x:c>
      <x:c r="G981" s="2" t="str">
        <x:v>Stores</x:v>
      </x:c>
      <x:c r="H981" s="2" t="str">
        <x:v>North Arcade</x:v>
      </x:c>
      <x:c r="I981" s="2" t="n">
        <x:v>6</x:v>
      </x:c>
      <x:c r="J981" s="2" t="n">
        <x:v>0</x:v>
      </x:c>
      <x:c r="K981" s="2" t="n">
        <x:f>I981-J981</x:f>
        <x:v>6</x:v>
      </x:c>
      <x:c r="L981" s="16" t="n">
        <x:v>24</x:v>
      </x:c>
      <x:c r="M981" s="16" t="n">
        <x:v>19.2</x:v>
      </x:c>
      <x:c r="N981" s="16" t="n">
        <x:v>8.64</x:v>
      </x:c>
      <x:c r="O981" s="16" t="n">
        <x:f>K981*M981</x:f>
        <x:v>115.19999999999999</x:v>
      </x:c>
      <x:c r="P981" s="16" t="n">
        <x:f>K981*N981</x:f>
        <x:v>51.84</x:v>
      </x:c>
      <x:c r="Q981" s="16" t="n">
        <x:f>O981-P981</x:f>
        <x:v>63.359999999999985</x:v>
      </x:c>
      <x:c r="R981" s="2" t="n">
        <x:v>306</x:v>
      </x:c>
      <x:c r="S981" s="2" t="n">
        <x:v>0</x:v>
      </x:c>
      <x:c r="T981" s="2" t="n">
        <x:f>R981+S981+J981-I981</x:f>
        <x:v>300</x:v>
      </x:c>
      <x:c r="U981" s="2" t="n">
        <x:v>24</x:v>
      </x:c>
      <x:c r="V981" s="2" t="n">
        <x:v>2</x:v>
      </x:c>
      <x:c r="W981" s="2" t="n">
        <x:v>7</x:v>
      </x:c>
      <x:c r="X981" s="14" t="b">
        <x:v>0</x:v>
      </x:c>
      <x:c r="Y981" s="14" t="b">
        <x:v>1</x:v>
      </x:c>
      <x:c r="Z981" s="2" t="n">
        <x:f>ABS(T981-AA981)</x:f>
        <x:v>0</x:v>
      </x:c>
      <x:c r="AA981" s="2" t="n">
        <x:v>300</x:v>
      </x:c>
      <x:c r="AB981" s="2" t="n">
        <x:f>ABS(K981-W981)</x:f>
        <x:v>1</x:v>
      </x:c>
      <x:c r="AC981" s="2" t="n">
        <x:f>COUNTIF($A$2:$A$1921,A981)-1</x:f>
        <x:v>0</x:v>
      </x:c>
      <x:c r="AD981" s="2" t="n">
        <x:f>IF(AND(D981=D980,H981=H980,C981=C980+1),ABS(R981-T980),0)</x:f>
        <x:v>0</x:v>
      </x:c>
    </x:row>
    <x:row r="982" ht="23" customHeight="1">
      <x:c r="A982" s="2" t="str">
        <x:v>DEMO-301-1-1</x:v>
      </x:c>
      <x:c r="B982" s="15" t="d">
        <x:v>2026-05-04T00:00:00.000Z</x:v>
      </x:c>
      <x:c r="C982" s="2" t="n">
        <x:v>1</x:v>
      </x:c>
      <x:c r="D982" s="2" t="str">
        <x:v>DEMO-301</x:v>
      </x:c>
      <x:c r="E982" s="2" t="str">
        <x:v>Dawn Travel Cup</x:v>
      </x:c>
      <x:c r="F982" s="2" t="str">
        <x:v>Lifestyle</x:v>
      </x:c>
      <x:c r="G982" s="2" t="str">
        <x:v>Stores</x:v>
      </x:c>
      <x:c r="H982" s="2" t="str">
        <x:v>Riverside</x:v>
      </x:c>
      <x:c r="I982" s="2" t="n">
        <x:v>9</x:v>
      </x:c>
      <x:c r="J982" s="2" t="n">
        <x:v>0</x:v>
      </x:c>
      <x:c r="K982" s="2" t="n">
        <x:f>I982-J982</x:f>
        <x:v>9</x:v>
      </x:c>
      <x:c r="L982" s="16" t="n">
        <x:v>24</x:v>
      </x:c>
      <x:c r="M982" s="16" t="n">
        <x:v>24</x:v>
      </x:c>
      <x:c r="N982" s="16" t="n">
        <x:v>8.64</x:v>
      </x:c>
      <x:c r="O982" s="16" t="n">
        <x:f>K982*M982</x:f>
        <x:v>216</x:v>
      </x:c>
      <x:c r="P982" s="16" t="n">
        <x:f>K982*N982</x:f>
        <x:v>77.76</x:v>
      </x:c>
      <x:c r="Q982" s="16" t="n">
        <x:f>O982-P982</x:f>
        <x:v>138.24</x:v>
      </x:c>
      <x:c r="R982" s="2" t="n">
        <x:v>140</x:v>
      </x:c>
      <x:c r="S982" s="2" t="n">
        <x:v>65</x:v>
      </x:c>
      <x:c r="T982" s="2" t="n">
        <x:f>R982+S982+J982-I982</x:f>
        <x:v>196</x:v>
      </x:c>
      <x:c r="U982" s="2" t="n">
        <x:v>0</x:v>
      </x:c>
      <x:c r="V982" s="2" t="n">
        <x:v>2</x:v>
      </x:c>
      <x:c r="W982" s="2" t="n">
        <x:v>11</x:v>
      </x:c>
      <x:c r="X982" s="14" t="b">
        <x:v>0</x:v>
      </x:c>
      <x:c r="Y982" s="14" t="b">
        <x:v>0</x:v>
      </x:c>
      <x:c r="Z982" s="2" t="n">
        <x:f>ABS(T982-AA982)</x:f>
        <x:v>0</x:v>
      </x:c>
      <x:c r="AA982" s="2" t="n">
        <x:v>196</x:v>
      </x:c>
      <x:c r="AB982" s="2" t="n">
        <x:f>ABS(K982-W982)</x:f>
        <x:v>2</x:v>
      </x:c>
      <x:c r="AC982" s="2" t="n">
        <x:f>COUNTIF($A$2:$A$1921,A982)-1</x:f>
        <x:v>0</x:v>
      </x:c>
      <x:c r="AD982" s="2" t="n">
        <x:f>IF(AND(D982=D981,H982=H981,C982=C981+1),ABS(R982-T981),0)</x:f>
        <x:v>0</x:v>
      </x:c>
    </x:row>
    <x:row r="983" ht="23" customHeight="1">
      <x:c r="A983" s="2" t="str">
        <x:v>DEMO-301-1-2</x:v>
      </x:c>
      <x:c r="B983" s="15" t="d">
        <x:v>2026-05-11T00:00:00.000Z</x:v>
      </x:c>
      <x:c r="C983" s="2" t="n">
        <x:v>2</x:v>
      </x:c>
      <x:c r="D983" s="2" t="str">
        <x:v>DEMO-301</x:v>
      </x:c>
      <x:c r="E983" s="2" t="str">
        <x:v>Dawn Travel Cup</x:v>
      </x:c>
      <x:c r="F983" s="2" t="str">
        <x:v>Lifestyle</x:v>
      </x:c>
      <x:c r="G983" s="2" t="str">
        <x:v>Stores</x:v>
      </x:c>
      <x:c r="H983" s="2" t="str">
        <x:v>Riverside</x:v>
      </x:c>
      <x:c r="I983" s="2" t="n">
        <x:v>8</x:v>
      </x:c>
      <x:c r="J983" s="2" t="n">
        <x:v>1</x:v>
      </x:c>
      <x:c r="K983" s="2" t="n">
        <x:f>I983-J983</x:f>
        <x:v>7</x:v>
      </x:c>
      <x:c r="L983" s="16" t="n">
        <x:v>24</x:v>
      </x:c>
      <x:c r="M983" s="16" t="n">
        <x:v>24</x:v>
      </x:c>
      <x:c r="N983" s="16" t="n">
        <x:v>8.64</x:v>
      </x:c>
      <x:c r="O983" s="16" t="n">
        <x:f>K983*M983</x:f>
        <x:v>168</x:v>
      </x:c>
      <x:c r="P983" s="16" t="n">
        <x:f>K983*N983</x:f>
        <x:v>60.480000000000004</x:v>
      </x:c>
      <x:c r="Q983" s="16" t="n">
        <x:f>O983-P983</x:f>
        <x:v>107.52</x:v>
      </x:c>
      <x:c r="R983" s="2" t="n">
        <x:v>196</x:v>
      </x:c>
      <x:c r="S983" s="2" t="n">
        <x:v>0</x:v>
      </x:c>
      <x:c r="T983" s="2" t="n">
        <x:f>R983+S983+J983-I983</x:f>
        <x:v>189</x:v>
      </x:c>
      <x:c r="U983" s="2" t="n">
        <x:v>0</x:v>
      </x:c>
      <x:c r="V983" s="2" t="n">
        <x:v>2</x:v>
      </x:c>
      <x:c r="W983" s="2" t="n">
        <x:v>9</x:v>
      </x:c>
      <x:c r="X983" s="14" t="b">
        <x:v>0</x:v>
      </x:c>
      <x:c r="Y983" s="14" t="b">
        <x:v>0</x:v>
      </x:c>
      <x:c r="Z983" s="2" t="n">
        <x:f>ABS(T983-AA983)</x:f>
        <x:v>0</x:v>
      </x:c>
      <x:c r="AA983" s="2" t="n">
        <x:v>189</x:v>
      </x:c>
      <x:c r="AB983" s="2" t="n">
        <x:f>ABS(K983-W983)</x:f>
        <x:v>2</x:v>
      </x:c>
      <x:c r="AC983" s="2" t="n">
        <x:f>COUNTIF($A$2:$A$1921,A983)-1</x:f>
        <x:v>0</x:v>
      </x:c>
      <x:c r="AD983" s="2" t="n">
        <x:f>IF(AND(D983=D982,H983=H982,C983=C982+1),ABS(R983-T982),0)</x:f>
        <x:v>0</x:v>
      </x:c>
    </x:row>
    <x:row r="984" ht="23" customHeight="1">
      <x:c r="A984" s="2" t="str">
        <x:v>DEMO-301-1-3</x:v>
      </x:c>
      <x:c r="B984" s="15" t="d">
        <x:v>2026-05-18T00:00:00.000Z</x:v>
      </x:c>
      <x:c r="C984" s="2" t="n">
        <x:v>3</x:v>
      </x:c>
      <x:c r="D984" s="2" t="str">
        <x:v>DEMO-301</x:v>
      </x:c>
      <x:c r="E984" s="2" t="str">
        <x:v>Dawn Travel Cup</x:v>
      </x:c>
      <x:c r="F984" s="2" t="str">
        <x:v>Lifestyle</x:v>
      </x:c>
      <x:c r="G984" s="2" t="str">
        <x:v>Stores</x:v>
      </x:c>
      <x:c r="H984" s="2" t="str">
        <x:v>Riverside</x:v>
      </x:c>
      <x:c r="I984" s="2" t="n">
        <x:v>9</x:v>
      </x:c>
      <x:c r="J984" s="2" t="n">
        <x:v>0</x:v>
      </x:c>
      <x:c r="K984" s="2" t="n">
        <x:f>I984-J984</x:f>
        <x:v>9</x:v>
      </x:c>
      <x:c r="L984" s="16" t="n">
        <x:v>24</x:v>
      </x:c>
      <x:c r="M984" s="16" t="n">
        <x:v>24</x:v>
      </x:c>
      <x:c r="N984" s="16" t="n">
        <x:v>8.64</x:v>
      </x:c>
      <x:c r="O984" s="16" t="n">
        <x:f>K984*M984</x:f>
        <x:v>216</x:v>
      </x:c>
      <x:c r="P984" s="16" t="n">
        <x:f>K984*N984</x:f>
        <x:v>77.76</x:v>
      </x:c>
      <x:c r="Q984" s="16" t="n">
        <x:f>O984-P984</x:f>
        <x:v>138.24</x:v>
      </x:c>
      <x:c r="R984" s="2" t="n">
        <x:v>189</x:v>
      </x:c>
      <x:c r="S984" s="2" t="n">
        <x:v>0</x:v>
      </x:c>
      <x:c r="T984" s="2" t="n">
        <x:f>R984+S984+J984-I984</x:f>
        <x:v>180</x:v>
      </x:c>
      <x:c r="U984" s="2" t="n">
        <x:v>0</x:v>
      </x:c>
      <x:c r="V984" s="2" t="n">
        <x:v>2</x:v>
      </x:c>
      <x:c r="W984" s="2" t="n">
        <x:v>8</x:v>
      </x:c>
      <x:c r="X984" s="14" t="b">
        <x:v>0</x:v>
      </x:c>
      <x:c r="Y984" s="14" t="b">
        <x:v>0</x:v>
      </x:c>
      <x:c r="Z984" s="2" t="n">
        <x:f>ABS(T984-AA984)</x:f>
        <x:v>0</x:v>
      </x:c>
      <x:c r="AA984" s="2" t="n">
        <x:v>180</x:v>
      </x:c>
      <x:c r="AB984" s="2" t="n">
        <x:f>ABS(K984-W984)</x:f>
        <x:v>1</x:v>
      </x:c>
      <x:c r="AC984" s="2" t="n">
        <x:f>COUNTIF($A$2:$A$1921,A984)-1</x:f>
        <x:v>0</x:v>
      </x:c>
      <x:c r="AD984" s="2" t="n">
        <x:f>IF(AND(D984=D983,H984=H983,C984=C983+1),ABS(R984-T983),0)</x:f>
        <x:v>0</x:v>
      </x:c>
    </x:row>
    <x:row r="985" ht="23" customHeight="1">
      <x:c r="A985" s="2" t="str">
        <x:v>DEMO-301-1-4</x:v>
      </x:c>
      <x:c r="B985" s="15" t="d">
        <x:v>2026-05-25T00:00:00.000Z</x:v>
      </x:c>
      <x:c r="C985" s="2" t="n">
        <x:v>4</x:v>
      </x:c>
      <x:c r="D985" s="2" t="str">
        <x:v>DEMO-301</x:v>
      </x:c>
      <x:c r="E985" s="2" t="str">
        <x:v>Dawn Travel Cup</x:v>
      </x:c>
      <x:c r="F985" s="2" t="str">
        <x:v>Lifestyle</x:v>
      </x:c>
      <x:c r="G985" s="2" t="str">
        <x:v>Stores</x:v>
      </x:c>
      <x:c r="H985" s="2" t="str">
        <x:v>Riverside</x:v>
      </x:c>
      <x:c r="I985" s="2" t="n">
        <x:v>8</x:v>
      </x:c>
      <x:c r="J985" s="2" t="n">
        <x:v>0</x:v>
      </x:c>
      <x:c r="K985" s="2" t="n">
        <x:f>I985-J985</x:f>
        <x:v>8</x:v>
      </x:c>
      <x:c r="L985" s="16" t="n">
        <x:v>24</x:v>
      </x:c>
      <x:c r="M985" s="16" t="n">
        <x:v>24</x:v>
      </x:c>
      <x:c r="N985" s="16" t="n">
        <x:v>8.64</x:v>
      </x:c>
      <x:c r="O985" s="16" t="n">
        <x:f>K985*M985</x:f>
        <x:v>192</x:v>
      </x:c>
      <x:c r="P985" s="16" t="n">
        <x:f>K985*N985</x:f>
        <x:v>69.12</x:v>
      </x:c>
      <x:c r="Q985" s="16" t="n">
        <x:f>O985-P985</x:f>
        <x:v>122.88</x:v>
      </x:c>
      <x:c r="R985" s="2" t="n">
        <x:v>180</x:v>
      </x:c>
      <x:c r="S985" s="2" t="n">
        <x:v>0</x:v>
      </x:c>
      <x:c r="T985" s="2" t="n">
        <x:f>R985+S985+J985-I985</x:f>
        <x:v>172</x:v>
      </x:c>
      <x:c r="U985" s="2" t="n">
        <x:v>0</x:v>
      </x:c>
      <x:c r="V985" s="2" t="n">
        <x:v>2</x:v>
      </x:c>
      <x:c r="W985" s="2" t="n">
        <x:v>8</x:v>
      </x:c>
      <x:c r="X985" s="14" t="b">
        <x:v>0</x:v>
      </x:c>
      <x:c r="Y985" s="14" t="b">
        <x:v>0</x:v>
      </x:c>
      <x:c r="Z985" s="2" t="n">
        <x:f>ABS(T985-AA985)</x:f>
        <x:v>0</x:v>
      </x:c>
      <x:c r="AA985" s="2" t="n">
        <x:v>172</x:v>
      </x:c>
      <x:c r="AB985" s="2" t="n">
        <x:f>ABS(K985-W985)</x:f>
        <x:v>0</x:v>
      </x:c>
      <x:c r="AC985" s="2" t="n">
        <x:f>COUNTIF($A$2:$A$1921,A985)-1</x:f>
        <x:v>0</x:v>
      </x:c>
      <x:c r="AD985" s="2" t="n">
        <x:f>IF(AND(D985=D984,H985=H984,C985=C984+1),ABS(R985-T984),0)</x:f>
        <x:v>0</x:v>
      </x:c>
    </x:row>
    <x:row r="986" ht="23" customHeight="1">
      <x:c r="A986" s="2" t="str">
        <x:v>DEMO-301-1-5</x:v>
      </x:c>
      <x:c r="B986" s="15" t="d">
        <x:v>2026-06-01T00:00:00.000Z</x:v>
      </x:c>
      <x:c r="C986" s="2" t="n">
        <x:v>5</x:v>
      </x:c>
      <x:c r="D986" s="2" t="str">
        <x:v>DEMO-301</x:v>
      </x:c>
      <x:c r="E986" s="2" t="str">
        <x:v>Dawn Travel Cup</x:v>
      </x:c>
      <x:c r="F986" s="2" t="str">
        <x:v>Lifestyle</x:v>
      </x:c>
      <x:c r="G986" s="2" t="str">
        <x:v>Stores</x:v>
      </x:c>
      <x:c r="H986" s="2" t="str">
        <x:v>Riverside</x:v>
      </x:c>
      <x:c r="I986" s="2" t="n">
        <x:v>9</x:v>
      </x:c>
      <x:c r="J986" s="2" t="n">
        <x:v>0</x:v>
      </x:c>
      <x:c r="K986" s="2" t="n">
        <x:f>I986-J986</x:f>
        <x:v>9</x:v>
      </x:c>
      <x:c r="L986" s="16" t="n">
        <x:v>24</x:v>
      </x:c>
      <x:c r="M986" s="16" t="n">
        <x:v>24</x:v>
      </x:c>
      <x:c r="N986" s="16" t="n">
        <x:v>8.64</x:v>
      </x:c>
      <x:c r="O986" s="16" t="n">
        <x:f>K986*M986</x:f>
        <x:v>216</x:v>
      </x:c>
      <x:c r="P986" s="16" t="n">
        <x:f>K986*N986</x:f>
        <x:v>77.76</x:v>
      </x:c>
      <x:c r="Q986" s="16" t="n">
        <x:f>O986-P986</x:f>
        <x:v>138.24</x:v>
      </x:c>
      <x:c r="R986" s="2" t="n">
        <x:v>172</x:v>
      </x:c>
      <x:c r="S986" s="2" t="n">
        <x:v>65</x:v>
      </x:c>
      <x:c r="T986" s="2" t="n">
        <x:f>R986+S986+J986-I986</x:f>
        <x:v>228</x:v>
      </x:c>
      <x:c r="U986" s="2" t="n">
        <x:v>0</x:v>
      </x:c>
      <x:c r="V986" s="2" t="n">
        <x:v>2</x:v>
      </x:c>
      <x:c r="W986" s="2" t="n">
        <x:v>8</x:v>
      </x:c>
      <x:c r="X986" s="14" t="b">
        <x:v>0</x:v>
      </x:c>
      <x:c r="Y986" s="14" t="b">
        <x:v>0</x:v>
      </x:c>
      <x:c r="Z986" s="2" t="n">
        <x:f>ABS(T986-AA986)</x:f>
        <x:v>0</x:v>
      </x:c>
      <x:c r="AA986" s="2" t="n">
        <x:v>228</x:v>
      </x:c>
      <x:c r="AB986" s="2" t="n">
        <x:f>ABS(K986-W986)</x:f>
        <x:v>1</x:v>
      </x:c>
      <x:c r="AC986" s="2" t="n">
        <x:f>COUNTIF($A$2:$A$1921,A986)-1</x:f>
        <x:v>0</x:v>
      </x:c>
      <x:c r="AD986" s="2" t="n">
        <x:f>IF(AND(D986=D985,H986=H985,C986=C985+1),ABS(R986-T985),0)</x:f>
        <x:v>0</x:v>
      </x:c>
    </x:row>
    <x:row r="987" ht="23" customHeight="1">
      <x:c r="A987" s="2" t="str">
        <x:v>DEMO-301-1-6</x:v>
      </x:c>
      <x:c r="B987" s="15" t="d">
        <x:v>2026-06-08T00:00:00.000Z</x:v>
      </x:c>
      <x:c r="C987" s="2" t="n">
        <x:v>6</x:v>
      </x:c>
      <x:c r="D987" s="2" t="str">
        <x:v>DEMO-301</x:v>
      </x:c>
      <x:c r="E987" s="2" t="str">
        <x:v>Dawn Travel Cup</x:v>
      </x:c>
      <x:c r="F987" s="2" t="str">
        <x:v>Lifestyle</x:v>
      </x:c>
      <x:c r="G987" s="2" t="str">
        <x:v>Stores</x:v>
      </x:c>
      <x:c r="H987" s="2" t="str">
        <x:v>Riverside</x:v>
      </x:c>
      <x:c r="I987" s="2" t="n">
        <x:v>8</x:v>
      </x:c>
      <x:c r="J987" s="2" t="n">
        <x:v>0</x:v>
      </x:c>
      <x:c r="K987" s="2" t="n">
        <x:f>I987-J987</x:f>
        <x:v>8</x:v>
      </x:c>
      <x:c r="L987" s="16" t="n">
        <x:v>24</x:v>
      </x:c>
      <x:c r="M987" s="16" t="n">
        <x:v>24</x:v>
      </x:c>
      <x:c r="N987" s="16" t="n">
        <x:v>8.64</x:v>
      </x:c>
      <x:c r="O987" s="16" t="n">
        <x:f>K987*M987</x:f>
        <x:v>192</x:v>
      </x:c>
      <x:c r="P987" s="16" t="n">
        <x:f>K987*N987</x:f>
        <x:v>69.12</x:v>
      </x:c>
      <x:c r="Q987" s="16" t="n">
        <x:f>O987-P987</x:f>
        <x:v>122.88</x:v>
      </x:c>
      <x:c r="R987" s="2" t="n">
        <x:v>228</x:v>
      </x:c>
      <x:c r="S987" s="2" t="n">
        <x:v>0</x:v>
      </x:c>
      <x:c r="T987" s="2" t="n">
        <x:f>R987+S987+J987-I987</x:f>
        <x:v>220</x:v>
      </x:c>
      <x:c r="U987" s="2" t="n">
        <x:v>0</x:v>
      </x:c>
      <x:c r="V987" s="2" t="n">
        <x:v>2</x:v>
      </x:c>
      <x:c r="W987" s="2" t="n">
        <x:v>8</x:v>
      </x:c>
      <x:c r="X987" s="14" t="b">
        <x:v>0</x:v>
      </x:c>
      <x:c r="Y987" s="14" t="b">
        <x:v>0</x:v>
      </x:c>
      <x:c r="Z987" s="2" t="n">
        <x:f>ABS(T987-AA987)</x:f>
        <x:v>0</x:v>
      </x:c>
      <x:c r="AA987" s="2" t="n">
        <x:v>220</x:v>
      </x:c>
      <x:c r="AB987" s="2" t="n">
        <x:f>ABS(K987-W987)</x:f>
        <x:v>0</x:v>
      </x:c>
      <x:c r="AC987" s="2" t="n">
        <x:f>COUNTIF($A$2:$A$1921,A987)-1</x:f>
        <x:v>0</x:v>
      </x:c>
      <x:c r="AD987" s="2" t="n">
        <x:f>IF(AND(D987=D986,H987=H986,C987=C986+1),ABS(R987-T986),0)</x:f>
        <x:v>0</x:v>
      </x:c>
    </x:row>
    <x:row r="988" ht="23" customHeight="1">
      <x:c r="A988" s="2" t="str">
        <x:v>DEMO-301-1-7</x:v>
      </x:c>
      <x:c r="B988" s="15" t="d">
        <x:v>2026-06-15T00:00:00.000Z</x:v>
      </x:c>
      <x:c r="C988" s="2" t="n">
        <x:v>7</x:v>
      </x:c>
      <x:c r="D988" s="2" t="str">
        <x:v>DEMO-301</x:v>
      </x:c>
      <x:c r="E988" s="2" t="str">
        <x:v>Dawn Travel Cup</x:v>
      </x:c>
      <x:c r="F988" s="2" t="str">
        <x:v>Lifestyle</x:v>
      </x:c>
      <x:c r="G988" s="2" t="str">
        <x:v>Stores</x:v>
      </x:c>
      <x:c r="H988" s="2" t="str">
        <x:v>Riverside</x:v>
      </x:c>
      <x:c r="I988" s="2" t="n">
        <x:v>7</x:v>
      </x:c>
      <x:c r="J988" s="2" t="n">
        <x:v>0</x:v>
      </x:c>
      <x:c r="K988" s="2" t="n">
        <x:f>I988-J988</x:f>
        <x:v>7</x:v>
      </x:c>
      <x:c r="L988" s="16" t="n">
        <x:v>24</x:v>
      </x:c>
      <x:c r="M988" s="16" t="n">
        <x:v>24</x:v>
      </x:c>
      <x:c r="N988" s="16" t="n">
        <x:v>8.64</x:v>
      </x:c>
      <x:c r="O988" s="16" t="n">
        <x:f>K988*M988</x:f>
        <x:v>168</x:v>
      </x:c>
      <x:c r="P988" s="16" t="n">
        <x:f>K988*N988</x:f>
        <x:v>60.480000000000004</x:v>
      </x:c>
      <x:c r="Q988" s="16" t="n">
        <x:f>O988-P988</x:f>
        <x:v>107.52</x:v>
      </x:c>
      <x:c r="R988" s="2" t="n">
        <x:v>220</x:v>
      </x:c>
      <x:c r="S988" s="2" t="n">
        <x:v>0</x:v>
      </x:c>
      <x:c r="T988" s="2" t="n">
        <x:f>R988+S988+J988-I988</x:f>
        <x:v>213</x:v>
      </x:c>
      <x:c r="U988" s="2" t="n">
        <x:v>0</x:v>
      </x:c>
      <x:c r="V988" s="2" t="n">
        <x:v>2</x:v>
      </x:c>
      <x:c r="W988" s="2" t="n">
        <x:v>9</x:v>
      </x:c>
      <x:c r="X988" s="14" t="b">
        <x:v>0</x:v>
      </x:c>
      <x:c r="Y988" s="14" t="b">
        <x:v>0</x:v>
      </x:c>
      <x:c r="Z988" s="2" t="n">
        <x:f>ABS(T988-AA988)</x:f>
        <x:v>0</x:v>
      </x:c>
      <x:c r="AA988" s="2" t="n">
        <x:v>213</x:v>
      </x:c>
      <x:c r="AB988" s="2" t="n">
        <x:f>ABS(K988-W988)</x:f>
        <x:v>2</x:v>
      </x:c>
      <x:c r="AC988" s="2" t="n">
        <x:f>COUNTIF($A$2:$A$1921,A988)-1</x:f>
        <x:v>0</x:v>
      </x:c>
      <x:c r="AD988" s="2" t="n">
        <x:f>IF(AND(D988=D987,H988=H987,C988=C987+1),ABS(R988-T987),0)</x:f>
        <x:v>0</x:v>
      </x:c>
    </x:row>
    <x:row r="989" ht="23" customHeight="1">
      <x:c r="A989" s="2" t="str">
        <x:v>DEMO-301-1-8</x:v>
      </x:c>
      <x:c r="B989" s="15" t="d">
        <x:v>2026-06-22T00:00:00.000Z</x:v>
      </x:c>
      <x:c r="C989" s="2" t="n">
        <x:v>8</x:v>
      </x:c>
      <x:c r="D989" s="2" t="str">
        <x:v>DEMO-301</x:v>
      </x:c>
      <x:c r="E989" s="2" t="str">
        <x:v>Dawn Travel Cup</x:v>
      </x:c>
      <x:c r="F989" s="2" t="str">
        <x:v>Lifestyle</x:v>
      </x:c>
      <x:c r="G989" s="2" t="str">
        <x:v>Stores</x:v>
      </x:c>
      <x:c r="H989" s="2" t="str">
        <x:v>Riverside</x:v>
      </x:c>
      <x:c r="I989" s="2" t="n">
        <x:v>9</x:v>
      </x:c>
      <x:c r="J989" s="2" t="n">
        <x:v>1</x:v>
      </x:c>
      <x:c r="K989" s="2" t="n">
        <x:f>I989-J989</x:f>
        <x:v>8</x:v>
      </x:c>
      <x:c r="L989" s="16" t="n">
        <x:v>24</x:v>
      </x:c>
      <x:c r="M989" s="16" t="n">
        <x:v>24</x:v>
      </x:c>
      <x:c r="N989" s="16" t="n">
        <x:v>8.64</x:v>
      </x:c>
      <x:c r="O989" s="16" t="n">
        <x:f>K989*M989</x:f>
        <x:v>192</x:v>
      </x:c>
      <x:c r="P989" s="16" t="n">
        <x:f>K989*N989</x:f>
        <x:v>69.12</x:v>
      </x:c>
      <x:c r="Q989" s="16" t="n">
        <x:f>O989-P989</x:f>
        <x:v>122.88</x:v>
      </x:c>
      <x:c r="R989" s="2" t="n">
        <x:v>213</x:v>
      </x:c>
      <x:c r="S989" s="2" t="n">
        <x:v>0</x:v>
      </x:c>
      <x:c r="T989" s="2" t="n">
        <x:f>R989+S989+J989-I989</x:f>
        <x:v>205</x:v>
      </x:c>
      <x:c r="U989" s="2" t="n">
        <x:v>0</x:v>
      </x:c>
      <x:c r="V989" s="2" t="n">
        <x:v>2</x:v>
      </x:c>
      <x:c r="W989" s="2" t="n">
        <x:v>8</x:v>
      </x:c>
      <x:c r="X989" s="14" t="b">
        <x:v>0</x:v>
      </x:c>
      <x:c r="Y989" s="14" t="b">
        <x:v>0</x:v>
      </x:c>
      <x:c r="Z989" s="2" t="n">
        <x:f>ABS(T989-AA989)</x:f>
        <x:v>0</x:v>
      </x:c>
      <x:c r="AA989" s="2" t="n">
        <x:v>205</x:v>
      </x:c>
      <x:c r="AB989" s="2" t="n">
        <x:f>ABS(K989-W989)</x:f>
        <x:v>0</x:v>
      </x:c>
      <x:c r="AC989" s="2" t="n">
        <x:f>COUNTIF($A$2:$A$1921,A989)-1</x:f>
        <x:v>0</x:v>
      </x:c>
      <x:c r="AD989" s="2" t="n">
        <x:f>IF(AND(D989=D988,H989=H988,C989=C988+1),ABS(R989-T988),0)</x:f>
        <x:v>0</x:v>
      </x:c>
    </x:row>
    <x:row r="990" ht="23" customHeight="1">
      <x:c r="A990" s="2" t="str">
        <x:v>DEMO-301-1-9</x:v>
      </x:c>
      <x:c r="B990" s="15" t="d">
        <x:v>2026-06-29T00:00:00.000Z</x:v>
      </x:c>
      <x:c r="C990" s="2" t="n">
        <x:v>9</x:v>
      </x:c>
      <x:c r="D990" s="2" t="str">
        <x:v>DEMO-301</x:v>
      </x:c>
      <x:c r="E990" s="2" t="str">
        <x:v>Dawn Travel Cup</x:v>
      </x:c>
      <x:c r="F990" s="2" t="str">
        <x:v>Lifestyle</x:v>
      </x:c>
      <x:c r="G990" s="2" t="str">
        <x:v>Stores</x:v>
      </x:c>
      <x:c r="H990" s="2" t="str">
        <x:v>Riverside</x:v>
      </x:c>
      <x:c r="I990" s="2" t="n">
        <x:v>9</x:v>
      </x:c>
      <x:c r="J990" s="2" t="n">
        <x:v>0</x:v>
      </x:c>
      <x:c r="K990" s="2" t="n">
        <x:f>I990-J990</x:f>
        <x:v>9</x:v>
      </x:c>
      <x:c r="L990" s="16" t="n">
        <x:v>24</x:v>
      </x:c>
      <x:c r="M990" s="16" t="n">
        <x:v>24</x:v>
      </x:c>
      <x:c r="N990" s="16" t="n">
        <x:v>8.64</x:v>
      </x:c>
      <x:c r="O990" s="16" t="n">
        <x:f>K990*M990</x:f>
        <x:v>216</x:v>
      </x:c>
      <x:c r="P990" s="16" t="n">
        <x:f>K990*N990</x:f>
        <x:v>77.76</x:v>
      </x:c>
      <x:c r="Q990" s="16" t="n">
        <x:f>O990-P990</x:f>
        <x:v>138.24</x:v>
      </x:c>
      <x:c r="R990" s="2" t="n">
        <x:v>205</x:v>
      </x:c>
      <x:c r="S990" s="2" t="n">
        <x:v>65</x:v>
      </x:c>
      <x:c r="T990" s="2" t="n">
        <x:f>R990+S990+J990-I990</x:f>
        <x:v>261</x:v>
      </x:c>
      <x:c r="U990" s="2" t="n">
        <x:v>0</x:v>
      </x:c>
      <x:c r="V990" s="2" t="n">
        <x:v>2</x:v>
      </x:c>
      <x:c r="W990" s="2" t="n">
        <x:v>8</x:v>
      </x:c>
      <x:c r="X990" s="14" t="b">
        <x:v>0</x:v>
      </x:c>
      <x:c r="Y990" s="14" t="b">
        <x:v>0</x:v>
      </x:c>
      <x:c r="Z990" s="2" t="n">
        <x:f>ABS(T990-AA990)</x:f>
        <x:v>0</x:v>
      </x:c>
      <x:c r="AA990" s="2" t="n">
        <x:v>261</x:v>
      </x:c>
      <x:c r="AB990" s="2" t="n">
        <x:f>ABS(K990-W990)</x:f>
        <x:v>1</x:v>
      </x:c>
      <x:c r="AC990" s="2" t="n">
        <x:f>COUNTIF($A$2:$A$1921,A990)-1</x:f>
        <x:v>0</x:v>
      </x:c>
      <x:c r="AD990" s="2" t="n">
        <x:f>IF(AND(D990=D989,H990=H989,C990=C989+1),ABS(R990-T989),0)</x:f>
        <x:v>0</x:v>
      </x:c>
    </x:row>
    <x:row r="991" ht="23" customHeight="1">
      <x:c r="A991" s="2" t="str">
        <x:v>DEMO-301-1-10</x:v>
      </x:c>
      <x:c r="B991" s="15" t="d">
        <x:v>2026-07-06T00:00:00.000Z</x:v>
      </x:c>
      <x:c r="C991" s="2" t="n">
        <x:v>10</x:v>
      </x:c>
      <x:c r="D991" s="2" t="str">
        <x:v>DEMO-301</x:v>
      </x:c>
      <x:c r="E991" s="2" t="str">
        <x:v>Dawn Travel Cup</x:v>
      </x:c>
      <x:c r="F991" s="2" t="str">
        <x:v>Lifestyle</x:v>
      </x:c>
      <x:c r="G991" s="2" t="str">
        <x:v>Stores</x:v>
      </x:c>
      <x:c r="H991" s="2" t="str">
        <x:v>Riverside</x:v>
      </x:c>
      <x:c r="I991" s="2" t="n">
        <x:v>9</x:v>
      </x:c>
      <x:c r="J991" s="2" t="n">
        <x:v>1</x:v>
      </x:c>
      <x:c r="K991" s="2" t="n">
        <x:f>I991-J991</x:f>
        <x:v>8</x:v>
      </x:c>
      <x:c r="L991" s="16" t="n">
        <x:v>24</x:v>
      </x:c>
      <x:c r="M991" s="16" t="n">
        <x:v>24</x:v>
      </x:c>
      <x:c r="N991" s="16" t="n">
        <x:v>8.64</x:v>
      </x:c>
      <x:c r="O991" s="16" t="n">
        <x:f>K991*M991</x:f>
        <x:v>192</x:v>
      </x:c>
      <x:c r="P991" s="16" t="n">
        <x:f>K991*N991</x:f>
        <x:v>69.12</x:v>
      </x:c>
      <x:c r="Q991" s="16" t="n">
        <x:f>O991-P991</x:f>
        <x:v>122.88</x:v>
      </x:c>
      <x:c r="R991" s="2" t="n">
        <x:v>261</x:v>
      </x:c>
      <x:c r="S991" s="2" t="n">
        <x:v>0</x:v>
      </x:c>
      <x:c r="T991" s="2" t="n">
        <x:f>R991+S991+J991-I991</x:f>
        <x:v>253</x:v>
      </x:c>
      <x:c r="U991" s="2" t="n">
        <x:v>0</x:v>
      </x:c>
      <x:c r="V991" s="2" t="n">
        <x:v>2</x:v>
      </x:c>
      <x:c r="W991" s="2" t="n">
        <x:v>8</x:v>
      </x:c>
      <x:c r="X991" s="14" t="b">
        <x:v>0</x:v>
      </x:c>
      <x:c r="Y991" s="14" t="b">
        <x:v>0</x:v>
      </x:c>
      <x:c r="Z991" s="2" t="n">
        <x:f>ABS(T991-AA991)</x:f>
        <x:v>0</x:v>
      </x:c>
      <x:c r="AA991" s="2" t="n">
        <x:v>253</x:v>
      </x:c>
      <x:c r="AB991" s="2" t="n">
        <x:f>ABS(K991-W991)</x:f>
        <x:v>0</x:v>
      </x:c>
      <x:c r="AC991" s="2" t="n">
        <x:f>COUNTIF($A$2:$A$1921,A991)-1</x:f>
        <x:v>0</x:v>
      </x:c>
      <x:c r="AD991" s="2" t="n">
        <x:f>IF(AND(D991=D990,H991=H990,C991=C990+1),ABS(R991-T990),0)</x:f>
        <x:v>0</x:v>
      </x:c>
    </x:row>
    <x:row r="992" ht="23" customHeight="1">
      <x:c r="A992" s="2" t="str">
        <x:v>DEMO-301-1-11</x:v>
      </x:c>
      <x:c r="B992" s="15" t="d">
        <x:v>2026-07-13T00:00:00.000Z</x:v>
      </x:c>
      <x:c r="C992" s="2" t="n">
        <x:v>11</x:v>
      </x:c>
      <x:c r="D992" s="2" t="str">
        <x:v>DEMO-301</x:v>
      </x:c>
      <x:c r="E992" s="2" t="str">
        <x:v>Dawn Travel Cup</x:v>
      </x:c>
      <x:c r="F992" s="2" t="str">
        <x:v>Lifestyle</x:v>
      </x:c>
      <x:c r="G992" s="2" t="str">
        <x:v>Stores</x:v>
      </x:c>
      <x:c r="H992" s="2" t="str">
        <x:v>Riverside</x:v>
      </x:c>
      <x:c r="I992" s="2" t="n">
        <x:v>8</x:v>
      </x:c>
      <x:c r="J992" s="2" t="n">
        <x:v>0</x:v>
      </x:c>
      <x:c r="K992" s="2" t="n">
        <x:f>I992-J992</x:f>
        <x:v>8</x:v>
      </x:c>
      <x:c r="L992" s="16" t="n">
        <x:v>24</x:v>
      </x:c>
      <x:c r="M992" s="16" t="n">
        <x:v>24</x:v>
      </x:c>
      <x:c r="N992" s="16" t="n">
        <x:v>8.64</x:v>
      </x:c>
      <x:c r="O992" s="16" t="n">
        <x:f>K992*M992</x:f>
        <x:v>192</x:v>
      </x:c>
      <x:c r="P992" s="16" t="n">
        <x:f>K992*N992</x:f>
        <x:v>69.12</x:v>
      </x:c>
      <x:c r="Q992" s="16" t="n">
        <x:f>O992-P992</x:f>
        <x:v>122.88</x:v>
      </x:c>
      <x:c r="R992" s="2" t="n">
        <x:v>253</x:v>
      </x:c>
      <x:c r="S992" s="2" t="n">
        <x:v>0</x:v>
      </x:c>
      <x:c r="T992" s="2" t="n">
        <x:f>R992+S992+J992-I992</x:f>
        <x:v>245</x:v>
      </x:c>
      <x:c r="U992" s="2" t="n">
        <x:v>0</x:v>
      </x:c>
      <x:c r="V992" s="2" t="n">
        <x:v>2</x:v>
      </x:c>
      <x:c r="W992" s="2" t="n">
        <x:v>8</x:v>
      </x:c>
      <x:c r="X992" s="14" t="b">
        <x:v>0</x:v>
      </x:c>
      <x:c r="Y992" s="14" t="b">
        <x:v>0</x:v>
      </x:c>
      <x:c r="Z992" s="2" t="n">
        <x:f>ABS(T992-AA992)</x:f>
        <x:v>0</x:v>
      </x:c>
      <x:c r="AA992" s="2" t="n">
        <x:v>245</x:v>
      </x:c>
      <x:c r="AB992" s="2" t="n">
        <x:f>ABS(K992-W992)</x:f>
        <x:v>0</x:v>
      </x:c>
      <x:c r="AC992" s="2" t="n">
        <x:f>COUNTIF($A$2:$A$1921,A992)-1</x:f>
        <x:v>0</x:v>
      </x:c>
      <x:c r="AD992" s="2" t="n">
        <x:f>IF(AND(D992=D991,H992=H991,C992=C991+1),ABS(R992-T991),0)</x:f>
        <x:v>0</x:v>
      </x:c>
    </x:row>
    <x:row r="993" ht="23" customHeight="1">
      <x:c r="A993" s="2" t="str">
        <x:v>DEMO-301-1-12</x:v>
      </x:c>
      <x:c r="B993" s="15" t="d">
        <x:v>2026-07-20T00:00:00.000Z</x:v>
      </x:c>
      <x:c r="C993" s="2" t="n">
        <x:v>12</x:v>
      </x:c>
      <x:c r="D993" s="2" t="str">
        <x:v>DEMO-301</x:v>
      </x:c>
      <x:c r="E993" s="2" t="str">
        <x:v>Dawn Travel Cup</x:v>
      </x:c>
      <x:c r="F993" s="2" t="str">
        <x:v>Lifestyle</x:v>
      </x:c>
      <x:c r="G993" s="2" t="str">
        <x:v>Stores</x:v>
      </x:c>
      <x:c r="H993" s="2" t="str">
        <x:v>Riverside</x:v>
      </x:c>
      <x:c r="I993" s="2" t="n">
        <x:v>8</x:v>
      </x:c>
      <x:c r="J993" s="2" t="n">
        <x:v>0</x:v>
      </x:c>
      <x:c r="K993" s="2" t="n">
        <x:f>I993-J993</x:f>
        <x:v>8</x:v>
      </x:c>
      <x:c r="L993" s="16" t="n">
        <x:v>24</x:v>
      </x:c>
      <x:c r="M993" s="16" t="n">
        <x:v>24</x:v>
      </x:c>
      <x:c r="N993" s="16" t="n">
        <x:v>8.64</x:v>
      </x:c>
      <x:c r="O993" s="16" t="n">
        <x:f>K993*M993</x:f>
        <x:v>192</x:v>
      </x:c>
      <x:c r="P993" s="16" t="n">
        <x:f>K993*N993</x:f>
        <x:v>69.12</x:v>
      </x:c>
      <x:c r="Q993" s="16" t="n">
        <x:f>O993-P993</x:f>
        <x:v>122.88</x:v>
      </x:c>
      <x:c r="R993" s="2" t="n">
        <x:v>245</x:v>
      </x:c>
      <x:c r="S993" s="2" t="n">
        <x:v>0</x:v>
      </x:c>
      <x:c r="T993" s="2" t="n">
        <x:f>R993+S993+J993-I993</x:f>
        <x:v>237</x:v>
      </x:c>
      <x:c r="U993" s="2" t="n">
        <x:v>0</x:v>
      </x:c>
      <x:c r="V993" s="2" t="n">
        <x:v>2</x:v>
      </x:c>
      <x:c r="W993" s="2" t="n">
        <x:v>8</x:v>
      </x:c>
      <x:c r="X993" s="14" t="b">
        <x:v>0</x:v>
      </x:c>
      <x:c r="Y993" s="14" t="b">
        <x:v>0</x:v>
      </x:c>
      <x:c r="Z993" s="2" t="n">
        <x:f>ABS(T993-AA993)</x:f>
        <x:v>0</x:v>
      </x:c>
      <x:c r="AA993" s="2" t="n">
        <x:v>237</x:v>
      </x:c>
      <x:c r="AB993" s="2" t="n">
        <x:f>ABS(K993-W993)</x:f>
        <x:v>0</x:v>
      </x:c>
      <x:c r="AC993" s="2" t="n">
        <x:f>COUNTIF($A$2:$A$1921,A993)-1</x:f>
        <x:v>0</x:v>
      </x:c>
      <x:c r="AD993" s="2" t="n">
        <x:f>IF(AND(D993=D992,H993=H992,C993=C992+1),ABS(R993-T992),0)</x:f>
        <x:v>0</x:v>
      </x:c>
    </x:row>
    <x:row r="994" ht="23" customHeight="1">
      <x:c r="A994" s="2" t="str">
        <x:v>DEMO-301-1-13</x:v>
      </x:c>
      <x:c r="B994" s="15" t="d">
        <x:v>2026-07-27T00:00:00.000Z</x:v>
      </x:c>
      <x:c r="C994" s="2" t="n">
        <x:v>13</x:v>
      </x:c>
      <x:c r="D994" s="2" t="str">
        <x:v>DEMO-301</x:v>
      </x:c>
      <x:c r="E994" s="2" t="str">
        <x:v>Dawn Travel Cup</x:v>
      </x:c>
      <x:c r="F994" s="2" t="str">
        <x:v>Lifestyle</x:v>
      </x:c>
      <x:c r="G994" s="2" t="str">
        <x:v>Stores</x:v>
      </x:c>
      <x:c r="H994" s="2" t="str">
        <x:v>Riverside</x:v>
      </x:c>
      <x:c r="I994" s="2" t="n">
        <x:v>8</x:v>
      </x:c>
      <x:c r="J994" s="2" t="n">
        <x:v>0</x:v>
      </x:c>
      <x:c r="K994" s="2" t="n">
        <x:f>I994-J994</x:f>
        <x:v>8</x:v>
      </x:c>
      <x:c r="L994" s="16" t="n">
        <x:v>24</x:v>
      </x:c>
      <x:c r="M994" s="16" t="n">
        <x:v>24</x:v>
      </x:c>
      <x:c r="N994" s="16" t="n">
        <x:v>8.64</x:v>
      </x:c>
      <x:c r="O994" s="16" t="n">
        <x:f>K994*M994</x:f>
        <x:v>192</x:v>
      </x:c>
      <x:c r="P994" s="16" t="n">
        <x:f>K994*N994</x:f>
        <x:v>69.12</x:v>
      </x:c>
      <x:c r="Q994" s="16" t="n">
        <x:f>O994-P994</x:f>
        <x:v>122.88</x:v>
      </x:c>
      <x:c r="R994" s="2" t="n">
        <x:v>237</x:v>
      </x:c>
      <x:c r="S994" s="2" t="n">
        <x:v>65</x:v>
      </x:c>
      <x:c r="T994" s="2" t="n">
        <x:f>R994+S994+J994-I994</x:f>
        <x:v>294</x:v>
      </x:c>
      <x:c r="U994" s="2" t="n">
        <x:v>0</x:v>
      </x:c>
      <x:c r="V994" s="2" t="n">
        <x:v>2</x:v>
      </x:c>
      <x:c r="W994" s="2" t="n">
        <x:v>8</x:v>
      </x:c>
      <x:c r="X994" s="14" t="b">
        <x:v>0</x:v>
      </x:c>
      <x:c r="Y994" s="14" t="b">
        <x:v>0</x:v>
      </x:c>
      <x:c r="Z994" s="2" t="n">
        <x:f>ABS(T994-AA994)</x:f>
        <x:v>0</x:v>
      </x:c>
      <x:c r="AA994" s="2" t="n">
        <x:v>294</x:v>
      </x:c>
      <x:c r="AB994" s="2" t="n">
        <x:f>ABS(K994-W994)</x:f>
        <x:v>0</x:v>
      </x:c>
      <x:c r="AC994" s="2" t="n">
        <x:f>COUNTIF($A$2:$A$1921,A994)-1</x:f>
        <x:v>0</x:v>
      </x:c>
      <x:c r="AD994" s="2" t="n">
        <x:f>IF(AND(D994=D993,H994=H993,C994=C993+1),ABS(R994-T993),0)</x:f>
        <x:v>0</x:v>
      </x:c>
    </x:row>
    <x:row r="995" ht="23" customHeight="1">
      <x:c r="A995" s="2" t="str">
        <x:v>DEMO-301-1-14</x:v>
      </x:c>
      <x:c r="B995" s="15" t="d">
        <x:v>2026-08-03T00:00:00.000Z</x:v>
      </x:c>
      <x:c r="C995" s="2" t="n">
        <x:v>14</x:v>
      </x:c>
      <x:c r="D995" s="2" t="str">
        <x:v>DEMO-301</x:v>
      </x:c>
      <x:c r="E995" s="2" t="str">
        <x:v>Dawn Travel Cup</x:v>
      </x:c>
      <x:c r="F995" s="2" t="str">
        <x:v>Lifestyle</x:v>
      </x:c>
      <x:c r="G995" s="2" t="str">
        <x:v>Stores</x:v>
      </x:c>
      <x:c r="H995" s="2" t="str">
        <x:v>Riverside</x:v>
      </x:c>
      <x:c r="I995" s="2" t="n">
        <x:v>6</x:v>
      </x:c>
      <x:c r="J995" s="2" t="n">
        <x:v>0</x:v>
      </x:c>
      <x:c r="K995" s="2" t="n">
        <x:f>I995-J995</x:f>
        <x:v>6</x:v>
      </x:c>
      <x:c r="L995" s="16" t="n">
        <x:v>24</x:v>
      </x:c>
      <x:c r="M995" s="16" t="n">
        <x:v>24</x:v>
      </x:c>
      <x:c r="N995" s="16" t="n">
        <x:v>8.64</x:v>
      </x:c>
      <x:c r="O995" s="16" t="n">
        <x:f>K995*M995</x:f>
        <x:v>144</x:v>
      </x:c>
      <x:c r="P995" s="16" t="n">
        <x:f>K995*N995</x:f>
        <x:v>51.84</x:v>
      </x:c>
      <x:c r="Q995" s="16" t="n">
        <x:f>O995-P995</x:f>
        <x:v>92.16</x:v>
      </x:c>
      <x:c r="R995" s="2" t="n">
        <x:v>294</x:v>
      </x:c>
      <x:c r="S995" s="2" t="n">
        <x:v>0</x:v>
      </x:c>
      <x:c r="T995" s="2" t="n">
        <x:f>R995+S995+J995-I995</x:f>
        <x:v>288</x:v>
      </x:c>
      <x:c r="U995" s="2" t="n">
        <x:v>0</x:v>
      </x:c>
      <x:c r="V995" s="2" t="n">
        <x:v>2</x:v>
      </x:c>
      <x:c r="W995" s="2" t="n">
        <x:v>8</x:v>
      </x:c>
      <x:c r="X995" s="14" t="b">
        <x:v>0</x:v>
      </x:c>
      <x:c r="Y995" s="14" t="b">
        <x:v>0</x:v>
      </x:c>
      <x:c r="Z995" s="2" t="n">
        <x:f>ABS(T995-AA995)</x:f>
        <x:v>0</x:v>
      </x:c>
      <x:c r="AA995" s="2" t="n">
        <x:v>288</x:v>
      </x:c>
      <x:c r="AB995" s="2" t="n">
        <x:f>ABS(K995-W995)</x:f>
        <x:v>2</x:v>
      </x:c>
      <x:c r="AC995" s="2" t="n">
        <x:f>COUNTIF($A$2:$A$1921,A995)-1</x:f>
        <x:v>0</x:v>
      </x:c>
      <x:c r="AD995" s="2" t="n">
        <x:f>IF(AND(D995=D994,H995=H994,C995=C994+1),ABS(R995-T994),0)</x:f>
        <x:v>0</x:v>
      </x:c>
    </x:row>
    <x:row r="996" ht="23" customHeight="1">
      <x:c r="A996" s="2" t="str">
        <x:v>DEMO-301-1-15</x:v>
      </x:c>
      <x:c r="B996" s="15" t="d">
        <x:v>2026-08-10T00:00:00.000Z</x:v>
      </x:c>
      <x:c r="C996" s="2" t="n">
        <x:v>15</x:v>
      </x:c>
      <x:c r="D996" s="2" t="str">
        <x:v>DEMO-301</x:v>
      </x:c>
      <x:c r="E996" s="2" t="str">
        <x:v>Dawn Travel Cup</x:v>
      </x:c>
      <x:c r="F996" s="2" t="str">
        <x:v>Lifestyle</x:v>
      </x:c>
      <x:c r="G996" s="2" t="str">
        <x:v>Stores</x:v>
      </x:c>
      <x:c r="H996" s="2" t="str">
        <x:v>Riverside</x:v>
      </x:c>
      <x:c r="I996" s="2" t="n">
        <x:v>7</x:v>
      </x:c>
      <x:c r="J996" s="2" t="n">
        <x:v>0</x:v>
      </x:c>
      <x:c r="K996" s="2" t="n">
        <x:f>I996-J996</x:f>
        <x:v>7</x:v>
      </x:c>
      <x:c r="L996" s="16" t="n">
        <x:v>24</x:v>
      </x:c>
      <x:c r="M996" s="16" t="n">
        <x:v>24</x:v>
      </x:c>
      <x:c r="N996" s="16" t="n">
        <x:v>8.64</x:v>
      </x:c>
      <x:c r="O996" s="16" t="n">
        <x:f>K996*M996</x:f>
        <x:v>168</x:v>
      </x:c>
      <x:c r="P996" s="16" t="n">
        <x:f>K996*N996</x:f>
        <x:v>60.480000000000004</x:v>
      </x:c>
      <x:c r="Q996" s="16" t="n">
        <x:f>O996-P996</x:f>
        <x:v>107.52</x:v>
      </x:c>
      <x:c r="R996" s="2" t="n">
        <x:v>288</x:v>
      </x:c>
      <x:c r="S996" s="2" t="n">
        <x:v>0</x:v>
      </x:c>
      <x:c r="T996" s="2" t="n">
        <x:f>R996+S996+J996-I996</x:f>
        <x:v>281</x:v>
      </x:c>
      <x:c r="U996" s="2" t="n">
        <x:v>0</x:v>
      </x:c>
      <x:c r="V996" s="2" t="n">
        <x:v>2</x:v>
      </x:c>
      <x:c r="W996" s="2" t="n">
        <x:v>8</x:v>
      </x:c>
      <x:c r="X996" s="14" t="b">
        <x:v>0</x:v>
      </x:c>
      <x:c r="Y996" s="14" t="b">
        <x:v>0</x:v>
      </x:c>
      <x:c r="Z996" s="2" t="n">
        <x:f>ABS(T996-AA996)</x:f>
        <x:v>0</x:v>
      </x:c>
      <x:c r="AA996" s="2" t="n">
        <x:v>281</x:v>
      </x:c>
      <x:c r="AB996" s="2" t="n">
        <x:f>ABS(K996-W996)</x:f>
        <x:v>1</x:v>
      </x:c>
      <x:c r="AC996" s="2" t="n">
        <x:f>COUNTIF($A$2:$A$1921,A996)-1</x:f>
        <x:v>0</x:v>
      </x:c>
      <x:c r="AD996" s="2" t="n">
        <x:f>IF(AND(D996=D995,H996=H995,C996=C995+1),ABS(R996-T995),0)</x:f>
        <x:v>0</x:v>
      </x:c>
    </x:row>
    <x:row r="997" ht="23" customHeight="1">
      <x:c r="A997" s="2" t="str">
        <x:v>DEMO-301-1-16</x:v>
      </x:c>
      <x:c r="B997" s="15" t="d">
        <x:v>2026-08-17T00:00:00.000Z</x:v>
      </x:c>
      <x:c r="C997" s="2" t="n">
        <x:v>16</x:v>
      </x:c>
      <x:c r="D997" s="2" t="str">
        <x:v>DEMO-301</x:v>
      </x:c>
      <x:c r="E997" s="2" t="str">
        <x:v>Dawn Travel Cup</x:v>
      </x:c>
      <x:c r="F997" s="2" t="str">
        <x:v>Lifestyle</x:v>
      </x:c>
      <x:c r="G997" s="2" t="str">
        <x:v>Stores</x:v>
      </x:c>
      <x:c r="H997" s="2" t="str">
        <x:v>Riverside</x:v>
      </x:c>
      <x:c r="I997" s="2" t="n">
        <x:v>7</x:v>
      </x:c>
      <x:c r="J997" s="2" t="n">
        <x:v>0</x:v>
      </x:c>
      <x:c r="K997" s="2" t="n">
        <x:f>I997-J997</x:f>
        <x:v>7</x:v>
      </x:c>
      <x:c r="L997" s="16" t="n">
        <x:v>24</x:v>
      </x:c>
      <x:c r="M997" s="16" t="n">
        <x:v>24</x:v>
      </x:c>
      <x:c r="N997" s="16" t="n">
        <x:v>8.64</x:v>
      </x:c>
      <x:c r="O997" s="16" t="n">
        <x:f>K997*M997</x:f>
        <x:v>168</x:v>
      </x:c>
      <x:c r="P997" s="16" t="n">
        <x:f>K997*N997</x:f>
        <x:v>60.480000000000004</x:v>
      </x:c>
      <x:c r="Q997" s="16" t="n">
        <x:f>O997-P997</x:f>
        <x:v>107.52</x:v>
      </x:c>
      <x:c r="R997" s="2" t="n">
        <x:v>281</x:v>
      </x:c>
      <x:c r="S997" s="2" t="n">
        <x:v>0</x:v>
      </x:c>
      <x:c r="T997" s="2" t="n">
        <x:f>R997+S997+J997-I997</x:f>
        <x:v>274</x:v>
      </x:c>
      <x:c r="U997" s="2" t="n">
        <x:v>0</x:v>
      </x:c>
      <x:c r="V997" s="2" t="n">
        <x:v>2</x:v>
      </x:c>
      <x:c r="W997" s="2" t="n">
        <x:v>7</x:v>
      </x:c>
      <x:c r="X997" s="14" t="b">
        <x:v>0</x:v>
      </x:c>
      <x:c r="Y997" s="14" t="b">
        <x:v>0</x:v>
      </x:c>
      <x:c r="Z997" s="2" t="n">
        <x:f>ABS(T997-AA997)</x:f>
        <x:v>0</x:v>
      </x:c>
      <x:c r="AA997" s="2" t="n">
        <x:v>274</x:v>
      </x:c>
      <x:c r="AB997" s="2" t="n">
        <x:f>ABS(K997-W997)</x:f>
        <x:v>0</x:v>
      </x:c>
      <x:c r="AC997" s="2" t="n">
        <x:f>COUNTIF($A$2:$A$1921,A997)-1</x:f>
        <x:v>0</x:v>
      </x:c>
      <x:c r="AD997" s="2" t="n">
        <x:f>IF(AND(D997=D996,H997=H996,C997=C996+1),ABS(R997-T996),0)</x:f>
        <x:v>0</x:v>
      </x:c>
    </x:row>
    <x:row r="998" ht="23" customHeight="1">
      <x:c r="A998" s="2" t="str">
        <x:v>DEMO-301-1-17</x:v>
      </x:c>
      <x:c r="B998" s="15" t="d">
        <x:v>2026-08-24T00:00:00.000Z</x:v>
      </x:c>
      <x:c r="C998" s="2" t="n">
        <x:v>17</x:v>
      </x:c>
      <x:c r="D998" s="2" t="str">
        <x:v>DEMO-301</x:v>
      </x:c>
      <x:c r="E998" s="2" t="str">
        <x:v>Dawn Travel Cup</x:v>
      </x:c>
      <x:c r="F998" s="2" t="str">
        <x:v>Lifestyle</x:v>
      </x:c>
      <x:c r="G998" s="2" t="str">
        <x:v>Stores</x:v>
      </x:c>
      <x:c r="H998" s="2" t="str">
        <x:v>Riverside</x:v>
      </x:c>
      <x:c r="I998" s="2" t="n">
        <x:v>7</x:v>
      </x:c>
      <x:c r="J998" s="2" t="n">
        <x:v>0</x:v>
      </x:c>
      <x:c r="K998" s="2" t="n">
        <x:f>I998-J998</x:f>
        <x:v>7</x:v>
      </x:c>
      <x:c r="L998" s="16" t="n">
        <x:v>24</x:v>
      </x:c>
      <x:c r="M998" s="16" t="n">
        <x:v>19.2</x:v>
      </x:c>
      <x:c r="N998" s="16" t="n">
        <x:v>8.64</x:v>
      </x:c>
      <x:c r="O998" s="16" t="n">
        <x:f>K998*M998</x:f>
        <x:v>134.4</x:v>
      </x:c>
      <x:c r="P998" s="16" t="n">
        <x:f>K998*N998</x:f>
        <x:v>60.480000000000004</x:v>
      </x:c>
      <x:c r="Q998" s="16" t="n">
        <x:f>O998-P998</x:f>
        <x:v>73.92</x:v>
      </x:c>
      <x:c r="R998" s="2" t="n">
        <x:v>274</x:v>
      </x:c>
      <x:c r="S998" s="2" t="n">
        <x:v>65</x:v>
      </x:c>
      <x:c r="T998" s="2" t="n">
        <x:f>R998+S998+J998-I998</x:f>
        <x:v>332</x:v>
      </x:c>
      <x:c r="U998" s="2" t="n">
        <x:v>0</x:v>
      </x:c>
      <x:c r="V998" s="2" t="n">
        <x:v>2</x:v>
      </x:c>
      <x:c r="W998" s="2" t="n">
        <x:v>7</x:v>
      </x:c>
      <x:c r="X998" s="14" t="b">
        <x:v>0</x:v>
      </x:c>
      <x:c r="Y998" s="14" t="b">
        <x:v>1</x:v>
      </x:c>
      <x:c r="Z998" s="2" t="n">
        <x:f>ABS(T998-AA998)</x:f>
        <x:v>0</x:v>
      </x:c>
      <x:c r="AA998" s="2" t="n">
        <x:v>332</x:v>
      </x:c>
      <x:c r="AB998" s="2" t="n">
        <x:f>ABS(K998-W998)</x:f>
        <x:v>0</x:v>
      </x:c>
      <x:c r="AC998" s="2" t="n">
        <x:f>COUNTIF($A$2:$A$1921,A998)-1</x:f>
        <x:v>0</x:v>
      </x:c>
      <x:c r="AD998" s="2" t="n">
        <x:f>IF(AND(D998=D997,H998=H997,C998=C997+1),ABS(R998-T997),0)</x:f>
        <x:v>0</x:v>
      </x:c>
    </x:row>
    <x:row r="999" ht="23" customHeight="1">
      <x:c r="A999" s="2" t="str">
        <x:v>DEMO-301-1-18</x:v>
      </x:c>
      <x:c r="B999" s="15" t="d">
        <x:v>2026-08-31T00:00:00.000Z</x:v>
      </x:c>
      <x:c r="C999" s="2" t="n">
        <x:v>18</x:v>
      </x:c>
      <x:c r="D999" s="2" t="str">
        <x:v>DEMO-301</x:v>
      </x:c>
      <x:c r="E999" s="2" t="str">
        <x:v>Dawn Travel Cup</x:v>
      </x:c>
      <x:c r="F999" s="2" t="str">
        <x:v>Lifestyle</x:v>
      </x:c>
      <x:c r="G999" s="2" t="str">
        <x:v>Stores</x:v>
      </x:c>
      <x:c r="H999" s="2" t="str">
        <x:v>Riverside</x:v>
      </x:c>
      <x:c r="I999" s="2" t="n">
        <x:v>8</x:v>
      </x:c>
      <x:c r="J999" s="2" t="n">
        <x:v>0</x:v>
      </x:c>
      <x:c r="K999" s="2" t="n">
        <x:f>I999-J999</x:f>
        <x:v>8</x:v>
      </x:c>
      <x:c r="L999" s="16" t="n">
        <x:v>24</x:v>
      </x:c>
      <x:c r="M999" s="16" t="n">
        <x:v>19.2</x:v>
      </x:c>
      <x:c r="N999" s="16" t="n">
        <x:v>8.64</x:v>
      </x:c>
      <x:c r="O999" s="16" t="n">
        <x:f>K999*M999</x:f>
        <x:v>153.6</x:v>
      </x:c>
      <x:c r="P999" s="16" t="n">
        <x:f>K999*N999</x:f>
        <x:v>69.12</x:v>
      </x:c>
      <x:c r="Q999" s="16" t="n">
        <x:f>O999-P999</x:f>
        <x:v>84.47999999999999</x:v>
      </x:c>
      <x:c r="R999" s="2" t="n">
        <x:v>332</x:v>
      </x:c>
      <x:c r="S999" s="2" t="n">
        <x:v>0</x:v>
      </x:c>
      <x:c r="T999" s="2" t="n">
        <x:f>R999+S999+J999-I999</x:f>
        <x:v>324</x:v>
      </x:c>
      <x:c r="U999" s="2" t="n">
        <x:v>0</x:v>
      </x:c>
      <x:c r="V999" s="2" t="n">
        <x:v>2</x:v>
      </x:c>
      <x:c r="W999" s="2" t="n">
        <x:v>7</x:v>
      </x:c>
      <x:c r="X999" s="14" t="b">
        <x:v>0</x:v>
      </x:c>
      <x:c r="Y999" s="14" t="b">
        <x:v>1</x:v>
      </x:c>
      <x:c r="Z999" s="2" t="n">
        <x:f>ABS(T999-AA999)</x:f>
        <x:v>0</x:v>
      </x:c>
      <x:c r="AA999" s="2" t="n">
        <x:v>324</x:v>
      </x:c>
      <x:c r="AB999" s="2" t="n">
        <x:f>ABS(K999-W999)</x:f>
        <x:v>1</x:v>
      </x:c>
      <x:c r="AC999" s="2" t="n">
        <x:f>COUNTIF($A$2:$A$1921,A999)-1</x:f>
        <x:v>0</x:v>
      </x:c>
      <x:c r="AD999" s="2" t="n">
        <x:f>IF(AND(D999=D998,H999=H998,C999=C998+1),ABS(R999-T998),0)</x:f>
        <x:v>0</x:v>
      </x:c>
    </x:row>
    <x:row r="1000" ht="23" customHeight="1">
      <x:c r="A1000" s="2" t="str">
        <x:v>DEMO-301-1-19</x:v>
      </x:c>
      <x:c r="B1000" s="15" t="d">
        <x:v>2026-09-07T00:00:00.000Z</x:v>
      </x:c>
      <x:c r="C1000" s="2" t="n">
        <x:v>19</x:v>
      </x:c>
      <x:c r="D1000" s="2" t="str">
        <x:v>DEMO-301</x:v>
      </x:c>
      <x:c r="E1000" s="2" t="str">
        <x:v>Dawn Travel Cup</x:v>
      </x:c>
      <x:c r="F1000" s="2" t="str">
        <x:v>Lifestyle</x:v>
      </x:c>
      <x:c r="G1000" s="2" t="str">
        <x:v>Stores</x:v>
      </x:c>
      <x:c r="H1000" s="2" t="str">
        <x:v>Riverside</x:v>
      </x:c>
      <x:c r="I1000" s="2" t="n">
        <x:v>8</x:v>
      </x:c>
      <x:c r="J1000" s="2" t="n">
        <x:v>0</x:v>
      </x:c>
      <x:c r="K1000" s="2" t="n">
        <x:f>I1000-J1000</x:f>
        <x:v>8</x:v>
      </x:c>
      <x:c r="L1000" s="16" t="n">
        <x:v>24</x:v>
      </x:c>
      <x:c r="M1000" s="16" t="n">
        <x:v>19.2</x:v>
      </x:c>
      <x:c r="N1000" s="16" t="n">
        <x:v>8.64</x:v>
      </x:c>
      <x:c r="O1000" s="16" t="n">
        <x:f>K1000*M1000</x:f>
        <x:v>153.6</x:v>
      </x:c>
      <x:c r="P1000" s="16" t="n">
        <x:f>K1000*N1000</x:f>
        <x:v>69.12</x:v>
      </x:c>
      <x:c r="Q1000" s="16" t="n">
        <x:f>O1000-P1000</x:f>
        <x:v>84.47999999999999</x:v>
      </x:c>
      <x:c r="R1000" s="2" t="n">
        <x:v>324</x:v>
      </x:c>
      <x:c r="S1000" s="2" t="n">
        <x:v>0</x:v>
      </x:c>
      <x:c r="T1000" s="2" t="n">
        <x:f>R1000+S1000+J1000-I1000</x:f>
        <x:v>316</x:v>
      </x:c>
      <x:c r="U1000" s="2" t="n">
        <x:v>0</x:v>
      </x:c>
      <x:c r="V1000" s="2" t="n">
        <x:v>2</x:v>
      </x:c>
      <x:c r="W1000" s="2" t="n">
        <x:v>7</x:v>
      </x:c>
      <x:c r="X1000" s="14" t="b">
        <x:v>0</x:v>
      </x:c>
      <x:c r="Y1000" s="14" t="b">
        <x:v>1</x:v>
      </x:c>
      <x:c r="Z1000" s="2" t="n">
        <x:f>ABS(T1000-AA1000)</x:f>
        <x:v>0</x:v>
      </x:c>
      <x:c r="AA1000" s="2" t="n">
        <x:v>316</x:v>
      </x:c>
      <x:c r="AB1000" s="2" t="n">
        <x:f>ABS(K1000-W1000)</x:f>
        <x:v>1</x:v>
      </x:c>
      <x:c r="AC1000" s="2" t="n">
        <x:f>COUNTIF($A$2:$A$1921,A1000)-1</x:f>
        <x:v>0</x:v>
      </x:c>
      <x:c r="AD1000" s="2" t="n">
        <x:f>IF(AND(D1000=D999,H1000=H999,C1000=C999+1),ABS(R1000-T999),0)</x:f>
        <x:v>0</x:v>
      </x:c>
    </x:row>
    <x:row r="1001" ht="23" customHeight="1">
      <x:c r="A1001" s="2" t="str">
        <x:v>DEMO-301-1-20</x:v>
      </x:c>
      <x:c r="B1001" s="15" t="d">
        <x:v>2026-09-14T00:00:00.000Z</x:v>
      </x:c>
      <x:c r="C1001" s="2" t="n">
        <x:v>20</x:v>
      </x:c>
      <x:c r="D1001" s="2" t="str">
        <x:v>DEMO-301</x:v>
      </x:c>
      <x:c r="E1001" s="2" t="str">
        <x:v>Dawn Travel Cup</x:v>
      </x:c>
      <x:c r="F1001" s="2" t="str">
        <x:v>Lifestyle</x:v>
      </x:c>
      <x:c r="G1001" s="2" t="str">
        <x:v>Stores</x:v>
      </x:c>
      <x:c r="H1001" s="2" t="str">
        <x:v>Riverside</x:v>
      </x:c>
      <x:c r="I1001" s="2" t="n">
        <x:v>5</x:v>
      </x:c>
      <x:c r="J1001" s="2" t="n">
        <x:v>1</x:v>
      </x:c>
      <x:c r="K1001" s="2" t="n">
        <x:f>I1001-J1001</x:f>
        <x:v>4</x:v>
      </x:c>
      <x:c r="L1001" s="16" t="n">
        <x:v>24</x:v>
      </x:c>
      <x:c r="M1001" s="16" t="n">
        <x:v>19.2</x:v>
      </x:c>
      <x:c r="N1001" s="16" t="n">
        <x:v>8.64</x:v>
      </x:c>
      <x:c r="O1001" s="16" t="n">
        <x:f>K1001*M1001</x:f>
        <x:v>76.8</x:v>
      </x:c>
      <x:c r="P1001" s="16" t="n">
        <x:f>K1001*N1001</x:f>
        <x:v>34.56</x:v>
      </x:c>
      <x:c r="Q1001" s="16" t="n">
        <x:f>O1001-P1001</x:f>
        <x:v>42.239999999999995</x:v>
      </x:c>
      <x:c r="R1001" s="2" t="n">
        <x:v>316</x:v>
      </x:c>
      <x:c r="S1001" s="2" t="n">
        <x:v>0</x:v>
      </x:c>
      <x:c r="T1001" s="2" t="n">
        <x:f>R1001+S1001+J1001-I1001</x:f>
        <x:v>312</x:v>
      </x:c>
      <x:c r="U1001" s="2" t="n">
        <x:v>24</x:v>
      </x:c>
      <x:c r="V1001" s="2" t="n">
        <x:v>2</x:v>
      </x:c>
      <x:c r="W1001" s="2" t="n">
        <x:v>8</x:v>
      </x:c>
      <x:c r="X1001" s="14" t="b">
        <x:v>0</x:v>
      </x:c>
      <x:c r="Y1001" s="14" t="b">
        <x:v>1</x:v>
      </x:c>
      <x:c r="Z1001" s="2" t="n">
        <x:f>ABS(T1001-AA1001)</x:f>
        <x:v>0</x:v>
      </x:c>
      <x:c r="AA1001" s="2" t="n">
        <x:v>312</x:v>
      </x:c>
      <x:c r="AB1001" s="2" t="n">
        <x:f>ABS(K1001-W1001)</x:f>
        <x:v>4</x:v>
      </x:c>
      <x:c r="AC1001" s="2" t="n">
        <x:f>COUNTIF($A$2:$A$1921,A1001)-1</x:f>
        <x:v>0</x:v>
      </x:c>
      <x:c r="AD1001" s="2" t="n">
        <x:f>IF(AND(D1001=D1000,H1001=H1000,C1001=C1000+1),ABS(R1001-T1000),0)</x:f>
        <x:v>0</x:v>
      </x:c>
    </x:row>
    <x:row r="1002" ht="23" customHeight="1">
      <x:c r="A1002" s="2" t="str">
        <x:v>DEMO-301-2-1</x:v>
      </x:c>
      <x:c r="B1002" s="15" t="d">
        <x:v>2026-05-04T00:00:00.000Z</x:v>
      </x:c>
      <x:c r="C1002" s="2" t="n">
        <x:v>1</x:v>
      </x:c>
      <x:c r="D1002" s="2" t="str">
        <x:v>DEMO-301</x:v>
      </x:c>
      <x:c r="E1002" s="2" t="str">
        <x:v>Dawn Travel Cup</x:v>
      </x:c>
      <x:c r="F1002" s="2" t="str">
        <x:v>Lifestyle</x:v>
      </x:c>
      <x:c r="G1002" s="2" t="str">
        <x:v>Stores</x:v>
      </x:c>
      <x:c r="H1002" s="2" t="str">
        <x:v>Central Market</x:v>
      </x:c>
      <x:c r="I1002" s="2" t="n">
        <x:v>10</x:v>
      </x:c>
      <x:c r="J1002" s="2" t="n">
        <x:v>1</x:v>
      </x:c>
      <x:c r="K1002" s="2" t="n">
        <x:f>I1002-J1002</x:f>
        <x:v>9</x:v>
      </x:c>
      <x:c r="L1002" s="16" t="n">
        <x:v>24</x:v>
      </x:c>
      <x:c r="M1002" s="16" t="n">
        <x:v>24</x:v>
      </x:c>
      <x:c r="N1002" s="16" t="n">
        <x:v>8.64</x:v>
      </x:c>
      <x:c r="O1002" s="16" t="n">
        <x:f>K1002*M1002</x:f>
        <x:v>216</x:v>
      </x:c>
      <x:c r="P1002" s="16" t="n">
        <x:f>K1002*N1002</x:f>
        <x:v>77.76</x:v>
      </x:c>
      <x:c r="Q1002" s="16" t="n">
        <x:f>O1002-P1002</x:f>
        <x:v>138.24</x:v>
      </x:c>
      <x:c r="R1002" s="2" t="n">
        <x:v>140</x:v>
      </x:c>
      <x:c r="S1002" s="2" t="n">
        <x:v>65</x:v>
      </x:c>
      <x:c r="T1002" s="2" t="n">
        <x:f>R1002+S1002+J1002-I1002</x:f>
        <x:v>196</x:v>
      </x:c>
      <x:c r="U1002" s="2" t="n">
        <x:v>0</x:v>
      </x:c>
      <x:c r="V1002" s="2" t="n">
        <x:v>2</x:v>
      </x:c>
      <x:c r="W1002" s="2" t="n">
        <x:v>11</x:v>
      </x:c>
      <x:c r="X1002" s="14" t="b">
        <x:v>0</x:v>
      </x:c>
      <x:c r="Y1002" s="14" t="b">
        <x:v>0</x:v>
      </x:c>
      <x:c r="Z1002" s="2" t="n">
        <x:f>ABS(T1002-AA1002)</x:f>
        <x:v>0</x:v>
      </x:c>
      <x:c r="AA1002" s="2" t="n">
        <x:v>196</x:v>
      </x:c>
      <x:c r="AB1002" s="2" t="n">
        <x:f>ABS(K1002-W1002)</x:f>
        <x:v>2</x:v>
      </x:c>
      <x:c r="AC1002" s="2" t="n">
        <x:f>COUNTIF($A$2:$A$1921,A1002)-1</x:f>
        <x:v>0</x:v>
      </x:c>
      <x:c r="AD1002" s="2" t="n">
        <x:f>IF(AND(D1002=D1001,H1002=H1001,C1002=C1001+1),ABS(R1002-T1001),0)</x:f>
        <x:v>0</x:v>
      </x:c>
    </x:row>
    <x:row r="1003" ht="23" customHeight="1">
      <x:c r="A1003" s="2" t="str">
        <x:v>DEMO-301-2-2</x:v>
      </x:c>
      <x:c r="B1003" s="15" t="d">
        <x:v>2026-05-11T00:00:00.000Z</x:v>
      </x:c>
      <x:c r="C1003" s="2" t="n">
        <x:v>2</x:v>
      </x:c>
      <x:c r="D1003" s="2" t="str">
        <x:v>DEMO-301</x:v>
      </x:c>
      <x:c r="E1003" s="2" t="str">
        <x:v>Dawn Travel Cup</x:v>
      </x:c>
      <x:c r="F1003" s="2" t="str">
        <x:v>Lifestyle</x:v>
      </x:c>
      <x:c r="G1003" s="2" t="str">
        <x:v>Stores</x:v>
      </x:c>
      <x:c r="H1003" s="2" t="str">
        <x:v>Central Market</x:v>
      </x:c>
      <x:c r="I1003" s="2" t="n">
        <x:v>9</x:v>
      </x:c>
      <x:c r="J1003" s="2" t="n">
        <x:v>0</x:v>
      </x:c>
      <x:c r="K1003" s="2" t="n">
        <x:f>I1003-J1003</x:f>
        <x:v>9</x:v>
      </x:c>
      <x:c r="L1003" s="16" t="n">
        <x:v>24</x:v>
      </x:c>
      <x:c r="M1003" s="16" t="n">
        <x:v>24</x:v>
      </x:c>
      <x:c r="N1003" s="16" t="n">
        <x:v>8.64</x:v>
      </x:c>
      <x:c r="O1003" s="16" t="n">
        <x:f>K1003*M1003</x:f>
        <x:v>216</x:v>
      </x:c>
      <x:c r="P1003" s="16" t="n">
        <x:f>K1003*N1003</x:f>
        <x:v>77.76</x:v>
      </x:c>
      <x:c r="Q1003" s="16" t="n">
        <x:f>O1003-P1003</x:f>
        <x:v>138.24</x:v>
      </x:c>
      <x:c r="R1003" s="2" t="n">
        <x:v>196</x:v>
      </x:c>
      <x:c r="S1003" s="2" t="n">
        <x:v>0</x:v>
      </x:c>
      <x:c r="T1003" s="2" t="n">
        <x:f>R1003+S1003+J1003-I1003</x:f>
        <x:v>187</x:v>
      </x:c>
      <x:c r="U1003" s="2" t="n">
        <x:v>0</x:v>
      </x:c>
      <x:c r="V1003" s="2" t="n">
        <x:v>2</x:v>
      </x:c>
      <x:c r="W1003" s="2" t="n">
        <x:v>9</x:v>
      </x:c>
      <x:c r="X1003" s="14" t="b">
        <x:v>0</x:v>
      </x:c>
      <x:c r="Y1003" s="14" t="b">
        <x:v>0</x:v>
      </x:c>
      <x:c r="Z1003" s="2" t="n">
        <x:f>ABS(T1003-AA1003)</x:f>
        <x:v>0</x:v>
      </x:c>
      <x:c r="AA1003" s="2" t="n">
        <x:v>187</x:v>
      </x:c>
      <x:c r="AB1003" s="2" t="n">
        <x:f>ABS(K1003-W1003)</x:f>
        <x:v>0</x:v>
      </x:c>
      <x:c r="AC1003" s="2" t="n">
        <x:f>COUNTIF($A$2:$A$1921,A1003)-1</x:f>
        <x:v>0</x:v>
      </x:c>
      <x:c r="AD1003" s="2" t="n">
        <x:f>IF(AND(D1003=D1002,H1003=H1002,C1003=C1002+1),ABS(R1003-T1002),0)</x:f>
        <x:v>0</x:v>
      </x:c>
    </x:row>
    <x:row r="1004" ht="23" customHeight="1">
      <x:c r="A1004" s="2" t="str">
        <x:v>DEMO-301-2-3</x:v>
      </x:c>
      <x:c r="B1004" s="15" t="d">
        <x:v>2026-05-18T00:00:00.000Z</x:v>
      </x:c>
      <x:c r="C1004" s="2" t="n">
        <x:v>3</x:v>
      </x:c>
      <x:c r="D1004" s="2" t="str">
        <x:v>DEMO-301</x:v>
      </x:c>
      <x:c r="E1004" s="2" t="str">
        <x:v>Dawn Travel Cup</x:v>
      </x:c>
      <x:c r="F1004" s="2" t="str">
        <x:v>Lifestyle</x:v>
      </x:c>
      <x:c r="G1004" s="2" t="str">
        <x:v>Stores</x:v>
      </x:c>
      <x:c r="H1004" s="2" t="str">
        <x:v>Central Market</x:v>
      </x:c>
      <x:c r="I1004" s="2" t="n">
        <x:v>10</x:v>
      </x:c>
      <x:c r="J1004" s="2" t="n">
        <x:v>1</x:v>
      </x:c>
      <x:c r="K1004" s="2" t="n">
        <x:f>I1004-J1004</x:f>
        <x:v>9</x:v>
      </x:c>
      <x:c r="L1004" s="16" t="n">
        <x:v>24</x:v>
      </x:c>
      <x:c r="M1004" s="16" t="n">
        <x:v>24</x:v>
      </x:c>
      <x:c r="N1004" s="16" t="n">
        <x:v>8.64</x:v>
      </x:c>
      <x:c r="O1004" s="16" t="n">
        <x:f>K1004*M1004</x:f>
        <x:v>216</x:v>
      </x:c>
      <x:c r="P1004" s="16" t="n">
        <x:f>K1004*N1004</x:f>
        <x:v>77.76</x:v>
      </x:c>
      <x:c r="Q1004" s="16" t="n">
        <x:f>O1004-P1004</x:f>
        <x:v>138.24</x:v>
      </x:c>
      <x:c r="R1004" s="2" t="n">
        <x:v>187</x:v>
      </x:c>
      <x:c r="S1004" s="2" t="n">
        <x:v>0</x:v>
      </x:c>
      <x:c r="T1004" s="2" t="n">
        <x:f>R1004+S1004+J1004-I1004</x:f>
        <x:v>178</x:v>
      </x:c>
      <x:c r="U1004" s="2" t="n">
        <x:v>0</x:v>
      </x:c>
      <x:c r="V1004" s="2" t="n">
        <x:v>2</x:v>
      </x:c>
      <x:c r="W1004" s="2" t="n">
        <x:v>9</x:v>
      </x:c>
      <x:c r="X1004" s="14" t="b">
        <x:v>0</x:v>
      </x:c>
      <x:c r="Y1004" s="14" t="b">
        <x:v>0</x:v>
      </x:c>
      <x:c r="Z1004" s="2" t="n">
        <x:f>ABS(T1004-AA1004)</x:f>
        <x:v>0</x:v>
      </x:c>
      <x:c r="AA1004" s="2" t="n">
        <x:v>178</x:v>
      </x:c>
      <x:c r="AB1004" s="2" t="n">
        <x:f>ABS(K1004-W1004)</x:f>
        <x:v>0</x:v>
      </x:c>
      <x:c r="AC1004" s="2" t="n">
        <x:f>COUNTIF($A$2:$A$1921,A1004)-1</x:f>
        <x:v>0</x:v>
      </x:c>
      <x:c r="AD1004" s="2" t="n">
        <x:f>IF(AND(D1004=D1003,H1004=H1003,C1004=C1003+1),ABS(R1004-T1003),0)</x:f>
        <x:v>0</x:v>
      </x:c>
    </x:row>
    <x:row r="1005" ht="23" customHeight="1">
      <x:c r="A1005" s="2" t="str">
        <x:v>DEMO-301-2-4</x:v>
      </x:c>
      <x:c r="B1005" s="15" t="d">
        <x:v>2026-05-25T00:00:00.000Z</x:v>
      </x:c>
      <x:c r="C1005" s="2" t="n">
        <x:v>4</x:v>
      </x:c>
      <x:c r="D1005" s="2" t="str">
        <x:v>DEMO-301</x:v>
      </x:c>
      <x:c r="E1005" s="2" t="str">
        <x:v>Dawn Travel Cup</x:v>
      </x:c>
      <x:c r="F1005" s="2" t="str">
        <x:v>Lifestyle</x:v>
      </x:c>
      <x:c r="G1005" s="2" t="str">
        <x:v>Stores</x:v>
      </x:c>
      <x:c r="H1005" s="2" t="str">
        <x:v>Central Market</x:v>
      </x:c>
      <x:c r="I1005" s="2" t="n">
        <x:v>9</x:v>
      </x:c>
      <x:c r="J1005" s="2" t="n">
        <x:v>0</x:v>
      </x:c>
      <x:c r="K1005" s="2" t="n">
        <x:f>I1005-J1005</x:f>
        <x:v>9</x:v>
      </x:c>
      <x:c r="L1005" s="16" t="n">
        <x:v>24</x:v>
      </x:c>
      <x:c r="M1005" s="16" t="n">
        <x:v>24</x:v>
      </x:c>
      <x:c r="N1005" s="16" t="n">
        <x:v>8.64</x:v>
      </x:c>
      <x:c r="O1005" s="16" t="n">
        <x:f>K1005*M1005</x:f>
        <x:v>216</x:v>
      </x:c>
      <x:c r="P1005" s="16" t="n">
        <x:f>K1005*N1005</x:f>
        <x:v>77.76</x:v>
      </x:c>
      <x:c r="Q1005" s="16" t="n">
        <x:f>O1005-P1005</x:f>
        <x:v>138.24</x:v>
      </x:c>
      <x:c r="R1005" s="2" t="n">
        <x:v>178</x:v>
      </x:c>
      <x:c r="S1005" s="2" t="n">
        <x:v>0</x:v>
      </x:c>
      <x:c r="T1005" s="2" t="n">
        <x:f>R1005+S1005+J1005-I1005</x:f>
        <x:v>169</x:v>
      </x:c>
      <x:c r="U1005" s="2" t="n">
        <x:v>0</x:v>
      </x:c>
      <x:c r="V1005" s="2" t="n">
        <x:v>2</x:v>
      </x:c>
      <x:c r="W1005" s="2" t="n">
        <x:v>9</x:v>
      </x:c>
      <x:c r="X1005" s="14" t="b">
        <x:v>0</x:v>
      </x:c>
      <x:c r="Y1005" s="14" t="b">
        <x:v>0</x:v>
      </x:c>
      <x:c r="Z1005" s="2" t="n">
        <x:f>ABS(T1005-AA1005)</x:f>
        <x:v>0</x:v>
      </x:c>
      <x:c r="AA1005" s="2" t="n">
        <x:v>169</x:v>
      </x:c>
      <x:c r="AB1005" s="2" t="n">
        <x:f>ABS(K1005-W1005)</x:f>
        <x:v>0</x:v>
      </x:c>
      <x:c r="AC1005" s="2" t="n">
        <x:f>COUNTIF($A$2:$A$1921,A1005)-1</x:f>
        <x:v>0</x:v>
      </x:c>
      <x:c r="AD1005" s="2" t="n">
        <x:f>IF(AND(D1005=D1004,H1005=H1004,C1005=C1004+1),ABS(R1005-T1004),0)</x:f>
        <x:v>0</x:v>
      </x:c>
    </x:row>
    <x:row r="1006" ht="23" customHeight="1">
      <x:c r="A1006" s="2" t="str">
        <x:v>DEMO-301-2-5</x:v>
      </x:c>
      <x:c r="B1006" s="15" t="d">
        <x:v>2026-06-01T00:00:00.000Z</x:v>
      </x:c>
      <x:c r="C1006" s="2" t="n">
        <x:v>5</x:v>
      </x:c>
      <x:c r="D1006" s="2" t="str">
        <x:v>DEMO-301</x:v>
      </x:c>
      <x:c r="E1006" s="2" t="str">
        <x:v>Dawn Travel Cup</x:v>
      </x:c>
      <x:c r="F1006" s="2" t="str">
        <x:v>Lifestyle</x:v>
      </x:c>
      <x:c r="G1006" s="2" t="str">
        <x:v>Stores</x:v>
      </x:c>
      <x:c r="H1006" s="2" t="str">
        <x:v>Central Market</x:v>
      </x:c>
      <x:c r="I1006" s="2" t="n">
        <x:v>8</x:v>
      </x:c>
      <x:c r="J1006" s="2" t="n">
        <x:v>0</x:v>
      </x:c>
      <x:c r="K1006" s="2" t="n">
        <x:f>I1006-J1006</x:f>
        <x:v>8</x:v>
      </x:c>
      <x:c r="L1006" s="16" t="n">
        <x:v>24</x:v>
      </x:c>
      <x:c r="M1006" s="16" t="n">
        <x:v>24</x:v>
      </x:c>
      <x:c r="N1006" s="16" t="n">
        <x:v>8.64</x:v>
      </x:c>
      <x:c r="O1006" s="16" t="n">
        <x:f>K1006*M1006</x:f>
        <x:v>192</x:v>
      </x:c>
      <x:c r="P1006" s="16" t="n">
        <x:f>K1006*N1006</x:f>
        <x:v>69.12</x:v>
      </x:c>
      <x:c r="Q1006" s="16" t="n">
        <x:f>O1006-P1006</x:f>
        <x:v>122.88</x:v>
      </x:c>
      <x:c r="R1006" s="2" t="n">
        <x:v>169</x:v>
      </x:c>
      <x:c r="S1006" s="2" t="n">
        <x:v>65</x:v>
      </x:c>
      <x:c r="T1006" s="2" t="n">
        <x:f>R1006+S1006+J1006-I1006</x:f>
        <x:v>226</x:v>
      </x:c>
      <x:c r="U1006" s="2" t="n">
        <x:v>0</x:v>
      </x:c>
      <x:c r="V1006" s="2" t="n">
        <x:v>2</x:v>
      </x:c>
      <x:c r="W1006" s="2" t="n">
        <x:v>9</x:v>
      </x:c>
      <x:c r="X1006" s="14" t="b">
        <x:v>0</x:v>
      </x:c>
      <x:c r="Y1006" s="14" t="b">
        <x:v>0</x:v>
      </x:c>
      <x:c r="Z1006" s="2" t="n">
        <x:f>ABS(T1006-AA1006)</x:f>
        <x:v>0</x:v>
      </x:c>
      <x:c r="AA1006" s="2" t="n">
        <x:v>226</x:v>
      </x:c>
      <x:c r="AB1006" s="2" t="n">
        <x:f>ABS(K1006-W1006)</x:f>
        <x:v>1</x:v>
      </x:c>
      <x:c r="AC1006" s="2" t="n">
        <x:f>COUNTIF($A$2:$A$1921,A1006)-1</x:f>
        <x:v>0</x:v>
      </x:c>
      <x:c r="AD1006" s="2" t="n">
        <x:f>IF(AND(D1006=D1005,H1006=H1005,C1006=C1005+1),ABS(R1006-T1005),0)</x:f>
        <x:v>0</x:v>
      </x:c>
    </x:row>
    <x:row r="1007" ht="23" customHeight="1">
      <x:c r="A1007" s="2" t="str">
        <x:v>DEMO-301-2-6</x:v>
      </x:c>
      <x:c r="B1007" s="15" t="d">
        <x:v>2026-06-08T00:00:00.000Z</x:v>
      </x:c>
      <x:c r="C1007" s="2" t="n">
        <x:v>6</x:v>
      </x:c>
      <x:c r="D1007" s="2" t="str">
        <x:v>DEMO-301</x:v>
      </x:c>
      <x:c r="E1007" s="2" t="str">
        <x:v>Dawn Travel Cup</x:v>
      </x:c>
      <x:c r="F1007" s="2" t="str">
        <x:v>Lifestyle</x:v>
      </x:c>
      <x:c r="G1007" s="2" t="str">
        <x:v>Stores</x:v>
      </x:c>
      <x:c r="H1007" s="2" t="str">
        <x:v>Central Market</x:v>
      </x:c>
      <x:c r="I1007" s="2" t="n">
        <x:v>8</x:v>
      </x:c>
      <x:c r="J1007" s="2" t="n">
        <x:v>0</x:v>
      </x:c>
      <x:c r="K1007" s="2" t="n">
        <x:f>I1007-J1007</x:f>
        <x:v>8</x:v>
      </x:c>
      <x:c r="L1007" s="16" t="n">
        <x:v>24</x:v>
      </x:c>
      <x:c r="M1007" s="16" t="n">
        <x:v>24</x:v>
      </x:c>
      <x:c r="N1007" s="16" t="n">
        <x:v>8.64</x:v>
      </x:c>
      <x:c r="O1007" s="16" t="n">
        <x:f>K1007*M1007</x:f>
        <x:v>192</x:v>
      </x:c>
      <x:c r="P1007" s="16" t="n">
        <x:f>K1007*N1007</x:f>
        <x:v>69.12</x:v>
      </x:c>
      <x:c r="Q1007" s="16" t="n">
        <x:f>O1007-P1007</x:f>
        <x:v>122.88</x:v>
      </x:c>
      <x:c r="R1007" s="2" t="n">
        <x:v>226</x:v>
      </x:c>
      <x:c r="S1007" s="2" t="n">
        <x:v>0</x:v>
      </x:c>
      <x:c r="T1007" s="2" t="n">
        <x:f>R1007+S1007+J1007-I1007</x:f>
        <x:v>218</x:v>
      </x:c>
      <x:c r="U1007" s="2" t="n">
        <x:v>0</x:v>
      </x:c>
      <x:c r="V1007" s="2" t="n">
        <x:v>2</x:v>
      </x:c>
      <x:c r="W1007" s="2" t="n">
        <x:v>9</x:v>
      </x:c>
      <x:c r="X1007" s="14" t="b">
        <x:v>0</x:v>
      </x:c>
      <x:c r="Y1007" s="14" t="b">
        <x:v>0</x:v>
      </x:c>
      <x:c r="Z1007" s="2" t="n">
        <x:f>ABS(T1007-AA1007)</x:f>
        <x:v>0</x:v>
      </x:c>
      <x:c r="AA1007" s="2" t="n">
        <x:v>218</x:v>
      </x:c>
      <x:c r="AB1007" s="2" t="n">
        <x:f>ABS(K1007-W1007)</x:f>
        <x:v>1</x:v>
      </x:c>
      <x:c r="AC1007" s="2" t="n">
        <x:f>COUNTIF($A$2:$A$1921,A1007)-1</x:f>
        <x:v>0</x:v>
      </x:c>
      <x:c r="AD1007" s="2" t="n">
        <x:f>IF(AND(D1007=D1006,H1007=H1006,C1007=C1006+1),ABS(R1007-T1006),0)</x:f>
        <x:v>0</x:v>
      </x:c>
    </x:row>
    <x:row r="1008" ht="23" customHeight="1">
      <x:c r="A1008" s="2" t="str">
        <x:v>DEMO-301-2-7</x:v>
      </x:c>
      <x:c r="B1008" s="15" t="d">
        <x:v>2026-06-15T00:00:00.000Z</x:v>
      </x:c>
      <x:c r="C1008" s="2" t="n">
        <x:v>7</x:v>
      </x:c>
      <x:c r="D1008" s="2" t="str">
        <x:v>DEMO-301</x:v>
      </x:c>
      <x:c r="E1008" s="2" t="str">
        <x:v>Dawn Travel Cup</x:v>
      </x:c>
      <x:c r="F1008" s="2" t="str">
        <x:v>Lifestyle</x:v>
      </x:c>
      <x:c r="G1008" s="2" t="str">
        <x:v>Stores</x:v>
      </x:c>
      <x:c r="H1008" s="2" t="str">
        <x:v>Central Market</x:v>
      </x:c>
      <x:c r="I1008" s="2" t="n">
        <x:v>10</x:v>
      </x:c>
      <x:c r="J1008" s="2" t="n">
        <x:v>0</x:v>
      </x:c>
      <x:c r="K1008" s="2" t="n">
        <x:f>I1008-J1008</x:f>
        <x:v>10</x:v>
      </x:c>
      <x:c r="L1008" s="16" t="n">
        <x:v>24</x:v>
      </x:c>
      <x:c r="M1008" s="16" t="n">
        <x:v>24</x:v>
      </x:c>
      <x:c r="N1008" s="16" t="n">
        <x:v>8.64</x:v>
      </x:c>
      <x:c r="O1008" s="16" t="n">
        <x:f>K1008*M1008</x:f>
        <x:v>240</x:v>
      </x:c>
      <x:c r="P1008" s="16" t="n">
        <x:f>K1008*N1008</x:f>
        <x:v>86.4</x:v>
      </x:c>
      <x:c r="Q1008" s="16" t="n">
        <x:f>O1008-P1008</x:f>
        <x:v>153.6</x:v>
      </x:c>
      <x:c r="R1008" s="2" t="n">
        <x:v>218</x:v>
      </x:c>
      <x:c r="S1008" s="2" t="n">
        <x:v>0</x:v>
      </x:c>
      <x:c r="T1008" s="2" t="n">
        <x:f>R1008+S1008+J1008-I1008</x:f>
        <x:v>208</x:v>
      </x:c>
      <x:c r="U1008" s="2" t="n">
        <x:v>0</x:v>
      </x:c>
      <x:c r="V1008" s="2" t="n">
        <x:v>2</x:v>
      </x:c>
      <x:c r="W1008" s="2" t="n">
        <x:v>9</x:v>
      </x:c>
      <x:c r="X1008" s="14" t="b">
        <x:v>0</x:v>
      </x:c>
      <x:c r="Y1008" s="14" t="b">
        <x:v>0</x:v>
      </x:c>
      <x:c r="Z1008" s="2" t="n">
        <x:f>ABS(T1008-AA1008)</x:f>
        <x:v>0</x:v>
      </x:c>
      <x:c r="AA1008" s="2" t="n">
        <x:v>208</x:v>
      </x:c>
      <x:c r="AB1008" s="2" t="n">
        <x:f>ABS(K1008-W1008)</x:f>
        <x:v>1</x:v>
      </x:c>
      <x:c r="AC1008" s="2" t="n">
        <x:f>COUNTIF($A$2:$A$1921,A1008)-1</x:f>
        <x:v>0</x:v>
      </x:c>
      <x:c r="AD1008" s="2" t="n">
        <x:f>IF(AND(D1008=D1007,H1008=H1007,C1008=C1007+1),ABS(R1008-T1007),0)</x:f>
        <x:v>0</x:v>
      </x:c>
    </x:row>
    <x:row r="1009" ht="23" customHeight="1">
      <x:c r="A1009" s="2" t="str">
        <x:v>DEMO-301-2-8</x:v>
      </x:c>
      <x:c r="B1009" s="15" t="d">
        <x:v>2026-06-22T00:00:00.000Z</x:v>
      </x:c>
      <x:c r="C1009" s="2" t="n">
        <x:v>8</x:v>
      </x:c>
      <x:c r="D1009" s="2" t="str">
        <x:v>DEMO-301</x:v>
      </x:c>
      <x:c r="E1009" s="2" t="str">
        <x:v>Dawn Travel Cup</x:v>
      </x:c>
      <x:c r="F1009" s="2" t="str">
        <x:v>Lifestyle</x:v>
      </x:c>
      <x:c r="G1009" s="2" t="str">
        <x:v>Stores</x:v>
      </x:c>
      <x:c r="H1009" s="2" t="str">
        <x:v>Central Market</x:v>
      </x:c>
      <x:c r="I1009" s="2" t="n">
        <x:v>8</x:v>
      </x:c>
      <x:c r="J1009" s="2" t="n">
        <x:v>1</x:v>
      </x:c>
      <x:c r="K1009" s="2" t="n">
        <x:f>I1009-J1009</x:f>
        <x:v>7</x:v>
      </x:c>
      <x:c r="L1009" s="16" t="n">
        <x:v>24</x:v>
      </x:c>
      <x:c r="M1009" s="16" t="n">
        <x:v>24</x:v>
      </x:c>
      <x:c r="N1009" s="16" t="n">
        <x:v>8.64</x:v>
      </x:c>
      <x:c r="O1009" s="16" t="n">
        <x:f>K1009*M1009</x:f>
        <x:v>168</x:v>
      </x:c>
      <x:c r="P1009" s="16" t="n">
        <x:f>K1009*N1009</x:f>
        <x:v>60.480000000000004</x:v>
      </x:c>
      <x:c r="Q1009" s="16" t="n">
        <x:f>O1009-P1009</x:f>
        <x:v>107.52</x:v>
      </x:c>
      <x:c r="R1009" s="2" t="n">
        <x:v>208</x:v>
      </x:c>
      <x:c r="S1009" s="2" t="n">
        <x:v>0</x:v>
      </x:c>
      <x:c r="T1009" s="2" t="n">
        <x:f>R1009+S1009+J1009-I1009</x:f>
        <x:v>201</x:v>
      </x:c>
      <x:c r="U1009" s="2" t="n">
        <x:v>0</x:v>
      </x:c>
      <x:c r="V1009" s="2" t="n">
        <x:v>2</x:v>
      </x:c>
      <x:c r="W1009" s="2" t="n">
        <x:v>9</x:v>
      </x:c>
      <x:c r="X1009" s="14" t="b">
        <x:v>0</x:v>
      </x:c>
      <x:c r="Y1009" s="14" t="b">
        <x:v>0</x:v>
      </x:c>
      <x:c r="Z1009" s="2" t="n">
        <x:f>ABS(T1009-AA1009)</x:f>
        <x:v>0</x:v>
      </x:c>
      <x:c r="AA1009" s="2" t="n">
        <x:v>201</x:v>
      </x:c>
      <x:c r="AB1009" s="2" t="n">
        <x:f>ABS(K1009-W1009)</x:f>
        <x:v>2</x:v>
      </x:c>
      <x:c r="AC1009" s="2" t="n">
        <x:f>COUNTIF($A$2:$A$1921,A1009)-1</x:f>
        <x:v>0</x:v>
      </x:c>
      <x:c r="AD1009" s="2" t="n">
        <x:f>IF(AND(D1009=D1008,H1009=H1008,C1009=C1008+1),ABS(R1009-T1008),0)</x:f>
        <x:v>0</x:v>
      </x:c>
    </x:row>
    <x:row r="1010" ht="23" customHeight="1">
      <x:c r="A1010" s="2" t="str">
        <x:v>DEMO-301-2-9</x:v>
      </x:c>
      <x:c r="B1010" s="15" t="d">
        <x:v>2026-06-29T00:00:00.000Z</x:v>
      </x:c>
      <x:c r="C1010" s="2" t="n">
        <x:v>9</x:v>
      </x:c>
      <x:c r="D1010" s="2" t="str">
        <x:v>DEMO-301</x:v>
      </x:c>
      <x:c r="E1010" s="2" t="str">
        <x:v>Dawn Travel Cup</x:v>
      </x:c>
      <x:c r="F1010" s="2" t="str">
        <x:v>Lifestyle</x:v>
      </x:c>
      <x:c r="G1010" s="2" t="str">
        <x:v>Stores</x:v>
      </x:c>
      <x:c r="H1010" s="2" t="str">
        <x:v>Central Market</x:v>
      </x:c>
      <x:c r="I1010" s="2" t="n">
        <x:v>9</x:v>
      </x:c>
      <x:c r="J1010" s="2" t="n">
        <x:v>0</x:v>
      </x:c>
      <x:c r="K1010" s="2" t="n">
        <x:f>I1010-J1010</x:f>
        <x:v>9</x:v>
      </x:c>
      <x:c r="L1010" s="16" t="n">
        <x:v>24</x:v>
      </x:c>
      <x:c r="M1010" s="16" t="n">
        <x:v>24</x:v>
      </x:c>
      <x:c r="N1010" s="16" t="n">
        <x:v>8.64</x:v>
      </x:c>
      <x:c r="O1010" s="16" t="n">
        <x:f>K1010*M1010</x:f>
        <x:v>216</x:v>
      </x:c>
      <x:c r="P1010" s="16" t="n">
        <x:f>K1010*N1010</x:f>
        <x:v>77.76</x:v>
      </x:c>
      <x:c r="Q1010" s="16" t="n">
        <x:f>O1010-P1010</x:f>
        <x:v>138.24</x:v>
      </x:c>
      <x:c r="R1010" s="2" t="n">
        <x:v>201</x:v>
      </x:c>
      <x:c r="S1010" s="2" t="n">
        <x:v>65</x:v>
      </x:c>
      <x:c r="T1010" s="2" t="n">
        <x:f>R1010+S1010+J1010-I1010</x:f>
        <x:v>257</x:v>
      </x:c>
      <x:c r="U1010" s="2" t="n">
        <x:v>0</x:v>
      </x:c>
      <x:c r="V1010" s="2" t="n">
        <x:v>2</x:v>
      </x:c>
      <x:c r="W1010" s="2" t="n">
        <x:v>8</x:v>
      </x:c>
      <x:c r="X1010" s="14" t="b">
        <x:v>0</x:v>
      </x:c>
      <x:c r="Y1010" s="14" t="b">
        <x:v>0</x:v>
      </x:c>
      <x:c r="Z1010" s="2" t="n">
        <x:f>ABS(T1010-AA1010)</x:f>
        <x:v>0</x:v>
      </x:c>
      <x:c r="AA1010" s="2" t="n">
        <x:v>257</x:v>
      </x:c>
      <x:c r="AB1010" s="2" t="n">
        <x:f>ABS(K1010-W1010)</x:f>
        <x:v>1</x:v>
      </x:c>
      <x:c r="AC1010" s="2" t="n">
        <x:f>COUNTIF($A$2:$A$1921,A1010)-1</x:f>
        <x:v>0</x:v>
      </x:c>
      <x:c r="AD1010" s="2" t="n">
        <x:f>IF(AND(D1010=D1009,H1010=H1009,C1010=C1009+1),ABS(R1010-T1009),0)</x:f>
        <x:v>0</x:v>
      </x:c>
    </x:row>
    <x:row r="1011" ht="23" customHeight="1">
      <x:c r="A1011" s="2" t="str">
        <x:v>DEMO-301-2-10</x:v>
      </x:c>
      <x:c r="B1011" s="15" t="d">
        <x:v>2026-07-06T00:00:00.000Z</x:v>
      </x:c>
      <x:c r="C1011" s="2" t="n">
        <x:v>10</x:v>
      </x:c>
      <x:c r="D1011" s="2" t="str">
        <x:v>DEMO-301</x:v>
      </x:c>
      <x:c r="E1011" s="2" t="str">
        <x:v>Dawn Travel Cup</x:v>
      </x:c>
      <x:c r="F1011" s="2" t="str">
        <x:v>Lifestyle</x:v>
      </x:c>
      <x:c r="G1011" s="2" t="str">
        <x:v>Stores</x:v>
      </x:c>
      <x:c r="H1011" s="2" t="str">
        <x:v>Central Market</x:v>
      </x:c>
      <x:c r="I1011" s="2" t="n">
        <x:v>9</x:v>
      </x:c>
      <x:c r="J1011" s="2" t="n">
        <x:v>0</x:v>
      </x:c>
      <x:c r="K1011" s="2" t="n">
        <x:f>I1011-J1011</x:f>
        <x:v>9</x:v>
      </x:c>
      <x:c r="L1011" s="16" t="n">
        <x:v>24</x:v>
      </x:c>
      <x:c r="M1011" s="16" t="n">
        <x:v>24</x:v>
      </x:c>
      <x:c r="N1011" s="16" t="n">
        <x:v>8.64</x:v>
      </x:c>
      <x:c r="O1011" s="16" t="n">
        <x:f>K1011*M1011</x:f>
        <x:v>216</x:v>
      </x:c>
      <x:c r="P1011" s="16" t="n">
        <x:f>K1011*N1011</x:f>
        <x:v>77.76</x:v>
      </x:c>
      <x:c r="Q1011" s="16" t="n">
        <x:f>O1011-P1011</x:f>
        <x:v>138.24</x:v>
      </x:c>
      <x:c r="R1011" s="2" t="n">
        <x:v>257</x:v>
      </x:c>
      <x:c r="S1011" s="2" t="n">
        <x:v>0</x:v>
      </x:c>
      <x:c r="T1011" s="2" t="n">
        <x:f>R1011+S1011+J1011-I1011</x:f>
        <x:v>248</x:v>
      </x:c>
      <x:c r="U1011" s="2" t="n">
        <x:v>0</x:v>
      </x:c>
      <x:c r="V1011" s="2" t="n">
        <x:v>2</x:v>
      </x:c>
      <x:c r="W1011" s="2" t="n">
        <x:v>9</x:v>
      </x:c>
      <x:c r="X1011" s="14" t="b">
        <x:v>0</x:v>
      </x:c>
      <x:c r="Y1011" s="14" t="b">
        <x:v>0</x:v>
      </x:c>
      <x:c r="Z1011" s="2" t="n">
        <x:f>ABS(T1011-AA1011)</x:f>
        <x:v>0</x:v>
      </x:c>
      <x:c r="AA1011" s="2" t="n">
        <x:v>248</x:v>
      </x:c>
      <x:c r="AB1011" s="2" t="n">
        <x:f>ABS(K1011-W1011)</x:f>
        <x:v>0</x:v>
      </x:c>
      <x:c r="AC1011" s="2" t="n">
        <x:f>COUNTIF($A$2:$A$1921,A1011)-1</x:f>
        <x:v>0</x:v>
      </x:c>
      <x:c r="AD1011" s="2" t="n">
        <x:f>IF(AND(D1011=D1010,H1011=H1010,C1011=C1010+1),ABS(R1011-T1010),0)</x:f>
        <x:v>0</x:v>
      </x:c>
    </x:row>
    <x:row r="1012" ht="23" customHeight="1">
      <x:c r="A1012" s="2" t="str">
        <x:v>DEMO-301-2-11</x:v>
      </x:c>
      <x:c r="B1012" s="15" t="d">
        <x:v>2026-07-13T00:00:00.000Z</x:v>
      </x:c>
      <x:c r="C1012" s="2" t="n">
        <x:v>11</x:v>
      </x:c>
      <x:c r="D1012" s="2" t="str">
        <x:v>DEMO-301</x:v>
      </x:c>
      <x:c r="E1012" s="2" t="str">
        <x:v>Dawn Travel Cup</x:v>
      </x:c>
      <x:c r="F1012" s="2" t="str">
        <x:v>Lifestyle</x:v>
      </x:c>
      <x:c r="G1012" s="2" t="str">
        <x:v>Stores</x:v>
      </x:c>
      <x:c r="H1012" s="2" t="str">
        <x:v>Central Market</x:v>
      </x:c>
      <x:c r="I1012" s="2" t="n">
        <x:v>7</x:v>
      </x:c>
      <x:c r="J1012" s="2" t="n">
        <x:v>0</x:v>
      </x:c>
      <x:c r="K1012" s="2" t="n">
        <x:f>I1012-J1012</x:f>
        <x:v>7</x:v>
      </x:c>
      <x:c r="L1012" s="16" t="n">
        <x:v>24</x:v>
      </x:c>
      <x:c r="M1012" s="16" t="n">
        <x:v>24</x:v>
      </x:c>
      <x:c r="N1012" s="16" t="n">
        <x:v>8.64</x:v>
      </x:c>
      <x:c r="O1012" s="16" t="n">
        <x:f>K1012*M1012</x:f>
        <x:v>168</x:v>
      </x:c>
      <x:c r="P1012" s="16" t="n">
        <x:f>K1012*N1012</x:f>
        <x:v>60.480000000000004</x:v>
      </x:c>
      <x:c r="Q1012" s="16" t="n">
        <x:f>O1012-P1012</x:f>
        <x:v>107.52</x:v>
      </x:c>
      <x:c r="R1012" s="2" t="n">
        <x:v>248</x:v>
      </x:c>
      <x:c r="S1012" s="2" t="n">
        <x:v>0</x:v>
      </x:c>
      <x:c r="T1012" s="2" t="n">
        <x:f>R1012+S1012+J1012-I1012</x:f>
        <x:v>241</x:v>
      </x:c>
      <x:c r="U1012" s="2" t="n">
        <x:v>0</x:v>
      </x:c>
      <x:c r="V1012" s="2" t="n">
        <x:v>2</x:v>
      </x:c>
      <x:c r="W1012" s="2" t="n">
        <x:v>9</x:v>
      </x:c>
      <x:c r="X1012" s="14" t="b">
        <x:v>0</x:v>
      </x:c>
      <x:c r="Y1012" s="14" t="b">
        <x:v>0</x:v>
      </x:c>
      <x:c r="Z1012" s="2" t="n">
        <x:f>ABS(T1012-AA1012)</x:f>
        <x:v>0</x:v>
      </x:c>
      <x:c r="AA1012" s="2" t="n">
        <x:v>241</x:v>
      </x:c>
      <x:c r="AB1012" s="2" t="n">
        <x:f>ABS(K1012-W1012)</x:f>
        <x:v>2</x:v>
      </x:c>
      <x:c r="AC1012" s="2" t="n">
        <x:f>COUNTIF($A$2:$A$1921,A1012)-1</x:f>
        <x:v>0</x:v>
      </x:c>
      <x:c r="AD1012" s="2" t="n">
        <x:f>IF(AND(D1012=D1011,H1012=H1011,C1012=C1011+1),ABS(R1012-T1011),0)</x:f>
        <x:v>0</x:v>
      </x:c>
    </x:row>
    <x:row r="1013" ht="23" customHeight="1">
      <x:c r="A1013" s="2" t="str">
        <x:v>DEMO-301-2-12</x:v>
      </x:c>
      <x:c r="B1013" s="15" t="d">
        <x:v>2026-07-20T00:00:00.000Z</x:v>
      </x:c>
      <x:c r="C1013" s="2" t="n">
        <x:v>12</x:v>
      </x:c>
      <x:c r="D1013" s="2" t="str">
        <x:v>DEMO-301</x:v>
      </x:c>
      <x:c r="E1013" s="2" t="str">
        <x:v>Dawn Travel Cup</x:v>
      </x:c>
      <x:c r="F1013" s="2" t="str">
        <x:v>Lifestyle</x:v>
      </x:c>
      <x:c r="G1013" s="2" t="str">
        <x:v>Stores</x:v>
      </x:c>
      <x:c r="H1013" s="2" t="str">
        <x:v>Central Market</x:v>
      </x:c>
      <x:c r="I1013" s="2" t="n">
        <x:v>8</x:v>
      </x:c>
      <x:c r="J1013" s="2" t="n">
        <x:v>0</x:v>
      </x:c>
      <x:c r="K1013" s="2" t="n">
        <x:f>I1013-J1013</x:f>
        <x:v>8</x:v>
      </x:c>
      <x:c r="L1013" s="16" t="n">
        <x:v>24</x:v>
      </x:c>
      <x:c r="M1013" s="16" t="n">
        <x:v>24</x:v>
      </x:c>
      <x:c r="N1013" s="16" t="n">
        <x:v>8.64</x:v>
      </x:c>
      <x:c r="O1013" s="16" t="n">
        <x:f>K1013*M1013</x:f>
        <x:v>192</x:v>
      </x:c>
      <x:c r="P1013" s="16" t="n">
        <x:f>K1013*N1013</x:f>
        <x:v>69.12</x:v>
      </x:c>
      <x:c r="Q1013" s="16" t="n">
        <x:f>O1013-P1013</x:f>
        <x:v>122.88</x:v>
      </x:c>
      <x:c r="R1013" s="2" t="n">
        <x:v>241</x:v>
      </x:c>
      <x:c r="S1013" s="2" t="n">
        <x:v>0</x:v>
      </x:c>
      <x:c r="T1013" s="2" t="n">
        <x:f>R1013+S1013+J1013-I1013</x:f>
        <x:v>233</x:v>
      </x:c>
      <x:c r="U1013" s="2" t="n">
        <x:v>0</x:v>
      </x:c>
      <x:c r="V1013" s="2" t="n">
        <x:v>2</x:v>
      </x:c>
      <x:c r="W1013" s="2" t="n">
        <x:v>8</x:v>
      </x:c>
      <x:c r="X1013" s="14" t="b">
        <x:v>0</x:v>
      </x:c>
      <x:c r="Y1013" s="14" t="b">
        <x:v>0</x:v>
      </x:c>
      <x:c r="Z1013" s="2" t="n">
        <x:f>ABS(T1013-AA1013)</x:f>
        <x:v>0</x:v>
      </x:c>
      <x:c r="AA1013" s="2" t="n">
        <x:v>233</x:v>
      </x:c>
      <x:c r="AB1013" s="2" t="n">
        <x:f>ABS(K1013-W1013)</x:f>
        <x:v>0</x:v>
      </x:c>
      <x:c r="AC1013" s="2" t="n">
        <x:f>COUNTIF($A$2:$A$1921,A1013)-1</x:f>
        <x:v>0</x:v>
      </x:c>
      <x:c r="AD1013" s="2" t="n">
        <x:f>IF(AND(D1013=D1012,H1013=H1012,C1013=C1012+1),ABS(R1013-T1012),0)</x:f>
        <x:v>0</x:v>
      </x:c>
    </x:row>
    <x:row r="1014" ht="23" customHeight="1">
      <x:c r="A1014" s="2" t="str">
        <x:v>DEMO-301-2-13</x:v>
      </x:c>
      <x:c r="B1014" s="15" t="d">
        <x:v>2026-07-27T00:00:00.000Z</x:v>
      </x:c>
      <x:c r="C1014" s="2" t="n">
        <x:v>13</x:v>
      </x:c>
      <x:c r="D1014" s="2" t="str">
        <x:v>DEMO-301</x:v>
      </x:c>
      <x:c r="E1014" s="2" t="str">
        <x:v>Dawn Travel Cup</x:v>
      </x:c>
      <x:c r="F1014" s="2" t="str">
        <x:v>Lifestyle</x:v>
      </x:c>
      <x:c r="G1014" s="2" t="str">
        <x:v>Stores</x:v>
      </x:c>
      <x:c r="H1014" s="2" t="str">
        <x:v>Central Market</x:v>
      </x:c>
      <x:c r="I1014" s="2" t="n">
        <x:v>7</x:v>
      </x:c>
      <x:c r="J1014" s="2" t="n">
        <x:v>1</x:v>
      </x:c>
      <x:c r="K1014" s="2" t="n">
        <x:f>I1014-J1014</x:f>
        <x:v>6</x:v>
      </x:c>
      <x:c r="L1014" s="16" t="n">
        <x:v>24</x:v>
      </x:c>
      <x:c r="M1014" s="16" t="n">
        <x:v>24</x:v>
      </x:c>
      <x:c r="N1014" s="16" t="n">
        <x:v>8.64</x:v>
      </x:c>
      <x:c r="O1014" s="16" t="n">
        <x:f>K1014*M1014</x:f>
        <x:v>144</x:v>
      </x:c>
      <x:c r="P1014" s="16" t="n">
        <x:f>K1014*N1014</x:f>
        <x:v>51.84</x:v>
      </x:c>
      <x:c r="Q1014" s="16" t="n">
        <x:f>O1014-P1014</x:f>
        <x:v>92.16</x:v>
      </x:c>
      <x:c r="R1014" s="2" t="n">
        <x:v>233</x:v>
      </x:c>
      <x:c r="S1014" s="2" t="n">
        <x:v>65</x:v>
      </x:c>
      <x:c r="T1014" s="2" t="n">
        <x:f>R1014+S1014+J1014-I1014</x:f>
        <x:v>292</x:v>
      </x:c>
      <x:c r="U1014" s="2" t="n">
        <x:v>0</x:v>
      </x:c>
      <x:c r="V1014" s="2" t="n">
        <x:v>2</x:v>
      </x:c>
      <x:c r="W1014" s="2" t="n">
        <x:v>8</x:v>
      </x:c>
      <x:c r="X1014" s="14" t="b">
        <x:v>0</x:v>
      </x:c>
      <x:c r="Y1014" s="14" t="b">
        <x:v>0</x:v>
      </x:c>
      <x:c r="Z1014" s="2" t="n">
        <x:f>ABS(T1014-AA1014)</x:f>
        <x:v>0</x:v>
      </x:c>
      <x:c r="AA1014" s="2" t="n">
        <x:v>292</x:v>
      </x:c>
      <x:c r="AB1014" s="2" t="n">
        <x:f>ABS(K1014-W1014)</x:f>
        <x:v>2</x:v>
      </x:c>
      <x:c r="AC1014" s="2" t="n">
        <x:f>COUNTIF($A$2:$A$1921,A1014)-1</x:f>
        <x:v>0</x:v>
      </x:c>
      <x:c r="AD1014" s="2" t="n">
        <x:f>IF(AND(D1014=D1013,H1014=H1013,C1014=C1013+1),ABS(R1014-T1013),0)</x:f>
        <x:v>0</x:v>
      </x:c>
    </x:row>
    <x:row r="1015" ht="23" customHeight="1">
      <x:c r="A1015" s="2" t="str">
        <x:v>DEMO-301-2-14</x:v>
      </x:c>
      <x:c r="B1015" s="15" t="d">
        <x:v>2026-08-03T00:00:00.000Z</x:v>
      </x:c>
      <x:c r="C1015" s="2" t="n">
        <x:v>14</x:v>
      </x:c>
      <x:c r="D1015" s="2" t="str">
        <x:v>DEMO-301</x:v>
      </x:c>
      <x:c r="E1015" s="2" t="str">
        <x:v>Dawn Travel Cup</x:v>
      </x:c>
      <x:c r="F1015" s="2" t="str">
        <x:v>Lifestyle</x:v>
      </x:c>
      <x:c r="G1015" s="2" t="str">
        <x:v>Stores</x:v>
      </x:c>
      <x:c r="H1015" s="2" t="str">
        <x:v>Central Market</x:v>
      </x:c>
      <x:c r="I1015" s="2" t="n">
        <x:v>5</x:v>
      </x:c>
      <x:c r="J1015" s="2" t="n">
        <x:v>1</x:v>
      </x:c>
      <x:c r="K1015" s="2" t="n">
        <x:f>I1015-J1015</x:f>
        <x:v>4</x:v>
      </x:c>
      <x:c r="L1015" s="16" t="n">
        <x:v>24</x:v>
      </x:c>
      <x:c r="M1015" s="16" t="n">
        <x:v>24</x:v>
      </x:c>
      <x:c r="N1015" s="16" t="n">
        <x:v>8.64</x:v>
      </x:c>
      <x:c r="O1015" s="16" t="n">
        <x:f>K1015*M1015</x:f>
        <x:v>96</x:v>
      </x:c>
      <x:c r="P1015" s="16" t="n">
        <x:f>K1015*N1015</x:f>
        <x:v>34.56</x:v>
      </x:c>
      <x:c r="Q1015" s="16" t="n">
        <x:f>O1015-P1015</x:f>
        <x:v>61.44</x:v>
      </x:c>
      <x:c r="R1015" s="2" t="n">
        <x:v>292</x:v>
      </x:c>
      <x:c r="S1015" s="2" t="n">
        <x:v>0</x:v>
      </x:c>
      <x:c r="T1015" s="2" t="n">
        <x:f>R1015+S1015+J1015-I1015</x:f>
        <x:v>288</x:v>
      </x:c>
      <x:c r="U1015" s="2" t="n">
        <x:v>0</x:v>
      </x:c>
      <x:c r="V1015" s="2" t="n">
        <x:v>2</x:v>
      </x:c>
      <x:c r="W1015" s="2" t="n">
        <x:v>8</x:v>
      </x:c>
      <x:c r="X1015" s="14" t="b">
        <x:v>0</x:v>
      </x:c>
      <x:c r="Y1015" s="14" t="b">
        <x:v>0</x:v>
      </x:c>
      <x:c r="Z1015" s="2" t="n">
        <x:f>ABS(T1015-AA1015)</x:f>
        <x:v>0</x:v>
      </x:c>
      <x:c r="AA1015" s="2" t="n">
        <x:v>288</x:v>
      </x:c>
      <x:c r="AB1015" s="2" t="n">
        <x:f>ABS(K1015-W1015)</x:f>
        <x:v>4</x:v>
      </x:c>
      <x:c r="AC1015" s="2" t="n">
        <x:f>COUNTIF($A$2:$A$1921,A1015)-1</x:f>
        <x:v>0</x:v>
      </x:c>
      <x:c r="AD1015" s="2" t="n">
        <x:f>IF(AND(D1015=D1014,H1015=H1014,C1015=C1014+1),ABS(R1015-T1014),0)</x:f>
        <x:v>0</x:v>
      </x:c>
    </x:row>
    <x:row r="1016" ht="23" customHeight="1">
      <x:c r="A1016" s="2" t="str">
        <x:v>DEMO-301-2-15</x:v>
      </x:c>
      <x:c r="B1016" s="15" t="d">
        <x:v>2026-08-10T00:00:00.000Z</x:v>
      </x:c>
      <x:c r="C1016" s="2" t="n">
        <x:v>15</x:v>
      </x:c>
      <x:c r="D1016" s="2" t="str">
        <x:v>DEMO-301</x:v>
      </x:c>
      <x:c r="E1016" s="2" t="str">
        <x:v>Dawn Travel Cup</x:v>
      </x:c>
      <x:c r="F1016" s="2" t="str">
        <x:v>Lifestyle</x:v>
      </x:c>
      <x:c r="G1016" s="2" t="str">
        <x:v>Stores</x:v>
      </x:c>
      <x:c r="H1016" s="2" t="str">
        <x:v>Central Market</x:v>
      </x:c>
      <x:c r="I1016" s="2" t="n">
        <x:v>8</x:v>
      </x:c>
      <x:c r="J1016" s="2" t="n">
        <x:v>1</x:v>
      </x:c>
      <x:c r="K1016" s="2" t="n">
        <x:f>I1016-J1016</x:f>
        <x:v>7</x:v>
      </x:c>
      <x:c r="L1016" s="16" t="n">
        <x:v>24</x:v>
      </x:c>
      <x:c r="M1016" s="16" t="n">
        <x:v>24</x:v>
      </x:c>
      <x:c r="N1016" s="16" t="n">
        <x:v>8.64</x:v>
      </x:c>
      <x:c r="O1016" s="16" t="n">
        <x:f>K1016*M1016</x:f>
        <x:v>168</x:v>
      </x:c>
      <x:c r="P1016" s="16" t="n">
        <x:f>K1016*N1016</x:f>
        <x:v>60.480000000000004</x:v>
      </x:c>
      <x:c r="Q1016" s="16" t="n">
        <x:f>O1016-P1016</x:f>
        <x:v>107.52</x:v>
      </x:c>
      <x:c r="R1016" s="2" t="n">
        <x:v>288</x:v>
      </x:c>
      <x:c r="S1016" s="2" t="n">
        <x:v>0</x:v>
      </x:c>
      <x:c r="T1016" s="2" t="n">
        <x:f>R1016+S1016+J1016-I1016</x:f>
        <x:v>281</x:v>
      </x:c>
      <x:c r="U1016" s="2" t="n">
        <x:v>0</x:v>
      </x:c>
      <x:c r="V1016" s="2" t="n">
        <x:v>2</x:v>
      </x:c>
      <x:c r="W1016" s="2" t="n">
        <x:v>6</x:v>
      </x:c>
      <x:c r="X1016" s="14" t="b">
        <x:v>0</x:v>
      </x:c>
      <x:c r="Y1016" s="14" t="b">
        <x:v>0</x:v>
      </x:c>
      <x:c r="Z1016" s="2" t="n">
        <x:f>ABS(T1016-AA1016)</x:f>
        <x:v>0</x:v>
      </x:c>
      <x:c r="AA1016" s="2" t="n">
        <x:v>281</x:v>
      </x:c>
      <x:c r="AB1016" s="2" t="n">
        <x:f>ABS(K1016-W1016)</x:f>
        <x:v>1</x:v>
      </x:c>
      <x:c r="AC1016" s="2" t="n">
        <x:f>COUNTIF($A$2:$A$1921,A1016)-1</x:f>
        <x:v>0</x:v>
      </x:c>
      <x:c r="AD1016" s="2" t="n">
        <x:f>IF(AND(D1016=D1015,H1016=H1015,C1016=C1015+1),ABS(R1016-T1015),0)</x:f>
        <x:v>0</x:v>
      </x:c>
    </x:row>
    <x:row r="1017" ht="23" customHeight="1">
      <x:c r="A1017" s="2" t="str">
        <x:v>DEMO-301-2-16</x:v>
      </x:c>
      <x:c r="B1017" s="15" t="d">
        <x:v>2026-08-17T00:00:00.000Z</x:v>
      </x:c>
      <x:c r="C1017" s="2" t="n">
        <x:v>16</x:v>
      </x:c>
      <x:c r="D1017" s="2" t="str">
        <x:v>DEMO-301</x:v>
      </x:c>
      <x:c r="E1017" s="2" t="str">
        <x:v>Dawn Travel Cup</x:v>
      </x:c>
      <x:c r="F1017" s="2" t="str">
        <x:v>Lifestyle</x:v>
      </x:c>
      <x:c r="G1017" s="2" t="str">
        <x:v>Stores</x:v>
      </x:c>
      <x:c r="H1017" s="2" t="str">
        <x:v>Central Market</x:v>
      </x:c>
      <x:c r="I1017" s="2" t="n">
        <x:v>5</x:v>
      </x:c>
      <x:c r="J1017" s="2" t="n">
        <x:v>0</x:v>
      </x:c>
      <x:c r="K1017" s="2" t="n">
        <x:f>I1017-J1017</x:f>
        <x:v>5</x:v>
      </x:c>
      <x:c r="L1017" s="16" t="n">
        <x:v>24</x:v>
      </x:c>
      <x:c r="M1017" s="16" t="n">
        <x:v>24</x:v>
      </x:c>
      <x:c r="N1017" s="16" t="n">
        <x:v>8.64</x:v>
      </x:c>
      <x:c r="O1017" s="16" t="n">
        <x:f>K1017*M1017</x:f>
        <x:v>120</x:v>
      </x:c>
      <x:c r="P1017" s="16" t="n">
        <x:f>K1017*N1017</x:f>
        <x:v>43.2</x:v>
      </x:c>
      <x:c r="Q1017" s="16" t="n">
        <x:f>O1017-P1017</x:f>
        <x:v>76.8</x:v>
      </x:c>
      <x:c r="R1017" s="2" t="n">
        <x:v>281</x:v>
      </x:c>
      <x:c r="S1017" s="2" t="n">
        <x:v>0</x:v>
      </x:c>
      <x:c r="T1017" s="2" t="n">
        <x:f>R1017+S1017+J1017-I1017</x:f>
        <x:v>276</x:v>
      </x:c>
      <x:c r="U1017" s="2" t="n">
        <x:v>0</x:v>
      </x:c>
      <x:c r="V1017" s="2" t="n">
        <x:v>2</x:v>
      </x:c>
      <x:c r="W1017" s="2" t="n">
        <x:v>6</x:v>
      </x:c>
      <x:c r="X1017" s="14" t="b">
        <x:v>0</x:v>
      </x:c>
      <x:c r="Y1017" s="14" t="b">
        <x:v>0</x:v>
      </x:c>
      <x:c r="Z1017" s="2" t="n">
        <x:f>ABS(T1017-AA1017)</x:f>
        <x:v>0</x:v>
      </x:c>
      <x:c r="AA1017" s="2" t="n">
        <x:v>276</x:v>
      </x:c>
      <x:c r="AB1017" s="2" t="n">
        <x:f>ABS(K1017-W1017)</x:f>
        <x:v>1</x:v>
      </x:c>
      <x:c r="AC1017" s="2" t="n">
        <x:f>COUNTIF($A$2:$A$1921,A1017)-1</x:f>
        <x:v>0</x:v>
      </x:c>
      <x:c r="AD1017" s="2" t="n">
        <x:f>IF(AND(D1017=D1016,H1017=H1016,C1017=C1016+1),ABS(R1017-T1016),0)</x:f>
        <x:v>0</x:v>
      </x:c>
    </x:row>
    <x:row r="1018" ht="23" customHeight="1">
      <x:c r="A1018" s="2" t="str">
        <x:v>DEMO-301-2-17</x:v>
      </x:c>
      <x:c r="B1018" s="15" t="d">
        <x:v>2026-08-24T00:00:00.000Z</x:v>
      </x:c>
      <x:c r="C1018" s="2" t="n">
        <x:v>17</x:v>
      </x:c>
      <x:c r="D1018" s="2" t="str">
        <x:v>DEMO-301</x:v>
      </x:c>
      <x:c r="E1018" s="2" t="str">
        <x:v>Dawn Travel Cup</x:v>
      </x:c>
      <x:c r="F1018" s="2" t="str">
        <x:v>Lifestyle</x:v>
      </x:c>
      <x:c r="G1018" s="2" t="str">
        <x:v>Stores</x:v>
      </x:c>
      <x:c r="H1018" s="2" t="str">
        <x:v>Central Market</x:v>
      </x:c>
      <x:c r="I1018" s="2" t="n">
        <x:v>7</x:v>
      </x:c>
      <x:c r="J1018" s="2" t="n">
        <x:v>0</x:v>
      </x:c>
      <x:c r="K1018" s="2" t="n">
        <x:f>I1018-J1018</x:f>
        <x:v>7</x:v>
      </x:c>
      <x:c r="L1018" s="16" t="n">
        <x:v>24</x:v>
      </x:c>
      <x:c r="M1018" s="16" t="n">
        <x:v>19.2</x:v>
      </x:c>
      <x:c r="N1018" s="16" t="n">
        <x:v>8.64</x:v>
      </x:c>
      <x:c r="O1018" s="16" t="n">
        <x:f>K1018*M1018</x:f>
        <x:v>134.4</x:v>
      </x:c>
      <x:c r="P1018" s="16" t="n">
        <x:f>K1018*N1018</x:f>
        <x:v>60.480000000000004</x:v>
      </x:c>
      <x:c r="Q1018" s="16" t="n">
        <x:f>O1018-P1018</x:f>
        <x:v>73.92</x:v>
      </x:c>
      <x:c r="R1018" s="2" t="n">
        <x:v>276</x:v>
      </x:c>
      <x:c r="S1018" s="2" t="n">
        <x:v>65</x:v>
      </x:c>
      <x:c r="T1018" s="2" t="n">
        <x:f>R1018+S1018+J1018-I1018</x:f>
        <x:v>334</x:v>
      </x:c>
      <x:c r="U1018" s="2" t="n">
        <x:v>0</x:v>
      </x:c>
      <x:c r="V1018" s="2" t="n">
        <x:v>2</x:v>
      </x:c>
      <x:c r="W1018" s="2" t="n">
        <x:v>6</x:v>
      </x:c>
      <x:c r="X1018" s="14" t="b">
        <x:v>0</x:v>
      </x:c>
      <x:c r="Y1018" s="14" t="b">
        <x:v>1</x:v>
      </x:c>
      <x:c r="Z1018" s="2" t="n">
        <x:f>ABS(T1018-AA1018)</x:f>
        <x:v>0</x:v>
      </x:c>
      <x:c r="AA1018" s="2" t="n">
        <x:v>334</x:v>
      </x:c>
      <x:c r="AB1018" s="2" t="n">
        <x:f>ABS(K1018-W1018)</x:f>
        <x:v>1</x:v>
      </x:c>
      <x:c r="AC1018" s="2" t="n">
        <x:f>COUNTIF($A$2:$A$1921,A1018)-1</x:f>
        <x:v>0</x:v>
      </x:c>
      <x:c r="AD1018" s="2" t="n">
        <x:f>IF(AND(D1018=D1017,H1018=H1017,C1018=C1017+1),ABS(R1018-T1017),0)</x:f>
        <x:v>0</x:v>
      </x:c>
    </x:row>
    <x:row r="1019" ht="23" customHeight="1">
      <x:c r="A1019" s="2" t="str">
        <x:v>DEMO-301-2-18</x:v>
      </x:c>
      <x:c r="B1019" s="15" t="d">
        <x:v>2026-08-31T00:00:00.000Z</x:v>
      </x:c>
      <x:c r="C1019" s="2" t="n">
        <x:v>18</x:v>
      </x:c>
      <x:c r="D1019" s="2" t="str">
        <x:v>DEMO-301</x:v>
      </x:c>
      <x:c r="E1019" s="2" t="str">
        <x:v>Dawn Travel Cup</x:v>
      </x:c>
      <x:c r="F1019" s="2" t="str">
        <x:v>Lifestyle</x:v>
      </x:c>
      <x:c r="G1019" s="2" t="str">
        <x:v>Stores</x:v>
      </x:c>
      <x:c r="H1019" s="2" t="str">
        <x:v>Central Market</x:v>
      </x:c>
      <x:c r="I1019" s="2" t="n">
        <x:v>8</x:v>
      </x:c>
      <x:c r="J1019" s="2" t="n">
        <x:v>1</x:v>
      </x:c>
      <x:c r="K1019" s="2" t="n">
        <x:f>I1019-J1019</x:f>
        <x:v>7</x:v>
      </x:c>
      <x:c r="L1019" s="16" t="n">
        <x:v>24</x:v>
      </x:c>
      <x:c r="M1019" s="16" t="n">
        <x:v>19.2</x:v>
      </x:c>
      <x:c r="N1019" s="16" t="n">
        <x:v>8.64</x:v>
      </x:c>
      <x:c r="O1019" s="16" t="n">
        <x:f>K1019*M1019</x:f>
        <x:v>134.4</x:v>
      </x:c>
      <x:c r="P1019" s="16" t="n">
        <x:f>K1019*N1019</x:f>
        <x:v>60.480000000000004</x:v>
      </x:c>
      <x:c r="Q1019" s="16" t="n">
        <x:f>O1019-P1019</x:f>
        <x:v>73.92</x:v>
      </x:c>
      <x:c r="R1019" s="2" t="n">
        <x:v>334</x:v>
      </x:c>
      <x:c r="S1019" s="2" t="n">
        <x:v>0</x:v>
      </x:c>
      <x:c r="T1019" s="2" t="n">
        <x:f>R1019+S1019+J1019-I1019</x:f>
        <x:v>327</x:v>
      </x:c>
      <x:c r="U1019" s="2" t="n">
        <x:v>0</x:v>
      </x:c>
      <x:c r="V1019" s="2" t="n">
        <x:v>2</x:v>
      </x:c>
      <x:c r="W1019" s="2" t="n">
        <x:v>6</x:v>
      </x:c>
      <x:c r="X1019" s="14" t="b">
        <x:v>0</x:v>
      </x:c>
      <x:c r="Y1019" s="14" t="b">
        <x:v>1</x:v>
      </x:c>
      <x:c r="Z1019" s="2" t="n">
        <x:f>ABS(T1019-AA1019)</x:f>
        <x:v>0</x:v>
      </x:c>
      <x:c r="AA1019" s="2" t="n">
        <x:v>327</x:v>
      </x:c>
      <x:c r="AB1019" s="2" t="n">
        <x:f>ABS(K1019-W1019)</x:f>
        <x:v>1</x:v>
      </x:c>
      <x:c r="AC1019" s="2" t="n">
        <x:f>COUNTIF($A$2:$A$1921,A1019)-1</x:f>
        <x:v>0</x:v>
      </x:c>
      <x:c r="AD1019" s="2" t="n">
        <x:f>IF(AND(D1019=D1018,H1019=H1018,C1019=C1018+1),ABS(R1019-T1018),0)</x:f>
        <x:v>0</x:v>
      </x:c>
    </x:row>
    <x:row r="1020" ht="23" customHeight="1">
      <x:c r="A1020" s="2" t="str">
        <x:v>DEMO-301-2-19</x:v>
      </x:c>
      <x:c r="B1020" s="15" t="d">
        <x:v>2026-09-07T00:00:00.000Z</x:v>
      </x:c>
      <x:c r="C1020" s="2" t="n">
        <x:v>19</x:v>
      </x:c>
      <x:c r="D1020" s="2" t="str">
        <x:v>DEMO-301</x:v>
      </x:c>
      <x:c r="E1020" s="2" t="str">
        <x:v>Dawn Travel Cup</x:v>
      </x:c>
      <x:c r="F1020" s="2" t="str">
        <x:v>Lifestyle</x:v>
      </x:c>
      <x:c r="G1020" s="2" t="str">
        <x:v>Stores</x:v>
      </x:c>
      <x:c r="H1020" s="2" t="str">
        <x:v>Central Market</x:v>
      </x:c>
      <x:c r="I1020" s="2" t="n">
        <x:v>6</x:v>
      </x:c>
      <x:c r="J1020" s="2" t="n">
        <x:v>1</x:v>
      </x:c>
      <x:c r="K1020" s="2" t="n">
        <x:f>I1020-J1020</x:f>
        <x:v>5</x:v>
      </x:c>
      <x:c r="L1020" s="16" t="n">
        <x:v>24</x:v>
      </x:c>
      <x:c r="M1020" s="16" t="n">
        <x:v>19.2</x:v>
      </x:c>
      <x:c r="N1020" s="16" t="n">
        <x:v>8.64</x:v>
      </x:c>
      <x:c r="O1020" s="16" t="n">
        <x:f>K1020*M1020</x:f>
        <x:v>96</x:v>
      </x:c>
      <x:c r="P1020" s="16" t="n">
        <x:f>K1020*N1020</x:f>
        <x:v>43.2</x:v>
      </x:c>
      <x:c r="Q1020" s="16" t="n">
        <x:f>O1020-P1020</x:f>
        <x:v>52.8</x:v>
      </x:c>
      <x:c r="R1020" s="2" t="n">
        <x:v>327</x:v>
      </x:c>
      <x:c r="S1020" s="2" t="n">
        <x:v>0</x:v>
      </x:c>
      <x:c r="T1020" s="2" t="n">
        <x:f>R1020+S1020+J1020-I1020</x:f>
        <x:v>322</x:v>
      </x:c>
      <x:c r="U1020" s="2" t="n">
        <x:v>0</x:v>
      </x:c>
      <x:c r="V1020" s="2" t="n">
        <x:v>2</x:v>
      </x:c>
      <x:c r="W1020" s="2" t="n">
        <x:v>7</x:v>
      </x:c>
      <x:c r="X1020" s="14" t="b">
        <x:v>0</x:v>
      </x:c>
      <x:c r="Y1020" s="14" t="b">
        <x:v>1</x:v>
      </x:c>
      <x:c r="Z1020" s="2" t="n">
        <x:f>ABS(T1020-AA1020)</x:f>
        <x:v>0</x:v>
      </x:c>
      <x:c r="AA1020" s="2" t="n">
        <x:v>322</x:v>
      </x:c>
      <x:c r="AB1020" s="2" t="n">
        <x:f>ABS(K1020-W1020)</x:f>
        <x:v>2</x:v>
      </x:c>
      <x:c r="AC1020" s="2" t="n">
        <x:f>COUNTIF($A$2:$A$1921,A1020)-1</x:f>
        <x:v>0</x:v>
      </x:c>
      <x:c r="AD1020" s="2" t="n">
        <x:f>IF(AND(D1020=D1019,H1020=H1019,C1020=C1019+1),ABS(R1020-T1019),0)</x:f>
        <x:v>0</x:v>
      </x:c>
    </x:row>
    <x:row r="1021" ht="23" customHeight="1">
      <x:c r="A1021" s="2" t="str">
        <x:v>DEMO-301-2-20</x:v>
      </x:c>
      <x:c r="B1021" s="15" t="d">
        <x:v>2026-09-14T00:00:00.000Z</x:v>
      </x:c>
      <x:c r="C1021" s="2" t="n">
        <x:v>20</x:v>
      </x:c>
      <x:c r="D1021" s="2" t="str">
        <x:v>DEMO-301</x:v>
      </x:c>
      <x:c r="E1021" s="2" t="str">
        <x:v>Dawn Travel Cup</x:v>
      </x:c>
      <x:c r="F1021" s="2" t="str">
        <x:v>Lifestyle</x:v>
      </x:c>
      <x:c r="G1021" s="2" t="str">
        <x:v>Stores</x:v>
      </x:c>
      <x:c r="H1021" s="2" t="str">
        <x:v>Central Market</x:v>
      </x:c>
      <x:c r="I1021" s="2" t="n">
        <x:v>5</x:v>
      </x:c>
      <x:c r="J1021" s="2" t="n">
        <x:v>0</x:v>
      </x:c>
      <x:c r="K1021" s="2" t="n">
        <x:f>I1021-J1021</x:f>
        <x:v>5</x:v>
      </x:c>
      <x:c r="L1021" s="16" t="n">
        <x:v>24</x:v>
      </x:c>
      <x:c r="M1021" s="16" t="n">
        <x:v>19.2</x:v>
      </x:c>
      <x:c r="N1021" s="16" t="n">
        <x:v>8.64</x:v>
      </x:c>
      <x:c r="O1021" s="16" t="n">
        <x:f>K1021*M1021</x:f>
        <x:v>96</x:v>
      </x:c>
      <x:c r="P1021" s="16" t="n">
        <x:f>K1021*N1021</x:f>
        <x:v>43.2</x:v>
      </x:c>
      <x:c r="Q1021" s="16" t="n">
        <x:f>O1021-P1021</x:f>
        <x:v>52.8</x:v>
      </x:c>
      <x:c r="R1021" s="2" t="n">
        <x:v>322</x:v>
      </x:c>
      <x:c r="S1021" s="2" t="n">
        <x:v>0</x:v>
      </x:c>
      <x:c r="T1021" s="2" t="n">
        <x:f>R1021+S1021+J1021-I1021</x:f>
        <x:v>317</x:v>
      </x:c>
      <x:c r="U1021" s="2" t="n">
        <x:v>24</x:v>
      </x:c>
      <x:c r="V1021" s="2" t="n">
        <x:v>2</x:v>
      </x:c>
      <x:c r="W1021" s="2" t="n">
        <x:v>6</x:v>
      </x:c>
      <x:c r="X1021" s="14" t="b">
        <x:v>0</x:v>
      </x:c>
      <x:c r="Y1021" s="14" t="b">
        <x:v>1</x:v>
      </x:c>
      <x:c r="Z1021" s="2" t="n">
        <x:f>ABS(T1021-AA1021)</x:f>
        <x:v>0</x:v>
      </x:c>
      <x:c r="AA1021" s="2" t="n">
        <x:v>317</x:v>
      </x:c>
      <x:c r="AB1021" s="2" t="n">
        <x:f>ABS(K1021-W1021)</x:f>
        <x:v>1</x:v>
      </x:c>
      <x:c r="AC1021" s="2" t="n">
        <x:f>COUNTIF($A$2:$A$1921,A1021)-1</x:f>
        <x:v>0</x:v>
      </x:c>
      <x:c r="AD1021" s="2" t="n">
        <x:f>IF(AND(D1021=D1020,H1021=H1020,C1021=C1020+1),ABS(R1021-T1020),0)</x:f>
        <x:v>0</x:v>
      </x:c>
    </x:row>
    <x:row r="1022" ht="23" customHeight="1">
      <x:c r="A1022" s="2" t="str">
        <x:v>DEMO-301-3-1</x:v>
      </x:c>
      <x:c r="B1022" s="15" t="d">
        <x:v>2026-05-04T00:00:00.000Z</x:v>
      </x:c>
      <x:c r="C1022" s="2" t="n">
        <x:v>1</x:v>
      </x:c>
      <x:c r="D1022" s="2" t="str">
        <x:v>DEMO-301</x:v>
      </x:c>
      <x:c r="E1022" s="2" t="str">
        <x:v>Dawn Travel Cup</x:v>
      </x:c>
      <x:c r="F1022" s="2" t="str">
        <x:v>Lifestyle</x:v>
      </x:c>
      <x:c r="G1022" s="2" t="str">
        <x:v>Online</x:v>
      </x:c>
      <x:c r="H1022" s="2" t="str">
        <x:v>Online</x:v>
      </x:c>
      <x:c r="I1022" s="2" t="n">
        <x:v>15</x:v>
      </x:c>
      <x:c r="J1022" s="2" t="n">
        <x:v>1</x:v>
      </x:c>
      <x:c r="K1022" s="2" t="n">
        <x:f>I1022-J1022</x:f>
        <x:v>14</x:v>
      </x:c>
      <x:c r="L1022" s="16" t="n">
        <x:v>24</x:v>
      </x:c>
      <x:c r="M1022" s="16" t="n">
        <x:v>24</x:v>
      </x:c>
      <x:c r="N1022" s="16" t="n">
        <x:v>8.64</x:v>
      </x:c>
      <x:c r="O1022" s="16" t="n">
        <x:f>K1022*M1022</x:f>
        <x:v>336</x:v>
      </x:c>
      <x:c r="P1022" s="16" t="n">
        <x:f>K1022*N1022</x:f>
        <x:v>120.96000000000001</x:v>
      </x:c>
      <x:c r="Q1022" s="16" t="n">
        <x:f>O1022-P1022</x:f>
        <x:v>215.04</x:v>
      </x:c>
      <x:c r="R1022" s="2" t="n">
        <x:v>140</x:v>
      </x:c>
      <x:c r="S1022" s="2" t="n">
        <x:v>65</x:v>
      </x:c>
      <x:c r="T1022" s="2" t="n">
        <x:f>R1022+S1022+J1022-I1022</x:f>
        <x:v>191</x:v>
      </x:c>
      <x:c r="U1022" s="2" t="n">
        <x:v>0</x:v>
      </x:c>
      <x:c r="V1022" s="2" t="n">
        <x:v>2</x:v>
      </x:c>
      <x:c r="W1022" s="2" t="n">
        <x:v>19</x:v>
      </x:c>
      <x:c r="X1022" s="14" t="b">
        <x:v>0</x:v>
      </x:c>
      <x:c r="Y1022" s="14" t="b">
        <x:v>0</x:v>
      </x:c>
      <x:c r="Z1022" s="2" t="n">
        <x:f>ABS(T1022-AA1022)</x:f>
        <x:v>0</x:v>
      </x:c>
      <x:c r="AA1022" s="2" t="n">
        <x:v>191</x:v>
      </x:c>
      <x:c r="AB1022" s="2" t="n">
        <x:f>ABS(K1022-W1022)</x:f>
        <x:v>5</x:v>
      </x:c>
      <x:c r="AC1022" s="2" t="n">
        <x:f>COUNTIF($A$2:$A$1921,A1022)-1</x:f>
        <x:v>0</x:v>
      </x:c>
      <x:c r="AD1022" s="2" t="n">
        <x:f>IF(AND(D1022=D1021,H1022=H1021,C1022=C1021+1),ABS(R1022-T1021),0)</x:f>
        <x:v>0</x:v>
      </x:c>
    </x:row>
    <x:row r="1023" ht="23" customHeight="1">
      <x:c r="A1023" s="2" t="str">
        <x:v>DEMO-301-3-2</x:v>
      </x:c>
      <x:c r="B1023" s="15" t="d">
        <x:v>2026-05-11T00:00:00.000Z</x:v>
      </x:c>
      <x:c r="C1023" s="2" t="n">
        <x:v>2</x:v>
      </x:c>
      <x:c r="D1023" s="2" t="str">
        <x:v>DEMO-301</x:v>
      </x:c>
      <x:c r="E1023" s="2" t="str">
        <x:v>Dawn Travel Cup</x:v>
      </x:c>
      <x:c r="F1023" s="2" t="str">
        <x:v>Lifestyle</x:v>
      </x:c>
      <x:c r="G1023" s="2" t="str">
        <x:v>Online</x:v>
      </x:c>
      <x:c r="H1023" s="2" t="str">
        <x:v>Online</x:v>
      </x:c>
      <x:c r="I1023" s="2" t="n">
        <x:v>16</x:v>
      </x:c>
      <x:c r="J1023" s="2" t="n">
        <x:v>0</x:v>
      </x:c>
      <x:c r="K1023" s="2" t="n">
        <x:f>I1023-J1023</x:f>
        <x:v>16</x:v>
      </x:c>
      <x:c r="L1023" s="16" t="n">
        <x:v>24</x:v>
      </x:c>
      <x:c r="M1023" s="16" t="n">
        <x:v>24</x:v>
      </x:c>
      <x:c r="N1023" s="16" t="n">
        <x:v>8.64</x:v>
      </x:c>
      <x:c r="O1023" s="16" t="n">
        <x:f>K1023*M1023</x:f>
        <x:v>384</x:v>
      </x:c>
      <x:c r="P1023" s="16" t="n">
        <x:f>K1023*N1023</x:f>
        <x:v>138.24</x:v>
      </x:c>
      <x:c r="Q1023" s="16" t="n">
        <x:f>O1023-P1023</x:f>
        <x:v>245.76</x:v>
      </x:c>
      <x:c r="R1023" s="2" t="n">
        <x:v>191</x:v>
      </x:c>
      <x:c r="S1023" s="2" t="n">
        <x:v>0</x:v>
      </x:c>
      <x:c r="T1023" s="2" t="n">
        <x:f>R1023+S1023+J1023-I1023</x:f>
        <x:v>175</x:v>
      </x:c>
      <x:c r="U1023" s="2" t="n">
        <x:v>0</x:v>
      </x:c>
      <x:c r="V1023" s="2" t="n">
        <x:v>2</x:v>
      </x:c>
      <x:c r="W1023" s="2" t="n">
        <x:v>14</x:v>
      </x:c>
      <x:c r="X1023" s="14" t="b">
        <x:v>0</x:v>
      </x:c>
      <x:c r="Y1023" s="14" t="b">
        <x:v>0</x:v>
      </x:c>
      <x:c r="Z1023" s="2" t="n">
        <x:f>ABS(T1023-AA1023)</x:f>
        <x:v>0</x:v>
      </x:c>
      <x:c r="AA1023" s="2" t="n">
        <x:v>175</x:v>
      </x:c>
      <x:c r="AB1023" s="2" t="n">
        <x:f>ABS(K1023-W1023)</x:f>
        <x:v>2</x:v>
      </x:c>
      <x:c r="AC1023" s="2" t="n">
        <x:f>COUNTIF($A$2:$A$1921,A1023)-1</x:f>
        <x:v>0</x:v>
      </x:c>
      <x:c r="AD1023" s="2" t="n">
        <x:f>IF(AND(D1023=D1022,H1023=H1022,C1023=C1022+1),ABS(R1023-T1022),0)</x:f>
        <x:v>0</x:v>
      </x:c>
    </x:row>
    <x:row r="1024" ht="23" customHeight="1">
      <x:c r="A1024" s="2" t="str">
        <x:v>DEMO-301-3-3</x:v>
      </x:c>
      <x:c r="B1024" s="15" t="d">
        <x:v>2026-05-18T00:00:00.000Z</x:v>
      </x:c>
      <x:c r="C1024" s="2" t="n">
        <x:v>3</x:v>
      </x:c>
      <x:c r="D1024" s="2" t="str">
        <x:v>DEMO-301</x:v>
      </x:c>
      <x:c r="E1024" s="2" t="str">
        <x:v>Dawn Travel Cup</x:v>
      </x:c>
      <x:c r="F1024" s="2" t="str">
        <x:v>Lifestyle</x:v>
      </x:c>
      <x:c r="G1024" s="2" t="str">
        <x:v>Online</x:v>
      </x:c>
      <x:c r="H1024" s="2" t="str">
        <x:v>Online</x:v>
      </x:c>
      <x:c r="I1024" s="2" t="n">
        <x:v>19</x:v>
      </x:c>
      <x:c r="J1024" s="2" t="n">
        <x:v>0</x:v>
      </x:c>
      <x:c r="K1024" s="2" t="n">
        <x:f>I1024-J1024</x:f>
        <x:v>19</x:v>
      </x:c>
      <x:c r="L1024" s="16" t="n">
        <x:v>24</x:v>
      </x:c>
      <x:c r="M1024" s="16" t="n">
        <x:v>24</x:v>
      </x:c>
      <x:c r="N1024" s="16" t="n">
        <x:v>8.64</x:v>
      </x:c>
      <x:c r="O1024" s="16" t="n">
        <x:f>K1024*M1024</x:f>
        <x:v>456</x:v>
      </x:c>
      <x:c r="P1024" s="16" t="n">
        <x:f>K1024*N1024</x:f>
        <x:v>164.16000000000003</x:v>
      </x:c>
      <x:c r="Q1024" s="16" t="n">
        <x:f>O1024-P1024</x:f>
        <x:v>291.84</x:v>
      </x:c>
      <x:c r="R1024" s="2" t="n">
        <x:v>175</x:v>
      </x:c>
      <x:c r="S1024" s="2" t="n">
        <x:v>0</x:v>
      </x:c>
      <x:c r="T1024" s="2" t="n">
        <x:f>R1024+S1024+J1024-I1024</x:f>
        <x:v>156</x:v>
      </x:c>
      <x:c r="U1024" s="2" t="n">
        <x:v>0</x:v>
      </x:c>
      <x:c r="V1024" s="2" t="n">
        <x:v>2</x:v>
      </x:c>
      <x:c r="W1024" s="2" t="n">
        <x:v>15</x:v>
      </x:c>
      <x:c r="X1024" s="14" t="b">
        <x:v>0</x:v>
      </x:c>
      <x:c r="Y1024" s="14" t="b">
        <x:v>0</x:v>
      </x:c>
      <x:c r="Z1024" s="2" t="n">
        <x:f>ABS(T1024-AA1024)</x:f>
        <x:v>0</x:v>
      </x:c>
      <x:c r="AA1024" s="2" t="n">
        <x:v>156</x:v>
      </x:c>
      <x:c r="AB1024" s="2" t="n">
        <x:f>ABS(K1024-W1024)</x:f>
        <x:v>4</x:v>
      </x:c>
      <x:c r="AC1024" s="2" t="n">
        <x:f>COUNTIF($A$2:$A$1921,A1024)-1</x:f>
        <x:v>0</x:v>
      </x:c>
      <x:c r="AD1024" s="2" t="n">
        <x:f>IF(AND(D1024=D1023,H1024=H1023,C1024=C1023+1),ABS(R1024-T1023),0)</x:f>
        <x:v>0</x:v>
      </x:c>
    </x:row>
    <x:row r="1025" ht="23" customHeight="1">
      <x:c r="A1025" s="2" t="str">
        <x:v>DEMO-301-3-4</x:v>
      </x:c>
      <x:c r="B1025" s="15" t="d">
        <x:v>2026-05-25T00:00:00.000Z</x:v>
      </x:c>
      <x:c r="C1025" s="2" t="n">
        <x:v>4</x:v>
      </x:c>
      <x:c r="D1025" s="2" t="str">
        <x:v>DEMO-301</x:v>
      </x:c>
      <x:c r="E1025" s="2" t="str">
        <x:v>Dawn Travel Cup</x:v>
      </x:c>
      <x:c r="F1025" s="2" t="str">
        <x:v>Lifestyle</x:v>
      </x:c>
      <x:c r="G1025" s="2" t="str">
        <x:v>Online</x:v>
      </x:c>
      <x:c r="H1025" s="2" t="str">
        <x:v>Online</x:v>
      </x:c>
      <x:c r="I1025" s="2" t="n">
        <x:v>17</x:v>
      </x:c>
      <x:c r="J1025" s="2" t="n">
        <x:v>0</x:v>
      </x:c>
      <x:c r="K1025" s="2" t="n">
        <x:f>I1025-J1025</x:f>
        <x:v>17</x:v>
      </x:c>
      <x:c r="L1025" s="16" t="n">
        <x:v>24</x:v>
      </x:c>
      <x:c r="M1025" s="16" t="n">
        <x:v>24</x:v>
      </x:c>
      <x:c r="N1025" s="16" t="n">
        <x:v>8.64</x:v>
      </x:c>
      <x:c r="O1025" s="16" t="n">
        <x:f>K1025*M1025</x:f>
        <x:v>408</x:v>
      </x:c>
      <x:c r="P1025" s="16" t="n">
        <x:f>K1025*N1025</x:f>
        <x:v>146.88</x:v>
      </x:c>
      <x:c r="Q1025" s="16" t="n">
        <x:f>O1025-P1025</x:f>
        <x:v>261.12</x:v>
      </x:c>
      <x:c r="R1025" s="2" t="n">
        <x:v>156</x:v>
      </x:c>
      <x:c r="S1025" s="2" t="n">
        <x:v>0</x:v>
      </x:c>
      <x:c r="T1025" s="2" t="n">
        <x:f>R1025+S1025+J1025-I1025</x:f>
        <x:v>139</x:v>
      </x:c>
      <x:c r="U1025" s="2" t="n">
        <x:v>0</x:v>
      </x:c>
      <x:c r="V1025" s="2" t="n">
        <x:v>2</x:v>
      </x:c>
      <x:c r="W1025" s="2" t="n">
        <x:v>16</x:v>
      </x:c>
      <x:c r="X1025" s="14" t="b">
        <x:v>0</x:v>
      </x:c>
      <x:c r="Y1025" s="14" t="b">
        <x:v>0</x:v>
      </x:c>
      <x:c r="Z1025" s="2" t="n">
        <x:f>ABS(T1025-AA1025)</x:f>
        <x:v>0</x:v>
      </x:c>
      <x:c r="AA1025" s="2" t="n">
        <x:v>139</x:v>
      </x:c>
      <x:c r="AB1025" s="2" t="n">
        <x:f>ABS(K1025-W1025)</x:f>
        <x:v>1</x:v>
      </x:c>
      <x:c r="AC1025" s="2" t="n">
        <x:f>COUNTIF($A$2:$A$1921,A1025)-1</x:f>
        <x:v>0</x:v>
      </x:c>
      <x:c r="AD1025" s="2" t="n">
        <x:f>IF(AND(D1025=D1024,H1025=H1024,C1025=C1024+1),ABS(R1025-T1024),0)</x:f>
        <x:v>0</x:v>
      </x:c>
    </x:row>
    <x:row r="1026" ht="23" customHeight="1">
      <x:c r="A1026" s="2" t="str">
        <x:v>DEMO-301-3-5</x:v>
      </x:c>
      <x:c r="B1026" s="15" t="d">
        <x:v>2026-06-01T00:00:00.000Z</x:v>
      </x:c>
      <x:c r="C1026" s="2" t="n">
        <x:v>5</x:v>
      </x:c>
      <x:c r="D1026" s="2" t="str">
        <x:v>DEMO-301</x:v>
      </x:c>
      <x:c r="E1026" s="2" t="str">
        <x:v>Dawn Travel Cup</x:v>
      </x:c>
      <x:c r="F1026" s="2" t="str">
        <x:v>Lifestyle</x:v>
      </x:c>
      <x:c r="G1026" s="2" t="str">
        <x:v>Online</x:v>
      </x:c>
      <x:c r="H1026" s="2" t="str">
        <x:v>Online</x:v>
      </x:c>
      <x:c r="I1026" s="2" t="n">
        <x:v>15</x:v>
      </x:c>
      <x:c r="J1026" s="2" t="n">
        <x:v>0</x:v>
      </x:c>
      <x:c r="K1026" s="2" t="n">
        <x:f>I1026-J1026</x:f>
        <x:v>15</x:v>
      </x:c>
      <x:c r="L1026" s="16" t="n">
        <x:v>24</x:v>
      </x:c>
      <x:c r="M1026" s="16" t="n">
        <x:v>24</x:v>
      </x:c>
      <x:c r="N1026" s="16" t="n">
        <x:v>8.64</x:v>
      </x:c>
      <x:c r="O1026" s="16" t="n">
        <x:f>K1026*M1026</x:f>
        <x:v>360</x:v>
      </x:c>
      <x:c r="P1026" s="16" t="n">
        <x:f>K1026*N1026</x:f>
        <x:v>129.60000000000002</x:v>
      </x:c>
      <x:c r="Q1026" s="16" t="n">
        <x:f>O1026-P1026</x:f>
        <x:v>230.39999999999998</x:v>
      </x:c>
      <x:c r="R1026" s="2" t="n">
        <x:v>139</x:v>
      </x:c>
      <x:c r="S1026" s="2" t="n">
        <x:v>65</x:v>
      </x:c>
      <x:c r="T1026" s="2" t="n">
        <x:f>R1026+S1026+J1026-I1026</x:f>
        <x:v>189</x:v>
      </x:c>
      <x:c r="U1026" s="2" t="n">
        <x:v>0</x:v>
      </x:c>
      <x:c r="V1026" s="2" t="n">
        <x:v>2</x:v>
      </x:c>
      <x:c r="W1026" s="2" t="n">
        <x:v>17</x:v>
      </x:c>
      <x:c r="X1026" s="14" t="b">
        <x:v>0</x:v>
      </x:c>
      <x:c r="Y1026" s="14" t="b">
        <x:v>0</x:v>
      </x:c>
      <x:c r="Z1026" s="2" t="n">
        <x:f>ABS(T1026-AA1026)</x:f>
        <x:v>0</x:v>
      </x:c>
      <x:c r="AA1026" s="2" t="n">
        <x:v>189</x:v>
      </x:c>
      <x:c r="AB1026" s="2" t="n">
        <x:f>ABS(K1026-W1026)</x:f>
        <x:v>2</x:v>
      </x:c>
      <x:c r="AC1026" s="2" t="n">
        <x:f>COUNTIF($A$2:$A$1921,A1026)-1</x:f>
        <x:v>0</x:v>
      </x:c>
      <x:c r="AD1026" s="2" t="n">
        <x:f>IF(AND(D1026=D1025,H1026=H1025,C1026=C1025+1),ABS(R1026-T1025),0)</x:f>
        <x:v>0</x:v>
      </x:c>
    </x:row>
    <x:row r="1027" ht="23" customHeight="1">
      <x:c r="A1027" s="2" t="str">
        <x:v>DEMO-301-3-6</x:v>
      </x:c>
      <x:c r="B1027" s="15" t="d">
        <x:v>2026-06-08T00:00:00.000Z</x:v>
      </x:c>
      <x:c r="C1027" s="2" t="n">
        <x:v>6</x:v>
      </x:c>
      <x:c r="D1027" s="2" t="str">
        <x:v>DEMO-301</x:v>
      </x:c>
      <x:c r="E1027" s="2" t="str">
        <x:v>Dawn Travel Cup</x:v>
      </x:c>
      <x:c r="F1027" s="2" t="str">
        <x:v>Lifestyle</x:v>
      </x:c>
      <x:c r="G1027" s="2" t="str">
        <x:v>Online</x:v>
      </x:c>
      <x:c r="H1027" s="2" t="str">
        <x:v>Online</x:v>
      </x:c>
      <x:c r="I1027" s="2" t="n">
        <x:v>17</x:v>
      </x:c>
      <x:c r="J1027" s="2" t="n">
        <x:v>0</x:v>
      </x:c>
      <x:c r="K1027" s="2" t="n">
        <x:f>I1027-J1027</x:f>
        <x:v>17</x:v>
      </x:c>
      <x:c r="L1027" s="16" t="n">
        <x:v>24</x:v>
      </x:c>
      <x:c r="M1027" s="16" t="n">
        <x:v>24</x:v>
      </x:c>
      <x:c r="N1027" s="16" t="n">
        <x:v>8.64</x:v>
      </x:c>
      <x:c r="O1027" s="16" t="n">
        <x:f>K1027*M1027</x:f>
        <x:v>408</x:v>
      </x:c>
      <x:c r="P1027" s="16" t="n">
        <x:f>K1027*N1027</x:f>
        <x:v>146.88</x:v>
      </x:c>
      <x:c r="Q1027" s="16" t="n">
        <x:f>O1027-P1027</x:f>
        <x:v>261.12</x:v>
      </x:c>
      <x:c r="R1027" s="2" t="n">
        <x:v>189</x:v>
      </x:c>
      <x:c r="S1027" s="2" t="n">
        <x:v>0</x:v>
      </x:c>
      <x:c r="T1027" s="2" t="n">
        <x:f>R1027+S1027+J1027-I1027</x:f>
        <x:v>172</x:v>
      </x:c>
      <x:c r="U1027" s="2" t="n">
        <x:v>0</x:v>
      </x:c>
      <x:c r="V1027" s="2" t="n">
        <x:v>2</x:v>
      </x:c>
      <x:c r="W1027" s="2" t="n">
        <x:v>17</x:v>
      </x:c>
      <x:c r="X1027" s="14" t="b">
        <x:v>0</x:v>
      </x:c>
      <x:c r="Y1027" s="14" t="b">
        <x:v>0</x:v>
      </x:c>
      <x:c r="Z1027" s="2" t="n">
        <x:f>ABS(T1027-AA1027)</x:f>
        <x:v>0</x:v>
      </x:c>
      <x:c r="AA1027" s="2" t="n">
        <x:v>172</x:v>
      </x:c>
      <x:c r="AB1027" s="2" t="n">
        <x:f>ABS(K1027-W1027)</x:f>
        <x:v>0</x:v>
      </x:c>
      <x:c r="AC1027" s="2" t="n">
        <x:f>COUNTIF($A$2:$A$1921,A1027)-1</x:f>
        <x:v>0</x:v>
      </x:c>
      <x:c r="AD1027" s="2" t="n">
        <x:f>IF(AND(D1027=D1026,H1027=H1026,C1027=C1026+1),ABS(R1027-T1026),0)</x:f>
        <x:v>0</x:v>
      </x:c>
    </x:row>
    <x:row r="1028" ht="23" customHeight="1">
      <x:c r="A1028" s="2" t="str">
        <x:v>DEMO-301-3-7</x:v>
      </x:c>
      <x:c r="B1028" s="15" t="d">
        <x:v>2026-06-15T00:00:00.000Z</x:v>
      </x:c>
      <x:c r="C1028" s="2" t="n">
        <x:v>7</x:v>
      </x:c>
      <x:c r="D1028" s="2" t="str">
        <x:v>DEMO-301</x:v>
      </x:c>
      <x:c r="E1028" s="2" t="str">
        <x:v>Dawn Travel Cup</x:v>
      </x:c>
      <x:c r="F1028" s="2" t="str">
        <x:v>Lifestyle</x:v>
      </x:c>
      <x:c r="G1028" s="2" t="str">
        <x:v>Online</x:v>
      </x:c>
      <x:c r="H1028" s="2" t="str">
        <x:v>Online</x:v>
      </x:c>
      <x:c r="I1028" s="2" t="n">
        <x:v>13</x:v>
      </x:c>
      <x:c r="J1028" s="2" t="n">
        <x:v>0</x:v>
      </x:c>
      <x:c r="K1028" s="2" t="n">
        <x:f>I1028-J1028</x:f>
        <x:v>13</x:v>
      </x:c>
      <x:c r="L1028" s="16" t="n">
        <x:v>24</x:v>
      </x:c>
      <x:c r="M1028" s="16" t="n">
        <x:v>24</x:v>
      </x:c>
      <x:c r="N1028" s="16" t="n">
        <x:v>8.64</x:v>
      </x:c>
      <x:c r="O1028" s="16" t="n">
        <x:f>K1028*M1028</x:f>
        <x:v>312</x:v>
      </x:c>
      <x:c r="P1028" s="16" t="n">
        <x:f>K1028*N1028</x:f>
        <x:v>112.32000000000001</x:v>
      </x:c>
      <x:c r="Q1028" s="16" t="n">
        <x:f>O1028-P1028</x:f>
        <x:v>199.68</x:v>
      </x:c>
      <x:c r="R1028" s="2" t="n">
        <x:v>172</x:v>
      </x:c>
      <x:c r="S1028" s="2" t="n">
        <x:v>0</x:v>
      </x:c>
      <x:c r="T1028" s="2" t="n">
        <x:f>R1028+S1028+J1028-I1028</x:f>
        <x:v>159</x:v>
      </x:c>
      <x:c r="U1028" s="2" t="n">
        <x:v>0</x:v>
      </x:c>
      <x:c r="V1028" s="2" t="n">
        <x:v>2</x:v>
      </x:c>
      <x:c r="W1028" s="2" t="n">
        <x:v>17</x:v>
      </x:c>
      <x:c r="X1028" s="14" t="b">
        <x:v>0</x:v>
      </x:c>
      <x:c r="Y1028" s="14" t="b">
        <x:v>0</x:v>
      </x:c>
      <x:c r="Z1028" s="2" t="n">
        <x:f>ABS(T1028-AA1028)</x:f>
        <x:v>0</x:v>
      </x:c>
      <x:c r="AA1028" s="2" t="n">
        <x:v>159</x:v>
      </x:c>
      <x:c r="AB1028" s="2" t="n">
        <x:f>ABS(K1028-W1028)</x:f>
        <x:v>4</x:v>
      </x:c>
      <x:c r="AC1028" s="2" t="n">
        <x:f>COUNTIF($A$2:$A$1921,A1028)-1</x:f>
        <x:v>0</x:v>
      </x:c>
      <x:c r="AD1028" s="2" t="n">
        <x:f>IF(AND(D1028=D1027,H1028=H1027,C1028=C1027+1),ABS(R1028-T1027),0)</x:f>
        <x:v>0</x:v>
      </x:c>
    </x:row>
    <x:row r="1029" ht="23" customHeight="1">
      <x:c r="A1029" s="2" t="str">
        <x:v>DEMO-301-3-8</x:v>
      </x:c>
      <x:c r="B1029" s="15" t="d">
        <x:v>2026-06-22T00:00:00.000Z</x:v>
      </x:c>
      <x:c r="C1029" s="2" t="n">
        <x:v>8</x:v>
      </x:c>
      <x:c r="D1029" s="2" t="str">
        <x:v>DEMO-301</x:v>
      </x:c>
      <x:c r="E1029" s="2" t="str">
        <x:v>Dawn Travel Cup</x:v>
      </x:c>
      <x:c r="F1029" s="2" t="str">
        <x:v>Lifestyle</x:v>
      </x:c>
      <x:c r="G1029" s="2" t="str">
        <x:v>Online</x:v>
      </x:c>
      <x:c r="H1029" s="2" t="str">
        <x:v>Online</x:v>
      </x:c>
      <x:c r="I1029" s="2" t="n">
        <x:v>12</x:v>
      </x:c>
      <x:c r="J1029" s="2" t="n">
        <x:v>0</x:v>
      </x:c>
      <x:c r="K1029" s="2" t="n">
        <x:f>I1029-J1029</x:f>
        <x:v>12</x:v>
      </x:c>
      <x:c r="L1029" s="16" t="n">
        <x:v>24</x:v>
      </x:c>
      <x:c r="M1029" s="16" t="n">
        <x:v>24</x:v>
      </x:c>
      <x:c r="N1029" s="16" t="n">
        <x:v>8.64</x:v>
      </x:c>
      <x:c r="O1029" s="16" t="n">
        <x:f>K1029*M1029</x:f>
        <x:v>288</x:v>
      </x:c>
      <x:c r="P1029" s="16" t="n">
        <x:f>K1029*N1029</x:f>
        <x:v>103.68</x:v>
      </x:c>
      <x:c r="Q1029" s="16" t="n">
        <x:f>O1029-P1029</x:f>
        <x:v>184.32</x:v>
      </x:c>
      <x:c r="R1029" s="2" t="n">
        <x:v>159</x:v>
      </x:c>
      <x:c r="S1029" s="2" t="n">
        <x:v>0</x:v>
      </x:c>
      <x:c r="T1029" s="2" t="n">
        <x:f>R1029+S1029+J1029-I1029</x:f>
        <x:v>147</x:v>
      </x:c>
      <x:c r="U1029" s="2" t="n">
        <x:v>0</x:v>
      </x:c>
      <x:c r="V1029" s="2" t="n">
        <x:v>2</x:v>
      </x:c>
      <x:c r="W1029" s="2" t="n">
        <x:v>16</x:v>
      </x:c>
      <x:c r="X1029" s="14" t="b">
        <x:v>0</x:v>
      </x:c>
      <x:c r="Y1029" s="14" t="b">
        <x:v>0</x:v>
      </x:c>
      <x:c r="Z1029" s="2" t="n">
        <x:f>ABS(T1029-AA1029)</x:f>
        <x:v>0</x:v>
      </x:c>
      <x:c r="AA1029" s="2" t="n">
        <x:v>147</x:v>
      </x:c>
      <x:c r="AB1029" s="2" t="n">
        <x:f>ABS(K1029-W1029)</x:f>
        <x:v>4</x:v>
      </x:c>
      <x:c r="AC1029" s="2" t="n">
        <x:f>COUNTIF($A$2:$A$1921,A1029)-1</x:f>
        <x:v>0</x:v>
      </x:c>
      <x:c r="AD1029" s="2" t="n">
        <x:f>IF(AND(D1029=D1028,H1029=H1028,C1029=C1028+1),ABS(R1029-T1028),0)</x:f>
        <x:v>0</x:v>
      </x:c>
    </x:row>
    <x:row r="1030" ht="23" customHeight="1">
      <x:c r="A1030" s="2" t="str">
        <x:v>DEMO-301-3-9</x:v>
      </x:c>
      <x:c r="B1030" s="15" t="d">
        <x:v>2026-06-29T00:00:00.000Z</x:v>
      </x:c>
      <x:c r="C1030" s="2" t="n">
        <x:v>9</x:v>
      </x:c>
      <x:c r="D1030" s="2" t="str">
        <x:v>DEMO-301</x:v>
      </x:c>
      <x:c r="E1030" s="2" t="str">
        <x:v>Dawn Travel Cup</x:v>
      </x:c>
      <x:c r="F1030" s="2" t="str">
        <x:v>Lifestyle</x:v>
      </x:c>
      <x:c r="G1030" s="2" t="str">
        <x:v>Online</x:v>
      </x:c>
      <x:c r="H1030" s="2" t="str">
        <x:v>Online</x:v>
      </x:c>
      <x:c r="I1030" s="2" t="n">
        <x:v>15</x:v>
      </x:c>
      <x:c r="J1030" s="2" t="n">
        <x:v>1</x:v>
      </x:c>
      <x:c r="K1030" s="2" t="n">
        <x:f>I1030-J1030</x:f>
        <x:v>14</x:v>
      </x:c>
      <x:c r="L1030" s="16" t="n">
        <x:v>24</x:v>
      </x:c>
      <x:c r="M1030" s="16" t="n">
        <x:v>24</x:v>
      </x:c>
      <x:c r="N1030" s="16" t="n">
        <x:v>8.64</x:v>
      </x:c>
      <x:c r="O1030" s="16" t="n">
        <x:f>K1030*M1030</x:f>
        <x:v>336</x:v>
      </x:c>
      <x:c r="P1030" s="16" t="n">
        <x:f>K1030*N1030</x:f>
        <x:v>120.96000000000001</x:v>
      </x:c>
      <x:c r="Q1030" s="16" t="n">
        <x:f>O1030-P1030</x:f>
        <x:v>215.04</x:v>
      </x:c>
      <x:c r="R1030" s="2" t="n">
        <x:v>147</x:v>
      </x:c>
      <x:c r="S1030" s="2" t="n">
        <x:v>65</x:v>
      </x:c>
      <x:c r="T1030" s="2" t="n">
        <x:f>R1030+S1030+J1030-I1030</x:f>
        <x:v>198</x:v>
      </x:c>
      <x:c r="U1030" s="2" t="n">
        <x:v>0</x:v>
      </x:c>
      <x:c r="V1030" s="2" t="n">
        <x:v>2</x:v>
      </x:c>
      <x:c r="W1030" s="2" t="n">
        <x:v>14</x:v>
      </x:c>
      <x:c r="X1030" s="14" t="b">
        <x:v>0</x:v>
      </x:c>
      <x:c r="Y1030" s="14" t="b">
        <x:v>0</x:v>
      </x:c>
      <x:c r="Z1030" s="2" t="n">
        <x:f>ABS(T1030-AA1030)</x:f>
        <x:v>0</x:v>
      </x:c>
      <x:c r="AA1030" s="2" t="n">
        <x:v>198</x:v>
      </x:c>
      <x:c r="AB1030" s="2" t="n">
        <x:f>ABS(K1030-W1030)</x:f>
        <x:v>0</x:v>
      </x:c>
      <x:c r="AC1030" s="2" t="n">
        <x:f>COUNTIF($A$2:$A$1921,A1030)-1</x:f>
        <x:v>0</x:v>
      </x:c>
      <x:c r="AD1030" s="2" t="n">
        <x:f>IF(AND(D1030=D1029,H1030=H1029,C1030=C1029+1),ABS(R1030-T1029),0)</x:f>
        <x:v>0</x:v>
      </x:c>
    </x:row>
    <x:row r="1031" ht="23" customHeight="1">
      <x:c r="A1031" s="2" t="str">
        <x:v>DEMO-301-3-10</x:v>
      </x:c>
      <x:c r="B1031" s="15" t="d">
        <x:v>2026-07-06T00:00:00.000Z</x:v>
      </x:c>
      <x:c r="C1031" s="2" t="n">
        <x:v>10</x:v>
      </x:c>
      <x:c r="D1031" s="2" t="str">
        <x:v>DEMO-301</x:v>
      </x:c>
      <x:c r="E1031" s="2" t="str">
        <x:v>Dawn Travel Cup</x:v>
      </x:c>
      <x:c r="F1031" s="2" t="str">
        <x:v>Lifestyle</x:v>
      </x:c>
      <x:c r="G1031" s="2" t="str">
        <x:v>Online</x:v>
      </x:c>
      <x:c r="H1031" s="2" t="str">
        <x:v>Online</x:v>
      </x:c>
      <x:c r="I1031" s="2" t="n">
        <x:v>15</x:v>
      </x:c>
      <x:c r="J1031" s="2" t="n">
        <x:v>1</x:v>
      </x:c>
      <x:c r="K1031" s="2" t="n">
        <x:f>I1031-J1031</x:f>
        <x:v>14</x:v>
      </x:c>
      <x:c r="L1031" s="16" t="n">
        <x:v>24</x:v>
      </x:c>
      <x:c r="M1031" s="16" t="n">
        <x:v>24</x:v>
      </x:c>
      <x:c r="N1031" s="16" t="n">
        <x:v>8.64</x:v>
      </x:c>
      <x:c r="O1031" s="16" t="n">
        <x:f>K1031*M1031</x:f>
        <x:v>336</x:v>
      </x:c>
      <x:c r="P1031" s="16" t="n">
        <x:f>K1031*N1031</x:f>
        <x:v>120.96000000000001</x:v>
      </x:c>
      <x:c r="Q1031" s="16" t="n">
        <x:f>O1031-P1031</x:f>
        <x:v>215.04</x:v>
      </x:c>
      <x:c r="R1031" s="2" t="n">
        <x:v>198</x:v>
      </x:c>
      <x:c r="S1031" s="2" t="n">
        <x:v>0</x:v>
      </x:c>
      <x:c r="T1031" s="2" t="n">
        <x:f>R1031+S1031+J1031-I1031</x:f>
        <x:v>184</x:v>
      </x:c>
      <x:c r="U1031" s="2" t="n">
        <x:v>0</x:v>
      </x:c>
      <x:c r="V1031" s="2" t="n">
        <x:v>2</x:v>
      </x:c>
      <x:c r="W1031" s="2" t="n">
        <x:v>14</x:v>
      </x:c>
      <x:c r="X1031" s="14" t="b">
        <x:v>0</x:v>
      </x:c>
      <x:c r="Y1031" s="14" t="b">
        <x:v>0</x:v>
      </x:c>
      <x:c r="Z1031" s="2" t="n">
        <x:f>ABS(T1031-AA1031)</x:f>
        <x:v>0</x:v>
      </x:c>
      <x:c r="AA1031" s="2" t="n">
        <x:v>184</x:v>
      </x:c>
      <x:c r="AB1031" s="2" t="n">
        <x:f>ABS(K1031-W1031)</x:f>
        <x:v>0</x:v>
      </x:c>
      <x:c r="AC1031" s="2" t="n">
        <x:f>COUNTIF($A$2:$A$1921,A1031)-1</x:f>
        <x:v>0</x:v>
      </x:c>
      <x:c r="AD1031" s="2" t="n">
        <x:f>IF(AND(D1031=D1030,H1031=H1030,C1031=C1030+1),ABS(R1031-T1030),0)</x:f>
        <x:v>0</x:v>
      </x:c>
    </x:row>
    <x:row r="1032" ht="23" customHeight="1">
      <x:c r="A1032" s="2" t="str">
        <x:v>DEMO-301-3-11</x:v>
      </x:c>
      <x:c r="B1032" s="15" t="d">
        <x:v>2026-07-13T00:00:00.000Z</x:v>
      </x:c>
      <x:c r="C1032" s="2" t="n">
        <x:v>11</x:v>
      </x:c>
      <x:c r="D1032" s="2" t="str">
        <x:v>DEMO-301</x:v>
      </x:c>
      <x:c r="E1032" s="2" t="str">
        <x:v>Dawn Travel Cup</x:v>
      </x:c>
      <x:c r="F1032" s="2" t="str">
        <x:v>Lifestyle</x:v>
      </x:c>
      <x:c r="G1032" s="2" t="str">
        <x:v>Online</x:v>
      </x:c>
      <x:c r="H1032" s="2" t="str">
        <x:v>Online</x:v>
      </x:c>
      <x:c r="I1032" s="2" t="n">
        <x:v>16</x:v>
      </x:c>
      <x:c r="J1032" s="2" t="n">
        <x:v>0</x:v>
      </x:c>
      <x:c r="K1032" s="2" t="n">
        <x:f>I1032-J1032</x:f>
        <x:v>16</x:v>
      </x:c>
      <x:c r="L1032" s="16" t="n">
        <x:v>24</x:v>
      </x:c>
      <x:c r="M1032" s="16" t="n">
        <x:v>24</x:v>
      </x:c>
      <x:c r="N1032" s="16" t="n">
        <x:v>8.64</x:v>
      </x:c>
      <x:c r="O1032" s="16" t="n">
        <x:f>K1032*M1032</x:f>
        <x:v>384</x:v>
      </x:c>
      <x:c r="P1032" s="16" t="n">
        <x:f>K1032*N1032</x:f>
        <x:v>138.24</x:v>
      </x:c>
      <x:c r="Q1032" s="16" t="n">
        <x:f>O1032-P1032</x:f>
        <x:v>245.76</x:v>
      </x:c>
      <x:c r="R1032" s="2" t="n">
        <x:v>184</x:v>
      </x:c>
      <x:c r="S1032" s="2" t="n">
        <x:v>0</x:v>
      </x:c>
      <x:c r="T1032" s="2" t="n">
        <x:f>R1032+S1032+J1032-I1032</x:f>
        <x:v>168</x:v>
      </x:c>
      <x:c r="U1032" s="2" t="n">
        <x:v>0</x:v>
      </x:c>
      <x:c r="V1032" s="2" t="n">
        <x:v>2</x:v>
      </x:c>
      <x:c r="W1032" s="2" t="n">
        <x:v>13</x:v>
      </x:c>
      <x:c r="X1032" s="14" t="b">
        <x:v>0</x:v>
      </x:c>
      <x:c r="Y1032" s="14" t="b">
        <x:v>0</x:v>
      </x:c>
      <x:c r="Z1032" s="2" t="n">
        <x:f>ABS(T1032-AA1032)</x:f>
        <x:v>0</x:v>
      </x:c>
      <x:c r="AA1032" s="2" t="n">
        <x:v>168</x:v>
      </x:c>
      <x:c r="AB1032" s="2" t="n">
        <x:f>ABS(K1032-W1032)</x:f>
        <x:v>3</x:v>
      </x:c>
      <x:c r="AC1032" s="2" t="n">
        <x:f>COUNTIF($A$2:$A$1921,A1032)-1</x:f>
        <x:v>0</x:v>
      </x:c>
      <x:c r="AD1032" s="2" t="n">
        <x:f>IF(AND(D1032=D1031,H1032=H1031,C1032=C1031+1),ABS(R1032-T1031),0)</x:f>
        <x:v>0</x:v>
      </x:c>
    </x:row>
    <x:row r="1033" ht="23" customHeight="1">
      <x:c r="A1033" s="2" t="str">
        <x:v>DEMO-301-3-12</x:v>
      </x:c>
      <x:c r="B1033" s="15" t="d">
        <x:v>2026-07-20T00:00:00.000Z</x:v>
      </x:c>
      <x:c r="C1033" s="2" t="n">
        <x:v>12</x:v>
      </x:c>
      <x:c r="D1033" s="2" t="str">
        <x:v>DEMO-301</x:v>
      </x:c>
      <x:c r="E1033" s="2" t="str">
        <x:v>Dawn Travel Cup</x:v>
      </x:c>
      <x:c r="F1033" s="2" t="str">
        <x:v>Lifestyle</x:v>
      </x:c>
      <x:c r="G1033" s="2" t="str">
        <x:v>Online</x:v>
      </x:c>
      <x:c r="H1033" s="2" t="str">
        <x:v>Online</x:v>
      </x:c>
      <x:c r="I1033" s="2" t="n">
        <x:v>14</x:v>
      </x:c>
      <x:c r="J1033" s="2" t="n">
        <x:v>0</x:v>
      </x:c>
      <x:c r="K1033" s="2" t="n">
        <x:f>I1033-J1033</x:f>
        <x:v>14</x:v>
      </x:c>
      <x:c r="L1033" s="16" t="n">
        <x:v>24</x:v>
      </x:c>
      <x:c r="M1033" s="16" t="n">
        <x:v>24</x:v>
      </x:c>
      <x:c r="N1033" s="16" t="n">
        <x:v>8.64</x:v>
      </x:c>
      <x:c r="O1033" s="16" t="n">
        <x:f>K1033*M1033</x:f>
        <x:v>336</x:v>
      </x:c>
      <x:c r="P1033" s="16" t="n">
        <x:f>K1033*N1033</x:f>
        <x:v>120.96000000000001</x:v>
      </x:c>
      <x:c r="Q1033" s="16" t="n">
        <x:f>O1033-P1033</x:f>
        <x:v>215.04</x:v>
      </x:c>
      <x:c r="R1033" s="2" t="n">
        <x:v>168</x:v>
      </x:c>
      <x:c r="S1033" s="2" t="n">
        <x:v>0</x:v>
      </x:c>
      <x:c r="T1033" s="2" t="n">
        <x:f>R1033+S1033+J1033-I1033</x:f>
        <x:v>154</x:v>
      </x:c>
      <x:c r="U1033" s="2" t="n">
        <x:v>0</x:v>
      </x:c>
      <x:c r="V1033" s="2" t="n">
        <x:v>2</x:v>
      </x:c>
      <x:c r="W1033" s="2" t="n">
        <x:v>14</x:v>
      </x:c>
      <x:c r="X1033" s="14" t="b">
        <x:v>0</x:v>
      </x:c>
      <x:c r="Y1033" s="14" t="b">
        <x:v>0</x:v>
      </x:c>
      <x:c r="Z1033" s="2" t="n">
        <x:f>ABS(T1033-AA1033)</x:f>
        <x:v>0</x:v>
      </x:c>
      <x:c r="AA1033" s="2" t="n">
        <x:v>154</x:v>
      </x:c>
      <x:c r="AB1033" s="2" t="n">
        <x:f>ABS(K1033-W1033)</x:f>
        <x:v>0</x:v>
      </x:c>
      <x:c r="AC1033" s="2" t="n">
        <x:f>COUNTIF($A$2:$A$1921,A1033)-1</x:f>
        <x:v>0</x:v>
      </x:c>
      <x:c r="AD1033" s="2" t="n">
        <x:f>IF(AND(D1033=D1032,H1033=H1032,C1033=C1032+1),ABS(R1033-T1032),0)</x:f>
        <x:v>0</x:v>
      </x:c>
    </x:row>
    <x:row r="1034" ht="23" customHeight="1">
      <x:c r="A1034" s="2" t="str">
        <x:v>DEMO-301-3-13</x:v>
      </x:c>
      <x:c r="B1034" s="15" t="d">
        <x:v>2026-07-27T00:00:00.000Z</x:v>
      </x:c>
      <x:c r="C1034" s="2" t="n">
        <x:v>13</x:v>
      </x:c>
      <x:c r="D1034" s="2" t="str">
        <x:v>DEMO-301</x:v>
      </x:c>
      <x:c r="E1034" s="2" t="str">
        <x:v>Dawn Travel Cup</x:v>
      </x:c>
      <x:c r="F1034" s="2" t="str">
        <x:v>Lifestyle</x:v>
      </x:c>
      <x:c r="G1034" s="2" t="str">
        <x:v>Online</x:v>
      </x:c>
      <x:c r="H1034" s="2" t="str">
        <x:v>Online</x:v>
      </x:c>
      <x:c r="I1034" s="2" t="n">
        <x:v>14</x:v>
      </x:c>
      <x:c r="J1034" s="2" t="n">
        <x:v>0</x:v>
      </x:c>
      <x:c r="K1034" s="2" t="n">
        <x:f>I1034-J1034</x:f>
        <x:v>14</x:v>
      </x:c>
      <x:c r="L1034" s="16" t="n">
        <x:v>24</x:v>
      </x:c>
      <x:c r="M1034" s="16" t="n">
        <x:v>24</x:v>
      </x:c>
      <x:c r="N1034" s="16" t="n">
        <x:v>8.64</x:v>
      </x:c>
      <x:c r="O1034" s="16" t="n">
        <x:f>K1034*M1034</x:f>
        <x:v>336</x:v>
      </x:c>
      <x:c r="P1034" s="16" t="n">
        <x:f>K1034*N1034</x:f>
        <x:v>120.96000000000001</x:v>
      </x:c>
      <x:c r="Q1034" s="16" t="n">
        <x:f>O1034-P1034</x:f>
        <x:v>215.04</x:v>
      </x:c>
      <x:c r="R1034" s="2" t="n">
        <x:v>154</x:v>
      </x:c>
      <x:c r="S1034" s="2" t="n">
        <x:v>65</x:v>
      </x:c>
      <x:c r="T1034" s="2" t="n">
        <x:f>R1034+S1034+J1034-I1034</x:f>
        <x:v>205</x:v>
      </x:c>
      <x:c r="U1034" s="2" t="n">
        <x:v>0</x:v>
      </x:c>
      <x:c r="V1034" s="2" t="n">
        <x:v>2</x:v>
      </x:c>
      <x:c r="W1034" s="2" t="n">
        <x:v>15</x:v>
      </x:c>
      <x:c r="X1034" s="14" t="b">
        <x:v>0</x:v>
      </x:c>
      <x:c r="Y1034" s="14" t="b">
        <x:v>0</x:v>
      </x:c>
      <x:c r="Z1034" s="2" t="n">
        <x:f>ABS(T1034-AA1034)</x:f>
        <x:v>0</x:v>
      </x:c>
      <x:c r="AA1034" s="2" t="n">
        <x:v>205</x:v>
      </x:c>
      <x:c r="AB1034" s="2" t="n">
        <x:f>ABS(K1034-W1034)</x:f>
        <x:v>1</x:v>
      </x:c>
      <x:c r="AC1034" s="2" t="n">
        <x:f>COUNTIF($A$2:$A$1921,A1034)-1</x:f>
        <x:v>0</x:v>
      </x:c>
      <x:c r="AD1034" s="2" t="n">
        <x:f>IF(AND(D1034=D1033,H1034=H1033,C1034=C1033+1),ABS(R1034-T1033),0)</x:f>
        <x:v>0</x:v>
      </x:c>
    </x:row>
    <x:row r="1035" ht="23" customHeight="1">
      <x:c r="A1035" s="2" t="str">
        <x:v>DEMO-301-3-14</x:v>
      </x:c>
      <x:c r="B1035" s="15" t="d">
        <x:v>2026-08-03T00:00:00.000Z</x:v>
      </x:c>
      <x:c r="C1035" s="2" t="n">
        <x:v>14</x:v>
      </x:c>
      <x:c r="D1035" s="2" t="str">
        <x:v>DEMO-301</x:v>
      </x:c>
      <x:c r="E1035" s="2" t="str">
        <x:v>Dawn Travel Cup</x:v>
      </x:c>
      <x:c r="F1035" s="2" t="str">
        <x:v>Lifestyle</x:v>
      </x:c>
      <x:c r="G1035" s="2" t="str">
        <x:v>Online</x:v>
      </x:c>
      <x:c r="H1035" s="2" t="str">
        <x:v>Online</x:v>
      </x:c>
      <x:c r="I1035" s="2" t="n">
        <x:v>13</x:v>
      </x:c>
      <x:c r="J1035" s="2" t="n">
        <x:v>0</x:v>
      </x:c>
      <x:c r="K1035" s="2" t="n">
        <x:f>I1035-J1035</x:f>
        <x:v>13</x:v>
      </x:c>
      <x:c r="L1035" s="16" t="n">
        <x:v>24</x:v>
      </x:c>
      <x:c r="M1035" s="16" t="n">
        <x:v>24</x:v>
      </x:c>
      <x:c r="N1035" s="16" t="n">
        <x:v>8.64</x:v>
      </x:c>
      <x:c r="O1035" s="16" t="n">
        <x:f>K1035*M1035</x:f>
        <x:v>312</x:v>
      </x:c>
      <x:c r="P1035" s="16" t="n">
        <x:f>K1035*N1035</x:f>
        <x:v>112.32000000000001</x:v>
      </x:c>
      <x:c r="Q1035" s="16" t="n">
        <x:f>O1035-P1035</x:f>
        <x:v>199.68</x:v>
      </x:c>
      <x:c r="R1035" s="2" t="n">
        <x:v>205</x:v>
      </x:c>
      <x:c r="S1035" s="2" t="n">
        <x:v>0</x:v>
      </x:c>
      <x:c r="T1035" s="2" t="n">
        <x:f>R1035+S1035+J1035-I1035</x:f>
        <x:v>192</x:v>
      </x:c>
      <x:c r="U1035" s="2" t="n">
        <x:v>0</x:v>
      </x:c>
      <x:c r="V1035" s="2" t="n">
        <x:v>2</x:v>
      </x:c>
      <x:c r="W1035" s="2" t="n">
        <x:v>15</x:v>
      </x:c>
      <x:c r="X1035" s="14" t="b">
        <x:v>0</x:v>
      </x:c>
      <x:c r="Y1035" s="14" t="b">
        <x:v>0</x:v>
      </x:c>
      <x:c r="Z1035" s="2" t="n">
        <x:f>ABS(T1035-AA1035)</x:f>
        <x:v>0</x:v>
      </x:c>
      <x:c r="AA1035" s="2" t="n">
        <x:v>192</x:v>
      </x:c>
      <x:c r="AB1035" s="2" t="n">
        <x:f>ABS(K1035-W1035)</x:f>
        <x:v>2</x:v>
      </x:c>
      <x:c r="AC1035" s="2" t="n">
        <x:f>COUNTIF($A$2:$A$1921,A1035)-1</x:f>
        <x:v>0</x:v>
      </x:c>
      <x:c r="AD1035" s="2" t="n">
        <x:f>IF(AND(D1035=D1034,H1035=H1034,C1035=C1034+1),ABS(R1035-T1034),0)</x:f>
        <x:v>0</x:v>
      </x:c>
    </x:row>
    <x:row r="1036" ht="23" customHeight="1">
      <x:c r="A1036" s="2" t="str">
        <x:v>DEMO-301-3-15</x:v>
      </x:c>
      <x:c r="B1036" s="15" t="d">
        <x:v>2026-08-10T00:00:00.000Z</x:v>
      </x:c>
      <x:c r="C1036" s="2" t="n">
        <x:v>15</x:v>
      </x:c>
      <x:c r="D1036" s="2" t="str">
        <x:v>DEMO-301</x:v>
      </x:c>
      <x:c r="E1036" s="2" t="str">
        <x:v>Dawn Travel Cup</x:v>
      </x:c>
      <x:c r="F1036" s="2" t="str">
        <x:v>Lifestyle</x:v>
      </x:c>
      <x:c r="G1036" s="2" t="str">
        <x:v>Online</x:v>
      </x:c>
      <x:c r="H1036" s="2" t="str">
        <x:v>Online</x:v>
      </x:c>
      <x:c r="I1036" s="2" t="n">
        <x:v>12</x:v>
      </x:c>
      <x:c r="J1036" s="2" t="n">
        <x:v>0</x:v>
      </x:c>
      <x:c r="K1036" s="2" t="n">
        <x:f>I1036-J1036</x:f>
        <x:v>12</x:v>
      </x:c>
      <x:c r="L1036" s="16" t="n">
        <x:v>24</x:v>
      </x:c>
      <x:c r="M1036" s="16" t="n">
        <x:v>24</x:v>
      </x:c>
      <x:c r="N1036" s="16" t="n">
        <x:v>8.64</x:v>
      </x:c>
      <x:c r="O1036" s="16" t="n">
        <x:f>K1036*M1036</x:f>
        <x:v>288</x:v>
      </x:c>
      <x:c r="P1036" s="16" t="n">
        <x:f>K1036*N1036</x:f>
        <x:v>103.68</x:v>
      </x:c>
      <x:c r="Q1036" s="16" t="n">
        <x:f>O1036-P1036</x:f>
        <x:v>184.32</x:v>
      </x:c>
      <x:c r="R1036" s="2" t="n">
        <x:v>192</x:v>
      </x:c>
      <x:c r="S1036" s="2" t="n">
        <x:v>0</x:v>
      </x:c>
      <x:c r="T1036" s="2" t="n">
        <x:f>R1036+S1036+J1036-I1036</x:f>
        <x:v>180</x:v>
      </x:c>
      <x:c r="U1036" s="2" t="n">
        <x:v>0</x:v>
      </x:c>
      <x:c r="V1036" s="2" t="n">
        <x:v>2</x:v>
      </x:c>
      <x:c r="W1036" s="2" t="n">
        <x:v>14</x:v>
      </x:c>
      <x:c r="X1036" s="14" t="b">
        <x:v>0</x:v>
      </x:c>
      <x:c r="Y1036" s="14" t="b">
        <x:v>0</x:v>
      </x:c>
      <x:c r="Z1036" s="2" t="n">
        <x:f>ABS(T1036-AA1036)</x:f>
        <x:v>0</x:v>
      </x:c>
      <x:c r="AA1036" s="2" t="n">
        <x:v>180</x:v>
      </x:c>
      <x:c r="AB1036" s="2" t="n">
        <x:f>ABS(K1036-W1036)</x:f>
        <x:v>2</x:v>
      </x:c>
      <x:c r="AC1036" s="2" t="n">
        <x:f>COUNTIF($A$2:$A$1921,A1036)-1</x:f>
        <x:v>0</x:v>
      </x:c>
      <x:c r="AD1036" s="2" t="n">
        <x:f>IF(AND(D1036=D1035,H1036=H1035,C1036=C1035+1),ABS(R1036-T1035),0)</x:f>
        <x:v>0</x:v>
      </x:c>
    </x:row>
    <x:row r="1037" ht="23" customHeight="1">
      <x:c r="A1037" s="2" t="str">
        <x:v>DEMO-301-3-16</x:v>
      </x:c>
      <x:c r="B1037" s="15" t="d">
        <x:v>2026-08-17T00:00:00.000Z</x:v>
      </x:c>
      <x:c r="C1037" s="2" t="n">
        <x:v>16</x:v>
      </x:c>
      <x:c r="D1037" s="2" t="str">
        <x:v>DEMO-301</x:v>
      </x:c>
      <x:c r="E1037" s="2" t="str">
        <x:v>Dawn Travel Cup</x:v>
      </x:c>
      <x:c r="F1037" s="2" t="str">
        <x:v>Lifestyle</x:v>
      </x:c>
      <x:c r="G1037" s="2" t="str">
        <x:v>Online</x:v>
      </x:c>
      <x:c r="H1037" s="2" t="str">
        <x:v>Online</x:v>
      </x:c>
      <x:c r="I1037" s="2" t="n">
        <x:v>9</x:v>
      </x:c>
      <x:c r="J1037" s="2" t="n">
        <x:v>1</x:v>
      </x:c>
      <x:c r="K1037" s="2" t="n">
        <x:f>I1037-J1037</x:f>
        <x:v>8</x:v>
      </x:c>
      <x:c r="L1037" s="16" t="n">
        <x:v>24</x:v>
      </x:c>
      <x:c r="M1037" s="16" t="n">
        <x:v>24</x:v>
      </x:c>
      <x:c r="N1037" s="16" t="n">
        <x:v>8.64</x:v>
      </x:c>
      <x:c r="O1037" s="16" t="n">
        <x:f>K1037*M1037</x:f>
        <x:v>192</x:v>
      </x:c>
      <x:c r="P1037" s="16" t="n">
        <x:f>K1037*N1037</x:f>
        <x:v>69.12</x:v>
      </x:c>
      <x:c r="Q1037" s="16" t="n">
        <x:f>O1037-P1037</x:f>
        <x:v>122.88</x:v>
      </x:c>
      <x:c r="R1037" s="2" t="n">
        <x:v>180</x:v>
      </x:c>
      <x:c r="S1037" s="2" t="n">
        <x:v>0</x:v>
      </x:c>
      <x:c r="T1037" s="2" t="n">
        <x:f>R1037+S1037+J1037-I1037</x:f>
        <x:v>172</x:v>
      </x:c>
      <x:c r="U1037" s="2" t="n">
        <x:v>0</x:v>
      </x:c>
      <x:c r="V1037" s="2" t="n">
        <x:v>2</x:v>
      </x:c>
      <x:c r="W1037" s="2" t="n">
        <x:v>13</x:v>
      </x:c>
      <x:c r="X1037" s="14" t="b">
        <x:v>0</x:v>
      </x:c>
      <x:c r="Y1037" s="14" t="b">
        <x:v>0</x:v>
      </x:c>
      <x:c r="Z1037" s="2" t="n">
        <x:f>ABS(T1037-AA1037)</x:f>
        <x:v>0</x:v>
      </x:c>
      <x:c r="AA1037" s="2" t="n">
        <x:v>172</x:v>
      </x:c>
      <x:c r="AB1037" s="2" t="n">
        <x:f>ABS(K1037-W1037)</x:f>
        <x:v>5</x:v>
      </x:c>
      <x:c r="AC1037" s="2" t="n">
        <x:f>COUNTIF($A$2:$A$1921,A1037)-1</x:f>
        <x:v>0</x:v>
      </x:c>
      <x:c r="AD1037" s="2" t="n">
        <x:f>IF(AND(D1037=D1036,H1037=H1036,C1037=C1036+1),ABS(R1037-T1036),0)</x:f>
        <x:v>0</x:v>
      </x:c>
    </x:row>
    <x:row r="1038" ht="23" customHeight="1">
      <x:c r="A1038" s="2" t="str">
        <x:v>DEMO-301-3-17</x:v>
      </x:c>
      <x:c r="B1038" s="15" t="d">
        <x:v>2026-08-24T00:00:00.000Z</x:v>
      </x:c>
      <x:c r="C1038" s="2" t="n">
        <x:v>17</x:v>
      </x:c>
      <x:c r="D1038" s="2" t="str">
        <x:v>DEMO-301</x:v>
      </x:c>
      <x:c r="E1038" s="2" t="str">
        <x:v>Dawn Travel Cup</x:v>
      </x:c>
      <x:c r="F1038" s="2" t="str">
        <x:v>Lifestyle</x:v>
      </x:c>
      <x:c r="G1038" s="2" t="str">
        <x:v>Online</x:v>
      </x:c>
      <x:c r="H1038" s="2" t="str">
        <x:v>Online</x:v>
      </x:c>
      <x:c r="I1038" s="2" t="n">
        <x:v>14</x:v>
      </x:c>
      <x:c r="J1038" s="2" t="n">
        <x:v>0</x:v>
      </x:c>
      <x:c r="K1038" s="2" t="n">
        <x:f>I1038-J1038</x:f>
        <x:v>14</x:v>
      </x:c>
      <x:c r="L1038" s="16" t="n">
        <x:v>24</x:v>
      </x:c>
      <x:c r="M1038" s="16" t="n">
        <x:v>19.2</x:v>
      </x:c>
      <x:c r="N1038" s="16" t="n">
        <x:v>8.64</x:v>
      </x:c>
      <x:c r="O1038" s="16" t="n">
        <x:f>K1038*M1038</x:f>
        <x:v>268.8</x:v>
      </x:c>
      <x:c r="P1038" s="16" t="n">
        <x:f>K1038*N1038</x:f>
        <x:v>120.96000000000001</x:v>
      </x:c>
      <x:c r="Q1038" s="16" t="n">
        <x:f>O1038-P1038</x:f>
        <x:v>147.84</x:v>
      </x:c>
      <x:c r="R1038" s="2" t="n">
        <x:v>172</x:v>
      </x:c>
      <x:c r="S1038" s="2" t="n">
        <x:v>65</x:v>
      </x:c>
      <x:c r="T1038" s="2" t="n">
        <x:f>R1038+S1038+J1038-I1038</x:f>
        <x:v>223</x:v>
      </x:c>
      <x:c r="U1038" s="2" t="n">
        <x:v>0</x:v>
      </x:c>
      <x:c r="V1038" s="2" t="n">
        <x:v>2</x:v>
      </x:c>
      <x:c r="W1038" s="2" t="n">
        <x:v>12</x:v>
      </x:c>
      <x:c r="X1038" s="14" t="b">
        <x:v>0</x:v>
      </x:c>
      <x:c r="Y1038" s="14" t="b">
        <x:v>1</x:v>
      </x:c>
      <x:c r="Z1038" s="2" t="n">
        <x:f>ABS(T1038-AA1038)</x:f>
        <x:v>0</x:v>
      </x:c>
      <x:c r="AA1038" s="2" t="n">
        <x:v>223</x:v>
      </x:c>
      <x:c r="AB1038" s="2" t="n">
        <x:f>ABS(K1038-W1038)</x:f>
        <x:v>2</x:v>
      </x:c>
      <x:c r="AC1038" s="2" t="n">
        <x:f>COUNTIF($A$2:$A$1921,A1038)-1</x:f>
        <x:v>0</x:v>
      </x:c>
      <x:c r="AD1038" s="2" t="n">
        <x:f>IF(AND(D1038=D1037,H1038=H1037,C1038=C1037+1),ABS(R1038-T1037),0)</x:f>
        <x:v>0</x:v>
      </x:c>
    </x:row>
    <x:row r="1039" ht="23" customHeight="1">
      <x:c r="A1039" s="2" t="str">
        <x:v>DEMO-301-3-18</x:v>
      </x:c>
      <x:c r="B1039" s="15" t="d">
        <x:v>2026-08-31T00:00:00.000Z</x:v>
      </x:c>
      <x:c r="C1039" s="2" t="n">
        <x:v>18</x:v>
      </x:c>
      <x:c r="D1039" s="2" t="str">
        <x:v>DEMO-301</x:v>
      </x:c>
      <x:c r="E1039" s="2" t="str">
        <x:v>Dawn Travel Cup</x:v>
      </x:c>
      <x:c r="F1039" s="2" t="str">
        <x:v>Lifestyle</x:v>
      </x:c>
      <x:c r="G1039" s="2" t="str">
        <x:v>Online</x:v>
      </x:c>
      <x:c r="H1039" s="2" t="str">
        <x:v>Online</x:v>
      </x:c>
      <x:c r="I1039" s="2" t="n">
        <x:v>10</x:v>
      </x:c>
      <x:c r="J1039" s="2" t="n">
        <x:v>1</x:v>
      </x:c>
      <x:c r="K1039" s="2" t="n">
        <x:f>I1039-J1039</x:f>
        <x:v>9</x:v>
      </x:c>
      <x:c r="L1039" s="16" t="n">
        <x:v>24</x:v>
      </x:c>
      <x:c r="M1039" s="16" t="n">
        <x:v>19.2</x:v>
      </x:c>
      <x:c r="N1039" s="16" t="n">
        <x:v>8.64</x:v>
      </x:c>
      <x:c r="O1039" s="16" t="n">
        <x:f>K1039*M1039</x:f>
        <x:v>172.79999999999998</x:v>
      </x:c>
      <x:c r="P1039" s="16" t="n">
        <x:f>K1039*N1039</x:f>
        <x:v>77.76</x:v>
      </x:c>
      <x:c r="Q1039" s="16" t="n">
        <x:f>O1039-P1039</x:f>
        <x:v>95.03999999999998</x:v>
      </x:c>
      <x:c r="R1039" s="2" t="n">
        <x:v>223</x:v>
      </x:c>
      <x:c r="S1039" s="2" t="n">
        <x:v>0</x:v>
      </x:c>
      <x:c r="T1039" s="2" t="n">
        <x:f>R1039+S1039+J1039-I1039</x:f>
        <x:v>214</x:v>
      </x:c>
      <x:c r="U1039" s="2" t="n">
        <x:v>0</x:v>
      </x:c>
      <x:c r="V1039" s="2" t="n">
        <x:v>2</x:v>
      </x:c>
      <x:c r="W1039" s="2" t="n">
        <x:v>12</x:v>
      </x:c>
      <x:c r="X1039" s="14" t="b">
        <x:v>0</x:v>
      </x:c>
      <x:c r="Y1039" s="14" t="b">
        <x:v>1</x:v>
      </x:c>
      <x:c r="Z1039" s="2" t="n">
        <x:f>ABS(T1039-AA1039)</x:f>
        <x:v>0</x:v>
      </x:c>
      <x:c r="AA1039" s="2" t="n">
        <x:v>214</x:v>
      </x:c>
      <x:c r="AB1039" s="2" t="n">
        <x:f>ABS(K1039-W1039)</x:f>
        <x:v>3</x:v>
      </x:c>
      <x:c r="AC1039" s="2" t="n">
        <x:f>COUNTIF($A$2:$A$1921,A1039)-1</x:f>
        <x:v>0</x:v>
      </x:c>
      <x:c r="AD1039" s="2" t="n">
        <x:f>IF(AND(D1039=D1038,H1039=H1038,C1039=C1038+1),ABS(R1039-T1038),0)</x:f>
        <x:v>0</x:v>
      </x:c>
    </x:row>
    <x:row r="1040" ht="23" customHeight="1">
      <x:c r="A1040" s="2" t="str">
        <x:v>DEMO-301-3-19</x:v>
      </x:c>
      <x:c r="B1040" s="15" t="d">
        <x:v>2026-09-07T00:00:00.000Z</x:v>
      </x:c>
      <x:c r="C1040" s="2" t="n">
        <x:v>19</x:v>
      </x:c>
      <x:c r="D1040" s="2" t="str">
        <x:v>DEMO-301</x:v>
      </x:c>
      <x:c r="E1040" s="2" t="str">
        <x:v>Dawn Travel Cup</x:v>
      </x:c>
      <x:c r="F1040" s="2" t="str">
        <x:v>Lifestyle</x:v>
      </x:c>
      <x:c r="G1040" s="2" t="str">
        <x:v>Online</x:v>
      </x:c>
      <x:c r="H1040" s="2" t="str">
        <x:v>Online</x:v>
      </x:c>
      <x:c r="I1040" s="2" t="n">
        <x:v>11</x:v>
      </x:c>
      <x:c r="J1040" s="2" t="n">
        <x:v>0</x:v>
      </x:c>
      <x:c r="K1040" s="2" t="n">
        <x:f>I1040-J1040</x:f>
        <x:v>11</x:v>
      </x:c>
      <x:c r="L1040" s="16" t="n">
        <x:v>24</x:v>
      </x:c>
      <x:c r="M1040" s="16" t="n">
        <x:v>19.2</x:v>
      </x:c>
      <x:c r="N1040" s="16" t="n">
        <x:v>8.64</x:v>
      </x:c>
      <x:c r="O1040" s="16" t="n">
        <x:f>K1040*M1040</x:f>
        <x:v>211.2</x:v>
      </x:c>
      <x:c r="P1040" s="16" t="n">
        <x:f>K1040*N1040</x:f>
        <x:v>95.04</x:v>
      </x:c>
      <x:c r="Q1040" s="16" t="n">
        <x:f>O1040-P1040</x:f>
        <x:v>116.15999999999998</x:v>
      </x:c>
      <x:c r="R1040" s="2" t="n">
        <x:v>214</x:v>
      </x:c>
      <x:c r="S1040" s="2" t="n">
        <x:v>0</x:v>
      </x:c>
      <x:c r="T1040" s="2" t="n">
        <x:f>R1040+S1040+J1040-I1040</x:f>
        <x:v>203</x:v>
      </x:c>
      <x:c r="U1040" s="2" t="n">
        <x:v>0</x:v>
      </x:c>
      <x:c r="V1040" s="2" t="n">
        <x:v>2</x:v>
      </x:c>
      <x:c r="W1040" s="2" t="n">
        <x:v>11</x:v>
      </x:c>
      <x:c r="X1040" s="14" t="b">
        <x:v>0</x:v>
      </x:c>
      <x:c r="Y1040" s="14" t="b">
        <x:v>1</x:v>
      </x:c>
      <x:c r="Z1040" s="2" t="n">
        <x:f>ABS(T1040-AA1040)</x:f>
        <x:v>0</x:v>
      </x:c>
      <x:c r="AA1040" s="2" t="n">
        <x:v>203</x:v>
      </x:c>
      <x:c r="AB1040" s="2" t="n">
        <x:f>ABS(K1040-W1040)</x:f>
        <x:v>0</x:v>
      </x:c>
      <x:c r="AC1040" s="2" t="n">
        <x:f>COUNTIF($A$2:$A$1921,A1040)-1</x:f>
        <x:v>0</x:v>
      </x:c>
      <x:c r="AD1040" s="2" t="n">
        <x:f>IF(AND(D1040=D1039,H1040=H1039,C1040=C1039+1),ABS(R1040-T1039),0)</x:f>
        <x:v>0</x:v>
      </x:c>
    </x:row>
    <x:row r="1041" ht="23" customHeight="1">
      <x:c r="A1041" s="2" t="str">
        <x:v>DEMO-301-3-20</x:v>
      </x:c>
      <x:c r="B1041" s="15" t="d">
        <x:v>2026-09-14T00:00:00.000Z</x:v>
      </x:c>
      <x:c r="C1041" s="2" t="n">
        <x:v>20</x:v>
      </x:c>
      <x:c r="D1041" s="2" t="str">
        <x:v>DEMO-301</x:v>
      </x:c>
      <x:c r="E1041" s="2" t="str">
        <x:v>Dawn Travel Cup</x:v>
      </x:c>
      <x:c r="F1041" s="2" t="str">
        <x:v>Lifestyle</x:v>
      </x:c>
      <x:c r="G1041" s="2" t="str">
        <x:v>Online</x:v>
      </x:c>
      <x:c r="H1041" s="2" t="str">
        <x:v>Online</x:v>
      </x:c>
      <x:c r="I1041" s="2" t="n">
        <x:v>9</x:v>
      </x:c>
      <x:c r="J1041" s="2" t="n">
        <x:v>1</x:v>
      </x:c>
      <x:c r="K1041" s="2" t="n">
        <x:f>I1041-J1041</x:f>
        <x:v>8</x:v>
      </x:c>
      <x:c r="L1041" s="16" t="n">
        <x:v>24</x:v>
      </x:c>
      <x:c r="M1041" s="16" t="n">
        <x:v>19.2</x:v>
      </x:c>
      <x:c r="N1041" s="16" t="n">
        <x:v>8.64</x:v>
      </x:c>
      <x:c r="O1041" s="16" t="n">
        <x:f>K1041*M1041</x:f>
        <x:v>153.6</x:v>
      </x:c>
      <x:c r="P1041" s="16" t="n">
        <x:f>K1041*N1041</x:f>
        <x:v>69.12</x:v>
      </x:c>
      <x:c r="Q1041" s="16" t="n">
        <x:f>O1041-P1041</x:f>
        <x:v>84.47999999999999</x:v>
      </x:c>
      <x:c r="R1041" s="2" t="n">
        <x:v>203</x:v>
      </x:c>
      <x:c r="S1041" s="2" t="n">
        <x:v>0</x:v>
      </x:c>
      <x:c r="T1041" s="2" t="n">
        <x:f>R1041+S1041+J1041-I1041</x:f>
        <x:v>195</x:v>
      </x:c>
      <x:c r="U1041" s="2" t="n">
        <x:v>24</x:v>
      </x:c>
      <x:c r="V1041" s="2" t="n">
        <x:v>2</x:v>
      </x:c>
      <x:c r="W1041" s="2" t="n">
        <x:v>11</x:v>
      </x:c>
      <x:c r="X1041" s="14" t="b">
        <x:v>0</x:v>
      </x:c>
      <x:c r="Y1041" s="14" t="b">
        <x:v>1</x:v>
      </x:c>
      <x:c r="Z1041" s="2" t="n">
        <x:f>ABS(T1041-AA1041)</x:f>
        <x:v>0</x:v>
      </x:c>
      <x:c r="AA1041" s="2" t="n">
        <x:v>195</x:v>
      </x:c>
      <x:c r="AB1041" s="2" t="n">
        <x:f>ABS(K1041-W1041)</x:f>
        <x:v>3</x:v>
      </x:c>
      <x:c r="AC1041" s="2" t="n">
        <x:f>COUNTIF($A$2:$A$1921,A1041)-1</x:f>
        <x:v>0</x:v>
      </x:c>
      <x:c r="AD1041" s="2" t="n">
        <x:f>IF(AND(D1041=D1040,H1041=H1040,C1041=C1040+1),ABS(R1041-T1040),0)</x:f>
        <x:v>0</x:v>
      </x:c>
    </x:row>
    <x:row r="1042" ht="23" customHeight="1">
      <x:c r="A1042" s="2" t="str">
        <x:v>DEMO-302-0-1</x:v>
      </x:c>
      <x:c r="B1042" s="15" t="d">
        <x:v>2026-05-04T00:00:00.000Z</x:v>
      </x:c>
      <x:c r="C1042" s="2" t="n">
        <x:v>1</x:v>
      </x:c>
      <x:c r="D1042" s="2" t="str">
        <x:v>DEMO-302</x:v>
      </x:c>
      <x:c r="E1042" s="2" t="str">
        <x:v>Soft Glow Lamp</x:v>
      </x:c>
      <x:c r="F1042" s="2" t="str">
        <x:v>Lifestyle</x:v>
      </x:c>
      <x:c r="G1042" s="2" t="str">
        <x:v>Stores</x:v>
      </x:c>
      <x:c r="H1042" s="2" t="str">
        <x:v>North Arcade</x:v>
      </x:c>
      <x:c r="I1042" s="2" t="n">
        <x:v>15</x:v>
      </x:c>
      <x:c r="J1042" s="2" t="n">
        <x:v>0</x:v>
      </x:c>
      <x:c r="K1042" s="2" t="n">
        <x:f>I1042-J1042</x:f>
        <x:v>15</x:v>
      </x:c>
      <x:c r="L1042" s="16" t="n">
        <x:v>26</x:v>
      </x:c>
      <x:c r="M1042" s="16" t="n">
        <x:v>26</x:v>
      </x:c>
      <x:c r="N1042" s="16" t="n">
        <x:v>10.01</x:v>
      </x:c>
      <x:c r="O1042" s="16" t="n">
        <x:f>K1042*M1042</x:f>
        <x:v>390</x:v>
      </x:c>
      <x:c r="P1042" s="16" t="n">
        <x:f>K1042*N1042</x:f>
        <x:v>150.15</x:v>
      </x:c>
      <x:c r="Q1042" s="16" t="n">
        <x:f>O1042-P1042</x:f>
        <x:v>239.85</x:v>
      </x:c>
      <x:c r="R1042" s="2" t="n">
        <x:v>140</x:v>
      </x:c>
      <x:c r="S1042" s="2" t="n">
        <x:v>65</x:v>
      </x:c>
      <x:c r="T1042" s="2" t="n">
        <x:f>R1042+S1042+J1042-I1042</x:f>
        <x:v>190</x:v>
      </x:c>
      <x:c r="U1042" s="2" t="n">
        <x:v>0</x:v>
      </x:c>
      <x:c r="V1042" s="2" t="n">
        <x:v>3</x:v>
      </x:c>
      <x:c r="W1042" s="2" t="n">
        <x:v>14</x:v>
      </x:c>
      <x:c r="X1042" s="14" t="b">
        <x:v>0</x:v>
      </x:c>
      <x:c r="Y1042" s="14" t="b">
        <x:v>0</x:v>
      </x:c>
      <x:c r="Z1042" s="2" t="n">
        <x:f>ABS(T1042-AA1042)</x:f>
        <x:v>0</x:v>
      </x:c>
      <x:c r="AA1042" s="2" t="n">
        <x:v>190</x:v>
      </x:c>
      <x:c r="AB1042" s="2" t="n">
        <x:f>ABS(K1042-W1042)</x:f>
        <x:v>1</x:v>
      </x:c>
      <x:c r="AC1042" s="2" t="n">
        <x:f>COUNTIF($A$2:$A$1921,A1042)-1</x:f>
        <x:v>0</x:v>
      </x:c>
      <x:c r="AD1042" s="2" t="n">
        <x:f>IF(AND(D1042=D1041,H1042=H1041,C1042=C1041+1),ABS(R1042-T1041),0)</x:f>
        <x:v>0</x:v>
      </x:c>
    </x:row>
    <x:row r="1043" ht="23" customHeight="1">
      <x:c r="A1043" s="2" t="str">
        <x:v>DEMO-302-0-2</x:v>
      </x:c>
      <x:c r="B1043" s="15" t="d">
        <x:v>2026-05-11T00:00:00.000Z</x:v>
      </x:c>
      <x:c r="C1043" s="2" t="n">
        <x:v>2</x:v>
      </x:c>
      <x:c r="D1043" s="2" t="str">
        <x:v>DEMO-302</x:v>
      </x:c>
      <x:c r="E1043" s="2" t="str">
        <x:v>Soft Glow Lamp</x:v>
      </x:c>
      <x:c r="F1043" s="2" t="str">
        <x:v>Lifestyle</x:v>
      </x:c>
      <x:c r="G1043" s="2" t="str">
        <x:v>Stores</x:v>
      </x:c>
      <x:c r="H1043" s="2" t="str">
        <x:v>North Arcade</x:v>
      </x:c>
      <x:c r="I1043" s="2" t="n">
        <x:v>13</x:v>
      </x:c>
      <x:c r="J1043" s="2" t="n">
        <x:v>0</x:v>
      </x:c>
      <x:c r="K1043" s="2" t="n">
        <x:f>I1043-J1043</x:f>
        <x:v>13</x:v>
      </x:c>
      <x:c r="L1043" s="16" t="n">
        <x:v>26</x:v>
      </x:c>
      <x:c r="M1043" s="16" t="n">
        <x:v>26</x:v>
      </x:c>
      <x:c r="N1043" s="16" t="n">
        <x:v>10.01</x:v>
      </x:c>
      <x:c r="O1043" s="16" t="n">
        <x:f>K1043*M1043</x:f>
        <x:v>338</x:v>
      </x:c>
      <x:c r="P1043" s="16" t="n">
        <x:f>K1043*N1043</x:f>
        <x:v>130.13</x:v>
      </x:c>
      <x:c r="Q1043" s="16" t="n">
        <x:f>O1043-P1043</x:f>
        <x:v>207.87</x:v>
      </x:c>
      <x:c r="R1043" s="2" t="n">
        <x:v>190</x:v>
      </x:c>
      <x:c r="S1043" s="2" t="n">
        <x:v>0</x:v>
      </x:c>
      <x:c r="T1043" s="2" t="n">
        <x:f>R1043+S1043+J1043-I1043</x:f>
        <x:v>177</x:v>
      </x:c>
      <x:c r="U1043" s="2" t="n">
        <x:v>0</x:v>
      </x:c>
      <x:c r="V1043" s="2" t="n">
        <x:v>3</x:v>
      </x:c>
      <x:c r="W1043" s="2" t="n">
        <x:v>15</x:v>
      </x:c>
      <x:c r="X1043" s="14" t="b">
        <x:v>0</x:v>
      </x:c>
      <x:c r="Y1043" s="14" t="b">
        <x:v>0</x:v>
      </x:c>
      <x:c r="Z1043" s="2" t="n">
        <x:f>ABS(T1043-AA1043)</x:f>
        <x:v>0</x:v>
      </x:c>
      <x:c r="AA1043" s="2" t="n">
        <x:v>177</x:v>
      </x:c>
      <x:c r="AB1043" s="2" t="n">
        <x:f>ABS(K1043-W1043)</x:f>
        <x:v>2</x:v>
      </x:c>
      <x:c r="AC1043" s="2" t="n">
        <x:f>COUNTIF($A$2:$A$1921,A1043)-1</x:f>
        <x:v>0</x:v>
      </x:c>
      <x:c r="AD1043" s="2" t="n">
        <x:f>IF(AND(D1043=D1042,H1043=H1042,C1043=C1042+1),ABS(R1043-T1042),0)</x:f>
        <x:v>0</x:v>
      </x:c>
    </x:row>
    <x:row r="1044" ht="23" customHeight="1">
      <x:c r="A1044" s="2" t="str">
        <x:v>DEMO-302-0-3</x:v>
      </x:c>
      <x:c r="B1044" s="15" t="d">
        <x:v>2026-05-18T00:00:00.000Z</x:v>
      </x:c>
      <x:c r="C1044" s="2" t="n">
        <x:v>3</x:v>
      </x:c>
      <x:c r="D1044" s="2" t="str">
        <x:v>DEMO-302</x:v>
      </x:c>
      <x:c r="E1044" s="2" t="str">
        <x:v>Soft Glow Lamp</x:v>
      </x:c>
      <x:c r="F1044" s="2" t="str">
        <x:v>Lifestyle</x:v>
      </x:c>
      <x:c r="G1044" s="2" t="str">
        <x:v>Stores</x:v>
      </x:c>
      <x:c r="H1044" s="2" t="str">
        <x:v>North Arcade</x:v>
      </x:c>
      <x:c r="I1044" s="2" t="n">
        <x:v>14</x:v>
      </x:c>
      <x:c r="J1044" s="2" t="n">
        <x:v>0</x:v>
      </x:c>
      <x:c r="K1044" s="2" t="n">
        <x:f>I1044-J1044</x:f>
        <x:v>14</x:v>
      </x:c>
      <x:c r="L1044" s="16" t="n">
        <x:v>26</x:v>
      </x:c>
      <x:c r="M1044" s="16" t="n">
        <x:v>26</x:v>
      </x:c>
      <x:c r="N1044" s="16" t="n">
        <x:v>10.01</x:v>
      </x:c>
      <x:c r="O1044" s="16" t="n">
        <x:f>K1044*M1044</x:f>
        <x:v>364</x:v>
      </x:c>
      <x:c r="P1044" s="16" t="n">
        <x:f>K1044*N1044</x:f>
        <x:v>140.14</x:v>
      </x:c>
      <x:c r="Q1044" s="16" t="n">
        <x:f>O1044-P1044</x:f>
        <x:v>223.86</x:v>
      </x:c>
      <x:c r="R1044" s="2" t="n">
        <x:v>177</x:v>
      </x:c>
      <x:c r="S1044" s="2" t="n">
        <x:v>0</x:v>
      </x:c>
      <x:c r="T1044" s="2" t="n">
        <x:f>R1044+S1044+J1044-I1044</x:f>
        <x:v>163</x:v>
      </x:c>
      <x:c r="U1044" s="2" t="n">
        <x:v>0</x:v>
      </x:c>
      <x:c r="V1044" s="2" t="n">
        <x:v>3</x:v>
      </x:c>
      <x:c r="W1044" s="2" t="n">
        <x:v>14</x:v>
      </x:c>
      <x:c r="X1044" s="14" t="b">
        <x:v>0</x:v>
      </x:c>
      <x:c r="Y1044" s="14" t="b">
        <x:v>0</x:v>
      </x:c>
      <x:c r="Z1044" s="2" t="n">
        <x:f>ABS(T1044-AA1044)</x:f>
        <x:v>0</x:v>
      </x:c>
      <x:c r="AA1044" s="2" t="n">
        <x:v>163</x:v>
      </x:c>
      <x:c r="AB1044" s="2" t="n">
        <x:f>ABS(K1044-W1044)</x:f>
        <x:v>0</x:v>
      </x:c>
      <x:c r="AC1044" s="2" t="n">
        <x:f>COUNTIF($A$2:$A$1921,A1044)-1</x:f>
        <x:v>0</x:v>
      </x:c>
      <x:c r="AD1044" s="2" t="n">
        <x:f>IF(AND(D1044=D1043,H1044=H1043,C1044=C1043+1),ABS(R1044-T1043),0)</x:f>
        <x:v>0</x:v>
      </x:c>
    </x:row>
    <x:row r="1045" ht="23" customHeight="1">
      <x:c r="A1045" s="2" t="str">
        <x:v>DEMO-302-0-4</x:v>
      </x:c>
      <x:c r="B1045" s="15" t="d">
        <x:v>2026-05-25T00:00:00.000Z</x:v>
      </x:c>
      <x:c r="C1045" s="2" t="n">
        <x:v>4</x:v>
      </x:c>
      <x:c r="D1045" s="2" t="str">
        <x:v>DEMO-302</x:v>
      </x:c>
      <x:c r="E1045" s="2" t="str">
        <x:v>Soft Glow Lamp</x:v>
      </x:c>
      <x:c r="F1045" s="2" t="str">
        <x:v>Lifestyle</x:v>
      </x:c>
      <x:c r="G1045" s="2" t="str">
        <x:v>Stores</x:v>
      </x:c>
      <x:c r="H1045" s="2" t="str">
        <x:v>North Arcade</x:v>
      </x:c>
      <x:c r="I1045" s="2" t="n">
        <x:v>10</x:v>
      </x:c>
      <x:c r="J1045" s="2" t="n">
        <x:v>0</x:v>
      </x:c>
      <x:c r="K1045" s="2" t="n">
        <x:f>I1045-J1045</x:f>
        <x:v>10</x:v>
      </x:c>
      <x:c r="L1045" s="16" t="n">
        <x:v>26</x:v>
      </x:c>
      <x:c r="M1045" s="16" t="n">
        <x:v>26</x:v>
      </x:c>
      <x:c r="N1045" s="16" t="n">
        <x:v>10.01</x:v>
      </x:c>
      <x:c r="O1045" s="16" t="n">
        <x:f>K1045*M1045</x:f>
        <x:v>260</x:v>
      </x:c>
      <x:c r="P1045" s="16" t="n">
        <x:f>K1045*N1045</x:f>
        <x:v>100.1</x:v>
      </x:c>
      <x:c r="Q1045" s="16" t="n">
        <x:f>O1045-P1045</x:f>
        <x:v>159.9</x:v>
      </x:c>
      <x:c r="R1045" s="2" t="n">
        <x:v>163</x:v>
      </x:c>
      <x:c r="S1045" s="2" t="n">
        <x:v>0</x:v>
      </x:c>
      <x:c r="T1045" s="2" t="n">
        <x:f>R1045+S1045+J1045-I1045</x:f>
        <x:v>153</x:v>
      </x:c>
      <x:c r="U1045" s="2" t="n">
        <x:v>0</x:v>
      </x:c>
      <x:c r="V1045" s="2" t="n">
        <x:v>3</x:v>
      </x:c>
      <x:c r="W1045" s="2" t="n">
        <x:v>14</x:v>
      </x:c>
      <x:c r="X1045" s="14" t="b">
        <x:v>0</x:v>
      </x:c>
      <x:c r="Y1045" s="14" t="b">
        <x:v>0</x:v>
      </x:c>
      <x:c r="Z1045" s="2" t="n">
        <x:f>ABS(T1045-AA1045)</x:f>
        <x:v>0</x:v>
      </x:c>
      <x:c r="AA1045" s="2" t="n">
        <x:v>153</x:v>
      </x:c>
      <x:c r="AB1045" s="2" t="n">
        <x:f>ABS(K1045-W1045)</x:f>
        <x:v>4</x:v>
      </x:c>
      <x:c r="AC1045" s="2" t="n">
        <x:f>COUNTIF($A$2:$A$1921,A1045)-1</x:f>
        <x:v>0</x:v>
      </x:c>
      <x:c r="AD1045" s="2" t="n">
        <x:f>IF(AND(D1045=D1044,H1045=H1044,C1045=C1044+1),ABS(R1045-T1044),0)</x:f>
        <x:v>0</x:v>
      </x:c>
    </x:row>
    <x:row r="1046" ht="23" customHeight="1">
      <x:c r="A1046" s="2" t="str">
        <x:v>DEMO-302-0-5</x:v>
      </x:c>
      <x:c r="B1046" s="15" t="d">
        <x:v>2026-06-01T00:00:00.000Z</x:v>
      </x:c>
      <x:c r="C1046" s="2" t="n">
        <x:v>5</x:v>
      </x:c>
      <x:c r="D1046" s="2" t="str">
        <x:v>DEMO-302</x:v>
      </x:c>
      <x:c r="E1046" s="2" t="str">
        <x:v>Soft Glow Lamp</x:v>
      </x:c>
      <x:c r="F1046" s="2" t="str">
        <x:v>Lifestyle</x:v>
      </x:c>
      <x:c r="G1046" s="2" t="str">
        <x:v>Stores</x:v>
      </x:c>
      <x:c r="H1046" s="2" t="str">
        <x:v>North Arcade</x:v>
      </x:c>
      <x:c r="I1046" s="2" t="n">
        <x:v>12</x:v>
      </x:c>
      <x:c r="J1046" s="2" t="n">
        <x:v>0</x:v>
      </x:c>
      <x:c r="K1046" s="2" t="n">
        <x:f>I1046-J1046</x:f>
        <x:v>12</x:v>
      </x:c>
      <x:c r="L1046" s="16" t="n">
        <x:v>26</x:v>
      </x:c>
      <x:c r="M1046" s="16" t="n">
        <x:v>26</x:v>
      </x:c>
      <x:c r="N1046" s="16" t="n">
        <x:v>10.01</x:v>
      </x:c>
      <x:c r="O1046" s="16" t="n">
        <x:f>K1046*M1046</x:f>
        <x:v>312</x:v>
      </x:c>
      <x:c r="P1046" s="16" t="n">
        <x:f>K1046*N1046</x:f>
        <x:v>120.12</x:v>
      </x:c>
      <x:c r="Q1046" s="16" t="n">
        <x:f>O1046-P1046</x:f>
        <x:v>191.88</x:v>
      </x:c>
      <x:c r="R1046" s="2" t="n">
        <x:v>153</x:v>
      </x:c>
      <x:c r="S1046" s="2" t="n">
        <x:v>65</x:v>
      </x:c>
      <x:c r="T1046" s="2" t="n">
        <x:f>R1046+S1046+J1046-I1046</x:f>
        <x:v>206</x:v>
      </x:c>
      <x:c r="U1046" s="2" t="n">
        <x:v>0</x:v>
      </x:c>
      <x:c r="V1046" s="2" t="n">
        <x:v>3</x:v>
      </x:c>
      <x:c r="W1046" s="2" t="n">
        <x:v>13</x:v>
      </x:c>
      <x:c r="X1046" s="14" t="b">
        <x:v>0</x:v>
      </x:c>
      <x:c r="Y1046" s="14" t="b">
        <x:v>0</x:v>
      </x:c>
      <x:c r="Z1046" s="2" t="n">
        <x:f>ABS(T1046-AA1046)</x:f>
        <x:v>0</x:v>
      </x:c>
      <x:c r="AA1046" s="2" t="n">
        <x:v>206</x:v>
      </x:c>
      <x:c r="AB1046" s="2" t="n">
        <x:f>ABS(K1046-W1046)</x:f>
        <x:v>1</x:v>
      </x:c>
      <x:c r="AC1046" s="2" t="n">
        <x:f>COUNTIF($A$2:$A$1921,A1046)-1</x:f>
        <x:v>0</x:v>
      </x:c>
      <x:c r="AD1046" s="2" t="n">
        <x:f>IF(AND(D1046=D1045,H1046=H1045,C1046=C1045+1),ABS(R1046-T1045),0)</x:f>
        <x:v>0</x:v>
      </x:c>
    </x:row>
    <x:row r="1047" ht="23" customHeight="1">
      <x:c r="A1047" s="2" t="str">
        <x:v>DEMO-302-0-6</x:v>
      </x:c>
      <x:c r="B1047" s="15" t="d">
        <x:v>2026-06-08T00:00:00.000Z</x:v>
      </x:c>
      <x:c r="C1047" s="2" t="n">
        <x:v>6</x:v>
      </x:c>
      <x:c r="D1047" s="2" t="str">
        <x:v>DEMO-302</x:v>
      </x:c>
      <x:c r="E1047" s="2" t="str">
        <x:v>Soft Glow Lamp</x:v>
      </x:c>
      <x:c r="F1047" s="2" t="str">
        <x:v>Lifestyle</x:v>
      </x:c>
      <x:c r="G1047" s="2" t="str">
        <x:v>Stores</x:v>
      </x:c>
      <x:c r="H1047" s="2" t="str">
        <x:v>North Arcade</x:v>
      </x:c>
      <x:c r="I1047" s="2" t="n">
        <x:v>14</x:v>
      </x:c>
      <x:c r="J1047" s="2" t="n">
        <x:v>0</x:v>
      </x:c>
      <x:c r="K1047" s="2" t="n">
        <x:f>I1047-J1047</x:f>
        <x:v>14</x:v>
      </x:c>
      <x:c r="L1047" s="16" t="n">
        <x:v>26</x:v>
      </x:c>
      <x:c r="M1047" s="16" t="n">
        <x:v>26</x:v>
      </x:c>
      <x:c r="N1047" s="16" t="n">
        <x:v>10.01</x:v>
      </x:c>
      <x:c r="O1047" s="16" t="n">
        <x:f>K1047*M1047</x:f>
        <x:v>364</x:v>
      </x:c>
      <x:c r="P1047" s="16" t="n">
        <x:f>K1047*N1047</x:f>
        <x:v>140.14</x:v>
      </x:c>
      <x:c r="Q1047" s="16" t="n">
        <x:f>O1047-P1047</x:f>
        <x:v>223.86</x:v>
      </x:c>
      <x:c r="R1047" s="2" t="n">
        <x:v>206</x:v>
      </x:c>
      <x:c r="S1047" s="2" t="n">
        <x:v>0</x:v>
      </x:c>
      <x:c r="T1047" s="2" t="n">
        <x:f>R1047+S1047+J1047-I1047</x:f>
        <x:v>192</x:v>
      </x:c>
      <x:c r="U1047" s="2" t="n">
        <x:v>0</x:v>
      </x:c>
      <x:c r="V1047" s="2" t="n">
        <x:v>3</x:v>
      </x:c>
      <x:c r="W1047" s="2" t="n">
        <x:v>12</x:v>
      </x:c>
      <x:c r="X1047" s="14" t="b">
        <x:v>0</x:v>
      </x:c>
      <x:c r="Y1047" s="14" t="b">
        <x:v>0</x:v>
      </x:c>
      <x:c r="Z1047" s="2" t="n">
        <x:f>ABS(T1047-AA1047)</x:f>
        <x:v>0</x:v>
      </x:c>
      <x:c r="AA1047" s="2" t="n">
        <x:v>192</x:v>
      </x:c>
      <x:c r="AB1047" s="2" t="n">
        <x:f>ABS(K1047-W1047)</x:f>
        <x:v>2</x:v>
      </x:c>
      <x:c r="AC1047" s="2" t="n">
        <x:f>COUNTIF($A$2:$A$1921,A1047)-1</x:f>
        <x:v>0</x:v>
      </x:c>
      <x:c r="AD1047" s="2" t="n">
        <x:f>IF(AND(D1047=D1046,H1047=H1046,C1047=C1046+1),ABS(R1047-T1046),0)</x:f>
        <x:v>0</x:v>
      </x:c>
    </x:row>
    <x:row r="1048" ht="23" customHeight="1">
      <x:c r="A1048" s="2" t="str">
        <x:v>DEMO-302-0-7</x:v>
      </x:c>
      <x:c r="B1048" s="15" t="d">
        <x:v>2026-06-15T00:00:00.000Z</x:v>
      </x:c>
      <x:c r="C1048" s="2" t="n">
        <x:v>7</x:v>
      </x:c>
      <x:c r="D1048" s="2" t="str">
        <x:v>DEMO-302</x:v>
      </x:c>
      <x:c r="E1048" s="2" t="str">
        <x:v>Soft Glow Lamp</x:v>
      </x:c>
      <x:c r="F1048" s="2" t="str">
        <x:v>Lifestyle</x:v>
      </x:c>
      <x:c r="G1048" s="2" t="str">
        <x:v>Stores</x:v>
      </x:c>
      <x:c r="H1048" s="2" t="str">
        <x:v>North Arcade</x:v>
      </x:c>
      <x:c r="I1048" s="2" t="n">
        <x:v>12</x:v>
      </x:c>
      <x:c r="J1048" s="2" t="n">
        <x:v>0</x:v>
      </x:c>
      <x:c r="K1048" s="2" t="n">
        <x:f>I1048-J1048</x:f>
        <x:v>12</x:v>
      </x:c>
      <x:c r="L1048" s="16" t="n">
        <x:v>26</x:v>
      </x:c>
      <x:c r="M1048" s="16" t="n">
        <x:v>26</x:v>
      </x:c>
      <x:c r="N1048" s="16" t="n">
        <x:v>10.01</x:v>
      </x:c>
      <x:c r="O1048" s="16" t="n">
        <x:f>K1048*M1048</x:f>
        <x:v>312</x:v>
      </x:c>
      <x:c r="P1048" s="16" t="n">
        <x:f>K1048*N1048</x:f>
        <x:v>120.12</x:v>
      </x:c>
      <x:c r="Q1048" s="16" t="n">
        <x:f>O1048-P1048</x:f>
        <x:v>191.88</x:v>
      </x:c>
      <x:c r="R1048" s="2" t="n">
        <x:v>192</x:v>
      </x:c>
      <x:c r="S1048" s="2" t="n">
        <x:v>0</x:v>
      </x:c>
      <x:c r="T1048" s="2" t="n">
        <x:f>R1048+S1048+J1048-I1048</x:f>
        <x:v>180</x:v>
      </x:c>
      <x:c r="U1048" s="2" t="n">
        <x:v>0</x:v>
      </x:c>
      <x:c r="V1048" s="2" t="n">
        <x:v>3</x:v>
      </x:c>
      <x:c r="W1048" s="2" t="n">
        <x:v>13</x:v>
      </x:c>
      <x:c r="X1048" s="14" t="b">
        <x:v>0</x:v>
      </x:c>
      <x:c r="Y1048" s="14" t="b">
        <x:v>0</x:v>
      </x:c>
      <x:c r="Z1048" s="2" t="n">
        <x:f>ABS(T1048-AA1048)</x:f>
        <x:v>0</x:v>
      </x:c>
      <x:c r="AA1048" s="2" t="n">
        <x:v>180</x:v>
      </x:c>
      <x:c r="AB1048" s="2" t="n">
        <x:f>ABS(K1048-W1048)</x:f>
        <x:v>1</x:v>
      </x:c>
      <x:c r="AC1048" s="2" t="n">
        <x:f>COUNTIF($A$2:$A$1921,A1048)-1</x:f>
        <x:v>0</x:v>
      </x:c>
      <x:c r="AD1048" s="2" t="n">
        <x:f>IF(AND(D1048=D1047,H1048=H1047,C1048=C1047+1),ABS(R1048-T1047),0)</x:f>
        <x:v>0</x:v>
      </x:c>
    </x:row>
    <x:row r="1049" ht="23" customHeight="1">
      <x:c r="A1049" s="2" t="str">
        <x:v>DEMO-302-0-8</x:v>
      </x:c>
      <x:c r="B1049" s="15" t="d">
        <x:v>2026-06-22T00:00:00.000Z</x:v>
      </x:c>
      <x:c r="C1049" s="2" t="n">
        <x:v>8</x:v>
      </x:c>
      <x:c r="D1049" s="2" t="str">
        <x:v>DEMO-302</x:v>
      </x:c>
      <x:c r="E1049" s="2" t="str">
        <x:v>Soft Glow Lamp</x:v>
      </x:c>
      <x:c r="F1049" s="2" t="str">
        <x:v>Lifestyle</x:v>
      </x:c>
      <x:c r="G1049" s="2" t="str">
        <x:v>Stores</x:v>
      </x:c>
      <x:c r="H1049" s="2" t="str">
        <x:v>North Arcade</x:v>
      </x:c>
      <x:c r="I1049" s="2" t="n">
        <x:v>12</x:v>
      </x:c>
      <x:c r="J1049" s="2" t="n">
        <x:v>0</x:v>
      </x:c>
      <x:c r="K1049" s="2" t="n">
        <x:f>I1049-J1049</x:f>
        <x:v>12</x:v>
      </x:c>
      <x:c r="L1049" s="16" t="n">
        <x:v>26</x:v>
      </x:c>
      <x:c r="M1049" s="16" t="n">
        <x:v>26</x:v>
      </x:c>
      <x:c r="N1049" s="16" t="n">
        <x:v>10.01</x:v>
      </x:c>
      <x:c r="O1049" s="16" t="n">
        <x:f>K1049*M1049</x:f>
        <x:v>312</x:v>
      </x:c>
      <x:c r="P1049" s="16" t="n">
        <x:f>K1049*N1049</x:f>
        <x:v>120.12</x:v>
      </x:c>
      <x:c r="Q1049" s="16" t="n">
        <x:f>O1049-P1049</x:f>
        <x:v>191.88</x:v>
      </x:c>
      <x:c r="R1049" s="2" t="n">
        <x:v>180</x:v>
      </x:c>
      <x:c r="S1049" s="2" t="n">
        <x:v>0</x:v>
      </x:c>
      <x:c r="T1049" s="2" t="n">
        <x:f>R1049+S1049+J1049-I1049</x:f>
        <x:v>168</x:v>
      </x:c>
      <x:c r="U1049" s="2" t="n">
        <x:v>0</x:v>
      </x:c>
      <x:c r="V1049" s="2" t="n">
        <x:v>3</x:v>
      </x:c>
      <x:c r="W1049" s="2" t="n">
        <x:v>12</x:v>
      </x:c>
      <x:c r="X1049" s="14" t="b">
        <x:v>0</x:v>
      </x:c>
      <x:c r="Y1049" s="14" t="b">
        <x:v>0</x:v>
      </x:c>
      <x:c r="Z1049" s="2" t="n">
        <x:f>ABS(T1049-AA1049)</x:f>
        <x:v>0</x:v>
      </x:c>
      <x:c r="AA1049" s="2" t="n">
        <x:v>168</x:v>
      </x:c>
      <x:c r="AB1049" s="2" t="n">
        <x:f>ABS(K1049-W1049)</x:f>
        <x:v>0</x:v>
      </x:c>
      <x:c r="AC1049" s="2" t="n">
        <x:f>COUNTIF($A$2:$A$1921,A1049)-1</x:f>
        <x:v>0</x:v>
      </x:c>
      <x:c r="AD1049" s="2" t="n">
        <x:f>IF(AND(D1049=D1048,H1049=H1048,C1049=C1048+1),ABS(R1049-T1048),0)</x:f>
        <x:v>0</x:v>
      </x:c>
    </x:row>
    <x:row r="1050" ht="23" customHeight="1">
      <x:c r="A1050" s="2" t="str">
        <x:v>DEMO-302-0-9</x:v>
      </x:c>
      <x:c r="B1050" s="15" t="d">
        <x:v>2026-06-29T00:00:00.000Z</x:v>
      </x:c>
      <x:c r="C1050" s="2" t="n">
        <x:v>9</x:v>
      </x:c>
      <x:c r="D1050" s="2" t="str">
        <x:v>DEMO-302</x:v>
      </x:c>
      <x:c r="E1050" s="2" t="str">
        <x:v>Soft Glow Lamp</x:v>
      </x:c>
      <x:c r="F1050" s="2" t="str">
        <x:v>Lifestyle</x:v>
      </x:c>
      <x:c r="G1050" s="2" t="str">
        <x:v>Stores</x:v>
      </x:c>
      <x:c r="H1050" s="2" t="str">
        <x:v>North Arcade</x:v>
      </x:c>
      <x:c r="I1050" s="2" t="n">
        <x:v>11</x:v>
      </x:c>
      <x:c r="J1050" s="2" t="n">
        <x:v>0</x:v>
      </x:c>
      <x:c r="K1050" s="2" t="n">
        <x:f>I1050-J1050</x:f>
        <x:v>11</x:v>
      </x:c>
      <x:c r="L1050" s="16" t="n">
        <x:v>26</x:v>
      </x:c>
      <x:c r="M1050" s="16" t="n">
        <x:v>26</x:v>
      </x:c>
      <x:c r="N1050" s="16" t="n">
        <x:v>10.01</x:v>
      </x:c>
      <x:c r="O1050" s="16" t="n">
        <x:f>K1050*M1050</x:f>
        <x:v>286</x:v>
      </x:c>
      <x:c r="P1050" s="16" t="n">
        <x:f>K1050*N1050</x:f>
        <x:v>110.11</x:v>
      </x:c>
      <x:c r="Q1050" s="16" t="n">
        <x:f>O1050-P1050</x:f>
        <x:v>175.89</x:v>
      </x:c>
      <x:c r="R1050" s="2" t="n">
        <x:v>168</x:v>
      </x:c>
      <x:c r="S1050" s="2" t="n">
        <x:v>65</x:v>
      </x:c>
      <x:c r="T1050" s="2" t="n">
        <x:f>R1050+S1050+J1050-I1050</x:f>
        <x:v>222</x:v>
      </x:c>
      <x:c r="U1050" s="2" t="n">
        <x:v>0</x:v>
      </x:c>
      <x:c r="V1050" s="2" t="n">
        <x:v>3</x:v>
      </x:c>
      <x:c r="W1050" s="2" t="n">
        <x:v>13</x:v>
      </x:c>
      <x:c r="X1050" s="14" t="b">
        <x:v>0</x:v>
      </x:c>
      <x:c r="Y1050" s="14" t="b">
        <x:v>0</x:v>
      </x:c>
      <x:c r="Z1050" s="2" t="n">
        <x:f>ABS(T1050-AA1050)</x:f>
        <x:v>0</x:v>
      </x:c>
      <x:c r="AA1050" s="2" t="n">
        <x:v>222</x:v>
      </x:c>
      <x:c r="AB1050" s="2" t="n">
        <x:f>ABS(K1050-W1050)</x:f>
        <x:v>2</x:v>
      </x:c>
      <x:c r="AC1050" s="2" t="n">
        <x:f>COUNTIF($A$2:$A$1921,A1050)-1</x:f>
        <x:v>0</x:v>
      </x:c>
      <x:c r="AD1050" s="2" t="n">
        <x:f>IF(AND(D1050=D1049,H1050=H1049,C1050=C1049+1),ABS(R1050-T1049),0)</x:f>
        <x:v>0</x:v>
      </x:c>
    </x:row>
    <x:row r="1051" ht="23" customHeight="1">
      <x:c r="A1051" s="2" t="str">
        <x:v>DEMO-302-0-10</x:v>
      </x:c>
      <x:c r="B1051" s="15" t="d">
        <x:v>2026-07-06T00:00:00.000Z</x:v>
      </x:c>
      <x:c r="C1051" s="2" t="n">
        <x:v>10</x:v>
      </x:c>
      <x:c r="D1051" s="2" t="str">
        <x:v>DEMO-302</x:v>
      </x:c>
      <x:c r="E1051" s="2" t="str">
        <x:v>Soft Glow Lamp</x:v>
      </x:c>
      <x:c r="F1051" s="2" t="str">
        <x:v>Lifestyle</x:v>
      </x:c>
      <x:c r="G1051" s="2" t="str">
        <x:v>Stores</x:v>
      </x:c>
      <x:c r="H1051" s="2" t="str">
        <x:v>North Arcade</x:v>
      </x:c>
      <x:c r="I1051" s="2" t="n">
        <x:v>12</x:v>
      </x:c>
      <x:c r="J1051" s="2" t="n">
        <x:v>0</x:v>
      </x:c>
      <x:c r="K1051" s="2" t="n">
        <x:f>I1051-J1051</x:f>
        <x:v>12</x:v>
      </x:c>
      <x:c r="L1051" s="16" t="n">
        <x:v>26</x:v>
      </x:c>
      <x:c r="M1051" s="16" t="n">
        <x:v>26</x:v>
      </x:c>
      <x:c r="N1051" s="16" t="n">
        <x:v>10.01</x:v>
      </x:c>
      <x:c r="O1051" s="16" t="n">
        <x:f>K1051*M1051</x:f>
        <x:v>312</x:v>
      </x:c>
      <x:c r="P1051" s="16" t="n">
        <x:f>K1051*N1051</x:f>
        <x:v>120.12</x:v>
      </x:c>
      <x:c r="Q1051" s="16" t="n">
        <x:f>O1051-P1051</x:f>
        <x:v>191.88</x:v>
      </x:c>
      <x:c r="R1051" s="2" t="n">
        <x:v>222</x:v>
      </x:c>
      <x:c r="S1051" s="2" t="n">
        <x:v>0</x:v>
      </x:c>
      <x:c r="T1051" s="2" t="n">
        <x:f>R1051+S1051+J1051-I1051</x:f>
        <x:v>210</x:v>
      </x:c>
      <x:c r="U1051" s="2" t="n">
        <x:v>0</x:v>
      </x:c>
      <x:c r="V1051" s="2" t="n">
        <x:v>3</x:v>
      </x:c>
      <x:c r="W1051" s="2" t="n">
        <x:v>12</x:v>
      </x:c>
      <x:c r="X1051" s="14" t="b">
        <x:v>0</x:v>
      </x:c>
      <x:c r="Y1051" s="14" t="b">
        <x:v>0</x:v>
      </x:c>
      <x:c r="Z1051" s="2" t="n">
        <x:f>ABS(T1051-AA1051)</x:f>
        <x:v>0</x:v>
      </x:c>
      <x:c r="AA1051" s="2" t="n">
        <x:v>210</x:v>
      </x:c>
      <x:c r="AB1051" s="2" t="n">
        <x:f>ABS(K1051-W1051)</x:f>
        <x:v>0</x:v>
      </x:c>
      <x:c r="AC1051" s="2" t="n">
        <x:f>COUNTIF($A$2:$A$1921,A1051)-1</x:f>
        <x:v>0</x:v>
      </x:c>
      <x:c r="AD1051" s="2" t="n">
        <x:f>IF(AND(D1051=D1050,H1051=H1050,C1051=C1050+1),ABS(R1051-T1050),0)</x:f>
        <x:v>0</x:v>
      </x:c>
    </x:row>
    <x:row r="1052" ht="23" customHeight="1">
      <x:c r="A1052" s="2" t="str">
        <x:v>DEMO-302-0-11</x:v>
      </x:c>
      <x:c r="B1052" s="15" t="d">
        <x:v>2026-07-13T00:00:00.000Z</x:v>
      </x:c>
      <x:c r="C1052" s="2" t="n">
        <x:v>11</x:v>
      </x:c>
      <x:c r="D1052" s="2" t="str">
        <x:v>DEMO-302</x:v>
      </x:c>
      <x:c r="E1052" s="2" t="str">
        <x:v>Soft Glow Lamp</x:v>
      </x:c>
      <x:c r="F1052" s="2" t="str">
        <x:v>Lifestyle</x:v>
      </x:c>
      <x:c r="G1052" s="2" t="str">
        <x:v>Stores</x:v>
      </x:c>
      <x:c r="H1052" s="2" t="str">
        <x:v>North Arcade</x:v>
      </x:c>
      <x:c r="I1052" s="2" t="n">
        <x:v>9</x:v>
      </x:c>
      <x:c r="J1052" s="2" t="n">
        <x:v>0</x:v>
      </x:c>
      <x:c r="K1052" s="2" t="n">
        <x:f>I1052-J1052</x:f>
        <x:v>9</x:v>
      </x:c>
      <x:c r="L1052" s="16" t="n">
        <x:v>26</x:v>
      </x:c>
      <x:c r="M1052" s="16" t="n">
        <x:v>26</x:v>
      </x:c>
      <x:c r="N1052" s="16" t="n">
        <x:v>10.01</x:v>
      </x:c>
      <x:c r="O1052" s="16" t="n">
        <x:f>K1052*M1052</x:f>
        <x:v>234</x:v>
      </x:c>
      <x:c r="P1052" s="16" t="n">
        <x:f>K1052*N1052</x:f>
        <x:v>90.09</x:v>
      </x:c>
      <x:c r="Q1052" s="16" t="n">
        <x:f>O1052-P1052</x:f>
        <x:v>143.91</x:v>
      </x:c>
      <x:c r="R1052" s="2" t="n">
        <x:v>210</x:v>
      </x:c>
      <x:c r="S1052" s="2" t="n">
        <x:v>0</x:v>
      </x:c>
      <x:c r="T1052" s="2" t="n">
        <x:f>R1052+S1052+J1052-I1052</x:f>
        <x:v>201</x:v>
      </x:c>
      <x:c r="U1052" s="2" t="n">
        <x:v>0</x:v>
      </x:c>
      <x:c r="V1052" s="2" t="n">
        <x:v>3</x:v>
      </x:c>
      <x:c r="W1052" s="2" t="n">
        <x:v>12</x:v>
      </x:c>
      <x:c r="X1052" s="14" t="b">
        <x:v>0</x:v>
      </x:c>
      <x:c r="Y1052" s="14" t="b">
        <x:v>0</x:v>
      </x:c>
      <x:c r="Z1052" s="2" t="n">
        <x:f>ABS(T1052-AA1052)</x:f>
        <x:v>0</x:v>
      </x:c>
      <x:c r="AA1052" s="2" t="n">
        <x:v>201</x:v>
      </x:c>
      <x:c r="AB1052" s="2" t="n">
        <x:f>ABS(K1052-W1052)</x:f>
        <x:v>3</x:v>
      </x:c>
      <x:c r="AC1052" s="2" t="n">
        <x:f>COUNTIF($A$2:$A$1921,A1052)-1</x:f>
        <x:v>0</x:v>
      </x:c>
      <x:c r="AD1052" s="2" t="n">
        <x:f>IF(AND(D1052=D1051,H1052=H1051,C1052=C1051+1),ABS(R1052-T1051),0)</x:f>
        <x:v>0</x:v>
      </x:c>
    </x:row>
    <x:row r="1053" ht="23" customHeight="1">
      <x:c r="A1053" s="2" t="str">
        <x:v>DEMO-302-0-12</x:v>
      </x:c>
      <x:c r="B1053" s="15" t="d">
        <x:v>2026-07-20T00:00:00.000Z</x:v>
      </x:c>
      <x:c r="C1053" s="2" t="n">
        <x:v>12</x:v>
      </x:c>
      <x:c r="D1053" s="2" t="str">
        <x:v>DEMO-302</x:v>
      </x:c>
      <x:c r="E1053" s="2" t="str">
        <x:v>Soft Glow Lamp</x:v>
      </x:c>
      <x:c r="F1053" s="2" t="str">
        <x:v>Lifestyle</x:v>
      </x:c>
      <x:c r="G1053" s="2" t="str">
        <x:v>Stores</x:v>
      </x:c>
      <x:c r="H1053" s="2" t="str">
        <x:v>North Arcade</x:v>
      </x:c>
      <x:c r="I1053" s="2" t="n">
        <x:v>11</x:v>
      </x:c>
      <x:c r="J1053" s="2" t="n">
        <x:v>0</x:v>
      </x:c>
      <x:c r="K1053" s="2" t="n">
        <x:f>I1053-J1053</x:f>
        <x:v>11</x:v>
      </x:c>
      <x:c r="L1053" s="16" t="n">
        <x:v>26</x:v>
      </x:c>
      <x:c r="M1053" s="16" t="n">
        <x:v>26</x:v>
      </x:c>
      <x:c r="N1053" s="16" t="n">
        <x:v>10.01</x:v>
      </x:c>
      <x:c r="O1053" s="16" t="n">
        <x:f>K1053*M1053</x:f>
        <x:v>286</x:v>
      </x:c>
      <x:c r="P1053" s="16" t="n">
        <x:f>K1053*N1053</x:f>
        <x:v>110.11</x:v>
      </x:c>
      <x:c r="Q1053" s="16" t="n">
        <x:f>O1053-P1053</x:f>
        <x:v>175.89</x:v>
      </x:c>
      <x:c r="R1053" s="2" t="n">
        <x:v>201</x:v>
      </x:c>
      <x:c r="S1053" s="2" t="n">
        <x:v>0</x:v>
      </x:c>
      <x:c r="T1053" s="2" t="n">
        <x:f>R1053+S1053+J1053-I1053</x:f>
        <x:v>190</x:v>
      </x:c>
      <x:c r="U1053" s="2" t="n">
        <x:v>0</x:v>
      </x:c>
      <x:c r="V1053" s="2" t="n">
        <x:v>3</x:v>
      </x:c>
      <x:c r="W1053" s="2" t="n">
        <x:v>11</x:v>
      </x:c>
      <x:c r="X1053" s="14" t="b">
        <x:v>0</x:v>
      </x:c>
      <x:c r="Y1053" s="14" t="b">
        <x:v>0</x:v>
      </x:c>
      <x:c r="Z1053" s="2" t="n">
        <x:f>ABS(T1053-AA1053)</x:f>
        <x:v>0</x:v>
      </x:c>
      <x:c r="AA1053" s="2" t="n">
        <x:v>190</x:v>
      </x:c>
      <x:c r="AB1053" s="2" t="n">
        <x:f>ABS(K1053-W1053)</x:f>
        <x:v>0</x:v>
      </x:c>
      <x:c r="AC1053" s="2" t="n">
        <x:f>COUNTIF($A$2:$A$1921,A1053)-1</x:f>
        <x:v>0</x:v>
      </x:c>
      <x:c r="AD1053" s="2" t="n">
        <x:f>IF(AND(D1053=D1052,H1053=H1052,C1053=C1052+1),ABS(R1053-T1052),0)</x:f>
        <x:v>0</x:v>
      </x:c>
    </x:row>
    <x:row r="1054" ht="23" customHeight="1">
      <x:c r="A1054" s="2" t="str">
        <x:v>DEMO-302-0-13</x:v>
      </x:c>
      <x:c r="B1054" s="15" t="d">
        <x:v>2026-07-27T00:00:00.000Z</x:v>
      </x:c>
      <x:c r="C1054" s="2" t="n">
        <x:v>13</x:v>
      </x:c>
      <x:c r="D1054" s="2" t="str">
        <x:v>DEMO-302</x:v>
      </x:c>
      <x:c r="E1054" s="2" t="str">
        <x:v>Soft Glow Lamp</x:v>
      </x:c>
      <x:c r="F1054" s="2" t="str">
        <x:v>Lifestyle</x:v>
      </x:c>
      <x:c r="G1054" s="2" t="str">
        <x:v>Stores</x:v>
      </x:c>
      <x:c r="H1054" s="2" t="str">
        <x:v>North Arcade</x:v>
      </x:c>
      <x:c r="I1054" s="2" t="n">
        <x:v>8</x:v>
      </x:c>
      <x:c r="J1054" s="2" t="n">
        <x:v>0</x:v>
      </x:c>
      <x:c r="K1054" s="2" t="n">
        <x:f>I1054-J1054</x:f>
        <x:v>8</x:v>
      </x:c>
      <x:c r="L1054" s="16" t="n">
        <x:v>26</x:v>
      </x:c>
      <x:c r="M1054" s="16" t="n">
        <x:v>26</x:v>
      </x:c>
      <x:c r="N1054" s="16" t="n">
        <x:v>10.01</x:v>
      </x:c>
      <x:c r="O1054" s="16" t="n">
        <x:f>K1054*M1054</x:f>
        <x:v>208</x:v>
      </x:c>
      <x:c r="P1054" s="16" t="n">
        <x:f>K1054*N1054</x:f>
        <x:v>80.08</x:v>
      </x:c>
      <x:c r="Q1054" s="16" t="n">
        <x:f>O1054-P1054</x:f>
        <x:v>127.92</x:v>
      </x:c>
      <x:c r="R1054" s="2" t="n">
        <x:v>190</x:v>
      </x:c>
      <x:c r="S1054" s="2" t="n">
        <x:v>65</x:v>
      </x:c>
      <x:c r="T1054" s="2" t="n">
        <x:f>R1054+S1054+J1054-I1054</x:f>
        <x:v>247</x:v>
      </x:c>
      <x:c r="U1054" s="2" t="n">
        <x:v>0</x:v>
      </x:c>
      <x:c r="V1054" s="2" t="n">
        <x:v>3</x:v>
      </x:c>
      <x:c r="W1054" s="2" t="n">
        <x:v>11</x:v>
      </x:c>
      <x:c r="X1054" s="14" t="b">
        <x:v>0</x:v>
      </x:c>
      <x:c r="Y1054" s="14" t="b">
        <x:v>0</x:v>
      </x:c>
      <x:c r="Z1054" s="2" t="n">
        <x:f>ABS(T1054-AA1054)</x:f>
        <x:v>0</x:v>
      </x:c>
      <x:c r="AA1054" s="2" t="n">
        <x:v>247</x:v>
      </x:c>
      <x:c r="AB1054" s="2" t="n">
        <x:f>ABS(K1054-W1054)</x:f>
        <x:v>3</x:v>
      </x:c>
      <x:c r="AC1054" s="2" t="n">
        <x:f>COUNTIF($A$2:$A$1921,A1054)-1</x:f>
        <x:v>0</x:v>
      </x:c>
      <x:c r="AD1054" s="2" t="n">
        <x:f>IF(AND(D1054=D1053,H1054=H1053,C1054=C1053+1),ABS(R1054-T1053),0)</x:f>
        <x:v>0</x:v>
      </x:c>
    </x:row>
    <x:row r="1055" ht="23" customHeight="1">
      <x:c r="A1055" s="2" t="str">
        <x:v>DEMO-302-0-14</x:v>
      </x:c>
      <x:c r="B1055" s="15" t="d">
        <x:v>2026-08-03T00:00:00.000Z</x:v>
      </x:c>
      <x:c r="C1055" s="2" t="n">
        <x:v>14</x:v>
      </x:c>
      <x:c r="D1055" s="2" t="str">
        <x:v>DEMO-302</x:v>
      </x:c>
      <x:c r="E1055" s="2" t="str">
        <x:v>Soft Glow Lamp</x:v>
      </x:c>
      <x:c r="F1055" s="2" t="str">
        <x:v>Lifestyle</x:v>
      </x:c>
      <x:c r="G1055" s="2" t="str">
        <x:v>Stores</x:v>
      </x:c>
      <x:c r="H1055" s="2" t="str">
        <x:v>North Arcade</x:v>
      </x:c>
      <x:c r="I1055" s="2" t="n">
        <x:v>9</x:v>
      </x:c>
      <x:c r="J1055" s="2" t="n">
        <x:v>0</x:v>
      </x:c>
      <x:c r="K1055" s="2" t="n">
        <x:f>I1055-J1055</x:f>
        <x:v>9</x:v>
      </x:c>
      <x:c r="L1055" s="16" t="n">
        <x:v>26</x:v>
      </x:c>
      <x:c r="M1055" s="16" t="n">
        <x:v>26</x:v>
      </x:c>
      <x:c r="N1055" s="16" t="n">
        <x:v>10.01</x:v>
      </x:c>
      <x:c r="O1055" s="16" t="n">
        <x:f>K1055*M1055</x:f>
        <x:v>234</x:v>
      </x:c>
      <x:c r="P1055" s="16" t="n">
        <x:f>K1055*N1055</x:f>
        <x:v>90.09</x:v>
      </x:c>
      <x:c r="Q1055" s="16" t="n">
        <x:f>O1055-P1055</x:f>
        <x:v>143.91</x:v>
      </x:c>
      <x:c r="R1055" s="2" t="n">
        <x:v>247</x:v>
      </x:c>
      <x:c r="S1055" s="2" t="n">
        <x:v>0</x:v>
      </x:c>
      <x:c r="T1055" s="2" t="n">
        <x:f>R1055+S1055+J1055-I1055</x:f>
        <x:v>238</x:v>
      </x:c>
      <x:c r="U1055" s="2" t="n">
        <x:v>0</x:v>
      </x:c>
      <x:c r="V1055" s="2" t="n">
        <x:v>3</x:v>
      </x:c>
      <x:c r="W1055" s="2" t="n">
        <x:v>10</x:v>
      </x:c>
      <x:c r="X1055" s="14" t="b">
        <x:v>0</x:v>
      </x:c>
      <x:c r="Y1055" s="14" t="b">
        <x:v>0</x:v>
      </x:c>
      <x:c r="Z1055" s="2" t="n">
        <x:f>ABS(T1055-AA1055)</x:f>
        <x:v>0</x:v>
      </x:c>
      <x:c r="AA1055" s="2" t="n">
        <x:v>238</x:v>
      </x:c>
      <x:c r="AB1055" s="2" t="n">
        <x:f>ABS(K1055-W1055)</x:f>
        <x:v>1</x:v>
      </x:c>
      <x:c r="AC1055" s="2" t="n">
        <x:f>COUNTIF($A$2:$A$1921,A1055)-1</x:f>
        <x:v>0</x:v>
      </x:c>
      <x:c r="AD1055" s="2" t="n">
        <x:f>IF(AND(D1055=D1054,H1055=H1054,C1055=C1054+1),ABS(R1055-T1054),0)</x:f>
        <x:v>0</x:v>
      </x:c>
    </x:row>
    <x:row r="1056" ht="23" customHeight="1">
      <x:c r="A1056" s="2" t="str">
        <x:v>DEMO-302-0-15</x:v>
      </x:c>
      <x:c r="B1056" s="15" t="d">
        <x:v>2026-08-10T00:00:00.000Z</x:v>
      </x:c>
      <x:c r="C1056" s="2" t="n">
        <x:v>15</x:v>
      </x:c>
      <x:c r="D1056" s="2" t="str">
        <x:v>DEMO-302</x:v>
      </x:c>
      <x:c r="E1056" s="2" t="str">
        <x:v>Soft Glow Lamp</x:v>
      </x:c>
      <x:c r="F1056" s="2" t="str">
        <x:v>Lifestyle</x:v>
      </x:c>
      <x:c r="G1056" s="2" t="str">
        <x:v>Stores</x:v>
      </x:c>
      <x:c r="H1056" s="2" t="str">
        <x:v>North Arcade</x:v>
      </x:c>
      <x:c r="I1056" s="2" t="n">
        <x:v>10</x:v>
      </x:c>
      <x:c r="J1056" s="2" t="n">
        <x:v>0</x:v>
      </x:c>
      <x:c r="K1056" s="2" t="n">
        <x:f>I1056-J1056</x:f>
        <x:v>10</x:v>
      </x:c>
      <x:c r="L1056" s="16" t="n">
        <x:v>26</x:v>
      </x:c>
      <x:c r="M1056" s="16" t="n">
        <x:v>26</x:v>
      </x:c>
      <x:c r="N1056" s="16" t="n">
        <x:v>10.01</x:v>
      </x:c>
      <x:c r="O1056" s="16" t="n">
        <x:f>K1056*M1056</x:f>
        <x:v>260</x:v>
      </x:c>
      <x:c r="P1056" s="16" t="n">
        <x:f>K1056*N1056</x:f>
        <x:v>100.1</x:v>
      </x:c>
      <x:c r="Q1056" s="16" t="n">
        <x:f>O1056-P1056</x:f>
        <x:v>159.9</x:v>
      </x:c>
      <x:c r="R1056" s="2" t="n">
        <x:v>238</x:v>
      </x:c>
      <x:c r="S1056" s="2" t="n">
        <x:v>0</x:v>
      </x:c>
      <x:c r="T1056" s="2" t="n">
        <x:f>R1056+S1056+J1056-I1056</x:f>
        <x:v>228</x:v>
      </x:c>
      <x:c r="U1056" s="2" t="n">
        <x:v>0</x:v>
      </x:c>
      <x:c r="V1056" s="2" t="n">
        <x:v>3</x:v>
      </x:c>
      <x:c r="W1056" s="2" t="n">
        <x:v>9</x:v>
      </x:c>
      <x:c r="X1056" s="14" t="b">
        <x:v>0</x:v>
      </x:c>
      <x:c r="Y1056" s="14" t="b">
        <x:v>0</x:v>
      </x:c>
      <x:c r="Z1056" s="2" t="n">
        <x:f>ABS(T1056-AA1056)</x:f>
        <x:v>0</x:v>
      </x:c>
      <x:c r="AA1056" s="2" t="n">
        <x:v>228</x:v>
      </x:c>
      <x:c r="AB1056" s="2" t="n">
        <x:f>ABS(K1056-W1056)</x:f>
        <x:v>1</x:v>
      </x:c>
      <x:c r="AC1056" s="2" t="n">
        <x:f>COUNTIF($A$2:$A$1921,A1056)-1</x:f>
        <x:v>0</x:v>
      </x:c>
      <x:c r="AD1056" s="2" t="n">
        <x:f>IF(AND(D1056=D1055,H1056=H1055,C1056=C1055+1),ABS(R1056-T1055),0)</x:f>
        <x:v>0</x:v>
      </x:c>
    </x:row>
    <x:row r="1057" ht="23" customHeight="1">
      <x:c r="A1057" s="2" t="str">
        <x:v>DEMO-302-0-16</x:v>
      </x:c>
      <x:c r="B1057" s="15" t="d">
        <x:v>2026-08-17T00:00:00.000Z</x:v>
      </x:c>
      <x:c r="C1057" s="2" t="n">
        <x:v>16</x:v>
      </x:c>
      <x:c r="D1057" s="2" t="str">
        <x:v>DEMO-302</x:v>
      </x:c>
      <x:c r="E1057" s="2" t="str">
        <x:v>Soft Glow Lamp</x:v>
      </x:c>
      <x:c r="F1057" s="2" t="str">
        <x:v>Lifestyle</x:v>
      </x:c>
      <x:c r="G1057" s="2" t="str">
        <x:v>Stores</x:v>
      </x:c>
      <x:c r="H1057" s="2" t="str">
        <x:v>North Arcade</x:v>
      </x:c>
      <x:c r="I1057" s="2" t="n">
        <x:v>10</x:v>
      </x:c>
      <x:c r="J1057" s="2" t="n">
        <x:v>1</x:v>
      </x:c>
      <x:c r="K1057" s="2" t="n">
        <x:f>I1057-J1057</x:f>
        <x:v>9</x:v>
      </x:c>
      <x:c r="L1057" s="16" t="n">
        <x:v>26</x:v>
      </x:c>
      <x:c r="M1057" s="16" t="n">
        <x:v>26</x:v>
      </x:c>
      <x:c r="N1057" s="16" t="n">
        <x:v>10.01</x:v>
      </x:c>
      <x:c r="O1057" s="16" t="n">
        <x:f>K1057*M1057</x:f>
        <x:v>234</x:v>
      </x:c>
      <x:c r="P1057" s="16" t="n">
        <x:f>K1057*N1057</x:f>
        <x:v>90.09</x:v>
      </x:c>
      <x:c r="Q1057" s="16" t="n">
        <x:f>O1057-P1057</x:f>
        <x:v>143.91</x:v>
      </x:c>
      <x:c r="R1057" s="2" t="n">
        <x:v>228</x:v>
      </x:c>
      <x:c r="S1057" s="2" t="n">
        <x:v>0</x:v>
      </x:c>
      <x:c r="T1057" s="2" t="n">
        <x:f>R1057+S1057+J1057-I1057</x:f>
        <x:v>219</x:v>
      </x:c>
      <x:c r="U1057" s="2" t="n">
        <x:v>0</x:v>
      </x:c>
      <x:c r="V1057" s="2" t="n">
        <x:v>3</x:v>
      </x:c>
      <x:c r="W1057" s="2" t="n">
        <x:v>10</x:v>
      </x:c>
      <x:c r="X1057" s="14" t="b">
        <x:v>0</x:v>
      </x:c>
      <x:c r="Y1057" s="14" t="b">
        <x:v>0</x:v>
      </x:c>
      <x:c r="Z1057" s="2" t="n">
        <x:f>ABS(T1057-AA1057)</x:f>
        <x:v>0</x:v>
      </x:c>
      <x:c r="AA1057" s="2" t="n">
        <x:v>219</x:v>
      </x:c>
      <x:c r="AB1057" s="2" t="n">
        <x:f>ABS(K1057-W1057)</x:f>
        <x:v>1</x:v>
      </x:c>
      <x:c r="AC1057" s="2" t="n">
        <x:f>COUNTIF($A$2:$A$1921,A1057)-1</x:f>
        <x:v>0</x:v>
      </x:c>
      <x:c r="AD1057" s="2" t="n">
        <x:f>IF(AND(D1057=D1056,H1057=H1056,C1057=C1056+1),ABS(R1057-T1056),0)</x:f>
        <x:v>0</x:v>
      </x:c>
    </x:row>
    <x:row r="1058" ht="23" customHeight="1">
      <x:c r="A1058" s="2" t="str">
        <x:v>DEMO-302-0-17</x:v>
      </x:c>
      <x:c r="B1058" s="15" t="d">
        <x:v>2026-08-24T00:00:00.000Z</x:v>
      </x:c>
      <x:c r="C1058" s="2" t="n">
        <x:v>17</x:v>
      </x:c>
      <x:c r="D1058" s="2" t="str">
        <x:v>DEMO-302</x:v>
      </x:c>
      <x:c r="E1058" s="2" t="str">
        <x:v>Soft Glow Lamp</x:v>
      </x:c>
      <x:c r="F1058" s="2" t="str">
        <x:v>Lifestyle</x:v>
      </x:c>
      <x:c r="G1058" s="2" t="str">
        <x:v>Stores</x:v>
      </x:c>
      <x:c r="H1058" s="2" t="str">
        <x:v>North Arcade</x:v>
      </x:c>
      <x:c r="I1058" s="2" t="n">
        <x:v>10</x:v>
      </x:c>
      <x:c r="J1058" s="2" t="n">
        <x:v>0</x:v>
      </x:c>
      <x:c r="K1058" s="2" t="n">
        <x:f>I1058-J1058</x:f>
        <x:v>10</x:v>
      </x:c>
      <x:c r="L1058" s="16" t="n">
        <x:v>26</x:v>
      </x:c>
      <x:c r="M1058" s="16" t="n">
        <x:v>20.8</x:v>
      </x:c>
      <x:c r="N1058" s="16" t="n">
        <x:v>10.01</x:v>
      </x:c>
      <x:c r="O1058" s="16" t="n">
        <x:f>K1058*M1058</x:f>
        <x:v>208</x:v>
      </x:c>
      <x:c r="P1058" s="16" t="n">
        <x:f>K1058*N1058</x:f>
        <x:v>100.1</x:v>
      </x:c>
      <x:c r="Q1058" s="16" t="n">
        <x:f>O1058-P1058</x:f>
        <x:v>107.9</x:v>
      </x:c>
      <x:c r="R1058" s="2" t="n">
        <x:v>219</x:v>
      </x:c>
      <x:c r="S1058" s="2" t="n">
        <x:v>65</x:v>
      </x:c>
      <x:c r="T1058" s="2" t="n">
        <x:f>R1058+S1058+J1058-I1058</x:f>
        <x:v>274</x:v>
      </x:c>
      <x:c r="U1058" s="2" t="n">
        <x:v>0</x:v>
      </x:c>
      <x:c r="V1058" s="2" t="n">
        <x:v>3</x:v>
      </x:c>
      <x:c r="W1058" s="2" t="n">
        <x:v>9</x:v>
      </x:c>
      <x:c r="X1058" s="14" t="b">
        <x:v>0</x:v>
      </x:c>
      <x:c r="Y1058" s="14" t="b">
        <x:v>1</x:v>
      </x:c>
      <x:c r="Z1058" s="2" t="n">
        <x:f>ABS(T1058-AA1058)</x:f>
        <x:v>0</x:v>
      </x:c>
      <x:c r="AA1058" s="2" t="n">
        <x:v>274</x:v>
      </x:c>
      <x:c r="AB1058" s="2" t="n">
        <x:f>ABS(K1058-W1058)</x:f>
        <x:v>1</x:v>
      </x:c>
      <x:c r="AC1058" s="2" t="n">
        <x:f>COUNTIF($A$2:$A$1921,A1058)-1</x:f>
        <x:v>0</x:v>
      </x:c>
      <x:c r="AD1058" s="2" t="n">
        <x:f>IF(AND(D1058=D1057,H1058=H1057,C1058=C1057+1),ABS(R1058-T1057),0)</x:f>
        <x:v>0</x:v>
      </x:c>
    </x:row>
    <x:row r="1059" ht="23" customHeight="1">
      <x:c r="A1059" s="2" t="str">
        <x:v>DEMO-302-0-18</x:v>
      </x:c>
      <x:c r="B1059" s="15" t="d">
        <x:v>2026-08-31T00:00:00.000Z</x:v>
      </x:c>
      <x:c r="C1059" s="2" t="n">
        <x:v>18</x:v>
      </x:c>
      <x:c r="D1059" s="2" t="str">
        <x:v>DEMO-302</x:v>
      </x:c>
      <x:c r="E1059" s="2" t="str">
        <x:v>Soft Glow Lamp</x:v>
      </x:c>
      <x:c r="F1059" s="2" t="str">
        <x:v>Lifestyle</x:v>
      </x:c>
      <x:c r="G1059" s="2" t="str">
        <x:v>Stores</x:v>
      </x:c>
      <x:c r="H1059" s="2" t="str">
        <x:v>North Arcade</x:v>
      </x:c>
      <x:c r="I1059" s="2" t="n">
        <x:v>10</x:v>
      </x:c>
      <x:c r="J1059" s="2" t="n">
        <x:v>1</x:v>
      </x:c>
      <x:c r="K1059" s="2" t="n">
        <x:f>I1059-J1059</x:f>
        <x:v>9</x:v>
      </x:c>
      <x:c r="L1059" s="16" t="n">
        <x:v>26</x:v>
      </x:c>
      <x:c r="M1059" s="16" t="n">
        <x:v>20.8</x:v>
      </x:c>
      <x:c r="N1059" s="16" t="n">
        <x:v>10.01</x:v>
      </x:c>
      <x:c r="O1059" s="16" t="n">
        <x:f>K1059*M1059</x:f>
        <x:v>187.20000000000002</x:v>
      </x:c>
      <x:c r="P1059" s="16" t="n">
        <x:f>K1059*N1059</x:f>
        <x:v>90.09</x:v>
      </x:c>
      <x:c r="Q1059" s="16" t="n">
        <x:f>O1059-P1059</x:f>
        <x:v>97.11000000000001</x:v>
      </x:c>
      <x:c r="R1059" s="2" t="n">
        <x:v>274</x:v>
      </x:c>
      <x:c r="S1059" s="2" t="n">
        <x:v>0</x:v>
      </x:c>
      <x:c r="T1059" s="2" t="n">
        <x:f>R1059+S1059+J1059-I1059</x:f>
        <x:v>265</x:v>
      </x:c>
      <x:c r="U1059" s="2" t="n">
        <x:v>0</x:v>
      </x:c>
      <x:c r="V1059" s="2" t="n">
        <x:v>3</x:v>
      </x:c>
      <x:c r="W1059" s="2" t="n">
        <x:v>10</x:v>
      </x:c>
      <x:c r="X1059" s="14" t="b">
        <x:v>0</x:v>
      </x:c>
      <x:c r="Y1059" s="14" t="b">
        <x:v>1</x:v>
      </x:c>
      <x:c r="Z1059" s="2" t="n">
        <x:f>ABS(T1059-AA1059)</x:f>
        <x:v>0</x:v>
      </x:c>
      <x:c r="AA1059" s="2" t="n">
        <x:v>265</x:v>
      </x:c>
      <x:c r="AB1059" s="2" t="n">
        <x:f>ABS(K1059-W1059)</x:f>
        <x:v>1</x:v>
      </x:c>
      <x:c r="AC1059" s="2" t="n">
        <x:f>COUNTIF($A$2:$A$1921,A1059)-1</x:f>
        <x:v>0</x:v>
      </x:c>
      <x:c r="AD1059" s="2" t="n">
        <x:f>IF(AND(D1059=D1058,H1059=H1058,C1059=C1058+1),ABS(R1059-T1058),0)</x:f>
        <x:v>0</x:v>
      </x:c>
    </x:row>
    <x:row r="1060" ht="23" customHeight="1">
      <x:c r="A1060" s="2" t="str">
        <x:v>DEMO-302-0-19</x:v>
      </x:c>
      <x:c r="B1060" s="15" t="d">
        <x:v>2026-09-07T00:00:00.000Z</x:v>
      </x:c>
      <x:c r="C1060" s="2" t="n">
        <x:v>19</x:v>
      </x:c>
      <x:c r="D1060" s="2" t="str">
        <x:v>DEMO-302</x:v>
      </x:c>
      <x:c r="E1060" s="2" t="str">
        <x:v>Soft Glow Lamp</x:v>
      </x:c>
      <x:c r="F1060" s="2" t="str">
        <x:v>Lifestyle</x:v>
      </x:c>
      <x:c r="G1060" s="2" t="str">
        <x:v>Stores</x:v>
      </x:c>
      <x:c r="H1060" s="2" t="str">
        <x:v>North Arcade</x:v>
      </x:c>
      <x:c r="I1060" s="2" t="n">
        <x:v>7</x:v>
      </x:c>
      <x:c r="J1060" s="2" t="n">
        <x:v>0</x:v>
      </x:c>
      <x:c r="K1060" s="2" t="n">
        <x:f>I1060-J1060</x:f>
        <x:v>7</x:v>
      </x:c>
      <x:c r="L1060" s="16" t="n">
        <x:v>26</x:v>
      </x:c>
      <x:c r="M1060" s="16" t="n">
        <x:v>20.8</x:v>
      </x:c>
      <x:c r="N1060" s="16" t="n">
        <x:v>10.01</x:v>
      </x:c>
      <x:c r="O1060" s="16" t="n">
        <x:f>K1060*M1060</x:f>
        <x:v>145.6</x:v>
      </x:c>
      <x:c r="P1060" s="16" t="n">
        <x:f>K1060*N1060</x:f>
        <x:v>70.07</x:v>
      </x:c>
      <x:c r="Q1060" s="16" t="n">
        <x:f>O1060-P1060</x:f>
        <x:v>75.53</x:v>
      </x:c>
      <x:c r="R1060" s="2" t="n">
        <x:v>265</x:v>
      </x:c>
      <x:c r="S1060" s="2" t="n">
        <x:v>0</x:v>
      </x:c>
      <x:c r="T1060" s="2" t="n">
        <x:f>R1060+S1060+J1060-I1060</x:f>
        <x:v>258</x:v>
      </x:c>
      <x:c r="U1060" s="2" t="n">
        <x:v>0</x:v>
      </x:c>
      <x:c r="V1060" s="2" t="n">
        <x:v>3</x:v>
      </x:c>
      <x:c r="W1060" s="2" t="n">
        <x:v>10</x:v>
      </x:c>
      <x:c r="X1060" s="14" t="b">
        <x:v>0</x:v>
      </x:c>
      <x:c r="Y1060" s="14" t="b">
        <x:v>1</x:v>
      </x:c>
      <x:c r="Z1060" s="2" t="n">
        <x:f>ABS(T1060-AA1060)</x:f>
        <x:v>0</x:v>
      </x:c>
      <x:c r="AA1060" s="2" t="n">
        <x:v>258</x:v>
      </x:c>
      <x:c r="AB1060" s="2" t="n">
        <x:f>ABS(K1060-W1060)</x:f>
        <x:v>3</x:v>
      </x:c>
      <x:c r="AC1060" s="2" t="n">
        <x:f>COUNTIF($A$2:$A$1921,A1060)-1</x:f>
        <x:v>0</x:v>
      </x:c>
      <x:c r="AD1060" s="2" t="n">
        <x:f>IF(AND(D1060=D1059,H1060=H1059,C1060=C1059+1),ABS(R1060-T1059),0)</x:f>
        <x:v>0</x:v>
      </x:c>
    </x:row>
    <x:row r="1061" ht="23" customHeight="1">
      <x:c r="A1061" s="2" t="str">
        <x:v>DEMO-302-0-20</x:v>
      </x:c>
      <x:c r="B1061" s="15" t="d">
        <x:v>2026-09-14T00:00:00.000Z</x:v>
      </x:c>
      <x:c r="C1061" s="2" t="n">
        <x:v>20</x:v>
      </x:c>
      <x:c r="D1061" s="2" t="str">
        <x:v>DEMO-302</x:v>
      </x:c>
      <x:c r="E1061" s="2" t="str">
        <x:v>Soft Glow Lamp</x:v>
      </x:c>
      <x:c r="F1061" s="2" t="str">
        <x:v>Lifestyle</x:v>
      </x:c>
      <x:c r="G1061" s="2" t="str">
        <x:v>Stores</x:v>
      </x:c>
      <x:c r="H1061" s="2" t="str">
        <x:v>North Arcade</x:v>
      </x:c>
      <x:c r="I1061" s="2" t="n">
        <x:v>8</x:v>
      </x:c>
      <x:c r="J1061" s="2" t="n">
        <x:v>0</x:v>
      </x:c>
      <x:c r="K1061" s="2" t="n">
        <x:f>I1061-J1061</x:f>
        <x:v>8</x:v>
      </x:c>
      <x:c r="L1061" s="16" t="n">
        <x:v>26</x:v>
      </x:c>
      <x:c r="M1061" s="16" t="n">
        <x:v>20.8</x:v>
      </x:c>
      <x:c r="N1061" s="16" t="n">
        <x:v>10.01</x:v>
      </x:c>
      <x:c r="O1061" s="16" t="n">
        <x:f>K1061*M1061</x:f>
        <x:v>166.4</x:v>
      </x:c>
      <x:c r="P1061" s="16" t="n">
        <x:f>K1061*N1061</x:f>
        <x:v>80.08</x:v>
      </x:c>
      <x:c r="Q1061" s="16" t="n">
        <x:f>O1061-P1061</x:f>
        <x:v>86.32000000000001</x:v>
      </x:c>
      <x:c r="R1061" s="2" t="n">
        <x:v>258</x:v>
      </x:c>
      <x:c r="S1061" s="2" t="n">
        <x:v>0</x:v>
      </x:c>
      <x:c r="T1061" s="2" t="n">
        <x:f>R1061+S1061+J1061-I1061</x:f>
        <x:v>250</x:v>
      </x:c>
      <x:c r="U1061" s="2" t="n">
        <x:v>24</x:v>
      </x:c>
      <x:c r="V1061" s="2" t="n">
        <x:v>3</x:v>
      </x:c>
      <x:c r="W1061" s="2" t="n">
        <x:v>9</x:v>
      </x:c>
      <x:c r="X1061" s="14" t="b">
        <x:v>0</x:v>
      </x:c>
      <x:c r="Y1061" s="14" t="b">
        <x:v>1</x:v>
      </x:c>
      <x:c r="Z1061" s="2" t="n">
        <x:f>ABS(T1061-AA1061)</x:f>
        <x:v>0</x:v>
      </x:c>
      <x:c r="AA1061" s="2" t="n">
        <x:v>250</x:v>
      </x:c>
      <x:c r="AB1061" s="2" t="n">
        <x:f>ABS(K1061-W1061)</x:f>
        <x:v>1</x:v>
      </x:c>
      <x:c r="AC1061" s="2" t="n">
        <x:f>COUNTIF($A$2:$A$1921,A1061)-1</x:f>
        <x:v>0</x:v>
      </x:c>
      <x:c r="AD1061" s="2" t="n">
        <x:f>IF(AND(D1061=D1060,H1061=H1060,C1061=C1060+1),ABS(R1061-T1060),0)</x:f>
        <x:v>0</x:v>
      </x:c>
    </x:row>
    <x:row r="1062" ht="23" customHeight="1">
      <x:c r="A1062" s="2" t="str">
        <x:v>DEMO-302-1-1</x:v>
      </x:c>
      <x:c r="B1062" s="15" t="d">
        <x:v>2026-05-04T00:00:00.000Z</x:v>
      </x:c>
      <x:c r="C1062" s="2" t="n">
        <x:v>1</x:v>
      </x:c>
      <x:c r="D1062" s="2" t="str">
        <x:v>DEMO-302</x:v>
      </x:c>
      <x:c r="E1062" s="2" t="str">
        <x:v>Soft Glow Lamp</x:v>
      </x:c>
      <x:c r="F1062" s="2" t="str">
        <x:v>Lifestyle</x:v>
      </x:c>
      <x:c r="G1062" s="2" t="str">
        <x:v>Stores</x:v>
      </x:c>
      <x:c r="H1062" s="2" t="str">
        <x:v>Riverside</x:v>
      </x:c>
      <x:c r="I1062" s="2" t="n">
        <x:v>16</x:v>
      </x:c>
      <x:c r="J1062" s="2" t="n">
        <x:v>0</x:v>
      </x:c>
      <x:c r="K1062" s="2" t="n">
        <x:f>I1062-J1062</x:f>
        <x:v>16</x:v>
      </x:c>
      <x:c r="L1062" s="16" t="n">
        <x:v>26</x:v>
      </x:c>
      <x:c r="M1062" s="16" t="n">
        <x:v>26</x:v>
      </x:c>
      <x:c r="N1062" s="16" t="n">
        <x:v>10.01</x:v>
      </x:c>
      <x:c r="O1062" s="16" t="n">
        <x:f>K1062*M1062</x:f>
        <x:v>416</x:v>
      </x:c>
      <x:c r="P1062" s="16" t="n">
        <x:f>K1062*N1062</x:f>
        <x:v>160.16</x:v>
      </x:c>
      <x:c r="Q1062" s="16" t="n">
        <x:f>O1062-P1062</x:f>
        <x:v>255.84</x:v>
      </x:c>
      <x:c r="R1062" s="2" t="n">
        <x:v>140</x:v>
      </x:c>
      <x:c r="S1062" s="2" t="n">
        <x:v>65</x:v>
      </x:c>
      <x:c r="T1062" s="2" t="n">
        <x:f>R1062+S1062+J1062-I1062</x:f>
        <x:v>189</x:v>
      </x:c>
      <x:c r="U1062" s="2" t="n">
        <x:v>0</x:v>
      </x:c>
      <x:c r="V1062" s="2" t="n">
        <x:v>3</x:v>
      </x:c>
      <x:c r="W1062" s="2" t="n">
        <x:v>14</x:v>
      </x:c>
      <x:c r="X1062" s="14" t="b">
        <x:v>0</x:v>
      </x:c>
      <x:c r="Y1062" s="14" t="b">
        <x:v>0</x:v>
      </x:c>
      <x:c r="Z1062" s="2" t="n">
        <x:f>ABS(T1062-AA1062)</x:f>
        <x:v>0</x:v>
      </x:c>
      <x:c r="AA1062" s="2" t="n">
        <x:v>189</x:v>
      </x:c>
      <x:c r="AB1062" s="2" t="n">
        <x:f>ABS(K1062-W1062)</x:f>
        <x:v>2</x:v>
      </x:c>
      <x:c r="AC1062" s="2" t="n">
        <x:f>COUNTIF($A$2:$A$1921,A1062)-1</x:f>
        <x:v>0</x:v>
      </x:c>
      <x:c r="AD1062" s="2" t="n">
        <x:f>IF(AND(D1062=D1061,H1062=H1061,C1062=C1061+1),ABS(R1062-T1061),0)</x:f>
        <x:v>0</x:v>
      </x:c>
    </x:row>
    <x:row r="1063" ht="23" customHeight="1">
      <x:c r="A1063" s="2" t="str">
        <x:v>DEMO-302-1-2</x:v>
      </x:c>
      <x:c r="B1063" s="15" t="d">
        <x:v>2026-05-11T00:00:00.000Z</x:v>
      </x:c>
      <x:c r="C1063" s="2" t="n">
        <x:v>2</x:v>
      </x:c>
      <x:c r="D1063" s="2" t="str">
        <x:v>DEMO-302</x:v>
      </x:c>
      <x:c r="E1063" s="2" t="str">
        <x:v>Soft Glow Lamp</x:v>
      </x:c>
      <x:c r="F1063" s="2" t="str">
        <x:v>Lifestyle</x:v>
      </x:c>
      <x:c r="G1063" s="2" t="str">
        <x:v>Stores</x:v>
      </x:c>
      <x:c r="H1063" s="2" t="str">
        <x:v>Riverside</x:v>
      </x:c>
      <x:c r="I1063" s="2" t="n">
        <x:v>13</x:v>
      </x:c>
      <x:c r="J1063" s="2" t="n">
        <x:v>0</x:v>
      </x:c>
      <x:c r="K1063" s="2" t="n">
        <x:f>I1063-J1063</x:f>
        <x:v>13</x:v>
      </x:c>
      <x:c r="L1063" s="16" t="n">
        <x:v>26</x:v>
      </x:c>
      <x:c r="M1063" s="16" t="n">
        <x:v>26</x:v>
      </x:c>
      <x:c r="N1063" s="16" t="n">
        <x:v>10.01</x:v>
      </x:c>
      <x:c r="O1063" s="16" t="n">
        <x:f>K1063*M1063</x:f>
        <x:v>338</x:v>
      </x:c>
      <x:c r="P1063" s="16" t="n">
        <x:f>K1063*N1063</x:f>
        <x:v>130.13</x:v>
      </x:c>
      <x:c r="Q1063" s="16" t="n">
        <x:f>O1063-P1063</x:f>
        <x:v>207.87</x:v>
      </x:c>
      <x:c r="R1063" s="2" t="n">
        <x:v>189</x:v>
      </x:c>
      <x:c r="S1063" s="2" t="n">
        <x:v>0</x:v>
      </x:c>
      <x:c r="T1063" s="2" t="n">
        <x:f>R1063+S1063+J1063-I1063</x:f>
        <x:v>176</x:v>
      </x:c>
      <x:c r="U1063" s="2" t="n">
        <x:v>0</x:v>
      </x:c>
      <x:c r="V1063" s="2" t="n">
        <x:v>3</x:v>
      </x:c>
      <x:c r="W1063" s="2" t="n">
        <x:v>16</x:v>
      </x:c>
      <x:c r="X1063" s="14" t="b">
        <x:v>0</x:v>
      </x:c>
      <x:c r="Y1063" s="14" t="b">
        <x:v>0</x:v>
      </x:c>
      <x:c r="Z1063" s="2" t="n">
        <x:f>ABS(T1063-AA1063)</x:f>
        <x:v>0</x:v>
      </x:c>
      <x:c r="AA1063" s="2" t="n">
        <x:v>176</x:v>
      </x:c>
      <x:c r="AB1063" s="2" t="n">
        <x:f>ABS(K1063-W1063)</x:f>
        <x:v>3</x:v>
      </x:c>
      <x:c r="AC1063" s="2" t="n">
        <x:f>COUNTIF($A$2:$A$1921,A1063)-1</x:f>
        <x:v>0</x:v>
      </x:c>
      <x:c r="AD1063" s="2" t="n">
        <x:f>IF(AND(D1063=D1062,H1063=H1062,C1063=C1062+1),ABS(R1063-T1062),0)</x:f>
        <x:v>0</x:v>
      </x:c>
    </x:row>
    <x:row r="1064" ht="23" customHeight="1">
      <x:c r="A1064" s="2" t="str">
        <x:v>DEMO-302-1-3</x:v>
      </x:c>
      <x:c r="B1064" s="15" t="d">
        <x:v>2026-05-18T00:00:00.000Z</x:v>
      </x:c>
      <x:c r="C1064" s="2" t="n">
        <x:v>3</x:v>
      </x:c>
      <x:c r="D1064" s="2" t="str">
        <x:v>DEMO-302</x:v>
      </x:c>
      <x:c r="E1064" s="2" t="str">
        <x:v>Soft Glow Lamp</x:v>
      </x:c>
      <x:c r="F1064" s="2" t="str">
        <x:v>Lifestyle</x:v>
      </x:c>
      <x:c r="G1064" s="2" t="str">
        <x:v>Stores</x:v>
      </x:c>
      <x:c r="H1064" s="2" t="str">
        <x:v>Riverside</x:v>
      </x:c>
      <x:c r="I1064" s="2" t="n">
        <x:v>11</x:v>
      </x:c>
      <x:c r="J1064" s="2" t="n">
        <x:v>0</x:v>
      </x:c>
      <x:c r="K1064" s="2" t="n">
        <x:f>I1064-J1064</x:f>
        <x:v>11</x:v>
      </x:c>
      <x:c r="L1064" s="16" t="n">
        <x:v>26</x:v>
      </x:c>
      <x:c r="M1064" s="16" t="n">
        <x:v>26</x:v>
      </x:c>
      <x:c r="N1064" s="16" t="n">
        <x:v>10.01</x:v>
      </x:c>
      <x:c r="O1064" s="16" t="n">
        <x:f>K1064*M1064</x:f>
        <x:v>286</x:v>
      </x:c>
      <x:c r="P1064" s="16" t="n">
        <x:f>K1064*N1064</x:f>
        <x:v>110.11</x:v>
      </x:c>
      <x:c r="Q1064" s="16" t="n">
        <x:f>O1064-P1064</x:f>
        <x:v>175.89</x:v>
      </x:c>
      <x:c r="R1064" s="2" t="n">
        <x:v>176</x:v>
      </x:c>
      <x:c r="S1064" s="2" t="n">
        <x:v>0</x:v>
      </x:c>
      <x:c r="T1064" s="2" t="n">
        <x:f>R1064+S1064+J1064-I1064</x:f>
        <x:v>165</x:v>
      </x:c>
      <x:c r="U1064" s="2" t="n">
        <x:v>0</x:v>
      </x:c>
      <x:c r="V1064" s="2" t="n">
        <x:v>3</x:v>
      </x:c>
      <x:c r="W1064" s="2" t="n">
        <x:v>15</x:v>
      </x:c>
      <x:c r="X1064" s="14" t="b">
        <x:v>0</x:v>
      </x:c>
      <x:c r="Y1064" s="14" t="b">
        <x:v>0</x:v>
      </x:c>
      <x:c r="Z1064" s="2" t="n">
        <x:f>ABS(T1064-AA1064)</x:f>
        <x:v>0</x:v>
      </x:c>
      <x:c r="AA1064" s="2" t="n">
        <x:v>165</x:v>
      </x:c>
      <x:c r="AB1064" s="2" t="n">
        <x:f>ABS(K1064-W1064)</x:f>
        <x:v>4</x:v>
      </x:c>
      <x:c r="AC1064" s="2" t="n">
        <x:f>COUNTIF($A$2:$A$1921,A1064)-1</x:f>
        <x:v>0</x:v>
      </x:c>
      <x:c r="AD1064" s="2" t="n">
        <x:f>IF(AND(D1064=D1063,H1064=H1063,C1064=C1063+1),ABS(R1064-T1063),0)</x:f>
        <x:v>0</x:v>
      </x:c>
    </x:row>
    <x:row r="1065" ht="23" customHeight="1">
      <x:c r="A1065" s="2" t="str">
        <x:v>DEMO-302-1-4</x:v>
      </x:c>
      <x:c r="B1065" s="15" t="d">
        <x:v>2026-05-25T00:00:00.000Z</x:v>
      </x:c>
      <x:c r="C1065" s="2" t="n">
        <x:v>4</x:v>
      </x:c>
      <x:c r="D1065" s="2" t="str">
        <x:v>DEMO-302</x:v>
      </x:c>
      <x:c r="E1065" s="2" t="str">
        <x:v>Soft Glow Lamp</x:v>
      </x:c>
      <x:c r="F1065" s="2" t="str">
        <x:v>Lifestyle</x:v>
      </x:c>
      <x:c r="G1065" s="2" t="str">
        <x:v>Stores</x:v>
      </x:c>
      <x:c r="H1065" s="2" t="str">
        <x:v>Riverside</x:v>
      </x:c>
      <x:c r="I1065" s="2" t="n">
        <x:v>13</x:v>
      </x:c>
      <x:c r="J1065" s="2" t="n">
        <x:v>0</x:v>
      </x:c>
      <x:c r="K1065" s="2" t="n">
        <x:f>I1065-J1065</x:f>
        <x:v>13</x:v>
      </x:c>
      <x:c r="L1065" s="16" t="n">
        <x:v>26</x:v>
      </x:c>
      <x:c r="M1065" s="16" t="n">
        <x:v>26</x:v>
      </x:c>
      <x:c r="N1065" s="16" t="n">
        <x:v>10.01</x:v>
      </x:c>
      <x:c r="O1065" s="16" t="n">
        <x:f>K1065*M1065</x:f>
        <x:v>338</x:v>
      </x:c>
      <x:c r="P1065" s="16" t="n">
        <x:f>K1065*N1065</x:f>
        <x:v>130.13</x:v>
      </x:c>
      <x:c r="Q1065" s="16" t="n">
        <x:f>O1065-P1065</x:f>
        <x:v>207.87</x:v>
      </x:c>
      <x:c r="R1065" s="2" t="n">
        <x:v>165</x:v>
      </x:c>
      <x:c r="S1065" s="2" t="n">
        <x:v>0</x:v>
      </x:c>
      <x:c r="T1065" s="2" t="n">
        <x:f>R1065+S1065+J1065-I1065</x:f>
        <x:v>152</x:v>
      </x:c>
      <x:c r="U1065" s="2" t="n">
        <x:v>0</x:v>
      </x:c>
      <x:c r="V1065" s="2" t="n">
        <x:v>3</x:v>
      </x:c>
      <x:c r="W1065" s="2" t="n">
        <x:v>13</x:v>
      </x:c>
      <x:c r="X1065" s="14" t="b">
        <x:v>0</x:v>
      </x:c>
      <x:c r="Y1065" s="14" t="b">
        <x:v>0</x:v>
      </x:c>
      <x:c r="Z1065" s="2" t="n">
        <x:f>ABS(T1065-AA1065)</x:f>
        <x:v>0</x:v>
      </x:c>
      <x:c r="AA1065" s="2" t="n">
        <x:v>152</x:v>
      </x:c>
      <x:c r="AB1065" s="2" t="n">
        <x:f>ABS(K1065-W1065)</x:f>
        <x:v>0</x:v>
      </x:c>
      <x:c r="AC1065" s="2" t="n">
        <x:f>COUNTIF($A$2:$A$1921,A1065)-1</x:f>
        <x:v>0</x:v>
      </x:c>
      <x:c r="AD1065" s="2" t="n">
        <x:f>IF(AND(D1065=D1064,H1065=H1064,C1065=C1064+1),ABS(R1065-T1064),0)</x:f>
        <x:v>0</x:v>
      </x:c>
    </x:row>
    <x:row r="1066" ht="23" customHeight="1">
      <x:c r="A1066" s="2" t="str">
        <x:v>DEMO-302-1-5</x:v>
      </x:c>
      <x:c r="B1066" s="15" t="d">
        <x:v>2026-06-01T00:00:00.000Z</x:v>
      </x:c>
      <x:c r="C1066" s="2" t="n">
        <x:v>5</x:v>
      </x:c>
      <x:c r="D1066" s="2" t="str">
        <x:v>DEMO-302</x:v>
      </x:c>
      <x:c r="E1066" s="2" t="str">
        <x:v>Soft Glow Lamp</x:v>
      </x:c>
      <x:c r="F1066" s="2" t="str">
        <x:v>Lifestyle</x:v>
      </x:c>
      <x:c r="G1066" s="2" t="str">
        <x:v>Stores</x:v>
      </x:c>
      <x:c r="H1066" s="2" t="str">
        <x:v>Riverside</x:v>
      </x:c>
      <x:c r="I1066" s="2" t="n">
        <x:v>14</x:v>
      </x:c>
      <x:c r="J1066" s="2" t="n">
        <x:v>1</x:v>
      </x:c>
      <x:c r="K1066" s="2" t="n">
        <x:f>I1066-J1066</x:f>
        <x:v>13</x:v>
      </x:c>
      <x:c r="L1066" s="16" t="n">
        <x:v>26</x:v>
      </x:c>
      <x:c r="M1066" s="16" t="n">
        <x:v>26</x:v>
      </x:c>
      <x:c r="N1066" s="16" t="n">
        <x:v>10.01</x:v>
      </x:c>
      <x:c r="O1066" s="16" t="n">
        <x:f>K1066*M1066</x:f>
        <x:v>338</x:v>
      </x:c>
      <x:c r="P1066" s="16" t="n">
        <x:f>K1066*N1066</x:f>
        <x:v>130.13</x:v>
      </x:c>
      <x:c r="Q1066" s="16" t="n">
        <x:f>O1066-P1066</x:f>
        <x:v>207.87</x:v>
      </x:c>
      <x:c r="R1066" s="2" t="n">
        <x:v>152</x:v>
      </x:c>
      <x:c r="S1066" s="2" t="n">
        <x:v>65</x:v>
      </x:c>
      <x:c r="T1066" s="2" t="n">
        <x:f>R1066+S1066+J1066-I1066</x:f>
        <x:v>204</x:v>
      </x:c>
      <x:c r="U1066" s="2" t="n">
        <x:v>0</x:v>
      </x:c>
      <x:c r="V1066" s="2" t="n">
        <x:v>3</x:v>
      </x:c>
      <x:c r="W1066" s="2" t="n">
        <x:v>13</x:v>
      </x:c>
      <x:c r="X1066" s="14" t="b">
        <x:v>0</x:v>
      </x:c>
      <x:c r="Y1066" s="14" t="b">
        <x:v>0</x:v>
      </x:c>
      <x:c r="Z1066" s="2" t="n">
        <x:f>ABS(T1066-AA1066)</x:f>
        <x:v>0</x:v>
      </x:c>
      <x:c r="AA1066" s="2" t="n">
        <x:v>204</x:v>
      </x:c>
      <x:c r="AB1066" s="2" t="n">
        <x:f>ABS(K1066-W1066)</x:f>
        <x:v>0</x:v>
      </x:c>
      <x:c r="AC1066" s="2" t="n">
        <x:f>COUNTIF($A$2:$A$1921,A1066)-1</x:f>
        <x:v>0</x:v>
      </x:c>
      <x:c r="AD1066" s="2" t="n">
        <x:f>IF(AND(D1066=D1065,H1066=H1065,C1066=C1065+1),ABS(R1066-T1065),0)</x:f>
        <x:v>0</x:v>
      </x:c>
    </x:row>
    <x:row r="1067" ht="23" customHeight="1">
      <x:c r="A1067" s="2" t="str">
        <x:v>DEMO-302-1-6</x:v>
      </x:c>
      <x:c r="B1067" s="15" t="d">
        <x:v>2026-06-08T00:00:00.000Z</x:v>
      </x:c>
      <x:c r="C1067" s="2" t="n">
        <x:v>6</x:v>
      </x:c>
      <x:c r="D1067" s="2" t="str">
        <x:v>DEMO-302</x:v>
      </x:c>
      <x:c r="E1067" s="2" t="str">
        <x:v>Soft Glow Lamp</x:v>
      </x:c>
      <x:c r="F1067" s="2" t="str">
        <x:v>Lifestyle</x:v>
      </x:c>
      <x:c r="G1067" s="2" t="str">
        <x:v>Stores</x:v>
      </x:c>
      <x:c r="H1067" s="2" t="str">
        <x:v>Riverside</x:v>
      </x:c>
      <x:c r="I1067" s="2" t="n">
        <x:v>10</x:v>
      </x:c>
      <x:c r="J1067" s="2" t="n">
        <x:v>0</x:v>
      </x:c>
      <x:c r="K1067" s="2" t="n">
        <x:f>I1067-J1067</x:f>
        <x:v>10</x:v>
      </x:c>
      <x:c r="L1067" s="16" t="n">
        <x:v>26</x:v>
      </x:c>
      <x:c r="M1067" s="16" t="n">
        <x:v>26</x:v>
      </x:c>
      <x:c r="N1067" s="16" t="n">
        <x:v>10.01</x:v>
      </x:c>
      <x:c r="O1067" s="16" t="n">
        <x:f>K1067*M1067</x:f>
        <x:v>260</x:v>
      </x:c>
      <x:c r="P1067" s="16" t="n">
        <x:f>K1067*N1067</x:f>
        <x:v>100.1</x:v>
      </x:c>
      <x:c r="Q1067" s="16" t="n">
        <x:f>O1067-P1067</x:f>
        <x:v>159.9</x:v>
      </x:c>
      <x:c r="R1067" s="2" t="n">
        <x:v>204</x:v>
      </x:c>
      <x:c r="S1067" s="2" t="n">
        <x:v>0</x:v>
      </x:c>
      <x:c r="T1067" s="2" t="n">
        <x:f>R1067+S1067+J1067-I1067</x:f>
        <x:v>194</x:v>
      </x:c>
      <x:c r="U1067" s="2" t="n">
        <x:v>0</x:v>
      </x:c>
      <x:c r="V1067" s="2" t="n">
        <x:v>3</x:v>
      </x:c>
      <x:c r="W1067" s="2" t="n">
        <x:v>13</x:v>
      </x:c>
      <x:c r="X1067" s="14" t="b">
        <x:v>0</x:v>
      </x:c>
      <x:c r="Y1067" s="14" t="b">
        <x:v>0</x:v>
      </x:c>
      <x:c r="Z1067" s="2" t="n">
        <x:f>ABS(T1067-AA1067)</x:f>
        <x:v>0</x:v>
      </x:c>
      <x:c r="AA1067" s="2" t="n">
        <x:v>194</x:v>
      </x:c>
      <x:c r="AB1067" s="2" t="n">
        <x:f>ABS(K1067-W1067)</x:f>
        <x:v>3</x:v>
      </x:c>
      <x:c r="AC1067" s="2" t="n">
        <x:f>COUNTIF($A$2:$A$1921,A1067)-1</x:f>
        <x:v>0</x:v>
      </x:c>
      <x:c r="AD1067" s="2" t="n">
        <x:f>IF(AND(D1067=D1066,H1067=H1066,C1067=C1066+1),ABS(R1067-T1066),0)</x:f>
        <x:v>0</x:v>
      </x:c>
    </x:row>
    <x:row r="1068" ht="23" customHeight="1">
      <x:c r="A1068" s="2" t="str">
        <x:v>DEMO-302-1-7</x:v>
      </x:c>
      <x:c r="B1068" s="15" t="d">
        <x:v>2026-06-15T00:00:00.000Z</x:v>
      </x:c>
      <x:c r="C1068" s="2" t="n">
        <x:v>7</x:v>
      </x:c>
      <x:c r="D1068" s="2" t="str">
        <x:v>DEMO-302</x:v>
      </x:c>
      <x:c r="E1068" s="2" t="str">
        <x:v>Soft Glow Lamp</x:v>
      </x:c>
      <x:c r="F1068" s="2" t="str">
        <x:v>Lifestyle</x:v>
      </x:c>
      <x:c r="G1068" s="2" t="str">
        <x:v>Stores</x:v>
      </x:c>
      <x:c r="H1068" s="2" t="str">
        <x:v>Riverside</x:v>
      </x:c>
      <x:c r="I1068" s="2" t="n">
        <x:v>13</x:v>
      </x:c>
      <x:c r="J1068" s="2" t="n">
        <x:v>1</x:v>
      </x:c>
      <x:c r="K1068" s="2" t="n">
        <x:f>I1068-J1068</x:f>
        <x:v>12</x:v>
      </x:c>
      <x:c r="L1068" s="16" t="n">
        <x:v>26</x:v>
      </x:c>
      <x:c r="M1068" s="16" t="n">
        <x:v>26</x:v>
      </x:c>
      <x:c r="N1068" s="16" t="n">
        <x:v>10.01</x:v>
      </x:c>
      <x:c r="O1068" s="16" t="n">
        <x:f>K1068*M1068</x:f>
        <x:v>312</x:v>
      </x:c>
      <x:c r="P1068" s="16" t="n">
        <x:f>K1068*N1068</x:f>
        <x:v>120.12</x:v>
      </x:c>
      <x:c r="Q1068" s="16" t="n">
        <x:f>O1068-P1068</x:f>
        <x:v>191.88</x:v>
      </x:c>
      <x:c r="R1068" s="2" t="n">
        <x:v>194</x:v>
      </x:c>
      <x:c r="S1068" s="2" t="n">
        <x:v>0</x:v>
      </x:c>
      <x:c r="T1068" s="2" t="n">
        <x:f>R1068+S1068+J1068-I1068</x:f>
        <x:v>182</x:v>
      </x:c>
      <x:c r="U1068" s="2" t="n">
        <x:v>0</x:v>
      </x:c>
      <x:c r="V1068" s="2" t="n">
        <x:v>3</x:v>
      </x:c>
      <x:c r="W1068" s="2" t="n">
        <x:v>12</x:v>
      </x:c>
      <x:c r="X1068" s="14" t="b">
        <x:v>0</x:v>
      </x:c>
      <x:c r="Y1068" s="14" t="b">
        <x:v>0</x:v>
      </x:c>
      <x:c r="Z1068" s="2" t="n">
        <x:f>ABS(T1068-AA1068)</x:f>
        <x:v>0</x:v>
      </x:c>
      <x:c r="AA1068" s="2" t="n">
        <x:v>182</x:v>
      </x:c>
      <x:c r="AB1068" s="2" t="n">
        <x:f>ABS(K1068-W1068)</x:f>
        <x:v>0</x:v>
      </x:c>
      <x:c r="AC1068" s="2" t="n">
        <x:f>COUNTIF($A$2:$A$1921,A1068)-1</x:f>
        <x:v>0</x:v>
      </x:c>
      <x:c r="AD1068" s="2" t="n">
        <x:f>IF(AND(D1068=D1067,H1068=H1067,C1068=C1067+1),ABS(R1068-T1067),0)</x:f>
        <x:v>0</x:v>
      </x:c>
    </x:row>
    <x:row r="1069" ht="23" customHeight="1">
      <x:c r="A1069" s="2" t="str">
        <x:v>DEMO-302-1-8</x:v>
      </x:c>
      <x:c r="B1069" s="15" t="d">
        <x:v>2026-06-22T00:00:00.000Z</x:v>
      </x:c>
      <x:c r="C1069" s="2" t="n">
        <x:v>8</x:v>
      </x:c>
      <x:c r="D1069" s="2" t="str">
        <x:v>DEMO-302</x:v>
      </x:c>
      <x:c r="E1069" s="2" t="str">
        <x:v>Soft Glow Lamp</x:v>
      </x:c>
      <x:c r="F1069" s="2" t="str">
        <x:v>Lifestyle</x:v>
      </x:c>
      <x:c r="G1069" s="2" t="str">
        <x:v>Stores</x:v>
      </x:c>
      <x:c r="H1069" s="2" t="str">
        <x:v>Riverside</x:v>
      </x:c>
      <x:c r="I1069" s="2" t="n">
        <x:v>9</x:v>
      </x:c>
      <x:c r="J1069" s="2" t="n">
        <x:v>0</x:v>
      </x:c>
      <x:c r="K1069" s="2" t="n">
        <x:f>I1069-J1069</x:f>
        <x:v>9</x:v>
      </x:c>
      <x:c r="L1069" s="16" t="n">
        <x:v>26</x:v>
      </x:c>
      <x:c r="M1069" s="16" t="n">
        <x:v>26</x:v>
      </x:c>
      <x:c r="N1069" s="16" t="n">
        <x:v>10.01</x:v>
      </x:c>
      <x:c r="O1069" s="16" t="n">
        <x:f>K1069*M1069</x:f>
        <x:v>234</x:v>
      </x:c>
      <x:c r="P1069" s="16" t="n">
        <x:f>K1069*N1069</x:f>
        <x:v>90.09</x:v>
      </x:c>
      <x:c r="Q1069" s="16" t="n">
        <x:f>O1069-P1069</x:f>
        <x:v>143.91</x:v>
      </x:c>
      <x:c r="R1069" s="2" t="n">
        <x:v>182</x:v>
      </x:c>
      <x:c r="S1069" s="2" t="n">
        <x:v>0</x:v>
      </x:c>
      <x:c r="T1069" s="2" t="n">
        <x:f>R1069+S1069+J1069-I1069</x:f>
        <x:v>173</x:v>
      </x:c>
      <x:c r="U1069" s="2" t="n">
        <x:v>0</x:v>
      </x:c>
      <x:c r="V1069" s="2" t="n">
        <x:v>3</x:v>
      </x:c>
      <x:c r="W1069" s="2" t="n">
        <x:v>12</x:v>
      </x:c>
      <x:c r="X1069" s="14" t="b">
        <x:v>0</x:v>
      </x:c>
      <x:c r="Y1069" s="14" t="b">
        <x:v>0</x:v>
      </x:c>
      <x:c r="Z1069" s="2" t="n">
        <x:f>ABS(T1069-AA1069)</x:f>
        <x:v>0</x:v>
      </x:c>
      <x:c r="AA1069" s="2" t="n">
        <x:v>173</x:v>
      </x:c>
      <x:c r="AB1069" s="2" t="n">
        <x:f>ABS(K1069-W1069)</x:f>
        <x:v>3</x:v>
      </x:c>
      <x:c r="AC1069" s="2" t="n">
        <x:f>COUNTIF($A$2:$A$1921,A1069)-1</x:f>
        <x:v>0</x:v>
      </x:c>
      <x:c r="AD1069" s="2" t="n">
        <x:f>IF(AND(D1069=D1068,H1069=H1068,C1069=C1068+1),ABS(R1069-T1068),0)</x:f>
        <x:v>0</x:v>
      </x:c>
    </x:row>
    <x:row r="1070" ht="23" customHeight="1">
      <x:c r="A1070" s="2" t="str">
        <x:v>DEMO-302-1-9</x:v>
      </x:c>
      <x:c r="B1070" s="15" t="d">
        <x:v>2026-06-29T00:00:00.000Z</x:v>
      </x:c>
      <x:c r="C1070" s="2" t="n">
        <x:v>9</x:v>
      </x:c>
      <x:c r="D1070" s="2" t="str">
        <x:v>DEMO-302</x:v>
      </x:c>
      <x:c r="E1070" s="2" t="str">
        <x:v>Soft Glow Lamp</x:v>
      </x:c>
      <x:c r="F1070" s="2" t="str">
        <x:v>Lifestyle</x:v>
      </x:c>
      <x:c r="G1070" s="2" t="str">
        <x:v>Stores</x:v>
      </x:c>
      <x:c r="H1070" s="2" t="str">
        <x:v>Riverside</x:v>
      </x:c>
      <x:c r="I1070" s="2" t="n">
        <x:v>9</x:v>
      </x:c>
      <x:c r="J1070" s="2" t="n">
        <x:v>0</x:v>
      </x:c>
      <x:c r="K1070" s="2" t="n">
        <x:f>I1070-J1070</x:f>
        <x:v>9</x:v>
      </x:c>
      <x:c r="L1070" s="16" t="n">
        <x:v>26</x:v>
      </x:c>
      <x:c r="M1070" s="16" t="n">
        <x:v>26</x:v>
      </x:c>
      <x:c r="N1070" s="16" t="n">
        <x:v>10.01</x:v>
      </x:c>
      <x:c r="O1070" s="16" t="n">
        <x:f>K1070*M1070</x:f>
        <x:v>234</x:v>
      </x:c>
      <x:c r="P1070" s="16" t="n">
        <x:f>K1070*N1070</x:f>
        <x:v>90.09</x:v>
      </x:c>
      <x:c r="Q1070" s="16" t="n">
        <x:f>O1070-P1070</x:f>
        <x:v>143.91</x:v>
      </x:c>
      <x:c r="R1070" s="2" t="n">
        <x:v>173</x:v>
      </x:c>
      <x:c r="S1070" s="2" t="n">
        <x:v>65</x:v>
      </x:c>
      <x:c r="T1070" s="2" t="n">
        <x:f>R1070+S1070+J1070-I1070</x:f>
        <x:v>229</x:v>
      </x:c>
      <x:c r="U1070" s="2" t="n">
        <x:v>0</x:v>
      </x:c>
      <x:c r="V1070" s="2" t="n">
        <x:v>3</x:v>
      </x:c>
      <x:c r="W1070" s="2" t="n">
        <x:v>11</x:v>
      </x:c>
      <x:c r="X1070" s="14" t="b">
        <x:v>0</x:v>
      </x:c>
      <x:c r="Y1070" s="14" t="b">
        <x:v>0</x:v>
      </x:c>
      <x:c r="Z1070" s="2" t="n">
        <x:f>ABS(T1070-AA1070)</x:f>
        <x:v>0</x:v>
      </x:c>
      <x:c r="AA1070" s="2" t="n">
        <x:v>229</x:v>
      </x:c>
      <x:c r="AB1070" s="2" t="n">
        <x:f>ABS(K1070-W1070)</x:f>
        <x:v>2</x:v>
      </x:c>
      <x:c r="AC1070" s="2" t="n">
        <x:f>COUNTIF($A$2:$A$1921,A1070)-1</x:f>
        <x:v>0</x:v>
      </x:c>
      <x:c r="AD1070" s="2" t="n">
        <x:f>IF(AND(D1070=D1069,H1070=H1069,C1070=C1069+1),ABS(R1070-T1069),0)</x:f>
        <x:v>0</x:v>
      </x:c>
    </x:row>
    <x:row r="1071" ht="23" customHeight="1">
      <x:c r="A1071" s="2" t="str">
        <x:v>DEMO-302-1-10</x:v>
      </x:c>
      <x:c r="B1071" s="15" t="d">
        <x:v>2026-07-06T00:00:00.000Z</x:v>
      </x:c>
      <x:c r="C1071" s="2" t="n">
        <x:v>10</x:v>
      </x:c>
      <x:c r="D1071" s="2" t="str">
        <x:v>DEMO-302</x:v>
      </x:c>
      <x:c r="E1071" s="2" t="str">
        <x:v>Soft Glow Lamp</x:v>
      </x:c>
      <x:c r="F1071" s="2" t="str">
        <x:v>Lifestyle</x:v>
      </x:c>
      <x:c r="G1071" s="2" t="str">
        <x:v>Stores</x:v>
      </x:c>
      <x:c r="H1071" s="2" t="str">
        <x:v>Riverside</x:v>
      </x:c>
      <x:c r="I1071" s="2" t="n">
        <x:v>8</x:v>
      </x:c>
      <x:c r="J1071" s="2" t="n">
        <x:v>0</x:v>
      </x:c>
      <x:c r="K1071" s="2" t="n">
        <x:f>I1071-J1071</x:f>
        <x:v>8</x:v>
      </x:c>
      <x:c r="L1071" s="16" t="n">
        <x:v>26</x:v>
      </x:c>
      <x:c r="M1071" s="16" t="n">
        <x:v>26</x:v>
      </x:c>
      <x:c r="N1071" s="16" t="n">
        <x:v>10.01</x:v>
      </x:c>
      <x:c r="O1071" s="16" t="n">
        <x:f>K1071*M1071</x:f>
        <x:v>208</x:v>
      </x:c>
      <x:c r="P1071" s="16" t="n">
        <x:f>K1071*N1071</x:f>
        <x:v>80.08</x:v>
      </x:c>
      <x:c r="Q1071" s="16" t="n">
        <x:f>O1071-P1071</x:f>
        <x:v>127.92</x:v>
      </x:c>
      <x:c r="R1071" s="2" t="n">
        <x:v>229</x:v>
      </x:c>
      <x:c r="S1071" s="2" t="n">
        <x:v>0</x:v>
      </x:c>
      <x:c r="T1071" s="2" t="n">
        <x:f>R1071+S1071+J1071-I1071</x:f>
        <x:v>221</x:v>
      </x:c>
      <x:c r="U1071" s="2" t="n">
        <x:v>0</x:v>
      </x:c>
      <x:c r="V1071" s="2" t="n">
        <x:v>3</x:v>
      </x:c>
      <x:c r="W1071" s="2" t="n">
        <x:v>10</x:v>
      </x:c>
      <x:c r="X1071" s="14" t="b">
        <x:v>0</x:v>
      </x:c>
      <x:c r="Y1071" s="14" t="b">
        <x:v>0</x:v>
      </x:c>
      <x:c r="Z1071" s="2" t="n">
        <x:f>ABS(T1071-AA1071)</x:f>
        <x:v>0</x:v>
      </x:c>
      <x:c r="AA1071" s="2" t="n">
        <x:v>221</x:v>
      </x:c>
      <x:c r="AB1071" s="2" t="n">
        <x:f>ABS(K1071-W1071)</x:f>
        <x:v>2</x:v>
      </x:c>
      <x:c r="AC1071" s="2" t="n">
        <x:f>COUNTIF($A$2:$A$1921,A1071)-1</x:f>
        <x:v>0</x:v>
      </x:c>
      <x:c r="AD1071" s="2" t="n">
        <x:f>IF(AND(D1071=D1070,H1071=H1070,C1071=C1070+1),ABS(R1071-T1070),0)</x:f>
        <x:v>0</x:v>
      </x:c>
    </x:row>
    <x:row r="1072" ht="23" customHeight="1">
      <x:c r="A1072" s="2" t="str">
        <x:v>DEMO-302-1-11</x:v>
      </x:c>
      <x:c r="B1072" s="15" t="d">
        <x:v>2026-07-13T00:00:00.000Z</x:v>
      </x:c>
      <x:c r="C1072" s="2" t="n">
        <x:v>11</x:v>
      </x:c>
      <x:c r="D1072" s="2" t="str">
        <x:v>DEMO-302</x:v>
      </x:c>
      <x:c r="E1072" s="2" t="str">
        <x:v>Soft Glow Lamp</x:v>
      </x:c>
      <x:c r="F1072" s="2" t="str">
        <x:v>Lifestyle</x:v>
      </x:c>
      <x:c r="G1072" s="2" t="str">
        <x:v>Stores</x:v>
      </x:c>
      <x:c r="H1072" s="2" t="str">
        <x:v>Riverside</x:v>
      </x:c>
      <x:c r="I1072" s="2" t="n">
        <x:v>8</x:v>
      </x:c>
      <x:c r="J1072" s="2" t="n">
        <x:v>0</x:v>
      </x:c>
      <x:c r="K1072" s="2" t="n">
        <x:f>I1072-J1072</x:f>
        <x:v>8</x:v>
      </x:c>
      <x:c r="L1072" s="16" t="n">
        <x:v>26</x:v>
      </x:c>
      <x:c r="M1072" s="16" t="n">
        <x:v>26</x:v>
      </x:c>
      <x:c r="N1072" s="16" t="n">
        <x:v>10.01</x:v>
      </x:c>
      <x:c r="O1072" s="16" t="n">
        <x:f>K1072*M1072</x:f>
        <x:v>208</x:v>
      </x:c>
      <x:c r="P1072" s="16" t="n">
        <x:f>K1072*N1072</x:f>
        <x:v>80.08</x:v>
      </x:c>
      <x:c r="Q1072" s="16" t="n">
        <x:f>O1072-P1072</x:f>
        <x:v>127.92</x:v>
      </x:c>
      <x:c r="R1072" s="2" t="n">
        <x:v>221</x:v>
      </x:c>
      <x:c r="S1072" s="2" t="n">
        <x:v>0</x:v>
      </x:c>
      <x:c r="T1072" s="2" t="n">
        <x:f>R1072+S1072+J1072-I1072</x:f>
        <x:v>213</x:v>
      </x:c>
      <x:c r="U1072" s="2" t="n">
        <x:v>0</x:v>
      </x:c>
      <x:c r="V1072" s="2" t="n">
        <x:v>3</x:v>
      </x:c>
      <x:c r="W1072" s="2" t="n">
        <x:v>10</x:v>
      </x:c>
      <x:c r="X1072" s="14" t="b">
        <x:v>0</x:v>
      </x:c>
      <x:c r="Y1072" s="14" t="b">
        <x:v>0</x:v>
      </x:c>
      <x:c r="Z1072" s="2" t="n">
        <x:f>ABS(T1072-AA1072)</x:f>
        <x:v>0</x:v>
      </x:c>
      <x:c r="AA1072" s="2" t="n">
        <x:v>213</x:v>
      </x:c>
      <x:c r="AB1072" s="2" t="n">
        <x:f>ABS(K1072-W1072)</x:f>
        <x:v>2</x:v>
      </x:c>
      <x:c r="AC1072" s="2" t="n">
        <x:f>COUNTIF($A$2:$A$1921,A1072)-1</x:f>
        <x:v>0</x:v>
      </x:c>
      <x:c r="AD1072" s="2" t="n">
        <x:f>IF(AND(D1072=D1071,H1072=H1071,C1072=C1071+1),ABS(R1072-T1071),0)</x:f>
        <x:v>0</x:v>
      </x:c>
    </x:row>
    <x:row r="1073" ht="23" customHeight="1">
      <x:c r="A1073" s="2" t="str">
        <x:v>DEMO-302-1-12</x:v>
      </x:c>
      <x:c r="B1073" s="15" t="d">
        <x:v>2026-07-20T00:00:00.000Z</x:v>
      </x:c>
      <x:c r="C1073" s="2" t="n">
        <x:v>12</x:v>
      </x:c>
      <x:c r="D1073" s="2" t="str">
        <x:v>DEMO-302</x:v>
      </x:c>
      <x:c r="E1073" s="2" t="str">
        <x:v>Soft Glow Lamp</x:v>
      </x:c>
      <x:c r="F1073" s="2" t="str">
        <x:v>Lifestyle</x:v>
      </x:c>
      <x:c r="G1073" s="2" t="str">
        <x:v>Stores</x:v>
      </x:c>
      <x:c r="H1073" s="2" t="str">
        <x:v>Riverside</x:v>
      </x:c>
      <x:c r="I1073" s="2" t="n">
        <x:v>9</x:v>
      </x:c>
      <x:c r="J1073" s="2" t="n">
        <x:v>0</x:v>
      </x:c>
      <x:c r="K1073" s="2" t="n">
        <x:f>I1073-J1073</x:f>
        <x:v>9</x:v>
      </x:c>
      <x:c r="L1073" s="16" t="n">
        <x:v>26</x:v>
      </x:c>
      <x:c r="M1073" s="16" t="n">
        <x:v>26</x:v>
      </x:c>
      <x:c r="N1073" s="16" t="n">
        <x:v>10.01</x:v>
      </x:c>
      <x:c r="O1073" s="16" t="n">
        <x:f>K1073*M1073</x:f>
        <x:v>234</x:v>
      </x:c>
      <x:c r="P1073" s="16" t="n">
        <x:f>K1073*N1073</x:f>
        <x:v>90.09</x:v>
      </x:c>
      <x:c r="Q1073" s="16" t="n">
        <x:f>O1073-P1073</x:f>
        <x:v>143.91</x:v>
      </x:c>
      <x:c r="R1073" s="2" t="n">
        <x:v>213</x:v>
      </x:c>
      <x:c r="S1073" s="2" t="n">
        <x:v>0</x:v>
      </x:c>
      <x:c r="T1073" s="2" t="n">
        <x:f>R1073+S1073+J1073-I1073</x:f>
        <x:v>204</x:v>
      </x:c>
      <x:c r="U1073" s="2" t="n">
        <x:v>0</x:v>
      </x:c>
      <x:c r="V1073" s="2" t="n">
        <x:v>3</x:v>
      </x:c>
      <x:c r="W1073" s="2" t="n">
        <x:v>9</x:v>
      </x:c>
      <x:c r="X1073" s="14" t="b">
        <x:v>0</x:v>
      </x:c>
      <x:c r="Y1073" s="14" t="b">
        <x:v>0</x:v>
      </x:c>
      <x:c r="Z1073" s="2" t="n">
        <x:f>ABS(T1073-AA1073)</x:f>
        <x:v>0</x:v>
      </x:c>
      <x:c r="AA1073" s="2" t="n">
        <x:v>204</x:v>
      </x:c>
      <x:c r="AB1073" s="2" t="n">
        <x:f>ABS(K1073-W1073)</x:f>
        <x:v>0</x:v>
      </x:c>
      <x:c r="AC1073" s="2" t="n">
        <x:f>COUNTIF($A$2:$A$1921,A1073)-1</x:f>
        <x:v>0</x:v>
      </x:c>
      <x:c r="AD1073" s="2" t="n">
        <x:f>IF(AND(D1073=D1072,H1073=H1072,C1073=C1072+1),ABS(R1073-T1072),0)</x:f>
        <x:v>0</x:v>
      </x:c>
    </x:row>
    <x:row r="1074" ht="23" customHeight="1">
      <x:c r="A1074" s="2" t="str">
        <x:v>DEMO-302-1-13</x:v>
      </x:c>
      <x:c r="B1074" s="15" t="d">
        <x:v>2026-07-27T00:00:00.000Z</x:v>
      </x:c>
      <x:c r="C1074" s="2" t="n">
        <x:v>13</x:v>
      </x:c>
      <x:c r="D1074" s="2" t="str">
        <x:v>DEMO-302</x:v>
      </x:c>
      <x:c r="E1074" s="2" t="str">
        <x:v>Soft Glow Lamp</x:v>
      </x:c>
      <x:c r="F1074" s="2" t="str">
        <x:v>Lifestyle</x:v>
      </x:c>
      <x:c r="G1074" s="2" t="str">
        <x:v>Stores</x:v>
      </x:c>
      <x:c r="H1074" s="2" t="str">
        <x:v>Riverside</x:v>
      </x:c>
      <x:c r="I1074" s="2" t="n">
        <x:v>7</x:v>
      </x:c>
      <x:c r="J1074" s="2" t="n">
        <x:v>0</x:v>
      </x:c>
      <x:c r="K1074" s="2" t="n">
        <x:f>I1074-J1074</x:f>
        <x:v>7</x:v>
      </x:c>
      <x:c r="L1074" s="16" t="n">
        <x:v>26</x:v>
      </x:c>
      <x:c r="M1074" s="16" t="n">
        <x:v>26</x:v>
      </x:c>
      <x:c r="N1074" s="16" t="n">
        <x:v>10.01</x:v>
      </x:c>
      <x:c r="O1074" s="16" t="n">
        <x:f>K1074*M1074</x:f>
        <x:v>182</x:v>
      </x:c>
      <x:c r="P1074" s="16" t="n">
        <x:f>K1074*N1074</x:f>
        <x:v>70.07</x:v>
      </x:c>
      <x:c r="Q1074" s="16" t="n">
        <x:f>O1074-P1074</x:f>
        <x:v>111.93</x:v>
      </x:c>
      <x:c r="R1074" s="2" t="n">
        <x:v>204</x:v>
      </x:c>
      <x:c r="S1074" s="2" t="n">
        <x:v>65</x:v>
      </x:c>
      <x:c r="T1074" s="2" t="n">
        <x:f>R1074+S1074+J1074-I1074</x:f>
        <x:v>262</x:v>
      </x:c>
      <x:c r="U1074" s="2" t="n">
        <x:v>0</x:v>
      </x:c>
      <x:c r="V1074" s="2" t="n">
        <x:v>3</x:v>
      </x:c>
      <x:c r="W1074" s="2" t="n">
        <x:v>9</x:v>
      </x:c>
      <x:c r="X1074" s="14" t="b">
        <x:v>0</x:v>
      </x:c>
      <x:c r="Y1074" s="14" t="b">
        <x:v>0</x:v>
      </x:c>
      <x:c r="Z1074" s="2" t="n">
        <x:f>ABS(T1074-AA1074)</x:f>
        <x:v>0</x:v>
      </x:c>
      <x:c r="AA1074" s="2" t="n">
        <x:v>262</x:v>
      </x:c>
      <x:c r="AB1074" s="2" t="n">
        <x:f>ABS(K1074-W1074)</x:f>
        <x:v>2</x:v>
      </x:c>
      <x:c r="AC1074" s="2" t="n">
        <x:f>COUNTIF($A$2:$A$1921,A1074)-1</x:f>
        <x:v>0</x:v>
      </x:c>
      <x:c r="AD1074" s="2" t="n">
        <x:f>IF(AND(D1074=D1073,H1074=H1073,C1074=C1073+1),ABS(R1074-T1073),0)</x:f>
        <x:v>0</x:v>
      </x:c>
    </x:row>
    <x:row r="1075" ht="23" customHeight="1">
      <x:c r="A1075" s="2" t="str">
        <x:v>DEMO-302-1-14</x:v>
      </x:c>
      <x:c r="B1075" s="15" t="d">
        <x:v>2026-08-03T00:00:00.000Z</x:v>
      </x:c>
      <x:c r="C1075" s="2" t="n">
        <x:v>14</x:v>
      </x:c>
      <x:c r="D1075" s="2" t="str">
        <x:v>DEMO-302</x:v>
      </x:c>
      <x:c r="E1075" s="2" t="str">
        <x:v>Soft Glow Lamp</x:v>
      </x:c>
      <x:c r="F1075" s="2" t="str">
        <x:v>Lifestyle</x:v>
      </x:c>
      <x:c r="G1075" s="2" t="str">
        <x:v>Stores</x:v>
      </x:c>
      <x:c r="H1075" s="2" t="str">
        <x:v>Riverside</x:v>
      </x:c>
      <x:c r="I1075" s="2" t="n">
        <x:v>9</x:v>
      </x:c>
      <x:c r="J1075" s="2" t="n">
        <x:v>1</x:v>
      </x:c>
      <x:c r="K1075" s="2" t="n">
        <x:f>I1075-J1075</x:f>
        <x:v>8</x:v>
      </x:c>
      <x:c r="L1075" s="16" t="n">
        <x:v>26</x:v>
      </x:c>
      <x:c r="M1075" s="16" t="n">
        <x:v>26</x:v>
      </x:c>
      <x:c r="N1075" s="16" t="n">
        <x:v>10.01</x:v>
      </x:c>
      <x:c r="O1075" s="16" t="n">
        <x:f>K1075*M1075</x:f>
        <x:v>208</x:v>
      </x:c>
      <x:c r="P1075" s="16" t="n">
        <x:f>K1075*N1075</x:f>
        <x:v>80.08</x:v>
      </x:c>
      <x:c r="Q1075" s="16" t="n">
        <x:f>O1075-P1075</x:f>
        <x:v>127.92</x:v>
      </x:c>
      <x:c r="R1075" s="2" t="n">
        <x:v>262</x:v>
      </x:c>
      <x:c r="S1075" s="2" t="n">
        <x:v>0</x:v>
      </x:c>
      <x:c r="T1075" s="2" t="n">
        <x:f>R1075+S1075+J1075-I1075</x:f>
        <x:v>254</x:v>
      </x:c>
      <x:c r="U1075" s="2" t="n">
        <x:v>0</x:v>
      </x:c>
      <x:c r="V1075" s="2" t="n">
        <x:v>3</x:v>
      </x:c>
      <x:c r="W1075" s="2" t="n">
        <x:v>8</x:v>
      </x:c>
      <x:c r="X1075" s="14" t="b">
        <x:v>0</x:v>
      </x:c>
      <x:c r="Y1075" s="14" t="b">
        <x:v>0</x:v>
      </x:c>
      <x:c r="Z1075" s="2" t="n">
        <x:f>ABS(T1075-AA1075)</x:f>
        <x:v>0</x:v>
      </x:c>
      <x:c r="AA1075" s="2" t="n">
        <x:v>254</x:v>
      </x:c>
      <x:c r="AB1075" s="2" t="n">
        <x:f>ABS(K1075-W1075)</x:f>
        <x:v>0</x:v>
      </x:c>
      <x:c r="AC1075" s="2" t="n">
        <x:f>COUNTIF($A$2:$A$1921,A1075)-1</x:f>
        <x:v>0</x:v>
      </x:c>
      <x:c r="AD1075" s="2" t="n">
        <x:f>IF(AND(D1075=D1074,H1075=H1074,C1075=C1074+1),ABS(R1075-T1074),0)</x:f>
        <x:v>0</x:v>
      </x:c>
    </x:row>
    <x:row r="1076" ht="23" customHeight="1">
      <x:c r="A1076" s="2" t="str">
        <x:v>DEMO-302-1-15</x:v>
      </x:c>
      <x:c r="B1076" s="15" t="d">
        <x:v>2026-08-10T00:00:00.000Z</x:v>
      </x:c>
      <x:c r="C1076" s="2" t="n">
        <x:v>15</x:v>
      </x:c>
      <x:c r="D1076" s="2" t="str">
        <x:v>DEMO-302</x:v>
      </x:c>
      <x:c r="E1076" s="2" t="str">
        <x:v>Soft Glow Lamp</x:v>
      </x:c>
      <x:c r="F1076" s="2" t="str">
        <x:v>Lifestyle</x:v>
      </x:c>
      <x:c r="G1076" s="2" t="str">
        <x:v>Stores</x:v>
      </x:c>
      <x:c r="H1076" s="2" t="str">
        <x:v>Riverside</x:v>
      </x:c>
      <x:c r="I1076" s="2" t="n">
        <x:v>8</x:v>
      </x:c>
      <x:c r="J1076" s="2" t="n">
        <x:v>0</x:v>
      </x:c>
      <x:c r="K1076" s="2" t="n">
        <x:f>I1076-J1076</x:f>
        <x:v>8</x:v>
      </x:c>
      <x:c r="L1076" s="16" t="n">
        <x:v>26</x:v>
      </x:c>
      <x:c r="M1076" s="16" t="n">
        <x:v>26</x:v>
      </x:c>
      <x:c r="N1076" s="16" t="n">
        <x:v>10.01</x:v>
      </x:c>
      <x:c r="O1076" s="16" t="n">
        <x:f>K1076*M1076</x:f>
        <x:v>208</x:v>
      </x:c>
      <x:c r="P1076" s="16" t="n">
        <x:f>K1076*N1076</x:f>
        <x:v>80.08</x:v>
      </x:c>
      <x:c r="Q1076" s="16" t="n">
        <x:f>O1076-P1076</x:f>
        <x:v>127.92</x:v>
      </x:c>
      <x:c r="R1076" s="2" t="n">
        <x:v>254</x:v>
      </x:c>
      <x:c r="S1076" s="2" t="n">
        <x:v>0</x:v>
      </x:c>
      <x:c r="T1076" s="2" t="n">
        <x:f>R1076+S1076+J1076-I1076</x:f>
        <x:v>246</x:v>
      </x:c>
      <x:c r="U1076" s="2" t="n">
        <x:v>0</x:v>
      </x:c>
      <x:c r="V1076" s="2" t="n">
        <x:v>3</x:v>
      </x:c>
      <x:c r="W1076" s="2" t="n">
        <x:v>8</x:v>
      </x:c>
      <x:c r="X1076" s="14" t="b">
        <x:v>0</x:v>
      </x:c>
      <x:c r="Y1076" s="14" t="b">
        <x:v>0</x:v>
      </x:c>
      <x:c r="Z1076" s="2" t="n">
        <x:f>ABS(T1076-AA1076)</x:f>
        <x:v>0</x:v>
      </x:c>
      <x:c r="AA1076" s="2" t="n">
        <x:v>246</x:v>
      </x:c>
      <x:c r="AB1076" s="2" t="n">
        <x:f>ABS(K1076-W1076)</x:f>
        <x:v>0</x:v>
      </x:c>
      <x:c r="AC1076" s="2" t="n">
        <x:f>COUNTIF($A$2:$A$1921,A1076)-1</x:f>
        <x:v>0</x:v>
      </x:c>
      <x:c r="AD1076" s="2" t="n">
        <x:f>IF(AND(D1076=D1075,H1076=H1075,C1076=C1075+1),ABS(R1076-T1075),0)</x:f>
        <x:v>0</x:v>
      </x:c>
    </x:row>
    <x:row r="1077" ht="23" customHeight="1">
      <x:c r="A1077" s="2" t="str">
        <x:v>DEMO-302-1-16</x:v>
      </x:c>
      <x:c r="B1077" s="15" t="d">
        <x:v>2026-08-17T00:00:00.000Z</x:v>
      </x:c>
      <x:c r="C1077" s="2" t="n">
        <x:v>16</x:v>
      </x:c>
      <x:c r="D1077" s="2" t="str">
        <x:v>DEMO-302</x:v>
      </x:c>
      <x:c r="E1077" s="2" t="str">
        <x:v>Soft Glow Lamp</x:v>
      </x:c>
      <x:c r="F1077" s="2" t="str">
        <x:v>Lifestyle</x:v>
      </x:c>
      <x:c r="G1077" s="2" t="str">
        <x:v>Stores</x:v>
      </x:c>
      <x:c r="H1077" s="2" t="str">
        <x:v>Riverside</x:v>
      </x:c>
      <x:c r="I1077" s="2" t="n">
        <x:v>7</x:v>
      </x:c>
      <x:c r="J1077" s="2" t="n">
        <x:v>0</x:v>
      </x:c>
      <x:c r="K1077" s="2" t="n">
        <x:f>I1077-J1077</x:f>
        <x:v>7</x:v>
      </x:c>
      <x:c r="L1077" s="16" t="n">
        <x:v>26</x:v>
      </x:c>
      <x:c r="M1077" s="16" t="n">
        <x:v>26</x:v>
      </x:c>
      <x:c r="N1077" s="16" t="n">
        <x:v>10.01</x:v>
      </x:c>
      <x:c r="O1077" s="16" t="n">
        <x:f>K1077*M1077</x:f>
        <x:v>182</x:v>
      </x:c>
      <x:c r="P1077" s="16" t="n">
        <x:f>K1077*N1077</x:f>
        <x:v>70.07</x:v>
      </x:c>
      <x:c r="Q1077" s="16" t="n">
        <x:f>O1077-P1077</x:f>
        <x:v>111.93</x:v>
      </x:c>
      <x:c r="R1077" s="2" t="n">
        <x:v>246</x:v>
      </x:c>
      <x:c r="S1077" s="2" t="n">
        <x:v>0</x:v>
      </x:c>
      <x:c r="T1077" s="2" t="n">
        <x:f>R1077+S1077+J1077-I1077</x:f>
        <x:v>239</x:v>
      </x:c>
      <x:c r="U1077" s="2" t="n">
        <x:v>0</x:v>
      </x:c>
      <x:c r="V1077" s="2" t="n">
        <x:v>3</x:v>
      </x:c>
      <x:c r="W1077" s="2" t="n">
        <x:v>8</x:v>
      </x:c>
      <x:c r="X1077" s="14" t="b">
        <x:v>0</x:v>
      </x:c>
      <x:c r="Y1077" s="14" t="b">
        <x:v>0</x:v>
      </x:c>
      <x:c r="Z1077" s="2" t="n">
        <x:f>ABS(T1077-AA1077)</x:f>
        <x:v>0</x:v>
      </x:c>
      <x:c r="AA1077" s="2" t="n">
        <x:v>239</x:v>
      </x:c>
      <x:c r="AB1077" s="2" t="n">
        <x:f>ABS(K1077-W1077)</x:f>
        <x:v>1</x:v>
      </x:c>
      <x:c r="AC1077" s="2" t="n">
        <x:f>COUNTIF($A$2:$A$1921,A1077)-1</x:f>
        <x:v>0</x:v>
      </x:c>
      <x:c r="AD1077" s="2" t="n">
        <x:f>IF(AND(D1077=D1076,H1077=H1076,C1077=C1076+1),ABS(R1077-T1076),0)</x:f>
        <x:v>0</x:v>
      </x:c>
    </x:row>
    <x:row r="1078" ht="23" customHeight="1">
      <x:c r="A1078" s="2" t="str">
        <x:v>DEMO-302-1-17</x:v>
      </x:c>
      <x:c r="B1078" s="15" t="d">
        <x:v>2026-08-24T00:00:00.000Z</x:v>
      </x:c>
      <x:c r="C1078" s="2" t="n">
        <x:v>17</x:v>
      </x:c>
      <x:c r="D1078" s="2" t="str">
        <x:v>DEMO-302</x:v>
      </x:c>
      <x:c r="E1078" s="2" t="str">
        <x:v>Soft Glow Lamp</x:v>
      </x:c>
      <x:c r="F1078" s="2" t="str">
        <x:v>Lifestyle</x:v>
      </x:c>
      <x:c r="G1078" s="2" t="str">
        <x:v>Stores</x:v>
      </x:c>
      <x:c r="H1078" s="2" t="str">
        <x:v>Riverside</x:v>
      </x:c>
      <x:c r="I1078" s="2" t="n">
        <x:v>9</x:v>
      </x:c>
      <x:c r="J1078" s="2" t="n">
        <x:v>0</x:v>
      </x:c>
      <x:c r="K1078" s="2" t="n">
        <x:f>I1078-J1078</x:f>
        <x:v>9</x:v>
      </x:c>
      <x:c r="L1078" s="16" t="n">
        <x:v>26</x:v>
      </x:c>
      <x:c r="M1078" s="16" t="n">
        <x:v>20.8</x:v>
      </x:c>
      <x:c r="N1078" s="16" t="n">
        <x:v>10.01</x:v>
      </x:c>
      <x:c r="O1078" s="16" t="n">
        <x:f>K1078*M1078</x:f>
        <x:v>187.20000000000002</x:v>
      </x:c>
      <x:c r="P1078" s="16" t="n">
        <x:f>K1078*N1078</x:f>
        <x:v>90.09</x:v>
      </x:c>
      <x:c r="Q1078" s="16" t="n">
        <x:f>O1078-P1078</x:f>
        <x:v>97.11000000000001</x:v>
      </x:c>
      <x:c r="R1078" s="2" t="n">
        <x:v>239</x:v>
      </x:c>
      <x:c r="S1078" s="2" t="n">
        <x:v>65</x:v>
      </x:c>
      <x:c r="T1078" s="2" t="n">
        <x:f>R1078+S1078+J1078-I1078</x:f>
        <x:v>295</x:v>
      </x:c>
      <x:c r="U1078" s="2" t="n">
        <x:v>0</x:v>
      </x:c>
      <x:c r="V1078" s="2" t="n">
        <x:v>3</x:v>
      </x:c>
      <x:c r="W1078" s="2" t="n">
        <x:v>8</x:v>
      </x:c>
      <x:c r="X1078" s="14" t="b">
        <x:v>0</x:v>
      </x:c>
      <x:c r="Y1078" s="14" t="b">
        <x:v>1</x:v>
      </x:c>
      <x:c r="Z1078" s="2" t="n">
        <x:f>ABS(T1078-AA1078)</x:f>
        <x:v>0</x:v>
      </x:c>
      <x:c r="AA1078" s="2" t="n">
        <x:v>295</x:v>
      </x:c>
      <x:c r="AB1078" s="2" t="n">
        <x:f>ABS(K1078-W1078)</x:f>
        <x:v>1</x:v>
      </x:c>
      <x:c r="AC1078" s="2" t="n">
        <x:f>COUNTIF($A$2:$A$1921,A1078)-1</x:f>
        <x:v>0</x:v>
      </x:c>
      <x:c r="AD1078" s="2" t="n">
        <x:f>IF(AND(D1078=D1077,H1078=H1077,C1078=C1077+1),ABS(R1078-T1077),0)</x:f>
        <x:v>0</x:v>
      </x:c>
    </x:row>
    <x:row r="1079" ht="23" customHeight="1">
      <x:c r="A1079" s="2" t="str">
        <x:v>DEMO-302-1-18</x:v>
      </x:c>
      <x:c r="B1079" s="15" t="d">
        <x:v>2026-08-31T00:00:00.000Z</x:v>
      </x:c>
      <x:c r="C1079" s="2" t="n">
        <x:v>18</x:v>
      </x:c>
      <x:c r="D1079" s="2" t="str">
        <x:v>DEMO-302</x:v>
      </x:c>
      <x:c r="E1079" s="2" t="str">
        <x:v>Soft Glow Lamp</x:v>
      </x:c>
      <x:c r="F1079" s="2" t="str">
        <x:v>Lifestyle</x:v>
      </x:c>
      <x:c r="G1079" s="2" t="str">
        <x:v>Stores</x:v>
      </x:c>
      <x:c r="H1079" s="2" t="str">
        <x:v>Riverside</x:v>
      </x:c>
      <x:c r="I1079" s="2" t="n">
        <x:v>10</x:v>
      </x:c>
      <x:c r="J1079" s="2" t="n">
        <x:v>0</x:v>
      </x:c>
      <x:c r="K1079" s="2" t="n">
        <x:f>I1079-J1079</x:f>
        <x:v>10</x:v>
      </x:c>
      <x:c r="L1079" s="16" t="n">
        <x:v>26</x:v>
      </x:c>
      <x:c r="M1079" s="16" t="n">
        <x:v>20.8</x:v>
      </x:c>
      <x:c r="N1079" s="16" t="n">
        <x:v>10.01</x:v>
      </x:c>
      <x:c r="O1079" s="16" t="n">
        <x:f>K1079*M1079</x:f>
        <x:v>208</x:v>
      </x:c>
      <x:c r="P1079" s="16" t="n">
        <x:f>K1079*N1079</x:f>
        <x:v>100.1</x:v>
      </x:c>
      <x:c r="Q1079" s="16" t="n">
        <x:f>O1079-P1079</x:f>
        <x:v>107.9</x:v>
      </x:c>
      <x:c r="R1079" s="2" t="n">
        <x:v>295</x:v>
      </x:c>
      <x:c r="S1079" s="2" t="n">
        <x:v>0</x:v>
      </x:c>
      <x:c r="T1079" s="2" t="n">
        <x:f>R1079+S1079+J1079-I1079</x:f>
        <x:v>285</x:v>
      </x:c>
      <x:c r="U1079" s="2" t="n">
        <x:v>0</x:v>
      </x:c>
      <x:c r="V1079" s="2" t="n">
        <x:v>3</x:v>
      </x:c>
      <x:c r="W1079" s="2" t="n">
        <x:v>8</x:v>
      </x:c>
      <x:c r="X1079" s="14" t="b">
        <x:v>0</x:v>
      </x:c>
      <x:c r="Y1079" s="14" t="b">
        <x:v>1</x:v>
      </x:c>
      <x:c r="Z1079" s="2" t="n">
        <x:f>ABS(T1079-AA1079)</x:f>
        <x:v>0</x:v>
      </x:c>
      <x:c r="AA1079" s="2" t="n">
        <x:v>285</x:v>
      </x:c>
      <x:c r="AB1079" s="2" t="n">
        <x:f>ABS(K1079-W1079)</x:f>
        <x:v>2</x:v>
      </x:c>
      <x:c r="AC1079" s="2" t="n">
        <x:f>COUNTIF($A$2:$A$1921,A1079)-1</x:f>
        <x:v>0</x:v>
      </x:c>
      <x:c r="AD1079" s="2" t="n">
        <x:f>IF(AND(D1079=D1078,H1079=H1078,C1079=C1078+1),ABS(R1079-T1078),0)</x:f>
        <x:v>0</x:v>
      </x:c>
    </x:row>
    <x:row r="1080" ht="23" customHeight="1">
      <x:c r="A1080" s="2" t="str">
        <x:v>DEMO-302-1-19</x:v>
      </x:c>
      <x:c r="B1080" s="15" t="d">
        <x:v>2026-09-07T00:00:00.000Z</x:v>
      </x:c>
      <x:c r="C1080" s="2" t="n">
        <x:v>19</x:v>
      </x:c>
      <x:c r="D1080" s="2" t="str">
        <x:v>DEMO-302</x:v>
      </x:c>
      <x:c r="E1080" s="2" t="str">
        <x:v>Soft Glow Lamp</x:v>
      </x:c>
      <x:c r="F1080" s="2" t="str">
        <x:v>Lifestyle</x:v>
      </x:c>
      <x:c r="G1080" s="2" t="str">
        <x:v>Stores</x:v>
      </x:c>
      <x:c r="H1080" s="2" t="str">
        <x:v>Riverside</x:v>
      </x:c>
      <x:c r="I1080" s="2" t="n">
        <x:v>7</x:v>
      </x:c>
      <x:c r="J1080" s="2" t="n">
        <x:v>0</x:v>
      </x:c>
      <x:c r="K1080" s="2" t="n">
        <x:f>I1080-J1080</x:f>
        <x:v>7</x:v>
      </x:c>
      <x:c r="L1080" s="16" t="n">
        <x:v>26</x:v>
      </x:c>
      <x:c r="M1080" s="16" t="n">
        <x:v>20.8</x:v>
      </x:c>
      <x:c r="N1080" s="16" t="n">
        <x:v>10.01</x:v>
      </x:c>
      <x:c r="O1080" s="16" t="n">
        <x:f>K1080*M1080</x:f>
        <x:v>145.6</x:v>
      </x:c>
      <x:c r="P1080" s="16" t="n">
        <x:f>K1080*N1080</x:f>
        <x:v>70.07</x:v>
      </x:c>
      <x:c r="Q1080" s="16" t="n">
        <x:f>O1080-P1080</x:f>
        <x:v>75.53</x:v>
      </x:c>
      <x:c r="R1080" s="2" t="n">
        <x:v>285</x:v>
      </x:c>
      <x:c r="S1080" s="2" t="n">
        <x:v>0</x:v>
      </x:c>
      <x:c r="T1080" s="2" t="n">
        <x:f>R1080+S1080+J1080-I1080</x:f>
        <x:v>278</x:v>
      </x:c>
      <x:c r="U1080" s="2" t="n">
        <x:v>0</x:v>
      </x:c>
      <x:c r="V1080" s="2" t="n">
        <x:v>3</x:v>
      </x:c>
      <x:c r="W1080" s="2" t="n">
        <x:v>9</x:v>
      </x:c>
      <x:c r="X1080" s="14" t="b">
        <x:v>0</x:v>
      </x:c>
      <x:c r="Y1080" s="14" t="b">
        <x:v>1</x:v>
      </x:c>
      <x:c r="Z1080" s="2" t="n">
        <x:f>ABS(T1080-AA1080)</x:f>
        <x:v>0</x:v>
      </x:c>
      <x:c r="AA1080" s="2" t="n">
        <x:v>278</x:v>
      </x:c>
      <x:c r="AB1080" s="2" t="n">
        <x:f>ABS(K1080-W1080)</x:f>
        <x:v>2</x:v>
      </x:c>
      <x:c r="AC1080" s="2" t="n">
        <x:f>COUNTIF($A$2:$A$1921,A1080)-1</x:f>
        <x:v>0</x:v>
      </x:c>
      <x:c r="AD1080" s="2" t="n">
        <x:f>IF(AND(D1080=D1079,H1080=H1079,C1080=C1079+1),ABS(R1080-T1079),0)</x:f>
        <x:v>0</x:v>
      </x:c>
    </x:row>
    <x:row r="1081" ht="23" customHeight="1">
      <x:c r="A1081" s="2" t="str">
        <x:v>DEMO-302-1-20</x:v>
      </x:c>
      <x:c r="B1081" s="15" t="d">
        <x:v>2026-09-14T00:00:00.000Z</x:v>
      </x:c>
      <x:c r="C1081" s="2" t="n">
        <x:v>20</x:v>
      </x:c>
      <x:c r="D1081" s="2" t="str">
        <x:v>DEMO-302</x:v>
      </x:c>
      <x:c r="E1081" s="2" t="str">
        <x:v>Soft Glow Lamp</x:v>
      </x:c>
      <x:c r="F1081" s="2" t="str">
        <x:v>Lifestyle</x:v>
      </x:c>
      <x:c r="G1081" s="2" t="str">
        <x:v>Stores</x:v>
      </x:c>
      <x:c r="H1081" s="2" t="str">
        <x:v>Riverside</x:v>
      </x:c>
      <x:c r="I1081" s="2" t="n">
        <x:v>9</x:v>
      </x:c>
      <x:c r="J1081" s="2" t="n">
        <x:v>1</x:v>
      </x:c>
      <x:c r="K1081" s="2" t="n">
        <x:f>I1081-J1081</x:f>
        <x:v>8</x:v>
      </x:c>
      <x:c r="L1081" s="16" t="n">
        <x:v>26</x:v>
      </x:c>
      <x:c r="M1081" s="16" t="n">
        <x:v>20.8</x:v>
      </x:c>
      <x:c r="N1081" s="16" t="n">
        <x:v>10.01</x:v>
      </x:c>
      <x:c r="O1081" s="16" t="n">
        <x:f>K1081*M1081</x:f>
        <x:v>166.4</x:v>
      </x:c>
      <x:c r="P1081" s="16" t="n">
        <x:f>K1081*N1081</x:f>
        <x:v>80.08</x:v>
      </x:c>
      <x:c r="Q1081" s="16" t="n">
        <x:f>O1081-P1081</x:f>
        <x:v>86.32000000000001</x:v>
      </x:c>
      <x:c r="R1081" s="2" t="n">
        <x:v>278</x:v>
      </x:c>
      <x:c r="S1081" s="2" t="n">
        <x:v>0</x:v>
      </x:c>
      <x:c r="T1081" s="2" t="n">
        <x:f>R1081+S1081+J1081-I1081</x:f>
        <x:v>270</x:v>
      </x:c>
      <x:c r="U1081" s="2" t="n">
        <x:v>24</x:v>
      </x:c>
      <x:c r="V1081" s="2" t="n">
        <x:v>3</x:v>
      </x:c>
      <x:c r="W1081" s="2" t="n">
        <x:v>8</x:v>
      </x:c>
      <x:c r="X1081" s="14" t="b">
        <x:v>0</x:v>
      </x:c>
      <x:c r="Y1081" s="14" t="b">
        <x:v>1</x:v>
      </x:c>
      <x:c r="Z1081" s="2" t="n">
        <x:f>ABS(T1081-AA1081)</x:f>
        <x:v>0</x:v>
      </x:c>
      <x:c r="AA1081" s="2" t="n">
        <x:v>270</x:v>
      </x:c>
      <x:c r="AB1081" s="2" t="n">
        <x:f>ABS(K1081-W1081)</x:f>
        <x:v>0</x:v>
      </x:c>
      <x:c r="AC1081" s="2" t="n">
        <x:f>COUNTIF($A$2:$A$1921,A1081)-1</x:f>
        <x:v>0</x:v>
      </x:c>
      <x:c r="AD1081" s="2" t="n">
        <x:f>IF(AND(D1081=D1080,H1081=H1080,C1081=C1080+1),ABS(R1081-T1080),0)</x:f>
        <x:v>0</x:v>
      </x:c>
    </x:row>
    <x:row r="1082" ht="23" customHeight="1">
      <x:c r="A1082" s="2" t="str">
        <x:v>DEMO-302-2-1</x:v>
      </x:c>
      <x:c r="B1082" s="15" t="d">
        <x:v>2026-05-04T00:00:00.000Z</x:v>
      </x:c>
      <x:c r="C1082" s="2" t="n">
        <x:v>1</x:v>
      </x:c>
      <x:c r="D1082" s="2" t="str">
        <x:v>DEMO-302</x:v>
      </x:c>
      <x:c r="E1082" s="2" t="str">
        <x:v>Soft Glow Lamp</x:v>
      </x:c>
      <x:c r="F1082" s="2" t="str">
        <x:v>Lifestyle</x:v>
      </x:c>
      <x:c r="G1082" s="2" t="str">
        <x:v>Stores</x:v>
      </x:c>
      <x:c r="H1082" s="2" t="str">
        <x:v>Central Market</x:v>
      </x:c>
      <x:c r="I1082" s="2" t="n">
        <x:v>15</x:v>
      </x:c>
      <x:c r="J1082" s="2" t="n">
        <x:v>0</x:v>
      </x:c>
      <x:c r="K1082" s="2" t="n">
        <x:f>I1082-J1082</x:f>
        <x:v>15</x:v>
      </x:c>
      <x:c r="L1082" s="16" t="n">
        <x:v>26</x:v>
      </x:c>
      <x:c r="M1082" s="16" t="n">
        <x:v>26</x:v>
      </x:c>
      <x:c r="N1082" s="16" t="n">
        <x:v>10.01</x:v>
      </x:c>
      <x:c r="O1082" s="16" t="n">
        <x:f>K1082*M1082</x:f>
        <x:v>390</x:v>
      </x:c>
      <x:c r="P1082" s="16" t="n">
        <x:f>K1082*N1082</x:f>
        <x:v>150.15</x:v>
      </x:c>
      <x:c r="Q1082" s="16" t="n">
        <x:f>O1082-P1082</x:f>
        <x:v>239.85</x:v>
      </x:c>
      <x:c r="R1082" s="2" t="n">
        <x:v>140</x:v>
      </x:c>
      <x:c r="S1082" s="2" t="n">
        <x:v>65</x:v>
      </x:c>
      <x:c r="T1082" s="2" t="n">
        <x:f>R1082+S1082+J1082-I1082</x:f>
        <x:v>190</x:v>
      </x:c>
      <x:c r="U1082" s="2" t="n">
        <x:v>0</x:v>
      </x:c>
      <x:c r="V1082" s="2" t="n">
        <x:v>3</x:v>
      </x:c>
      <x:c r="W1082" s="2" t="n">
        <x:v>14</x:v>
      </x:c>
      <x:c r="X1082" s="14" t="b">
        <x:v>0</x:v>
      </x:c>
      <x:c r="Y1082" s="14" t="b">
        <x:v>0</x:v>
      </x:c>
      <x:c r="Z1082" s="2" t="n">
        <x:f>ABS(T1082-AA1082)</x:f>
        <x:v>0</x:v>
      </x:c>
      <x:c r="AA1082" s="2" t="n">
        <x:v>190</x:v>
      </x:c>
      <x:c r="AB1082" s="2" t="n">
        <x:f>ABS(K1082-W1082)</x:f>
        <x:v>1</x:v>
      </x:c>
      <x:c r="AC1082" s="2" t="n">
        <x:f>COUNTIF($A$2:$A$1921,A1082)-1</x:f>
        <x:v>0</x:v>
      </x:c>
      <x:c r="AD1082" s="2" t="n">
        <x:f>IF(AND(D1082=D1081,H1082=H1081,C1082=C1081+1),ABS(R1082-T1081),0)</x:f>
        <x:v>0</x:v>
      </x:c>
    </x:row>
    <x:row r="1083" ht="23" customHeight="1">
      <x:c r="A1083" s="2" t="str">
        <x:v>DEMO-302-2-2</x:v>
      </x:c>
      <x:c r="B1083" s="15" t="d">
        <x:v>2026-05-11T00:00:00.000Z</x:v>
      </x:c>
      <x:c r="C1083" s="2" t="n">
        <x:v>2</x:v>
      </x:c>
      <x:c r="D1083" s="2" t="str">
        <x:v>DEMO-302</x:v>
      </x:c>
      <x:c r="E1083" s="2" t="str">
        <x:v>Soft Glow Lamp</x:v>
      </x:c>
      <x:c r="F1083" s="2" t="str">
        <x:v>Lifestyle</x:v>
      </x:c>
      <x:c r="G1083" s="2" t="str">
        <x:v>Stores</x:v>
      </x:c>
      <x:c r="H1083" s="2" t="str">
        <x:v>Central Market</x:v>
      </x:c>
      <x:c r="I1083" s="2" t="n">
        <x:v>13</x:v>
      </x:c>
      <x:c r="J1083" s="2" t="n">
        <x:v>1</x:v>
      </x:c>
      <x:c r="K1083" s="2" t="n">
        <x:f>I1083-J1083</x:f>
        <x:v>12</x:v>
      </x:c>
      <x:c r="L1083" s="16" t="n">
        <x:v>26</x:v>
      </x:c>
      <x:c r="M1083" s="16" t="n">
        <x:v>26</x:v>
      </x:c>
      <x:c r="N1083" s="16" t="n">
        <x:v>10.01</x:v>
      </x:c>
      <x:c r="O1083" s="16" t="n">
        <x:f>K1083*M1083</x:f>
        <x:v>312</x:v>
      </x:c>
      <x:c r="P1083" s="16" t="n">
        <x:f>K1083*N1083</x:f>
        <x:v>120.12</x:v>
      </x:c>
      <x:c r="Q1083" s="16" t="n">
        <x:f>O1083-P1083</x:f>
        <x:v>191.88</x:v>
      </x:c>
      <x:c r="R1083" s="2" t="n">
        <x:v>190</x:v>
      </x:c>
      <x:c r="S1083" s="2" t="n">
        <x:v>0</x:v>
      </x:c>
      <x:c r="T1083" s="2" t="n">
        <x:f>R1083+S1083+J1083-I1083</x:f>
        <x:v>178</x:v>
      </x:c>
      <x:c r="U1083" s="2" t="n">
        <x:v>0</x:v>
      </x:c>
      <x:c r="V1083" s="2" t="n">
        <x:v>3</x:v>
      </x:c>
      <x:c r="W1083" s="2" t="n">
        <x:v>15</x:v>
      </x:c>
      <x:c r="X1083" s="14" t="b">
        <x:v>0</x:v>
      </x:c>
      <x:c r="Y1083" s="14" t="b">
        <x:v>0</x:v>
      </x:c>
      <x:c r="Z1083" s="2" t="n">
        <x:f>ABS(T1083-AA1083)</x:f>
        <x:v>0</x:v>
      </x:c>
      <x:c r="AA1083" s="2" t="n">
        <x:v>178</x:v>
      </x:c>
      <x:c r="AB1083" s="2" t="n">
        <x:f>ABS(K1083-W1083)</x:f>
        <x:v>3</x:v>
      </x:c>
      <x:c r="AC1083" s="2" t="n">
        <x:f>COUNTIF($A$2:$A$1921,A1083)-1</x:f>
        <x:v>0</x:v>
      </x:c>
      <x:c r="AD1083" s="2" t="n">
        <x:f>IF(AND(D1083=D1082,H1083=H1082,C1083=C1082+1),ABS(R1083-T1082),0)</x:f>
        <x:v>0</x:v>
      </x:c>
    </x:row>
    <x:row r="1084" ht="23" customHeight="1">
      <x:c r="A1084" s="2" t="str">
        <x:v>DEMO-302-2-3</x:v>
      </x:c>
      <x:c r="B1084" s="15" t="d">
        <x:v>2026-05-18T00:00:00.000Z</x:v>
      </x:c>
      <x:c r="C1084" s="2" t="n">
        <x:v>3</x:v>
      </x:c>
      <x:c r="D1084" s="2" t="str">
        <x:v>DEMO-302</x:v>
      </x:c>
      <x:c r="E1084" s="2" t="str">
        <x:v>Soft Glow Lamp</x:v>
      </x:c>
      <x:c r="F1084" s="2" t="str">
        <x:v>Lifestyle</x:v>
      </x:c>
      <x:c r="G1084" s="2" t="str">
        <x:v>Stores</x:v>
      </x:c>
      <x:c r="H1084" s="2" t="str">
        <x:v>Central Market</x:v>
      </x:c>
      <x:c r="I1084" s="2" t="n">
        <x:v>15</x:v>
      </x:c>
      <x:c r="J1084" s="2" t="n">
        <x:v>0</x:v>
      </x:c>
      <x:c r="K1084" s="2" t="n">
        <x:f>I1084-J1084</x:f>
        <x:v>15</x:v>
      </x:c>
      <x:c r="L1084" s="16" t="n">
        <x:v>26</x:v>
      </x:c>
      <x:c r="M1084" s="16" t="n">
        <x:v>26</x:v>
      </x:c>
      <x:c r="N1084" s="16" t="n">
        <x:v>10.01</x:v>
      </x:c>
      <x:c r="O1084" s="16" t="n">
        <x:f>K1084*M1084</x:f>
        <x:v>390</x:v>
      </x:c>
      <x:c r="P1084" s="16" t="n">
        <x:f>K1084*N1084</x:f>
        <x:v>150.15</x:v>
      </x:c>
      <x:c r="Q1084" s="16" t="n">
        <x:f>O1084-P1084</x:f>
        <x:v>239.85</x:v>
      </x:c>
      <x:c r="R1084" s="2" t="n">
        <x:v>178</x:v>
      </x:c>
      <x:c r="S1084" s="2" t="n">
        <x:v>0</x:v>
      </x:c>
      <x:c r="T1084" s="2" t="n">
        <x:f>R1084+S1084+J1084-I1084</x:f>
        <x:v>163</x:v>
      </x:c>
      <x:c r="U1084" s="2" t="n">
        <x:v>0</x:v>
      </x:c>
      <x:c r="V1084" s="2" t="n">
        <x:v>3</x:v>
      </x:c>
      <x:c r="W1084" s="2" t="n">
        <x:v>14</x:v>
      </x:c>
      <x:c r="X1084" s="14" t="b">
        <x:v>0</x:v>
      </x:c>
      <x:c r="Y1084" s="14" t="b">
        <x:v>0</x:v>
      </x:c>
      <x:c r="Z1084" s="2" t="n">
        <x:f>ABS(T1084-AA1084)</x:f>
        <x:v>0</x:v>
      </x:c>
      <x:c r="AA1084" s="2" t="n">
        <x:v>163</x:v>
      </x:c>
      <x:c r="AB1084" s="2" t="n">
        <x:f>ABS(K1084-W1084)</x:f>
        <x:v>1</x:v>
      </x:c>
      <x:c r="AC1084" s="2" t="n">
        <x:f>COUNTIF($A$2:$A$1921,A1084)-1</x:f>
        <x:v>0</x:v>
      </x:c>
      <x:c r="AD1084" s="2" t="n">
        <x:f>IF(AND(D1084=D1083,H1084=H1083,C1084=C1083+1),ABS(R1084-T1083),0)</x:f>
        <x:v>0</x:v>
      </x:c>
    </x:row>
    <x:row r="1085" ht="23" customHeight="1">
      <x:c r="A1085" s="2" t="str">
        <x:v>DEMO-302-2-4</x:v>
      </x:c>
      <x:c r="B1085" s="15" t="d">
        <x:v>2026-05-25T00:00:00.000Z</x:v>
      </x:c>
      <x:c r="C1085" s="2" t="n">
        <x:v>4</x:v>
      </x:c>
      <x:c r="D1085" s="2" t="str">
        <x:v>DEMO-302</x:v>
      </x:c>
      <x:c r="E1085" s="2" t="str">
        <x:v>Soft Glow Lamp</x:v>
      </x:c>
      <x:c r="F1085" s="2" t="str">
        <x:v>Lifestyle</x:v>
      </x:c>
      <x:c r="G1085" s="2" t="str">
        <x:v>Stores</x:v>
      </x:c>
      <x:c r="H1085" s="2" t="str">
        <x:v>Central Market</x:v>
      </x:c>
      <x:c r="I1085" s="2" t="n">
        <x:v>14</x:v>
      </x:c>
      <x:c r="J1085" s="2" t="n">
        <x:v>1</x:v>
      </x:c>
      <x:c r="K1085" s="2" t="n">
        <x:f>I1085-J1085</x:f>
        <x:v>13</x:v>
      </x:c>
      <x:c r="L1085" s="16" t="n">
        <x:v>26</x:v>
      </x:c>
      <x:c r="M1085" s="16" t="n">
        <x:v>26</x:v>
      </x:c>
      <x:c r="N1085" s="16" t="n">
        <x:v>10.01</x:v>
      </x:c>
      <x:c r="O1085" s="16" t="n">
        <x:f>K1085*M1085</x:f>
        <x:v>338</x:v>
      </x:c>
      <x:c r="P1085" s="16" t="n">
        <x:f>K1085*N1085</x:f>
        <x:v>130.13</x:v>
      </x:c>
      <x:c r="Q1085" s="16" t="n">
        <x:f>O1085-P1085</x:f>
        <x:v>207.87</x:v>
      </x:c>
      <x:c r="R1085" s="2" t="n">
        <x:v>163</x:v>
      </x:c>
      <x:c r="S1085" s="2" t="n">
        <x:v>0</x:v>
      </x:c>
      <x:c r="T1085" s="2" t="n">
        <x:f>R1085+S1085+J1085-I1085</x:f>
        <x:v>150</x:v>
      </x:c>
      <x:c r="U1085" s="2" t="n">
        <x:v>0</x:v>
      </x:c>
      <x:c r="V1085" s="2" t="n">
        <x:v>3</x:v>
      </x:c>
      <x:c r="W1085" s="2" t="n">
        <x:v>14</x:v>
      </x:c>
      <x:c r="X1085" s="14" t="b">
        <x:v>0</x:v>
      </x:c>
      <x:c r="Y1085" s="14" t="b">
        <x:v>0</x:v>
      </x:c>
      <x:c r="Z1085" s="2" t="n">
        <x:f>ABS(T1085-AA1085)</x:f>
        <x:v>0</x:v>
      </x:c>
      <x:c r="AA1085" s="2" t="n">
        <x:v>150</x:v>
      </x:c>
      <x:c r="AB1085" s="2" t="n">
        <x:f>ABS(K1085-W1085)</x:f>
        <x:v>1</x:v>
      </x:c>
      <x:c r="AC1085" s="2" t="n">
        <x:f>COUNTIF($A$2:$A$1921,A1085)-1</x:f>
        <x:v>0</x:v>
      </x:c>
      <x:c r="AD1085" s="2" t="n">
        <x:f>IF(AND(D1085=D1084,H1085=H1084,C1085=C1084+1),ABS(R1085-T1084),0)</x:f>
        <x:v>0</x:v>
      </x:c>
    </x:row>
    <x:row r="1086" ht="23" customHeight="1">
      <x:c r="A1086" s="2" t="str">
        <x:v>DEMO-302-2-5</x:v>
      </x:c>
      <x:c r="B1086" s="15" t="d">
        <x:v>2026-06-01T00:00:00.000Z</x:v>
      </x:c>
      <x:c r="C1086" s="2" t="n">
        <x:v>5</x:v>
      </x:c>
      <x:c r="D1086" s="2" t="str">
        <x:v>DEMO-302</x:v>
      </x:c>
      <x:c r="E1086" s="2" t="str">
        <x:v>Soft Glow Lamp</x:v>
      </x:c>
      <x:c r="F1086" s="2" t="str">
        <x:v>Lifestyle</x:v>
      </x:c>
      <x:c r="G1086" s="2" t="str">
        <x:v>Stores</x:v>
      </x:c>
      <x:c r="H1086" s="2" t="str">
        <x:v>Central Market</x:v>
      </x:c>
      <x:c r="I1086" s="2" t="n">
        <x:v>13</x:v>
      </x:c>
      <x:c r="J1086" s="2" t="n">
        <x:v>0</x:v>
      </x:c>
      <x:c r="K1086" s="2" t="n">
        <x:f>I1086-J1086</x:f>
        <x:v>13</x:v>
      </x:c>
      <x:c r="L1086" s="16" t="n">
        <x:v>26</x:v>
      </x:c>
      <x:c r="M1086" s="16" t="n">
        <x:v>26</x:v>
      </x:c>
      <x:c r="N1086" s="16" t="n">
        <x:v>10.01</x:v>
      </x:c>
      <x:c r="O1086" s="16" t="n">
        <x:f>K1086*M1086</x:f>
        <x:v>338</x:v>
      </x:c>
      <x:c r="P1086" s="16" t="n">
        <x:f>K1086*N1086</x:f>
        <x:v>130.13</x:v>
      </x:c>
      <x:c r="Q1086" s="16" t="n">
        <x:f>O1086-P1086</x:f>
        <x:v>207.87</x:v>
      </x:c>
      <x:c r="R1086" s="2" t="n">
        <x:v>150</x:v>
      </x:c>
      <x:c r="S1086" s="2" t="n">
        <x:v>65</x:v>
      </x:c>
      <x:c r="T1086" s="2" t="n">
        <x:f>R1086+S1086+J1086-I1086</x:f>
        <x:v>202</x:v>
      </x:c>
      <x:c r="U1086" s="2" t="n">
        <x:v>0</x:v>
      </x:c>
      <x:c r="V1086" s="2" t="n">
        <x:v>3</x:v>
      </x:c>
      <x:c r="W1086" s="2" t="n">
        <x:v>14</x:v>
      </x:c>
      <x:c r="X1086" s="14" t="b">
        <x:v>0</x:v>
      </x:c>
      <x:c r="Y1086" s="14" t="b">
        <x:v>0</x:v>
      </x:c>
      <x:c r="Z1086" s="2" t="n">
        <x:f>ABS(T1086-AA1086)</x:f>
        <x:v>0</x:v>
      </x:c>
      <x:c r="AA1086" s="2" t="n">
        <x:v>202</x:v>
      </x:c>
      <x:c r="AB1086" s="2" t="n">
        <x:f>ABS(K1086-W1086)</x:f>
        <x:v>1</x:v>
      </x:c>
      <x:c r="AC1086" s="2" t="n">
        <x:f>COUNTIF($A$2:$A$1921,A1086)-1</x:f>
        <x:v>0</x:v>
      </x:c>
      <x:c r="AD1086" s="2" t="n">
        <x:f>IF(AND(D1086=D1085,H1086=H1085,C1086=C1085+1),ABS(R1086-T1085),0)</x:f>
        <x:v>0</x:v>
      </x:c>
    </x:row>
    <x:row r="1087" ht="23" customHeight="1">
      <x:c r="A1087" s="2" t="str">
        <x:v>DEMO-302-2-6</x:v>
      </x:c>
      <x:c r="B1087" s="15" t="d">
        <x:v>2026-06-08T00:00:00.000Z</x:v>
      </x:c>
      <x:c r="C1087" s="2" t="n">
        <x:v>6</x:v>
      </x:c>
      <x:c r="D1087" s="2" t="str">
        <x:v>DEMO-302</x:v>
      </x:c>
      <x:c r="E1087" s="2" t="str">
        <x:v>Soft Glow Lamp</x:v>
      </x:c>
      <x:c r="F1087" s="2" t="str">
        <x:v>Lifestyle</x:v>
      </x:c>
      <x:c r="G1087" s="2" t="str">
        <x:v>Stores</x:v>
      </x:c>
      <x:c r="H1087" s="2" t="str">
        <x:v>Central Market</x:v>
      </x:c>
      <x:c r="I1087" s="2" t="n">
        <x:v>12</x:v>
      </x:c>
      <x:c r="J1087" s="2" t="n">
        <x:v>0</x:v>
      </x:c>
      <x:c r="K1087" s="2" t="n">
        <x:f>I1087-J1087</x:f>
        <x:v>12</x:v>
      </x:c>
      <x:c r="L1087" s="16" t="n">
        <x:v>26</x:v>
      </x:c>
      <x:c r="M1087" s="16" t="n">
        <x:v>26</x:v>
      </x:c>
      <x:c r="N1087" s="16" t="n">
        <x:v>10.01</x:v>
      </x:c>
      <x:c r="O1087" s="16" t="n">
        <x:f>K1087*M1087</x:f>
        <x:v>312</x:v>
      </x:c>
      <x:c r="P1087" s="16" t="n">
        <x:f>K1087*N1087</x:f>
        <x:v>120.12</x:v>
      </x:c>
      <x:c r="Q1087" s="16" t="n">
        <x:f>O1087-P1087</x:f>
        <x:v>191.88</x:v>
      </x:c>
      <x:c r="R1087" s="2" t="n">
        <x:v>202</x:v>
      </x:c>
      <x:c r="S1087" s="2" t="n">
        <x:v>0</x:v>
      </x:c>
      <x:c r="T1087" s="2" t="n">
        <x:f>R1087+S1087+J1087-I1087</x:f>
        <x:v>190</x:v>
      </x:c>
      <x:c r="U1087" s="2" t="n">
        <x:v>0</x:v>
      </x:c>
      <x:c r="V1087" s="2" t="n">
        <x:v>3</x:v>
      </x:c>
      <x:c r="W1087" s="2" t="n">
        <x:v>13</x:v>
      </x:c>
      <x:c r="X1087" s="14" t="b">
        <x:v>0</x:v>
      </x:c>
      <x:c r="Y1087" s="14" t="b">
        <x:v>0</x:v>
      </x:c>
      <x:c r="Z1087" s="2" t="n">
        <x:f>ABS(T1087-AA1087)</x:f>
        <x:v>0</x:v>
      </x:c>
      <x:c r="AA1087" s="2" t="n">
        <x:v>190</x:v>
      </x:c>
      <x:c r="AB1087" s="2" t="n">
        <x:f>ABS(K1087-W1087)</x:f>
        <x:v>1</x:v>
      </x:c>
      <x:c r="AC1087" s="2" t="n">
        <x:f>COUNTIF($A$2:$A$1921,A1087)-1</x:f>
        <x:v>0</x:v>
      </x:c>
      <x:c r="AD1087" s="2" t="n">
        <x:f>IF(AND(D1087=D1086,H1087=H1086,C1087=C1086+1),ABS(R1087-T1086),0)</x:f>
        <x:v>0</x:v>
      </x:c>
    </x:row>
    <x:row r="1088" ht="23" customHeight="1">
      <x:c r="A1088" s="2" t="str">
        <x:v>DEMO-302-2-7</x:v>
      </x:c>
      <x:c r="B1088" s="15" t="d">
        <x:v>2026-06-15T00:00:00.000Z</x:v>
      </x:c>
      <x:c r="C1088" s="2" t="n">
        <x:v>7</x:v>
      </x:c>
      <x:c r="D1088" s="2" t="str">
        <x:v>DEMO-302</x:v>
      </x:c>
      <x:c r="E1088" s="2" t="str">
        <x:v>Soft Glow Lamp</x:v>
      </x:c>
      <x:c r="F1088" s="2" t="str">
        <x:v>Lifestyle</x:v>
      </x:c>
      <x:c r="G1088" s="2" t="str">
        <x:v>Stores</x:v>
      </x:c>
      <x:c r="H1088" s="2" t="str">
        <x:v>Central Market</x:v>
      </x:c>
      <x:c r="I1088" s="2" t="n">
        <x:v>13</x:v>
      </x:c>
      <x:c r="J1088" s="2" t="n">
        <x:v>0</x:v>
      </x:c>
      <x:c r="K1088" s="2" t="n">
        <x:f>I1088-J1088</x:f>
        <x:v>13</x:v>
      </x:c>
      <x:c r="L1088" s="16" t="n">
        <x:v>26</x:v>
      </x:c>
      <x:c r="M1088" s="16" t="n">
        <x:v>26</x:v>
      </x:c>
      <x:c r="N1088" s="16" t="n">
        <x:v>10.01</x:v>
      </x:c>
      <x:c r="O1088" s="16" t="n">
        <x:f>K1088*M1088</x:f>
        <x:v>338</x:v>
      </x:c>
      <x:c r="P1088" s="16" t="n">
        <x:f>K1088*N1088</x:f>
        <x:v>130.13</x:v>
      </x:c>
      <x:c r="Q1088" s="16" t="n">
        <x:f>O1088-P1088</x:f>
        <x:v>207.87</x:v>
      </x:c>
      <x:c r="R1088" s="2" t="n">
        <x:v>190</x:v>
      </x:c>
      <x:c r="S1088" s="2" t="n">
        <x:v>0</x:v>
      </x:c>
      <x:c r="T1088" s="2" t="n">
        <x:f>R1088+S1088+J1088-I1088</x:f>
        <x:v>177</x:v>
      </x:c>
      <x:c r="U1088" s="2" t="n">
        <x:v>0</x:v>
      </x:c>
      <x:c r="V1088" s="2" t="n">
        <x:v>3</x:v>
      </x:c>
      <x:c r="W1088" s="2" t="n">
        <x:v>13</x:v>
      </x:c>
      <x:c r="X1088" s="14" t="b">
        <x:v>0</x:v>
      </x:c>
      <x:c r="Y1088" s="14" t="b">
        <x:v>0</x:v>
      </x:c>
      <x:c r="Z1088" s="2" t="n">
        <x:f>ABS(T1088-AA1088)</x:f>
        <x:v>0</x:v>
      </x:c>
      <x:c r="AA1088" s="2" t="n">
        <x:v>177</x:v>
      </x:c>
      <x:c r="AB1088" s="2" t="n">
        <x:f>ABS(K1088-W1088)</x:f>
        <x:v>0</x:v>
      </x:c>
      <x:c r="AC1088" s="2" t="n">
        <x:f>COUNTIF($A$2:$A$1921,A1088)-1</x:f>
        <x:v>0</x:v>
      </x:c>
      <x:c r="AD1088" s="2" t="n">
        <x:f>IF(AND(D1088=D1087,H1088=H1087,C1088=C1087+1),ABS(R1088-T1087),0)</x:f>
        <x:v>0</x:v>
      </x:c>
    </x:row>
    <x:row r="1089" ht="23" customHeight="1">
      <x:c r="A1089" s="2" t="str">
        <x:v>DEMO-302-2-8</x:v>
      </x:c>
      <x:c r="B1089" s="15" t="d">
        <x:v>2026-06-22T00:00:00.000Z</x:v>
      </x:c>
      <x:c r="C1089" s="2" t="n">
        <x:v>8</x:v>
      </x:c>
      <x:c r="D1089" s="2" t="str">
        <x:v>DEMO-302</x:v>
      </x:c>
      <x:c r="E1089" s="2" t="str">
        <x:v>Soft Glow Lamp</x:v>
      </x:c>
      <x:c r="F1089" s="2" t="str">
        <x:v>Lifestyle</x:v>
      </x:c>
      <x:c r="G1089" s="2" t="str">
        <x:v>Stores</x:v>
      </x:c>
      <x:c r="H1089" s="2" t="str">
        <x:v>Central Market</x:v>
      </x:c>
      <x:c r="I1089" s="2" t="n">
        <x:v>10</x:v>
      </x:c>
      <x:c r="J1089" s="2" t="n">
        <x:v>0</x:v>
      </x:c>
      <x:c r="K1089" s="2" t="n">
        <x:f>I1089-J1089</x:f>
        <x:v>10</x:v>
      </x:c>
      <x:c r="L1089" s="16" t="n">
        <x:v>26</x:v>
      </x:c>
      <x:c r="M1089" s="16" t="n">
        <x:v>26</x:v>
      </x:c>
      <x:c r="N1089" s="16" t="n">
        <x:v>10.01</x:v>
      </x:c>
      <x:c r="O1089" s="16" t="n">
        <x:f>K1089*M1089</x:f>
        <x:v>260</x:v>
      </x:c>
      <x:c r="P1089" s="16" t="n">
        <x:f>K1089*N1089</x:f>
        <x:v>100.1</x:v>
      </x:c>
      <x:c r="Q1089" s="16" t="n">
        <x:f>O1089-P1089</x:f>
        <x:v>159.9</x:v>
      </x:c>
      <x:c r="R1089" s="2" t="n">
        <x:v>177</x:v>
      </x:c>
      <x:c r="S1089" s="2" t="n">
        <x:v>0</x:v>
      </x:c>
      <x:c r="T1089" s="2" t="n">
        <x:f>R1089+S1089+J1089-I1089</x:f>
        <x:v>167</x:v>
      </x:c>
      <x:c r="U1089" s="2" t="n">
        <x:v>0</x:v>
      </x:c>
      <x:c r="V1089" s="2" t="n">
        <x:v>3</x:v>
      </x:c>
      <x:c r="W1089" s="2" t="n">
        <x:v>13</x:v>
      </x:c>
      <x:c r="X1089" s="14" t="b">
        <x:v>0</x:v>
      </x:c>
      <x:c r="Y1089" s="14" t="b">
        <x:v>0</x:v>
      </x:c>
      <x:c r="Z1089" s="2" t="n">
        <x:f>ABS(T1089-AA1089)</x:f>
        <x:v>0</x:v>
      </x:c>
      <x:c r="AA1089" s="2" t="n">
        <x:v>167</x:v>
      </x:c>
      <x:c r="AB1089" s="2" t="n">
        <x:f>ABS(K1089-W1089)</x:f>
        <x:v>3</x:v>
      </x:c>
      <x:c r="AC1089" s="2" t="n">
        <x:f>COUNTIF($A$2:$A$1921,A1089)-1</x:f>
        <x:v>0</x:v>
      </x:c>
      <x:c r="AD1089" s="2" t="n">
        <x:f>IF(AND(D1089=D1088,H1089=H1088,C1089=C1088+1),ABS(R1089-T1088),0)</x:f>
        <x:v>0</x:v>
      </x:c>
    </x:row>
    <x:row r="1090" ht="23" customHeight="1">
      <x:c r="A1090" s="2" t="str">
        <x:v>DEMO-302-2-9</x:v>
      </x:c>
      <x:c r="B1090" s="15" t="d">
        <x:v>2026-06-29T00:00:00.000Z</x:v>
      </x:c>
      <x:c r="C1090" s="2" t="n">
        <x:v>9</x:v>
      </x:c>
      <x:c r="D1090" s="2" t="str">
        <x:v>DEMO-302</x:v>
      </x:c>
      <x:c r="E1090" s="2" t="str">
        <x:v>Soft Glow Lamp</x:v>
      </x:c>
      <x:c r="F1090" s="2" t="str">
        <x:v>Lifestyle</x:v>
      </x:c>
      <x:c r="G1090" s="2" t="str">
        <x:v>Stores</x:v>
      </x:c>
      <x:c r="H1090" s="2" t="str">
        <x:v>Central Market</x:v>
      </x:c>
      <x:c r="I1090" s="2" t="n">
        <x:v>11</x:v>
      </x:c>
      <x:c r="J1090" s="2" t="n">
        <x:v>0</x:v>
      </x:c>
      <x:c r="K1090" s="2" t="n">
        <x:f>I1090-J1090</x:f>
        <x:v>11</x:v>
      </x:c>
      <x:c r="L1090" s="16" t="n">
        <x:v>26</x:v>
      </x:c>
      <x:c r="M1090" s="16" t="n">
        <x:v>26</x:v>
      </x:c>
      <x:c r="N1090" s="16" t="n">
        <x:v>10.01</x:v>
      </x:c>
      <x:c r="O1090" s="16" t="n">
        <x:f>K1090*M1090</x:f>
        <x:v>286</x:v>
      </x:c>
      <x:c r="P1090" s="16" t="n">
        <x:f>K1090*N1090</x:f>
        <x:v>110.11</x:v>
      </x:c>
      <x:c r="Q1090" s="16" t="n">
        <x:f>O1090-P1090</x:f>
        <x:v>175.89</x:v>
      </x:c>
      <x:c r="R1090" s="2" t="n">
        <x:v>167</x:v>
      </x:c>
      <x:c r="S1090" s="2" t="n">
        <x:v>65</x:v>
      </x:c>
      <x:c r="T1090" s="2" t="n">
        <x:f>R1090+S1090+J1090-I1090</x:f>
        <x:v>221</x:v>
      </x:c>
      <x:c r="U1090" s="2" t="n">
        <x:v>0</x:v>
      </x:c>
      <x:c r="V1090" s="2" t="n">
        <x:v>3</x:v>
      </x:c>
      <x:c r="W1090" s="2" t="n">
        <x:v>12</x:v>
      </x:c>
      <x:c r="X1090" s="14" t="b">
        <x:v>0</x:v>
      </x:c>
      <x:c r="Y1090" s="14" t="b">
        <x:v>0</x:v>
      </x:c>
      <x:c r="Z1090" s="2" t="n">
        <x:f>ABS(T1090-AA1090)</x:f>
        <x:v>0</x:v>
      </x:c>
      <x:c r="AA1090" s="2" t="n">
        <x:v>221</x:v>
      </x:c>
      <x:c r="AB1090" s="2" t="n">
        <x:f>ABS(K1090-W1090)</x:f>
        <x:v>1</x:v>
      </x:c>
      <x:c r="AC1090" s="2" t="n">
        <x:f>COUNTIF($A$2:$A$1921,A1090)-1</x:f>
        <x:v>0</x:v>
      </x:c>
      <x:c r="AD1090" s="2" t="n">
        <x:f>IF(AND(D1090=D1089,H1090=H1089,C1090=C1089+1),ABS(R1090-T1089),0)</x:f>
        <x:v>0</x:v>
      </x:c>
    </x:row>
    <x:row r="1091" ht="23" customHeight="1">
      <x:c r="A1091" s="2" t="str">
        <x:v>DEMO-302-2-10</x:v>
      </x:c>
      <x:c r="B1091" s="15" t="d">
        <x:v>2026-07-06T00:00:00.000Z</x:v>
      </x:c>
      <x:c r="C1091" s="2" t="n">
        <x:v>10</x:v>
      </x:c>
      <x:c r="D1091" s="2" t="str">
        <x:v>DEMO-302</x:v>
      </x:c>
      <x:c r="E1091" s="2" t="str">
        <x:v>Soft Glow Lamp</x:v>
      </x:c>
      <x:c r="F1091" s="2" t="str">
        <x:v>Lifestyle</x:v>
      </x:c>
      <x:c r="G1091" s="2" t="str">
        <x:v>Stores</x:v>
      </x:c>
      <x:c r="H1091" s="2" t="str">
        <x:v>Central Market</x:v>
      </x:c>
      <x:c r="I1091" s="2" t="n">
        <x:v>10</x:v>
      </x:c>
      <x:c r="J1091" s="2" t="n">
        <x:v>1</x:v>
      </x:c>
      <x:c r="K1091" s="2" t="n">
        <x:f>I1091-J1091</x:f>
        <x:v>9</x:v>
      </x:c>
      <x:c r="L1091" s="16" t="n">
        <x:v>26</x:v>
      </x:c>
      <x:c r="M1091" s="16" t="n">
        <x:v>26</x:v>
      </x:c>
      <x:c r="N1091" s="16" t="n">
        <x:v>10.01</x:v>
      </x:c>
      <x:c r="O1091" s="16" t="n">
        <x:f>K1091*M1091</x:f>
        <x:v>234</x:v>
      </x:c>
      <x:c r="P1091" s="16" t="n">
        <x:f>K1091*N1091</x:f>
        <x:v>90.09</x:v>
      </x:c>
      <x:c r="Q1091" s="16" t="n">
        <x:f>O1091-P1091</x:f>
        <x:v>143.91</x:v>
      </x:c>
      <x:c r="R1091" s="2" t="n">
        <x:v>221</x:v>
      </x:c>
      <x:c r="S1091" s="2" t="n">
        <x:v>0</x:v>
      </x:c>
      <x:c r="T1091" s="2" t="n">
        <x:f>R1091+S1091+J1091-I1091</x:f>
        <x:v>212</x:v>
      </x:c>
      <x:c r="U1091" s="2" t="n">
        <x:v>0</x:v>
      </x:c>
      <x:c r="V1091" s="2" t="n">
        <x:v>3</x:v>
      </x:c>
      <x:c r="W1091" s="2" t="n">
        <x:v>12</x:v>
      </x:c>
      <x:c r="X1091" s="14" t="b">
        <x:v>0</x:v>
      </x:c>
      <x:c r="Y1091" s="14" t="b">
        <x:v>0</x:v>
      </x:c>
      <x:c r="Z1091" s="2" t="n">
        <x:f>ABS(T1091-AA1091)</x:f>
        <x:v>0</x:v>
      </x:c>
      <x:c r="AA1091" s="2" t="n">
        <x:v>212</x:v>
      </x:c>
      <x:c r="AB1091" s="2" t="n">
        <x:f>ABS(K1091-W1091)</x:f>
        <x:v>3</x:v>
      </x:c>
      <x:c r="AC1091" s="2" t="n">
        <x:f>COUNTIF($A$2:$A$1921,A1091)-1</x:f>
        <x:v>0</x:v>
      </x:c>
      <x:c r="AD1091" s="2" t="n">
        <x:f>IF(AND(D1091=D1090,H1091=H1090,C1091=C1090+1),ABS(R1091-T1090),0)</x:f>
        <x:v>0</x:v>
      </x:c>
    </x:row>
    <x:row r="1092" ht="23" customHeight="1">
      <x:c r="A1092" s="2" t="str">
        <x:v>DEMO-302-2-11</x:v>
      </x:c>
      <x:c r="B1092" s="15" t="d">
        <x:v>2026-07-13T00:00:00.000Z</x:v>
      </x:c>
      <x:c r="C1092" s="2" t="n">
        <x:v>11</x:v>
      </x:c>
      <x:c r="D1092" s="2" t="str">
        <x:v>DEMO-302</x:v>
      </x:c>
      <x:c r="E1092" s="2" t="str">
        <x:v>Soft Glow Lamp</x:v>
      </x:c>
      <x:c r="F1092" s="2" t="str">
        <x:v>Lifestyle</x:v>
      </x:c>
      <x:c r="G1092" s="2" t="str">
        <x:v>Stores</x:v>
      </x:c>
      <x:c r="H1092" s="2" t="str">
        <x:v>Central Market</x:v>
      </x:c>
      <x:c r="I1092" s="2" t="n">
        <x:v>8</x:v>
      </x:c>
      <x:c r="J1092" s="2" t="n">
        <x:v>0</x:v>
      </x:c>
      <x:c r="K1092" s="2" t="n">
        <x:f>I1092-J1092</x:f>
        <x:v>8</x:v>
      </x:c>
      <x:c r="L1092" s="16" t="n">
        <x:v>26</x:v>
      </x:c>
      <x:c r="M1092" s="16" t="n">
        <x:v>26</x:v>
      </x:c>
      <x:c r="N1092" s="16" t="n">
        <x:v>10.01</x:v>
      </x:c>
      <x:c r="O1092" s="16" t="n">
        <x:f>K1092*M1092</x:f>
        <x:v>208</x:v>
      </x:c>
      <x:c r="P1092" s="16" t="n">
        <x:f>K1092*N1092</x:f>
        <x:v>80.08</x:v>
      </x:c>
      <x:c r="Q1092" s="16" t="n">
        <x:f>O1092-P1092</x:f>
        <x:v>127.92</x:v>
      </x:c>
      <x:c r="R1092" s="2" t="n">
        <x:v>212</x:v>
      </x:c>
      <x:c r="S1092" s="2" t="n">
        <x:v>0</x:v>
      </x:c>
      <x:c r="T1092" s="2" t="n">
        <x:f>R1092+S1092+J1092-I1092</x:f>
        <x:v>204</x:v>
      </x:c>
      <x:c r="U1092" s="2" t="n">
        <x:v>0</x:v>
      </x:c>
      <x:c r="V1092" s="2" t="n">
        <x:v>3</x:v>
      </x:c>
      <x:c r="W1092" s="2" t="n">
        <x:v>11</x:v>
      </x:c>
      <x:c r="X1092" s="14" t="b">
        <x:v>0</x:v>
      </x:c>
      <x:c r="Y1092" s="14" t="b">
        <x:v>0</x:v>
      </x:c>
      <x:c r="Z1092" s="2" t="n">
        <x:f>ABS(T1092-AA1092)</x:f>
        <x:v>0</x:v>
      </x:c>
      <x:c r="AA1092" s="2" t="n">
        <x:v>204</x:v>
      </x:c>
      <x:c r="AB1092" s="2" t="n">
        <x:f>ABS(K1092-W1092)</x:f>
        <x:v>3</x:v>
      </x:c>
      <x:c r="AC1092" s="2" t="n">
        <x:f>COUNTIF($A$2:$A$1921,A1092)-1</x:f>
        <x:v>0</x:v>
      </x:c>
      <x:c r="AD1092" s="2" t="n">
        <x:f>IF(AND(D1092=D1091,H1092=H1091,C1092=C1091+1),ABS(R1092-T1091),0)</x:f>
        <x:v>0</x:v>
      </x:c>
    </x:row>
    <x:row r="1093" ht="23" customHeight="1">
      <x:c r="A1093" s="2" t="str">
        <x:v>DEMO-302-2-12</x:v>
      </x:c>
      <x:c r="B1093" s="15" t="d">
        <x:v>2026-07-20T00:00:00.000Z</x:v>
      </x:c>
      <x:c r="C1093" s="2" t="n">
        <x:v>12</x:v>
      </x:c>
      <x:c r="D1093" s="2" t="str">
        <x:v>DEMO-302</x:v>
      </x:c>
      <x:c r="E1093" s="2" t="str">
        <x:v>Soft Glow Lamp</x:v>
      </x:c>
      <x:c r="F1093" s="2" t="str">
        <x:v>Lifestyle</x:v>
      </x:c>
      <x:c r="G1093" s="2" t="str">
        <x:v>Stores</x:v>
      </x:c>
      <x:c r="H1093" s="2" t="str">
        <x:v>Central Market</x:v>
      </x:c>
      <x:c r="I1093" s="2" t="n">
        <x:v>9</x:v>
      </x:c>
      <x:c r="J1093" s="2" t="n">
        <x:v>1</x:v>
      </x:c>
      <x:c r="K1093" s="2" t="n">
        <x:f>I1093-J1093</x:f>
        <x:v>8</x:v>
      </x:c>
      <x:c r="L1093" s="16" t="n">
        <x:v>26</x:v>
      </x:c>
      <x:c r="M1093" s="16" t="n">
        <x:v>26</x:v>
      </x:c>
      <x:c r="N1093" s="16" t="n">
        <x:v>10.01</x:v>
      </x:c>
      <x:c r="O1093" s="16" t="n">
        <x:f>K1093*M1093</x:f>
        <x:v>208</x:v>
      </x:c>
      <x:c r="P1093" s="16" t="n">
        <x:f>K1093*N1093</x:f>
        <x:v>80.08</x:v>
      </x:c>
      <x:c r="Q1093" s="16" t="n">
        <x:f>O1093-P1093</x:f>
        <x:v>127.92</x:v>
      </x:c>
      <x:c r="R1093" s="2" t="n">
        <x:v>204</x:v>
      </x:c>
      <x:c r="S1093" s="2" t="n">
        <x:v>0</x:v>
      </x:c>
      <x:c r="T1093" s="2" t="n">
        <x:f>R1093+S1093+J1093-I1093</x:f>
        <x:v>196</x:v>
      </x:c>
      <x:c r="U1093" s="2" t="n">
        <x:v>0</x:v>
      </x:c>
      <x:c r="V1093" s="2" t="n">
        <x:v>3</x:v>
      </x:c>
      <x:c r="W1093" s="2" t="n">
        <x:v>10</x:v>
      </x:c>
      <x:c r="X1093" s="14" t="b">
        <x:v>0</x:v>
      </x:c>
      <x:c r="Y1093" s="14" t="b">
        <x:v>0</x:v>
      </x:c>
      <x:c r="Z1093" s="2" t="n">
        <x:f>ABS(T1093-AA1093)</x:f>
        <x:v>0</x:v>
      </x:c>
      <x:c r="AA1093" s="2" t="n">
        <x:v>196</x:v>
      </x:c>
      <x:c r="AB1093" s="2" t="n">
        <x:f>ABS(K1093-W1093)</x:f>
        <x:v>2</x:v>
      </x:c>
      <x:c r="AC1093" s="2" t="n">
        <x:f>COUNTIF($A$2:$A$1921,A1093)-1</x:f>
        <x:v>0</x:v>
      </x:c>
      <x:c r="AD1093" s="2" t="n">
        <x:f>IF(AND(D1093=D1092,H1093=H1092,C1093=C1092+1),ABS(R1093-T1092),0)</x:f>
        <x:v>0</x:v>
      </x:c>
    </x:row>
    <x:row r="1094" ht="23" customHeight="1">
      <x:c r="A1094" s="2" t="str">
        <x:v>DEMO-302-2-13</x:v>
      </x:c>
      <x:c r="B1094" s="15" t="d">
        <x:v>2026-07-27T00:00:00.000Z</x:v>
      </x:c>
      <x:c r="C1094" s="2" t="n">
        <x:v>13</x:v>
      </x:c>
      <x:c r="D1094" s="2" t="str">
        <x:v>DEMO-302</x:v>
      </x:c>
      <x:c r="E1094" s="2" t="str">
        <x:v>Soft Glow Lamp</x:v>
      </x:c>
      <x:c r="F1094" s="2" t="str">
        <x:v>Lifestyle</x:v>
      </x:c>
      <x:c r="G1094" s="2" t="str">
        <x:v>Stores</x:v>
      </x:c>
      <x:c r="H1094" s="2" t="str">
        <x:v>Central Market</x:v>
      </x:c>
      <x:c r="I1094" s="2" t="n">
        <x:v>9</x:v>
      </x:c>
      <x:c r="J1094" s="2" t="n">
        <x:v>1</x:v>
      </x:c>
      <x:c r="K1094" s="2" t="n">
        <x:f>I1094-J1094</x:f>
        <x:v>8</x:v>
      </x:c>
      <x:c r="L1094" s="16" t="n">
        <x:v>26</x:v>
      </x:c>
      <x:c r="M1094" s="16" t="n">
        <x:v>26</x:v>
      </x:c>
      <x:c r="N1094" s="16" t="n">
        <x:v>10.01</x:v>
      </x:c>
      <x:c r="O1094" s="16" t="n">
        <x:f>K1094*M1094</x:f>
        <x:v>208</x:v>
      </x:c>
      <x:c r="P1094" s="16" t="n">
        <x:f>K1094*N1094</x:f>
        <x:v>80.08</x:v>
      </x:c>
      <x:c r="Q1094" s="16" t="n">
        <x:f>O1094-P1094</x:f>
        <x:v>127.92</x:v>
      </x:c>
      <x:c r="R1094" s="2" t="n">
        <x:v>196</x:v>
      </x:c>
      <x:c r="S1094" s="2" t="n">
        <x:v>65</x:v>
      </x:c>
      <x:c r="T1094" s="2" t="n">
        <x:f>R1094+S1094+J1094-I1094</x:f>
        <x:v>253</x:v>
      </x:c>
      <x:c r="U1094" s="2" t="n">
        <x:v>0</x:v>
      </x:c>
      <x:c r="V1094" s="2" t="n">
        <x:v>3</x:v>
      </x:c>
      <x:c r="W1094" s="2" t="n">
        <x:v>9</x:v>
      </x:c>
      <x:c r="X1094" s="14" t="b">
        <x:v>0</x:v>
      </x:c>
      <x:c r="Y1094" s="14" t="b">
        <x:v>0</x:v>
      </x:c>
      <x:c r="Z1094" s="2" t="n">
        <x:f>ABS(T1094-AA1094)</x:f>
        <x:v>0</x:v>
      </x:c>
      <x:c r="AA1094" s="2" t="n">
        <x:v>253</x:v>
      </x:c>
      <x:c r="AB1094" s="2" t="n">
        <x:f>ABS(K1094-W1094)</x:f>
        <x:v>1</x:v>
      </x:c>
      <x:c r="AC1094" s="2" t="n">
        <x:f>COUNTIF($A$2:$A$1921,A1094)-1</x:f>
        <x:v>0</x:v>
      </x:c>
      <x:c r="AD1094" s="2" t="n">
        <x:f>IF(AND(D1094=D1093,H1094=H1093,C1094=C1093+1),ABS(R1094-T1093),0)</x:f>
        <x:v>0</x:v>
      </x:c>
    </x:row>
    <x:row r="1095" ht="23" customHeight="1">
      <x:c r="A1095" s="2" t="str">
        <x:v>DEMO-302-2-14</x:v>
      </x:c>
      <x:c r="B1095" s="15" t="d">
        <x:v>2026-08-03T00:00:00.000Z</x:v>
      </x:c>
      <x:c r="C1095" s="2" t="n">
        <x:v>14</x:v>
      </x:c>
      <x:c r="D1095" s="2" t="str">
        <x:v>DEMO-302</x:v>
      </x:c>
      <x:c r="E1095" s="2" t="str">
        <x:v>Soft Glow Lamp</x:v>
      </x:c>
      <x:c r="F1095" s="2" t="str">
        <x:v>Lifestyle</x:v>
      </x:c>
      <x:c r="G1095" s="2" t="str">
        <x:v>Stores</x:v>
      </x:c>
      <x:c r="H1095" s="2" t="str">
        <x:v>Central Market</x:v>
      </x:c>
      <x:c r="I1095" s="2" t="n">
        <x:v>9</x:v>
      </x:c>
      <x:c r="J1095" s="2" t="n">
        <x:v>0</x:v>
      </x:c>
      <x:c r="K1095" s="2" t="n">
        <x:f>I1095-J1095</x:f>
        <x:v>9</x:v>
      </x:c>
      <x:c r="L1095" s="16" t="n">
        <x:v>26</x:v>
      </x:c>
      <x:c r="M1095" s="16" t="n">
        <x:v>26</x:v>
      </x:c>
      <x:c r="N1095" s="16" t="n">
        <x:v>10.01</x:v>
      </x:c>
      <x:c r="O1095" s="16" t="n">
        <x:f>K1095*M1095</x:f>
        <x:v>234</x:v>
      </x:c>
      <x:c r="P1095" s="16" t="n">
        <x:f>K1095*N1095</x:f>
        <x:v>90.09</x:v>
      </x:c>
      <x:c r="Q1095" s="16" t="n">
        <x:f>O1095-P1095</x:f>
        <x:v>143.91</x:v>
      </x:c>
      <x:c r="R1095" s="2" t="n">
        <x:v>253</x:v>
      </x:c>
      <x:c r="S1095" s="2" t="n">
        <x:v>0</x:v>
      </x:c>
      <x:c r="T1095" s="2" t="n">
        <x:f>R1095+S1095+J1095-I1095</x:f>
        <x:v>244</x:v>
      </x:c>
      <x:c r="U1095" s="2" t="n">
        <x:v>0</x:v>
      </x:c>
      <x:c r="V1095" s="2" t="n">
        <x:v>3</x:v>
      </x:c>
      <x:c r="W1095" s="2" t="n">
        <x:v>8</x:v>
      </x:c>
      <x:c r="X1095" s="14" t="b">
        <x:v>0</x:v>
      </x:c>
      <x:c r="Y1095" s="14" t="b">
        <x:v>0</x:v>
      </x:c>
      <x:c r="Z1095" s="2" t="n">
        <x:f>ABS(T1095-AA1095)</x:f>
        <x:v>0</x:v>
      </x:c>
      <x:c r="AA1095" s="2" t="n">
        <x:v>244</x:v>
      </x:c>
      <x:c r="AB1095" s="2" t="n">
        <x:f>ABS(K1095-W1095)</x:f>
        <x:v>1</x:v>
      </x:c>
      <x:c r="AC1095" s="2" t="n">
        <x:f>COUNTIF($A$2:$A$1921,A1095)-1</x:f>
        <x:v>0</x:v>
      </x:c>
      <x:c r="AD1095" s="2" t="n">
        <x:f>IF(AND(D1095=D1094,H1095=H1094,C1095=C1094+1),ABS(R1095-T1094),0)</x:f>
        <x:v>0</x:v>
      </x:c>
    </x:row>
    <x:row r="1096" ht="23" customHeight="1">
      <x:c r="A1096" s="2" t="str">
        <x:v>DEMO-302-2-15</x:v>
      </x:c>
      <x:c r="B1096" s="15" t="d">
        <x:v>2026-08-10T00:00:00.000Z</x:v>
      </x:c>
      <x:c r="C1096" s="2" t="n">
        <x:v>15</x:v>
      </x:c>
      <x:c r="D1096" s="2" t="str">
        <x:v>DEMO-302</x:v>
      </x:c>
      <x:c r="E1096" s="2" t="str">
        <x:v>Soft Glow Lamp</x:v>
      </x:c>
      <x:c r="F1096" s="2" t="str">
        <x:v>Lifestyle</x:v>
      </x:c>
      <x:c r="G1096" s="2" t="str">
        <x:v>Stores</x:v>
      </x:c>
      <x:c r="H1096" s="2" t="str">
        <x:v>Central Market</x:v>
      </x:c>
      <x:c r="I1096" s="2" t="n">
        <x:v>9</x:v>
      </x:c>
      <x:c r="J1096" s="2" t="n">
        <x:v>0</x:v>
      </x:c>
      <x:c r="K1096" s="2" t="n">
        <x:f>I1096-J1096</x:f>
        <x:v>9</x:v>
      </x:c>
      <x:c r="L1096" s="16" t="n">
        <x:v>26</x:v>
      </x:c>
      <x:c r="M1096" s="16" t="n">
        <x:v>26</x:v>
      </x:c>
      <x:c r="N1096" s="16" t="n">
        <x:v>10.01</x:v>
      </x:c>
      <x:c r="O1096" s="16" t="n">
        <x:f>K1096*M1096</x:f>
        <x:v>234</x:v>
      </x:c>
      <x:c r="P1096" s="16" t="n">
        <x:f>K1096*N1096</x:f>
        <x:v>90.09</x:v>
      </x:c>
      <x:c r="Q1096" s="16" t="n">
        <x:f>O1096-P1096</x:f>
        <x:v>143.91</x:v>
      </x:c>
      <x:c r="R1096" s="2" t="n">
        <x:v>244</x:v>
      </x:c>
      <x:c r="S1096" s="2" t="n">
        <x:v>0</x:v>
      </x:c>
      <x:c r="T1096" s="2" t="n">
        <x:f>R1096+S1096+J1096-I1096</x:f>
        <x:v>235</x:v>
      </x:c>
      <x:c r="U1096" s="2" t="n">
        <x:v>0</x:v>
      </x:c>
      <x:c r="V1096" s="2" t="n">
        <x:v>3</x:v>
      </x:c>
      <x:c r="W1096" s="2" t="n">
        <x:v>8</x:v>
      </x:c>
      <x:c r="X1096" s="14" t="b">
        <x:v>0</x:v>
      </x:c>
      <x:c r="Y1096" s="14" t="b">
        <x:v>0</x:v>
      </x:c>
      <x:c r="Z1096" s="2" t="n">
        <x:f>ABS(T1096-AA1096)</x:f>
        <x:v>0</x:v>
      </x:c>
      <x:c r="AA1096" s="2" t="n">
        <x:v>235</x:v>
      </x:c>
      <x:c r="AB1096" s="2" t="n">
        <x:f>ABS(K1096-W1096)</x:f>
        <x:v>1</x:v>
      </x:c>
      <x:c r="AC1096" s="2" t="n">
        <x:f>COUNTIF($A$2:$A$1921,A1096)-1</x:f>
        <x:v>0</x:v>
      </x:c>
      <x:c r="AD1096" s="2" t="n">
        <x:f>IF(AND(D1096=D1095,H1096=H1095,C1096=C1095+1),ABS(R1096-T1095),0)</x:f>
        <x:v>0</x:v>
      </x:c>
    </x:row>
    <x:row r="1097" ht="23" customHeight="1">
      <x:c r="A1097" s="2" t="str">
        <x:v>DEMO-302-2-16</x:v>
      </x:c>
      <x:c r="B1097" s="15" t="d">
        <x:v>2026-08-17T00:00:00.000Z</x:v>
      </x:c>
      <x:c r="C1097" s="2" t="n">
        <x:v>16</x:v>
      </x:c>
      <x:c r="D1097" s="2" t="str">
        <x:v>DEMO-302</x:v>
      </x:c>
      <x:c r="E1097" s="2" t="str">
        <x:v>Soft Glow Lamp</x:v>
      </x:c>
      <x:c r="F1097" s="2" t="str">
        <x:v>Lifestyle</x:v>
      </x:c>
      <x:c r="G1097" s="2" t="str">
        <x:v>Stores</x:v>
      </x:c>
      <x:c r="H1097" s="2" t="str">
        <x:v>Central Market</x:v>
      </x:c>
      <x:c r="I1097" s="2" t="n">
        <x:v>8</x:v>
      </x:c>
      <x:c r="J1097" s="2" t="n">
        <x:v>0</x:v>
      </x:c>
      <x:c r="K1097" s="2" t="n">
        <x:f>I1097-J1097</x:f>
        <x:v>8</x:v>
      </x:c>
      <x:c r="L1097" s="16" t="n">
        <x:v>26</x:v>
      </x:c>
      <x:c r="M1097" s="16" t="n">
        <x:v>26</x:v>
      </x:c>
      <x:c r="N1097" s="16" t="n">
        <x:v>10.01</x:v>
      </x:c>
      <x:c r="O1097" s="16" t="n">
        <x:f>K1097*M1097</x:f>
        <x:v>208</x:v>
      </x:c>
      <x:c r="P1097" s="16" t="n">
        <x:f>K1097*N1097</x:f>
        <x:v>80.08</x:v>
      </x:c>
      <x:c r="Q1097" s="16" t="n">
        <x:f>O1097-P1097</x:f>
        <x:v>127.92</x:v>
      </x:c>
      <x:c r="R1097" s="2" t="n">
        <x:v>235</x:v>
      </x:c>
      <x:c r="S1097" s="2" t="n">
        <x:v>0</x:v>
      </x:c>
      <x:c r="T1097" s="2" t="n">
        <x:f>R1097+S1097+J1097-I1097</x:f>
        <x:v>227</x:v>
      </x:c>
      <x:c r="U1097" s="2" t="n">
        <x:v>0</x:v>
      </x:c>
      <x:c r="V1097" s="2" t="n">
        <x:v>3</x:v>
      </x:c>
      <x:c r="W1097" s="2" t="n">
        <x:v>9</x:v>
      </x:c>
      <x:c r="X1097" s="14" t="b">
        <x:v>0</x:v>
      </x:c>
      <x:c r="Y1097" s="14" t="b">
        <x:v>0</x:v>
      </x:c>
      <x:c r="Z1097" s="2" t="n">
        <x:f>ABS(T1097-AA1097)</x:f>
        <x:v>0</x:v>
      </x:c>
      <x:c r="AA1097" s="2" t="n">
        <x:v>227</x:v>
      </x:c>
      <x:c r="AB1097" s="2" t="n">
        <x:f>ABS(K1097-W1097)</x:f>
        <x:v>1</x:v>
      </x:c>
      <x:c r="AC1097" s="2" t="n">
        <x:f>COUNTIF($A$2:$A$1921,A1097)-1</x:f>
        <x:v>0</x:v>
      </x:c>
      <x:c r="AD1097" s="2" t="n">
        <x:f>IF(AND(D1097=D1096,H1097=H1096,C1097=C1096+1),ABS(R1097-T1096),0)</x:f>
        <x:v>0</x:v>
      </x:c>
    </x:row>
    <x:row r="1098" ht="23" customHeight="1">
      <x:c r="A1098" s="2" t="str">
        <x:v>DEMO-302-2-17</x:v>
      </x:c>
      <x:c r="B1098" s="15" t="d">
        <x:v>2026-08-24T00:00:00.000Z</x:v>
      </x:c>
      <x:c r="C1098" s="2" t="n">
        <x:v>17</x:v>
      </x:c>
      <x:c r="D1098" s="2" t="str">
        <x:v>DEMO-302</x:v>
      </x:c>
      <x:c r="E1098" s="2" t="str">
        <x:v>Soft Glow Lamp</x:v>
      </x:c>
      <x:c r="F1098" s="2" t="str">
        <x:v>Lifestyle</x:v>
      </x:c>
      <x:c r="G1098" s="2" t="str">
        <x:v>Stores</x:v>
      </x:c>
      <x:c r="H1098" s="2" t="str">
        <x:v>Central Market</x:v>
      </x:c>
      <x:c r="I1098" s="2" t="n">
        <x:v>11</x:v>
      </x:c>
      <x:c r="J1098" s="2" t="n">
        <x:v>0</x:v>
      </x:c>
      <x:c r="K1098" s="2" t="n">
        <x:f>I1098-J1098</x:f>
        <x:v>11</x:v>
      </x:c>
      <x:c r="L1098" s="16" t="n">
        <x:v>26</x:v>
      </x:c>
      <x:c r="M1098" s="16" t="n">
        <x:v>20.8</x:v>
      </x:c>
      <x:c r="N1098" s="16" t="n">
        <x:v>10.01</x:v>
      </x:c>
      <x:c r="O1098" s="16" t="n">
        <x:f>K1098*M1098</x:f>
        <x:v>228.8</x:v>
      </x:c>
      <x:c r="P1098" s="16" t="n">
        <x:f>K1098*N1098</x:f>
        <x:v>110.11</x:v>
      </x:c>
      <x:c r="Q1098" s="16" t="n">
        <x:f>O1098-P1098</x:f>
        <x:v>118.69000000000001</x:v>
      </x:c>
      <x:c r="R1098" s="2" t="n">
        <x:v>227</x:v>
      </x:c>
      <x:c r="S1098" s="2" t="n">
        <x:v>65</x:v>
      </x:c>
      <x:c r="T1098" s="2" t="n">
        <x:f>R1098+S1098+J1098-I1098</x:f>
        <x:v>281</x:v>
      </x:c>
      <x:c r="U1098" s="2" t="n">
        <x:v>0</x:v>
      </x:c>
      <x:c r="V1098" s="2" t="n">
        <x:v>3</x:v>
      </x:c>
      <x:c r="W1098" s="2" t="n">
        <x:v>9</x:v>
      </x:c>
      <x:c r="X1098" s="14" t="b">
        <x:v>0</x:v>
      </x:c>
      <x:c r="Y1098" s="14" t="b">
        <x:v>1</x:v>
      </x:c>
      <x:c r="Z1098" s="2" t="n">
        <x:f>ABS(T1098-AA1098)</x:f>
        <x:v>0</x:v>
      </x:c>
      <x:c r="AA1098" s="2" t="n">
        <x:v>281</x:v>
      </x:c>
      <x:c r="AB1098" s="2" t="n">
        <x:f>ABS(K1098-W1098)</x:f>
        <x:v>2</x:v>
      </x:c>
      <x:c r="AC1098" s="2" t="n">
        <x:f>COUNTIF($A$2:$A$1921,A1098)-1</x:f>
        <x:v>0</x:v>
      </x:c>
      <x:c r="AD1098" s="2" t="n">
        <x:f>IF(AND(D1098=D1097,H1098=H1097,C1098=C1097+1),ABS(R1098-T1097),0)</x:f>
        <x:v>0</x:v>
      </x:c>
    </x:row>
    <x:row r="1099" ht="23" customHeight="1">
      <x:c r="A1099" s="2" t="str">
        <x:v>DEMO-302-2-18</x:v>
      </x:c>
      <x:c r="B1099" s="15" t="d">
        <x:v>2026-08-31T00:00:00.000Z</x:v>
      </x:c>
      <x:c r="C1099" s="2" t="n">
        <x:v>18</x:v>
      </x:c>
      <x:c r="D1099" s="2" t="str">
        <x:v>DEMO-302</x:v>
      </x:c>
      <x:c r="E1099" s="2" t="str">
        <x:v>Soft Glow Lamp</x:v>
      </x:c>
      <x:c r="F1099" s="2" t="str">
        <x:v>Lifestyle</x:v>
      </x:c>
      <x:c r="G1099" s="2" t="str">
        <x:v>Stores</x:v>
      </x:c>
      <x:c r="H1099" s="2" t="str">
        <x:v>Central Market</x:v>
      </x:c>
      <x:c r="I1099" s="2" t="n">
        <x:v>8</x:v>
      </x:c>
      <x:c r="J1099" s="2" t="n">
        <x:v>1</x:v>
      </x:c>
      <x:c r="K1099" s="2" t="n">
        <x:f>I1099-J1099</x:f>
        <x:v>7</x:v>
      </x:c>
      <x:c r="L1099" s="16" t="n">
        <x:v>26</x:v>
      </x:c>
      <x:c r="M1099" s="16" t="n">
        <x:v>20.8</x:v>
      </x:c>
      <x:c r="N1099" s="16" t="n">
        <x:v>10.01</x:v>
      </x:c>
      <x:c r="O1099" s="16" t="n">
        <x:f>K1099*M1099</x:f>
        <x:v>145.6</x:v>
      </x:c>
      <x:c r="P1099" s="16" t="n">
        <x:f>K1099*N1099</x:f>
        <x:v>70.07</x:v>
      </x:c>
      <x:c r="Q1099" s="16" t="n">
        <x:f>O1099-P1099</x:f>
        <x:v>75.53</x:v>
      </x:c>
      <x:c r="R1099" s="2" t="n">
        <x:v>281</x:v>
      </x:c>
      <x:c r="S1099" s="2" t="n">
        <x:v>0</x:v>
      </x:c>
      <x:c r="T1099" s="2" t="n">
        <x:f>R1099+S1099+J1099-I1099</x:f>
        <x:v>274</x:v>
      </x:c>
      <x:c r="U1099" s="2" t="n">
        <x:v>0</x:v>
      </x:c>
      <x:c r="V1099" s="2" t="n">
        <x:v>3</x:v>
      </x:c>
      <x:c r="W1099" s="2" t="n">
        <x:v>9</x:v>
      </x:c>
      <x:c r="X1099" s="14" t="b">
        <x:v>0</x:v>
      </x:c>
      <x:c r="Y1099" s="14" t="b">
        <x:v>1</x:v>
      </x:c>
      <x:c r="Z1099" s="2" t="n">
        <x:f>ABS(T1099-AA1099)</x:f>
        <x:v>0</x:v>
      </x:c>
      <x:c r="AA1099" s="2" t="n">
        <x:v>274</x:v>
      </x:c>
      <x:c r="AB1099" s="2" t="n">
        <x:f>ABS(K1099-W1099)</x:f>
        <x:v>2</x:v>
      </x:c>
      <x:c r="AC1099" s="2" t="n">
        <x:f>COUNTIF($A$2:$A$1921,A1099)-1</x:f>
        <x:v>0</x:v>
      </x:c>
      <x:c r="AD1099" s="2" t="n">
        <x:f>IF(AND(D1099=D1098,H1099=H1098,C1099=C1098+1),ABS(R1099-T1098),0)</x:f>
        <x:v>0</x:v>
      </x:c>
    </x:row>
    <x:row r="1100" ht="23" customHeight="1">
      <x:c r="A1100" s="2" t="str">
        <x:v>DEMO-302-2-19</x:v>
      </x:c>
      <x:c r="B1100" s="15" t="d">
        <x:v>2026-09-07T00:00:00.000Z</x:v>
      </x:c>
      <x:c r="C1100" s="2" t="n">
        <x:v>19</x:v>
      </x:c>
      <x:c r="D1100" s="2" t="str">
        <x:v>DEMO-302</x:v>
      </x:c>
      <x:c r="E1100" s="2" t="str">
        <x:v>Soft Glow Lamp</x:v>
      </x:c>
      <x:c r="F1100" s="2" t="str">
        <x:v>Lifestyle</x:v>
      </x:c>
      <x:c r="G1100" s="2" t="str">
        <x:v>Stores</x:v>
      </x:c>
      <x:c r="H1100" s="2" t="str">
        <x:v>Central Market</x:v>
      </x:c>
      <x:c r="I1100" s="2" t="n">
        <x:v>9</x:v>
      </x:c>
      <x:c r="J1100" s="2" t="n">
        <x:v>0</x:v>
      </x:c>
      <x:c r="K1100" s="2" t="n">
        <x:f>I1100-J1100</x:f>
        <x:v>9</x:v>
      </x:c>
      <x:c r="L1100" s="16" t="n">
        <x:v>26</x:v>
      </x:c>
      <x:c r="M1100" s="16" t="n">
        <x:v>20.8</x:v>
      </x:c>
      <x:c r="N1100" s="16" t="n">
        <x:v>10.01</x:v>
      </x:c>
      <x:c r="O1100" s="16" t="n">
        <x:f>K1100*M1100</x:f>
        <x:v>187.20000000000002</x:v>
      </x:c>
      <x:c r="P1100" s="16" t="n">
        <x:f>K1100*N1100</x:f>
        <x:v>90.09</x:v>
      </x:c>
      <x:c r="Q1100" s="16" t="n">
        <x:f>O1100-P1100</x:f>
        <x:v>97.11000000000001</x:v>
      </x:c>
      <x:c r="R1100" s="2" t="n">
        <x:v>274</x:v>
      </x:c>
      <x:c r="S1100" s="2" t="n">
        <x:v>0</x:v>
      </x:c>
      <x:c r="T1100" s="2" t="n">
        <x:f>R1100+S1100+J1100-I1100</x:f>
        <x:v>265</x:v>
      </x:c>
      <x:c r="U1100" s="2" t="n">
        <x:v>0</x:v>
      </x:c>
      <x:c r="V1100" s="2" t="n">
        <x:v>3</x:v>
      </x:c>
      <x:c r="W1100" s="2" t="n">
        <x:v>9</x:v>
      </x:c>
      <x:c r="X1100" s="14" t="b">
        <x:v>0</x:v>
      </x:c>
      <x:c r="Y1100" s="14" t="b">
        <x:v>1</x:v>
      </x:c>
      <x:c r="Z1100" s="2" t="n">
        <x:f>ABS(T1100-AA1100)</x:f>
        <x:v>0</x:v>
      </x:c>
      <x:c r="AA1100" s="2" t="n">
        <x:v>265</x:v>
      </x:c>
      <x:c r="AB1100" s="2" t="n">
        <x:f>ABS(K1100-W1100)</x:f>
        <x:v>0</x:v>
      </x:c>
      <x:c r="AC1100" s="2" t="n">
        <x:f>COUNTIF($A$2:$A$1921,A1100)-1</x:f>
        <x:v>0</x:v>
      </x:c>
      <x:c r="AD1100" s="2" t="n">
        <x:f>IF(AND(D1100=D1099,H1100=H1099,C1100=C1099+1),ABS(R1100-T1099),0)</x:f>
        <x:v>0</x:v>
      </x:c>
    </x:row>
    <x:row r="1101" ht="23" customHeight="1">
      <x:c r="A1101" s="2" t="str">
        <x:v>DEMO-302-2-20</x:v>
      </x:c>
      <x:c r="B1101" s="15" t="d">
        <x:v>2026-09-14T00:00:00.000Z</x:v>
      </x:c>
      <x:c r="C1101" s="2" t="n">
        <x:v>20</x:v>
      </x:c>
      <x:c r="D1101" s="2" t="str">
        <x:v>DEMO-302</x:v>
      </x:c>
      <x:c r="E1101" s="2" t="str">
        <x:v>Soft Glow Lamp</x:v>
      </x:c>
      <x:c r="F1101" s="2" t="str">
        <x:v>Lifestyle</x:v>
      </x:c>
      <x:c r="G1101" s="2" t="str">
        <x:v>Stores</x:v>
      </x:c>
      <x:c r="H1101" s="2" t="str">
        <x:v>Central Market</x:v>
      </x:c>
      <x:c r="I1101" s="2" t="n">
        <x:v>8</x:v>
      </x:c>
      <x:c r="J1101" s="2" t="n">
        <x:v>0</x:v>
      </x:c>
      <x:c r="K1101" s="2" t="n">
        <x:f>I1101-J1101</x:f>
        <x:v>8</x:v>
      </x:c>
      <x:c r="L1101" s="16" t="n">
        <x:v>26</x:v>
      </x:c>
      <x:c r="M1101" s="16" t="n">
        <x:v>20.8</x:v>
      </x:c>
      <x:c r="N1101" s="16" t="n">
        <x:v>10.01</x:v>
      </x:c>
      <x:c r="O1101" s="16" t="n">
        <x:f>K1101*M1101</x:f>
        <x:v>166.4</x:v>
      </x:c>
      <x:c r="P1101" s="16" t="n">
        <x:f>K1101*N1101</x:f>
        <x:v>80.08</x:v>
      </x:c>
      <x:c r="Q1101" s="16" t="n">
        <x:f>O1101-P1101</x:f>
        <x:v>86.32000000000001</x:v>
      </x:c>
      <x:c r="R1101" s="2" t="n">
        <x:v>265</x:v>
      </x:c>
      <x:c r="S1101" s="2" t="n">
        <x:v>0</x:v>
      </x:c>
      <x:c r="T1101" s="2" t="n">
        <x:f>R1101+S1101+J1101-I1101</x:f>
        <x:v>257</x:v>
      </x:c>
      <x:c r="U1101" s="2" t="n">
        <x:v>24</x:v>
      </x:c>
      <x:c r="V1101" s="2" t="n">
        <x:v>3</x:v>
      </x:c>
      <x:c r="W1101" s="2" t="n">
        <x:v>9</x:v>
      </x:c>
      <x:c r="X1101" s="14" t="b">
        <x:v>0</x:v>
      </x:c>
      <x:c r="Y1101" s="14" t="b">
        <x:v>1</x:v>
      </x:c>
      <x:c r="Z1101" s="2" t="n">
        <x:f>ABS(T1101-AA1101)</x:f>
        <x:v>0</x:v>
      </x:c>
      <x:c r="AA1101" s="2" t="n">
        <x:v>257</x:v>
      </x:c>
      <x:c r="AB1101" s="2" t="n">
        <x:f>ABS(K1101-W1101)</x:f>
        <x:v>1</x:v>
      </x:c>
      <x:c r="AC1101" s="2" t="n">
        <x:f>COUNTIF($A$2:$A$1921,A1101)-1</x:f>
        <x:v>0</x:v>
      </x:c>
      <x:c r="AD1101" s="2" t="n">
        <x:f>IF(AND(D1101=D1100,H1101=H1100,C1101=C1100+1),ABS(R1101-T1100),0)</x:f>
        <x:v>0</x:v>
      </x:c>
    </x:row>
    <x:row r="1102" ht="23" customHeight="1">
      <x:c r="A1102" s="2" t="str">
        <x:v>DEMO-302-3-1</x:v>
      </x:c>
      <x:c r="B1102" s="15" t="d">
        <x:v>2026-05-04T00:00:00.000Z</x:v>
      </x:c>
      <x:c r="C1102" s="2" t="n">
        <x:v>1</x:v>
      </x:c>
      <x:c r="D1102" s="2" t="str">
        <x:v>DEMO-302</x:v>
      </x:c>
      <x:c r="E1102" s="2" t="str">
        <x:v>Soft Glow Lamp</x:v>
      </x:c>
      <x:c r="F1102" s="2" t="str">
        <x:v>Lifestyle</x:v>
      </x:c>
      <x:c r="G1102" s="2" t="str">
        <x:v>Online</x:v>
      </x:c>
      <x:c r="H1102" s="2" t="str">
        <x:v>Online</x:v>
      </x:c>
      <x:c r="I1102" s="2" t="n">
        <x:v>23</x:v>
      </x:c>
      <x:c r="J1102" s="2" t="n">
        <x:v>0</x:v>
      </x:c>
      <x:c r="K1102" s="2" t="n">
        <x:f>I1102-J1102</x:f>
        <x:v>23</x:v>
      </x:c>
      <x:c r="L1102" s="16" t="n">
        <x:v>26</x:v>
      </x:c>
      <x:c r="M1102" s="16" t="n">
        <x:v>26</x:v>
      </x:c>
      <x:c r="N1102" s="16" t="n">
        <x:v>10.01</x:v>
      </x:c>
      <x:c r="O1102" s="16" t="n">
        <x:f>K1102*M1102</x:f>
        <x:v>598</x:v>
      </x:c>
      <x:c r="P1102" s="16" t="n">
        <x:f>K1102*N1102</x:f>
        <x:v>230.23</x:v>
      </x:c>
      <x:c r="Q1102" s="16" t="n">
        <x:f>O1102-P1102</x:f>
        <x:v>367.77</x:v>
      </x:c>
      <x:c r="R1102" s="2" t="n">
        <x:v>140</x:v>
      </x:c>
      <x:c r="S1102" s="2" t="n">
        <x:v>65</x:v>
      </x:c>
      <x:c r="T1102" s="2" t="n">
        <x:f>R1102+S1102+J1102-I1102</x:f>
        <x:v>182</x:v>
      </x:c>
      <x:c r="U1102" s="2" t="n">
        <x:v>0</x:v>
      </x:c>
      <x:c r="V1102" s="2" t="n">
        <x:v>3</x:v>
      </x:c>
      <x:c r="W1102" s="2" t="n">
        <x:v>24</x:v>
      </x:c>
      <x:c r="X1102" s="14" t="b">
        <x:v>0</x:v>
      </x:c>
      <x:c r="Y1102" s="14" t="b">
        <x:v>0</x:v>
      </x:c>
      <x:c r="Z1102" s="2" t="n">
        <x:f>ABS(T1102-AA1102)</x:f>
        <x:v>0</x:v>
      </x:c>
      <x:c r="AA1102" s="2" t="n">
        <x:v>182</x:v>
      </x:c>
      <x:c r="AB1102" s="2" t="n">
        <x:f>ABS(K1102-W1102)</x:f>
        <x:v>1</x:v>
      </x:c>
      <x:c r="AC1102" s="2" t="n">
        <x:f>COUNTIF($A$2:$A$1921,A1102)-1</x:f>
        <x:v>0</x:v>
      </x:c>
      <x:c r="AD1102" s="2" t="n">
        <x:f>IF(AND(D1102=D1101,H1102=H1101,C1102=C1101+1),ABS(R1102-T1101),0)</x:f>
        <x:v>0</x:v>
      </x:c>
    </x:row>
    <x:row r="1103" ht="23" customHeight="1">
      <x:c r="A1103" s="2" t="str">
        <x:v>DEMO-302-3-2</x:v>
      </x:c>
      <x:c r="B1103" s="15" t="d">
        <x:v>2026-05-11T00:00:00.000Z</x:v>
      </x:c>
      <x:c r="C1103" s="2" t="n">
        <x:v>2</x:v>
      </x:c>
      <x:c r="D1103" s="2" t="str">
        <x:v>DEMO-302</x:v>
      </x:c>
      <x:c r="E1103" s="2" t="str">
        <x:v>Soft Glow Lamp</x:v>
      </x:c>
      <x:c r="F1103" s="2" t="str">
        <x:v>Lifestyle</x:v>
      </x:c>
      <x:c r="G1103" s="2" t="str">
        <x:v>Online</x:v>
      </x:c>
      <x:c r="H1103" s="2" t="str">
        <x:v>Online</x:v>
      </x:c>
      <x:c r="I1103" s="2" t="n">
        <x:v>21</x:v>
      </x:c>
      <x:c r="J1103" s="2" t="n">
        <x:v>0</x:v>
      </x:c>
      <x:c r="K1103" s="2" t="n">
        <x:f>I1103-J1103</x:f>
        <x:v>21</x:v>
      </x:c>
      <x:c r="L1103" s="16" t="n">
        <x:v>26</x:v>
      </x:c>
      <x:c r="M1103" s="16" t="n">
        <x:v>26</x:v>
      </x:c>
      <x:c r="N1103" s="16" t="n">
        <x:v>10.01</x:v>
      </x:c>
      <x:c r="O1103" s="16" t="n">
        <x:f>K1103*M1103</x:f>
        <x:v>546</x:v>
      </x:c>
      <x:c r="P1103" s="16" t="n">
        <x:f>K1103*N1103</x:f>
        <x:v>210.21</x:v>
      </x:c>
      <x:c r="Q1103" s="16" t="n">
        <x:f>O1103-P1103</x:f>
        <x:v>335.78999999999996</x:v>
      </x:c>
      <x:c r="R1103" s="2" t="n">
        <x:v>182</x:v>
      </x:c>
      <x:c r="S1103" s="2" t="n">
        <x:v>0</x:v>
      </x:c>
      <x:c r="T1103" s="2" t="n">
        <x:f>R1103+S1103+J1103-I1103</x:f>
        <x:v>161</x:v>
      </x:c>
      <x:c r="U1103" s="2" t="n">
        <x:v>0</x:v>
      </x:c>
      <x:c r="V1103" s="2" t="n">
        <x:v>3</x:v>
      </x:c>
      <x:c r="W1103" s="2" t="n">
        <x:v>23</x:v>
      </x:c>
      <x:c r="X1103" s="14" t="b">
        <x:v>0</x:v>
      </x:c>
      <x:c r="Y1103" s="14" t="b">
        <x:v>0</x:v>
      </x:c>
      <x:c r="Z1103" s="2" t="n">
        <x:f>ABS(T1103-AA1103)</x:f>
        <x:v>0</x:v>
      </x:c>
      <x:c r="AA1103" s="2" t="n">
        <x:v>161</x:v>
      </x:c>
      <x:c r="AB1103" s="2" t="n">
        <x:f>ABS(K1103-W1103)</x:f>
        <x:v>2</x:v>
      </x:c>
      <x:c r="AC1103" s="2" t="n">
        <x:f>COUNTIF($A$2:$A$1921,A1103)-1</x:f>
        <x:v>0</x:v>
      </x:c>
      <x:c r="AD1103" s="2" t="n">
        <x:f>IF(AND(D1103=D1102,H1103=H1102,C1103=C1102+1),ABS(R1103-T1102),0)</x:f>
        <x:v>0</x:v>
      </x:c>
    </x:row>
    <x:row r="1104" ht="23" customHeight="1">
      <x:c r="A1104" s="2" t="str">
        <x:v>DEMO-302-3-3</x:v>
      </x:c>
      <x:c r="B1104" s="15" t="d">
        <x:v>2026-05-18T00:00:00.000Z</x:v>
      </x:c>
      <x:c r="C1104" s="2" t="n">
        <x:v>3</x:v>
      </x:c>
      <x:c r="D1104" s="2" t="str">
        <x:v>DEMO-302</x:v>
      </x:c>
      <x:c r="E1104" s="2" t="str">
        <x:v>Soft Glow Lamp</x:v>
      </x:c>
      <x:c r="F1104" s="2" t="str">
        <x:v>Lifestyle</x:v>
      </x:c>
      <x:c r="G1104" s="2" t="str">
        <x:v>Online</x:v>
      </x:c>
      <x:c r="H1104" s="2" t="str">
        <x:v>Online</x:v>
      </x:c>
      <x:c r="I1104" s="2" t="n">
        <x:v>22</x:v>
      </x:c>
      <x:c r="J1104" s="2" t="n">
        <x:v>0</x:v>
      </x:c>
      <x:c r="K1104" s="2" t="n">
        <x:f>I1104-J1104</x:f>
        <x:v>22</x:v>
      </x:c>
      <x:c r="L1104" s="16" t="n">
        <x:v>26</x:v>
      </x:c>
      <x:c r="M1104" s="16" t="n">
        <x:v>26</x:v>
      </x:c>
      <x:c r="N1104" s="16" t="n">
        <x:v>10.01</x:v>
      </x:c>
      <x:c r="O1104" s="16" t="n">
        <x:f>K1104*M1104</x:f>
        <x:v>572</x:v>
      </x:c>
      <x:c r="P1104" s="16" t="n">
        <x:f>K1104*N1104</x:f>
        <x:v>220.22</x:v>
      </x:c>
      <x:c r="Q1104" s="16" t="n">
        <x:f>O1104-P1104</x:f>
        <x:v>351.78</x:v>
      </x:c>
      <x:c r="R1104" s="2" t="n">
        <x:v>161</x:v>
      </x:c>
      <x:c r="S1104" s="2" t="n">
        <x:v>0</x:v>
      </x:c>
      <x:c r="T1104" s="2" t="n">
        <x:f>R1104+S1104+J1104-I1104</x:f>
        <x:v>139</x:v>
      </x:c>
      <x:c r="U1104" s="2" t="n">
        <x:v>0</x:v>
      </x:c>
      <x:c r="V1104" s="2" t="n">
        <x:v>3</x:v>
      </x:c>
      <x:c r="W1104" s="2" t="n">
        <x:v>22</x:v>
      </x:c>
      <x:c r="X1104" s="14" t="b">
        <x:v>0</x:v>
      </x:c>
      <x:c r="Y1104" s="14" t="b">
        <x:v>0</x:v>
      </x:c>
      <x:c r="Z1104" s="2" t="n">
        <x:f>ABS(T1104-AA1104)</x:f>
        <x:v>0</x:v>
      </x:c>
      <x:c r="AA1104" s="2" t="n">
        <x:v>139</x:v>
      </x:c>
      <x:c r="AB1104" s="2" t="n">
        <x:f>ABS(K1104-W1104)</x:f>
        <x:v>0</x:v>
      </x:c>
      <x:c r="AC1104" s="2" t="n">
        <x:f>COUNTIF($A$2:$A$1921,A1104)-1</x:f>
        <x:v>0</x:v>
      </x:c>
      <x:c r="AD1104" s="2" t="n">
        <x:f>IF(AND(D1104=D1103,H1104=H1103,C1104=C1103+1),ABS(R1104-T1103),0)</x:f>
        <x:v>0</x:v>
      </x:c>
    </x:row>
    <x:row r="1105" ht="23" customHeight="1">
      <x:c r="A1105" s="2" t="str">
        <x:v>DEMO-302-3-4</x:v>
      </x:c>
      <x:c r="B1105" s="15" t="d">
        <x:v>2026-05-25T00:00:00.000Z</x:v>
      </x:c>
      <x:c r="C1105" s="2" t="n">
        <x:v>4</x:v>
      </x:c>
      <x:c r="D1105" s="2" t="str">
        <x:v>DEMO-302</x:v>
      </x:c>
      <x:c r="E1105" s="2" t="str">
        <x:v>Soft Glow Lamp</x:v>
      </x:c>
      <x:c r="F1105" s="2" t="str">
        <x:v>Lifestyle</x:v>
      </x:c>
      <x:c r="G1105" s="2" t="str">
        <x:v>Online</x:v>
      </x:c>
      <x:c r="H1105" s="2" t="str">
        <x:v>Online</x:v>
      </x:c>
      <x:c r="I1105" s="2" t="n">
        <x:v>24</x:v>
      </x:c>
      <x:c r="J1105" s="2" t="n">
        <x:v>0</x:v>
      </x:c>
      <x:c r="K1105" s="2" t="n">
        <x:f>I1105-J1105</x:f>
        <x:v>24</x:v>
      </x:c>
      <x:c r="L1105" s="16" t="n">
        <x:v>26</x:v>
      </x:c>
      <x:c r="M1105" s="16" t="n">
        <x:v>26</x:v>
      </x:c>
      <x:c r="N1105" s="16" t="n">
        <x:v>10.01</x:v>
      </x:c>
      <x:c r="O1105" s="16" t="n">
        <x:f>K1105*M1105</x:f>
        <x:v>624</x:v>
      </x:c>
      <x:c r="P1105" s="16" t="n">
        <x:f>K1105*N1105</x:f>
        <x:v>240.24</x:v>
      </x:c>
      <x:c r="Q1105" s="16" t="n">
        <x:f>O1105-P1105</x:f>
        <x:v>383.76</x:v>
      </x:c>
      <x:c r="R1105" s="2" t="n">
        <x:v>139</x:v>
      </x:c>
      <x:c r="S1105" s="2" t="n">
        <x:v>0</x:v>
      </x:c>
      <x:c r="T1105" s="2" t="n">
        <x:f>R1105+S1105+J1105-I1105</x:f>
        <x:v>115</x:v>
      </x:c>
      <x:c r="U1105" s="2" t="n">
        <x:v>0</x:v>
      </x:c>
      <x:c r="V1105" s="2" t="n">
        <x:v>3</x:v>
      </x:c>
      <x:c r="W1105" s="2" t="n">
        <x:v>22</x:v>
      </x:c>
      <x:c r="X1105" s="14" t="b">
        <x:v>0</x:v>
      </x:c>
      <x:c r="Y1105" s="14" t="b">
        <x:v>0</x:v>
      </x:c>
      <x:c r="Z1105" s="2" t="n">
        <x:f>ABS(T1105-AA1105)</x:f>
        <x:v>0</x:v>
      </x:c>
      <x:c r="AA1105" s="2" t="n">
        <x:v>115</x:v>
      </x:c>
      <x:c r="AB1105" s="2" t="n">
        <x:f>ABS(K1105-W1105)</x:f>
        <x:v>2</x:v>
      </x:c>
      <x:c r="AC1105" s="2" t="n">
        <x:f>COUNTIF($A$2:$A$1921,A1105)-1</x:f>
        <x:v>0</x:v>
      </x:c>
      <x:c r="AD1105" s="2" t="n">
        <x:f>IF(AND(D1105=D1104,H1105=H1104,C1105=C1104+1),ABS(R1105-T1104),0)</x:f>
        <x:v>0</x:v>
      </x:c>
    </x:row>
    <x:row r="1106" ht="23" customHeight="1">
      <x:c r="A1106" s="2" t="str">
        <x:v>DEMO-302-3-5</x:v>
      </x:c>
      <x:c r="B1106" s="15" t="d">
        <x:v>2026-06-01T00:00:00.000Z</x:v>
      </x:c>
      <x:c r="C1106" s="2" t="n">
        <x:v>5</x:v>
      </x:c>
      <x:c r="D1106" s="2" t="str">
        <x:v>DEMO-302</x:v>
      </x:c>
      <x:c r="E1106" s="2" t="str">
        <x:v>Soft Glow Lamp</x:v>
      </x:c>
      <x:c r="F1106" s="2" t="str">
        <x:v>Lifestyle</x:v>
      </x:c>
      <x:c r="G1106" s="2" t="str">
        <x:v>Online</x:v>
      </x:c>
      <x:c r="H1106" s="2" t="str">
        <x:v>Online</x:v>
      </x:c>
      <x:c r="I1106" s="2" t="n">
        <x:v>20</x:v>
      </x:c>
      <x:c r="J1106" s="2" t="n">
        <x:v>0</x:v>
      </x:c>
      <x:c r="K1106" s="2" t="n">
        <x:f>I1106-J1106</x:f>
        <x:v>20</x:v>
      </x:c>
      <x:c r="L1106" s="16" t="n">
        <x:v>26</x:v>
      </x:c>
      <x:c r="M1106" s="16" t="n">
        <x:v>26</x:v>
      </x:c>
      <x:c r="N1106" s="16" t="n">
        <x:v>10.01</x:v>
      </x:c>
      <x:c r="O1106" s="16" t="n">
        <x:f>K1106*M1106</x:f>
        <x:v>520</x:v>
      </x:c>
      <x:c r="P1106" s="16" t="n">
        <x:f>K1106*N1106</x:f>
        <x:v>200.2</x:v>
      </x:c>
      <x:c r="Q1106" s="16" t="n">
        <x:f>O1106-P1106</x:f>
        <x:v>319.8</x:v>
      </x:c>
      <x:c r="R1106" s="2" t="n">
        <x:v>115</x:v>
      </x:c>
      <x:c r="S1106" s="2" t="n">
        <x:v>65</x:v>
      </x:c>
      <x:c r="T1106" s="2" t="n">
        <x:f>R1106+S1106+J1106-I1106</x:f>
        <x:v>160</x:v>
      </x:c>
      <x:c r="U1106" s="2" t="n">
        <x:v>0</x:v>
      </x:c>
      <x:c r="V1106" s="2" t="n">
        <x:v>3</x:v>
      </x:c>
      <x:c r="W1106" s="2" t="n">
        <x:v>23</x:v>
      </x:c>
      <x:c r="X1106" s="14" t="b">
        <x:v>0</x:v>
      </x:c>
      <x:c r="Y1106" s="14" t="b">
        <x:v>0</x:v>
      </x:c>
      <x:c r="Z1106" s="2" t="n">
        <x:f>ABS(T1106-AA1106)</x:f>
        <x:v>0</x:v>
      </x:c>
      <x:c r="AA1106" s="2" t="n">
        <x:v>160</x:v>
      </x:c>
      <x:c r="AB1106" s="2" t="n">
        <x:f>ABS(K1106-W1106)</x:f>
        <x:v>3</x:v>
      </x:c>
      <x:c r="AC1106" s="2" t="n">
        <x:f>COUNTIF($A$2:$A$1921,A1106)-1</x:f>
        <x:v>0</x:v>
      </x:c>
      <x:c r="AD1106" s="2" t="n">
        <x:f>IF(AND(D1106=D1105,H1106=H1105,C1106=C1105+1),ABS(R1106-T1105),0)</x:f>
        <x:v>0</x:v>
      </x:c>
    </x:row>
    <x:row r="1107" ht="23" customHeight="1">
      <x:c r="A1107" s="2" t="str">
        <x:v>DEMO-302-3-6</x:v>
      </x:c>
      <x:c r="B1107" s="15" t="d">
        <x:v>2026-06-08T00:00:00.000Z</x:v>
      </x:c>
      <x:c r="C1107" s="2" t="n">
        <x:v>6</x:v>
      </x:c>
      <x:c r="D1107" s="2" t="str">
        <x:v>DEMO-302</x:v>
      </x:c>
      <x:c r="E1107" s="2" t="str">
        <x:v>Soft Glow Lamp</x:v>
      </x:c>
      <x:c r="F1107" s="2" t="str">
        <x:v>Lifestyle</x:v>
      </x:c>
      <x:c r="G1107" s="2" t="str">
        <x:v>Online</x:v>
      </x:c>
      <x:c r="H1107" s="2" t="str">
        <x:v>Online</x:v>
      </x:c>
      <x:c r="I1107" s="2" t="n">
        <x:v>23</x:v>
      </x:c>
      <x:c r="J1107" s="2" t="n">
        <x:v>0</x:v>
      </x:c>
      <x:c r="K1107" s="2" t="n">
        <x:f>I1107-J1107</x:f>
        <x:v>23</x:v>
      </x:c>
      <x:c r="L1107" s="16" t="n">
        <x:v>26</x:v>
      </x:c>
      <x:c r="M1107" s="16" t="n">
        <x:v>26</x:v>
      </x:c>
      <x:c r="N1107" s="16" t="n">
        <x:v>10.01</x:v>
      </x:c>
      <x:c r="O1107" s="16" t="n">
        <x:f>K1107*M1107</x:f>
        <x:v>598</x:v>
      </x:c>
      <x:c r="P1107" s="16" t="n">
        <x:f>K1107*N1107</x:f>
        <x:v>230.23</x:v>
      </x:c>
      <x:c r="Q1107" s="16" t="n">
        <x:f>O1107-P1107</x:f>
        <x:v>367.77</x:v>
      </x:c>
      <x:c r="R1107" s="2" t="n">
        <x:v>160</x:v>
      </x:c>
      <x:c r="S1107" s="2" t="n">
        <x:v>0</x:v>
      </x:c>
      <x:c r="T1107" s="2" t="n">
        <x:f>R1107+S1107+J1107-I1107</x:f>
        <x:v>137</x:v>
      </x:c>
      <x:c r="U1107" s="2" t="n">
        <x:v>0</x:v>
      </x:c>
      <x:c r="V1107" s="2" t="n">
        <x:v>3</x:v>
      </x:c>
      <x:c r="W1107" s="2" t="n">
        <x:v>22</x:v>
      </x:c>
      <x:c r="X1107" s="14" t="b">
        <x:v>0</x:v>
      </x:c>
      <x:c r="Y1107" s="14" t="b">
        <x:v>0</x:v>
      </x:c>
      <x:c r="Z1107" s="2" t="n">
        <x:f>ABS(T1107-AA1107)</x:f>
        <x:v>0</x:v>
      </x:c>
      <x:c r="AA1107" s="2" t="n">
        <x:v>137</x:v>
      </x:c>
      <x:c r="AB1107" s="2" t="n">
        <x:f>ABS(K1107-W1107)</x:f>
        <x:v>1</x:v>
      </x:c>
      <x:c r="AC1107" s="2" t="n">
        <x:f>COUNTIF($A$2:$A$1921,A1107)-1</x:f>
        <x:v>0</x:v>
      </x:c>
      <x:c r="AD1107" s="2" t="n">
        <x:f>IF(AND(D1107=D1106,H1107=H1106,C1107=C1106+1),ABS(R1107-T1106),0)</x:f>
        <x:v>0</x:v>
      </x:c>
    </x:row>
    <x:row r="1108" ht="23" customHeight="1">
      <x:c r="A1108" s="2" t="str">
        <x:v>DEMO-302-3-7</x:v>
      </x:c>
      <x:c r="B1108" s="15" t="d">
        <x:v>2026-06-15T00:00:00.000Z</x:v>
      </x:c>
      <x:c r="C1108" s="2" t="n">
        <x:v>7</x:v>
      </x:c>
      <x:c r="D1108" s="2" t="str">
        <x:v>DEMO-302</x:v>
      </x:c>
      <x:c r="E1108" s="2" t="str">
        <x:v>Soft Glow Lamp</x:v>
      </x:c>
      <x:c r="F1108" s="2" t="str">
        <x:v>Lifestyle</x:v>
      </x:c>
      <x:c r="G1108" s="2" t="str">
        <x:v>Online</x:v>
      </x:c>
      <x:c r="H1108" s="2" t="str">
        <x:v>Online</x:v>
      </x:c>
      <x:c r="I1108" s="2" t="n">
        <x:v>19</x:v>
      </x:c>
      <x:c r="J1108" s="2" t="n">
        <x:v>0</x:v>
      </x:c>
      <x:c r="K1108" s="2" t="n">
        <x:f>I1108-J1108</x:f>
        <x:v>19</x:v>
      </x:c>
      <x:c r="L1108" s="16" t="n">
        <x:v>26</x:v>
      </x:c>
      <x:c r="M1108" s="16" t="n">
        <x:v>26</x:v>
      </x:c>
      <x:c r="N1108" s="16" t="n">
        <x:v>10.01</x:v>
      </x:c>
      <x:c r="O1108" s="16" t="n">
        <x:f>K1108*M1108</x:f>
        <x:v>494</x:v>
      </x:c>
      <x:c r="P1108" s="16" t="n">
        <x:f>K1108*N1108</x:f>
        <x:v>190.19</x:v>
      </x:c>
      <x:c r="Q1108" s="16" t="n">
        <x:f>O1108-P1108</x:f>
        <x:v>303.81</x:v>
      </x:c>
      <x:c r="R1108" s="2" t="n">
        <x:v>137</x:v>
      </x:c>
      <x:c r="S1108" s="2" t="n">
        <x:v>0</x:v>
      </x:c>
      <x:c r="T1108" s="2" t="n">
        <x:f>R1108+S1108+J1108-I1108</x:f>
        <x:v>118</x:v>
      </x:c>
      <x:c r="U1108" s="2" t="n">
        <x:v>0</x:v>
      </x:c>
      <x:c r="V1108" s="2" t="n">
        <x:v>3</x:v>
      </x:c>
      <x:c r="W1108" s="2" t="n">
        <x:v>22</x:v>
      </x:c>
      <x:c r="X1108" s="14" t="b">
        <x:v>0</x:v>
      </x:c>
      <x:c r="Y1108" s="14" t="b">
        <x:v>0</x:v>
      </x:c>
      <x:c r="Z1108" s="2" t="n">
        <x:f>ABS(T1108-AA1108)</x:f>
        <x:v>0</x:v>
      </x:c>
      <x:c r="AA1108" s="2" t="n">
        <x:v>118</x:v>
      </x:c>
      <x:c r="AB1108" s="2" t="n">
        <x:f>ABS(K1108-W1108)</x:f>
        <x:v>3</x:v>
      </x:c>
      <x:c r="AC1108" s="2" t="n">
        <x:f>COUNTIF($A$2:$A$1921,A1108)-1</x:f>
        <x:v>0</x:v>
      </x:c>
      <x:c r="AD1108" s="2" t="n">
        <x:f>IF(AND(D1108=D1107,H1108=H1107,C1108=C1107+1),ABS(R1108-T1107),0)</x:f>
        <x:v>0</x:v>
      </x:c>
    </x:row>
    <x:row r="1109" ht="23" customHeight="1">
      <x:c r="A1109" s="2" t="str">
        <x:v>DEMO-302-3-8</x:v>
      </x:c>
      <x:c r="B1109" s="15" t="d">
        <x:v>2026-06-22T00:00:00.000Z</x:v>
      </x:c>
      <x:c r="C1109" s="2" t="n">
        <x:v>8</x:v>
      </x:c>
      <x:c r="D1109" s="2" t="str">
        <x:v>DEMO-302</x:v>
      </x:c>
      <x:c r="E1109" s="2" t="str">
        <x:v>Soft Glow Lamp</x:v>
      </x:c>
      <x:c r="F1109" s="2" t="str">
        <x:v>Lifestyle</x:v>
      </x:c>
      <x:c r="G1109" s="2" t="str">
        <x:v>Online</x:v>
      </x:c>
      <x:c r="H1109" s="2" t="str">
        <x:v>Online</x:v>
      </x:c>
      <x:c r="I1109" s="2" t="n">
        <x:v>18</x:v>
      </x:c>
      <x:c r="J1109" s="2" t="n">
        <x:v>0</x:v>
      </x:c>
      <x:c r="K1109" s="2" t="n">
        <x:f>I1109-J1109</x:f>
        <x:v>18</x:v>
      </x:c>
      <x:c r="L1109" s="16" t="n">
        <x:v>26</x:v>
      </x:c>
      <x:c r="M1109" s="16" t="n">
        <x:v>26</x:v>
      </x:c>
      <x:c r="N1109" s="16" t="n">
        <x:v>10.01</x:v>
      </x:c>
      <x:c r="O1109" s="16" t="n">
        <x:f>K1109*M1109</x:f>
        <x:v>468</x:v>
      </x:c>
      <x:c r="P1109" s="16" t="n">
        <x:f>K1109*N1109</x:f>
        <x:v>180.18</x:v>
      </x:c>
      <x:c r="Q1109" s="16" t="n">
        <x:f>O1109-P1109</x:f>
        <x:v>287.82</x:v>
      </x:c>
      <x:c r="R1109" s="2" t="n">
        <x:v>118</x:v>
      </x:c>
      <x:c r="S1109" s="2" t="n">
        <x:v>0</x:v>
      </x:c>
      <x:c r="T1109" s="2" t="n">
        <x:f>R1109+S1109+J1109-I1109</x:f>
        <x:v>100</x:v>
      </x:c>
      <x:c r="U1109" s="2" t="n">
        <x:v>0</x:v>
      </x:c>
      <x:c r="V1109" s="2" t="n">
        <x:v>3</x:v>
      </x:c>
      <x:c r="W1109" s="2" t="n">
        <x:v>22</x:v>
      </x:c>
      <x:c r="X1109" s="14" t="b">
        <x:v>0</x:v>
      </x:c>
      <x:c r="Y1109" s="14" t="b">
        <x:v>0</x:v>
      </x:c>
      <x:c r="Z1109" s="2" t="n">
        <x:f>ABS(T1109-AA1109)</x:f>
        <x:v>0</x:v>
      </x:c>
      <x:c r="AA1109" s="2" t="n">
        <x:v>100</x:v>
      </x:c>
      <x:c r="AB1109" s="2" t="n">
        <x:f>ABS(K1109-W1109)</x:f>
        <x:v>4</x:v>
      </x:c>
      <x:c r="AC1109" s="2" t="n">
        <x:f>COUNTIF($A$2:$A$1921,A1109)-1</x:f>
        <x:v>0</x:v>
      </x:c>
      <x:c r="AD1109" s="2" t="n">
        <x:f>IF(AND(D1109=D1108,H1109=H1108,C1109=C1108+1),ABS(R1109-T1108),0)</x:f>
        <x:v>0</x:v>
      </x:c>
    </x:row>
    <x:row r="1110" ht="23" customHeight="1">
      <x:c r="A1110" s="2" t="str">
        <x:v>DEMO-302-3-9</x:v>
      </x:c>
      <x:c r="B1110" s="15" t="d">
        <x:v>2026-06-29T00:00:00.000Z</x:v>
      </x:c>
      <x:c r="C1110" s="2" t="n">
        <x:v>9</x:v>
      </x:c>
      <x:c r="D1110" s="2" t="str">
        <x:v>DEMO-302</x:v>
      </x:c>
      <x:c r="E1110" s="2" t="str">
        <x:v>Soft Glow Lamp</x:v>
      </x:c>
      <x:c r="F1110" s="2" t="str">
        <x:v>Lifestyle</x:v>
      </x:c>
      <x:c r="G1110" s="2" t="str">
        <x:v>Online</x:v>
      </x:c>
      <x:c r="H1110" s="2" t="str">
        <x:v>Online</x:v>
      </x:c>
      <x:c r="I1110" s="2" t="n">
        <x:v>22</x:v>
      </x:c>
      <x:c r="J1110" s="2" t="n">
        <x:v>0</x:v>
      </x:c>
      <x:c r="K1110" s="2" t="n">
        <x:f>I1110-J1110</x:f>
        <x:v>22</x:v>
      </x:c>
      <x:c r="L1110" s="16" t="n">
        <x:v>26</x:v>
      </x:c>
      <x:c r="M1110" s="16" t="n">
        <x:v>26</x:v>
      </x:c>
      <x:c r="N1110" s="16" t="n">
        <x:v>10.01</x:v>
      </x:c>
      <x:c r="O1110" s="16" t="n">
        <x:f>K1110*M1110</x:f>
        <x:v>572</x:v>
      </x:c>
      <x:c r="P1110" s="16" t="n">
        <x:f>K1110*N1110</x:f>
        <x:v>220.22</x:v>
      </x:c>
      <x:c r="Q1110" s="16" t="n">
        <x:f>O1110-P1110</x:f>
        <x:v>351.78</x:v>
      </x:c>
      <x:c r="R1110" s="2" t="n">
        <x:v>100</x:v>
      </x:c>
      <x:c r="S1110" s="2" t="n">
        <x:v>65</x:v>
      </x:c>
      <x:c r="T1110" s="2" t="n">
        <x:f>R1110+S1110+J1110-I1110</x:f>
        <x:v>143</x:v>
      </x:c>
      <x:c r="U1110" s="2" t="n">
        <x:v>0</x:v>
      </x:c>
      <x:c r="V1110" s="2" t="n">
        <x:v>3</x:v>
      </x:c>
      <x:c r="W1110" s="2" t="n">
        <x:v>20</x:v>
      </x:c>
      <x:c r="X1110" s="14" t="b">
        <x:v>0</x:v>
      </x:c>
      <x:c r="Y1110" s="14" t="b">
        <x:v>0</x:v>
      </x:c>
      <x:c r="Z1110" s="2" t="n">
        <x:f>ABS(T1110-AA1110)</x:f>
        <x:v>0</x:v>
      </x:c>
      <x:c r="AA1110" s="2" t="n">
        <x:v>143</x:v>
      </x:c>
      <x:c r="AB1110" s="2" t="n">
        <x:f>ABS(K1110-W1110)</x:f>
        <x:v>2</x:v>
      </x:c>
      <x:c r="AC1110" s="2" t="n">
        <x:f>COUNTIF($A$2:$A$1921,A1110)-1</x:f>
        <x:v>0</x:v>
      </x:c>
      <x:c r="AD1110" s="2" t="n">
        <x:f>IF(AND(D1110=D1109,H1110=H1109,C1110=C1109+1),ABS(R1110-T1109),0)</x:f>
        <x:v>0</x:v>
      </x:c>
    </x:row>
    <x:row r="1111" ht="23" customHeight="1">
      <x:c r="A1111" s="2" t="str">
        <x:v>DEMO-302-3-10</x:v>
      </x:c>
      <x:c r="B1111" s="15" t="d">
        <x:v>2026-07-06T00:00:00.000Z</x:v>
      </x:c>
      <x:c r="C1111" s="2" t="n">
        <x:v>10</x:v>
      </x:c>
      <x:c r="D1111" s="2" t="str">
        <x:v>DEMO-302</x:v>
      </x:c>
      <x:c r="E1111" s="2" t="str">
        <x:v>Soft Glow Lamp</x:v>
      </x:c>
      <x:c r="F1111" s="2" t="str">
        <x:v>Lifestyle</x:v>
      </x:c>
      <x:c r="G1111" s="2" t="str">
        <x:v>Online</x:v>
      </x:c>
      <x:c r="H1111" s="2" t="str">
        <x:v>Online</x:v>
      </x:c>
      <x:c r="I1111" s="2" t="n">
        <x:v>21</x:v>
      </x:c>
      <x:c r="J1111" s="2" t="n">
        <x:v>0</x:v>
      </x:c>
      <x:c r="K1111" s="2" t="n">
        <x:f>I1111-J1111</x:f>
        <x:v>21</x:v>
      </x:c>
      <x:c r="L1111" s="16" t="n">
        <x:v>26</x:v>
      </x:c>
      <x:c r="M1111" s="16" t="n">
        <x:v>26</x:v>
      </x:c>
      <x:c r="N1111" s="16" t="n">
        <x:v>10.01</x:v>
      </x:c>
      <x:c r="O1111" s="16" t="n">
        <x:f>K1111*M1111</x:f>
        <x:v>546</x:v>
      </x:c>
      <x:c r="P1111" s="16" t="n">
        <x:f>K1111*N1111</x:f>
        <x:v>210.21</x:v>
      </x:c>
      <x:c r="Q1111" s="16" t="n">
        <x:f>O1111-P1111</x:f>
        <x:v>335.78999999999996</x:v>
      </x:c>
      <x:c r="R1111" s="2" t="n">
        <x:v>143</x:v>
      </x:c>
      <x:c r="S1111" s="2" t="n">
        <x:v>0</x:v>
      </x:c>
      <x:c r="T1111" s="2" t="n">
        <x:f>R1111+S1111+J1111-I1111</x:f>
        <x:v>122</x:v>
      </x:c>
      <x:c r="U1111" s="2" t="n">
        <x:v>0</x:v>
      </x:c>
      <x:c r="V1111" s="2" t="n">
        <x:v>3</x:v>
      </x:c>
      <x:c r="W1111" s="2" t="n">
        <x:v>21</x:v>
      </x:c>
      <x:c r="X1111" s="14" t="b">
        <x:v>0</x:v>
      </x:c>
      <x:c r="Y1111" s="14" t="b">
        <x:v>0</x:v>
      </x:c>
      <x:c r="Z1111" s="2" t="n">
        <x:f>ABS(T1111-AA1111)</x:f>
        <x:v>0</x:v>
      </x:c>
      <x:c r="AA1111" s="2" t="n">
        <x:v>122</x:v>
      </x:c>
      <x:c r="AB1111" s="2" t="n">
        <x:f>ABS(K1111-W1111)</x:f>
        <x:v>0</x:v>
      </x:c>
      <x:c r="AC1111" s="2" t="n">
        <x:f>COUNTIF($A$2:$A$1921,A1111)-1</x:f>
        <x:v>0</x:v>
      </x:c>
      <x:c r="AD1111" s="2" t="n">
        <x:f>IF(AND(D1111=D1110,H1111=H1110,C1111=C1110+1),ABS(R1111-T1110),0)</x:f>
        <x:v>0</x:v>
      </x:c>
    </x:row>
    <x:row r="1112" ht="23" customHeight="1">
      <x:c r="A1112" s="2" t="str">
        <x:v>DEMO-302-3-11</x:v>
      </x:c>
      <x:c r="B1112" s="15" t="d">
        <x:v>2026-07-13T00:00:00.000Z</x:v>
      </x:c>
      <x:c r="C1112" s="2" t="n">
        <x:v>11</x:v>
      </x:c>
      <x:c r="D1112" s="2" t="str">
        <x:v>DEMO-302</x:v>
      </x:c>
      <x:c r="E1112" s="2" t="str">
        <x:v>Soft Glow Lamp</x:v>
      </x:c>
      <x:c r="F1112" s="2" t="str">
        <x:v>Lifestyle</x:v>
      </x:c>
      <x:c r="G1112" s="2" t="str">
        <x:v>Online</x:v>
      </x:c>
      <x:c r="H1112" s="2" t="str">
        <x:v>Online</x:v>
      </x:c>
      <x:c r="I1112" s="2" t="n">
        <x:v>16</x:v>
      </x:c>
      <x:c r="J1112" s="2" t="n">
        <x:v>0</x:v>
      </x:c>
      <x:c r="K1112" s="2" t="n">
        <x:f>I1112-J1112</x:f>
        <x:v>16</x:v>
      </x:c>
      <x:c r="L1112" s="16" t="n">
        <x:v>26</x:v>
      </x:c>
      <x:c r="M1112" s="16" t="n">
        <x:v>26</x:v>
      </x:c>
      <x:c r="N1112" s="16" t="n">
        <x:v>10.01</x:v>
      </x:c>
      <x:c r="O1112" s="16" t="n">
        <x:f>K1112*M1112</x:f>
        <x:v>416</x:v>
      </x:c>
      <x:c r="P1112" s="16" t="n">
        <x:f>K1112*N1112</x:f>
        <x:v>160.16</x:v>
      </x:c>
      <x:c r="Q1112" s="16" t="n">
        <x:f>O1112-P1112</x:f>
        <x:v>255.84</x:v>
      </x:c>
      <x:c r="R1112" s="2" t="n">
        <x:v>122</x:v>
      </x:c>
      <x:c r="S1112" s="2" t="n">
        <x:v>0</x:v>
      </x:c>
      <x:c r="T1112" s="2" t="n">
        <x:f>R1112+S1112+J1112-I1112</x:f>
        <x:v>106</x:v>
      </x:c>
      <x:c r="U1112" s="2" t="n">
        <x:v>0</x:v>
      </x:c>
      <x:c r="V1112" s="2" t="n">
        <x:v>3</x:v>
      </x:c>
      <x:c r="W1112" s="2" t="n">
        <x:v>20</x:v>
      </x:c>
      <x:c r="X1112" s="14" t="b">
        <x:v>0</x:v>
      </x:c>
      <x:c r="Y1112" s="14" t="b">
        <x:v>0</x:v>
      </x:c>
      <x:c r="Z1112" s="2" t="n">
        <x:f>ABS(T1112-AA1112)</x:f>
        <x:v>0</x:v>
      </x:c>
      <x:c r="AA1112" s="2" t="n">
        <x:v>106</x:v>
      </x:c>
      <x:c r="AB1112" s="2" t="n">
        <x:f>ABS(K1112-W1112)</x:f>
        <x:v>4</x:v>
      </x:c>
      <x:c r="AC1112" s="2" t="n">
        <x:f>COUNTIF($A$2:$A$1921,A1112)-1</x:f>
        <x:v>0</x:v>
      </x:c>
      <x:c r="AD1112" s="2" t="n">
        <x:f>IF(AND(D1112=D1111,H1112=H1111,C1112=C1111+1),ABS(R1112-T1111),0)</x:f>
        <x:v>0</x:v>
      </x:c>
    </x:row>
    <x:row r="1113" ht="23" customHeight="1">
      <x:c r="A1113" s="2" t="str">
        <x:v>DEMO-302-3-12</x:v>
      </x:c>
      <x:c r="B1113" s="15" t="d">
        <x:v>2026-07-20T00:00:00.000Z</x:v>
      </x:c>
      <x:c r="C1113" s="2" t="n">
        <x:v>12</x:v>
      </x:c>
      <x:c r="D1113" s="2" t="str">
        <x:v>DEMO-302</x:v>
      </x:c>
      <x:c r="E1113" s="2" t="str">
        <x:v>Soft Glow Lamp</x:v>
      </x:c>
      <x:c r="F1113" s="2" t="str">
        <x:v>Lifestyle</x:v>
      </x:c>
      <x:c r="G1113" s="2" t="str">
        <x:v>Online</x:v>
      </x:c>
      <x:c r="H1113" s="2" t="str">
        <x:v>Online</x:v>
      </x:c>
      <x:c r="I1113" s="2" t="n">
        <x:v>18</x:v>
      </x:c>
      <x:c r="J1113" s="2" t="n">
        <x:v>0</x:v>
      </x:c>
      <x:c r="K1113" s="2" t="n">
        <x:f>I1113-J1113</x:f>
        <x:v>18</x:v>
      </x:c>
      <x:c r="L1113" s="16" t="n">
        <x:v>26</x:v>
      </x:c>
      <x:c r="M1113" s="16" t="n">
        <x:v>26</x:v>
      </x:c>
      <x:c r="N1113" s="16" t="n">
        <x:v>10.01</x:v>
      </x:c>
      <x:c r="O1113" s="16" t="n">
        <x:f>K1113*M1113</x:f>
        <x:v>468</x:v>
      </x:c>
      <x:c r="P1113" s="16" t="n">
        <x:f>K1113*N1113</x:f>
        <x:v>180.18</x:v>
      </x:c>
      <x:c r="Q1113" s="16" t="n">
        <x:f>O1113-P1113</x:f>
        <x:v>287.82</x:v>
      </x:c>
      <x:c r="R1113" s="2" t="n">
        <x:v>106</x:v>
      </x:c>
      <x:c r="S1113" s="2" t="n">
        <x:v>0</x:v>
      </x:c>
      <x:c r="T1113" s="2" t="n">
        <x:f>R1113+S1113+J1113-I1113</x:f>
        <x:v>88</x:v>
      </x:c>
      <x:c r="U1113" s="2" t="n">
        <x:v>0</x:v>
      </x:c>
      <x:c r="V1113" s="2" t="n">
        <x:v>3</x:v>
      </x:c>
      <x:c r="W1113" s="2" t="n">
        <x:v>19</x:v>
      </x:c>
      <x:c r="X1113" s="14" t="b">
        <x:v>0</x:v>
      </x:c>
      <x:c r="Y1113" s="14" t="b">
        <x:v>0</x:v>
      </x:c>
      <x:c r="Z1113" s="2" t="n">
        <x:f>ABS(T1113-AA1113)</x:f>
        <x:v>0</x:v>
      </x:c>
      <x:c r="AA1113" s="2" t="n">
        <x:v>88</x:v>
      </x:c>
      <x:c r="AB1113" s="2" t="n">
        <x:f>ABS(K1113-W1113)</x:f>
        <x:v>1</x:v>
      </x:c>
      <x:c r="AC1113" s="2" t="n">
        <x:f>COUNTIF($A$2:$A$1921,A1113)-1</x:f>
        <x:v>0</x:v>
      </x:c>
      <x:c r="AD1113" s="2" t="n">
        <x:f>IF(AND(D1113=D1112,H1113=H1112,C1113=C1112+1),ABS(R1113-T1112),0)</x:f>
        <x:v>0</x:v>
      </x:c>
    </x:row>
    <x:row r="1114" ht="23" customHeight="1">
      <x:c r="A1114" s="2" t="str">
        <x:v>DEMO-302-3-13</x:v>
      </x:c>
      <x:c r="B1114" s="15" t="d">
        <x:v>2026-07-27T00:00:00.000Z</x:v>
      </x:c>
      <x:c r="C1114" s="2" t="n">
        <x:v>13</x:v>
      </x:c>
      <x:c r="D1114" s="2" t="str">
        <x:v>DEMO-302</x:v>
      </x:c>
      <x:c r="E1114" s="2" t="str">
        <x:v>Soft Glow Lamp</x:v>
      </x:c>
      <x:c r="F1114" s="2" t="str">
        <x:v>Lifestyle</x:v>
      </x:c>
      <x:c r="G1114" s="2" t="str">
        <x:v>Online</x:v>
      </x:c>
      <x:c r="H1114" s="2" t="str">
        <x:v>Online</x:v>
      </x:c>
      <x:c r="I1114" s="2" t="n">
        <x:v>13</x:v>
      </x:c>
      <x:c r="J1114" s="2" t="n">
        <x:v>0</x:v>
      </x:c>
      <x:c r="K1114" s="2" t="n">
        <x:f>I1114-J1114</x:f>
        <x:v>13</x:v>
      </x:c>
      <x:c r="L1114" s="16" t="n">
        <x:v>26</x:v>
      </x:c>
      <x:c r="M1114" s="16" t="n">
        <x:v>26</x:v>
      </x:c>
      <x:c r="N1114" s="16" t="n">
        <x:v>10.01</x:v>
      </x:c>
      <x:c r="O1114" s="16" t="n">
        <x:f>K1114*M1114</x:f>
        <x:v>338</x:v>
      </x:c>
      <x:c r="P1114" s="16" t="n">
        <x:f>K1114*N1114</x:f>
        <x:v>130.13</x:v>
      </x:c>
      <x:c r="Q1114" s="16" t="n">
        <x:f>O1114-P1114</x:f>
        <x:v>207.87</x:v>
      </x:c>
      <x:c r="R1114" s="2" t="n">
        <x:v>88</x:v>
      </x:c>
      <x:c r="S1114" s="2" t="n">
        <x:v>65</x:v>
      </x:c>
      <x:c r="T1114" s="2" t="n">
        <x:f>R1114+S1114+J1114-I1114</x:f>
        <x:v>140</x:v>
      </x:c>
      <x:c r="U1114" s="2" t="n">
        <x:v>0</x:v>
      </x:c>
      <x:c r="V1114" s="2" t="n">
        <x:v>3</x:v>
      </x:c>
      <x:c r="W1114" s="2" t="n">
        <x:v>19</x:v>
      </x:c>
      <x:c r="X1114" s="14" t="b">
        <x:v>0</x:v>
      </x:c>
      <x:c r="Y1114" s="14" t="b">
        <x:v>0</x:v>
      </x:c>
      <x:c r="Z1114" s="2" t="n">
        <x:f>ABS(T1114-AA1114)</x:f>
        <x:v>0</x:v>
      </x:c>
      <x:c r="AA1114" s="2" t="n">
        <x:v>140</x:v>
      </x:c>
      <x:c r="AB1114" s="2" t="n">
        <x:f>ABS(K1114-W1114)</x:f>
        <x:v>6</x:v>
      </x:c>
      <x:c r="AC1114" s="2" t="n">
        <x:f>COUNTIF($A$2:$A$1921,A1114)-1</x:f>
        <x:v>0</x:v>
      </x:c>
      <x:c r="AD1114" s="2" t="n">
        <x:f>IF(AND(D1114=D1113,H1114=H1113,C1114=C1113+1),ABS(R1114-T1113),0)</x:f>
        <x:v>0</x:v>
      </x:c>
    </x:row>
    <x:row r="1115" ht="23" customHeight="1">
      <x:c r="A1115" s="2" t="str">
        <x:v>DEMO-302-3-14</x:v>
      </x:c>
      <x:c r="B1115" s="15" t="d">
        <x:v>2026-08-03T00:00:00.000Z</x:v>
      </x:c>
      <x:c r="C1115" s="2" t="n">
        <x:v>14</x:v>
      </x:c>
      <x:c r="D1115" s="2" t="str">
        <x:v>DEMO-302</x:v>
      </x:c>
      <x:c r="E1115" s="2" t="str">
        <x:v>Soft Glow Lamp</x:v>
      </x:c>
      <x:c r="F1115" s="2" t="str">
        <x:v>Lifestyle</x:v>
      </x:c>
      <x:c r="G1115" s="2" t="str">
        <x:v>Online</x:v>
      </x:c>
      <x:c r="H1115" s="2" t="str">
        <x:v>Online</x:v>
      </x:c>
      <x:c r="I1115" s="2" t="n">
        <x:v>14</x:v>
      </x:c>
      <x:c r="J1115" s="2" t="n">
        <x:v>0</x:v>
      </x:c>
      <x:c r="K1115" s="2" t="n">
        <x:f>I1115-J1115</x:f>
        <x:v>14</x:v>
      </x:c>
      <x:c r="L1115" s="16" t="n">
        <x:v>26</x:v>
      </x:c>
      <x:c r="M1115" s="16" t="n">
        <x:v>26</x:v>
      </x:c>
      <x:c r="N1115" s="16" t="n">
        <x:v>10.01</x:v>
      </x:c>
      <x:c r="O1115" s="16" t="n">
        <x:f>K1115*M1115</x:f>
        <x:v>364</x:v>
      </x:c>
      <x:c r="P1115" s="16" t="n">
        <x:f>K1115*N1115</x:f>
        <x:v>140.14</x:v>
      </x:c>
      <x:c r="Q1115" s="16" t="n">
        <x:f>O1115-P1115</x:f>
        <x:v>223.86</x:v>
      </x:c>
      <x:c r="R1115" s="2" t="n">
        <x:v>140</x:v>
      </x:c>
      <x:c r="S1115" s="2" t="n">
        <x:v>0</x:v>
      </x:c>
      <x:c r="T1115" s="2" t="n">
        <x:f>R1115+S1115+J1115-I1115</x:f>
        <x:v>126</x:v>
      </x:c>
      <x:c r="U1115" s="2" t="n">
        <x:v>0</x:v>
      </x:c>
      <x:c r="V1115" s="2" t="n">
        <x:v>3</x:v>
      </x:c>
      <x:c r="W1115" s="2" t="n">
        <x:v>17</x:v>
      </x:c>
      <x:c r="X1115" s="14" t="b">
        <x:v>0</x:v>
      </x:c>
      <x:c r="Y1115" s="14" t="b">
        <x:v>0</x:v>
      </x:c>
      <x:c r="Z1115" s="2" t="n">
        <x:f>ABS(T1115-AA1115)</x:f>
        <x:v>0</x:v>
      </x:c>
      <x:c r="AA1115" s="2" t="n">
        <x:v>126</x:v>
      </x:c>
      <x:c r="AB1115" s="2" t="n">
        <x:f>ABS(K1115-W1115)</x:f>
        <x:v>3</x:v>
      </x:c>
      <x:c r="AC1115" s="2" t="n">
        <x:f>COUNTIF($A$2:$A$1921,A1115)-1</x:f>
        <x:v>0</x:v>
      </x:c>
      <x:c r="AD1115" s="2" t="n">
        <x:f>IF(AND(D1115=D1114,H1115=H1114,C1115=C1114+1),ABS(R1115-T1114),0)</x:f>
        <x:v>0</x:v>
      </x:c>
    </x:row>
    <x:row r="1116" ht="23" customHeight="1">
      <x:c r="A1116" s="2" t="str">
        <x:v>DEMO-302-3-15</x:v>
      </x:c>
      <x:c r="B1116" s="15" t="d">
        <x:v>2026-08-10T00:00:00.000Z</x:v>
      </x:c>
      <x:c r="C1116" s="2" t="n">
        <x:v>15</x:v>
      </x:c>
      <x:c r="D1116" s="2" t="str">
        <x:v>DEMO-302</x:v>
      </x:c>
      <x:c r="E1116" s="2" t="str">
        <x:v>Soft Glow Lamp</x:v>
      </x:c>
      <x:c r="F1116" s="2" t="str">
        <x:v>Lifestyle</x:v>
      </x:c>
      <x:c r="G1116" s="2" t="str">
        <x:v>Online</x:v>
      </x:c>
      <x:c r="H1116" s="2" t="str">
        <x:v>Online</x:v>
      </x:c>
      <x:c r="I1116" s="2" t="n">
        <x:v>13</x:v>
      </x:c>
      <x:c r="J1116" s="2" t="n">
        <x:v>1</x:v>
      </x:c>
      <x:c r="K1116" s="2" t="n">
        <x:f>I1116-J1116</x:f>
        <x:v>12</x:v>
      </x:c>
      <x:c r="L1116" s="16" t="n">
        <x:v>26</x:v>
      </x:c>
      <x:c r="M1116" s="16" t="n">
        <x:v>26</x:v>
      </x:c>
      <x:c r="N1116" s="16" t="n">
        <x:v>10.01</x:v>
      </x:c>
      <x:c r="O1116" s="16" t="n">
        <x:f>K1116*M1116</x:f>
        <x:v>312</x:v>
      </x:c>
      <x:c r="P1116" s="16" t="n">
        <x:f>K1116*N1116</x:f>
        <x:v>120.12</x:v>
      </x:c>
      <x:c r="Q1116" s="16" t="n">
        <x:f>O1116-P1116</x:f>
        <x:v>191.88</x:v>
      </x:c>
      <x:c r="R1116" s="2" t="n">
        <x:v>126</x:v>
      </x:c>
      <x:c r="S1116" s="2" t="n">
        <x:v>0</x:v>
      </x:c>
      <x:c r="T1116" s="2" t="n">
        <x:f>R1116+S1116+J1116-I1116</x:f>
        <x:v>114</x:v>
      </x:c>
      <x:c r="U1116" s="2" t="n">
        <x:v>0</x:v>
      </x:c>
      <x:c r="V1116" s="2" t="n">
        <x:v>3</x:v>
      </x:c>
      <x:c r="W1116" s="2" t="n">
        <x:v>15</x:v>
      </x:c>
      <x:c r="X1116" s="14" t="b">
        <x:v>0</x:v>
      </x:c>
      <x:c r="Y1116" s="14" t="b">
        <x:v>0</x:v>
      </x:c>
      <x:c r="Z1116" s="2" t="n">
        <x:f>ABS(T1116-AA1116)</x:f>
        <x:v>0</x:v>
      </x:c>
      <x:c r="AA1116" s="2" t="n">
        <x:v>114</x:v>
      </x:c>
      <x:c r="AB1116" s="2" t="n">
        <x:f>ABS(K1116-W1116)</x:f>
        <x:v>3</x:v>
      </x:c>
      <x:c r="AC1116" s="2" t="n">
        <x:f>COUNTIF($A$2:$A$1921,A1116)-1</x:f>
        <x:v>0</x:v>
      </x:c>
      <x:c r="AD1116" s="2" t="n">
        <x:f>IF(AND(D1116=D1115,H1116=H1115,C1116=C1115+1),ABS(R1116-T1115),0)</x:f>
        <x:v>0</x:v>
      </x:c>
    </x:row>
    <x:row r="1117" ht="23" customHeight="1">
      <x:c r="A1117" s="2" t="str">
        <x:v>DEMO-302-3-16</x:v>
      </x:c>
      <x:c r="B1117" s="15" t="d">
        <x:v>2026-08-17T00:00:00.000Z</x:v>
      </x:c>
      <x:c r="C1117" s="2" t="n">
        <x:v>16</x:v>
      </x:c>
      <x:c r="D1117" s="2" t="str">
        <x:v>DEMO-302</x:v>
      </x:c>
      <x:c r="E1117" s="2" t="str">
        <x:v>Soft Glow Lamp</x:v>
      </x:c>
      <x:c r="F1117" s="2" t="str">
        <x:v>Lifestyle</x:v>
      </x:c>
      <x:c r="G1117" s="2" t="str">
        <x:v>Online</x:v>
      </x:c>
      <x:c r="H1117" s="2" t="str">
        <x:v>Online</x:v>
      </x:c>
      <x:c r="I1117" s="2" t="n">
        <x:v>13</x:v>
      </x:c>
      <x:c r="J1117" s="2" t="n">
        <x:v>0</x:v>
      </x:c>
      <x:c r="K1117" s="2" t="n">
        <x:f>I1117-J1117</x:f>
        <x:v>13</x:v>
      </x:c>
      <x:c r="L1117" s="16" t="n">
        <x:v>26</x:v>
      </x:c>
      <x:c r="M1117" s="16" t="n">
        <x:v>26</x:v>
      </x:c>
      <x:c r="N1117" s="16" t="n">
        <x:v>10.01</x:v>
      </x:c>
      <x:c r="O1117" s="16" t="n">
        <x:f>K1117*M1117</x:f>
        <x:v>338</x:v>
      </x:c>
      <x:c r="P1117" s="16" t="n">
        <x:f>K1117*N1117</x:f>
        <x:v>130.13</x:v>
      </x:c>
      <x:c r="Q1117" s="16" t="n">
        <x:f>O1117-P1117</x:f>
        <x:v>207.87</x:v>
      </x:c>
      <x:c r="R1117" s="2" t="n">
        <x:v>114</x:v>
      </x:c>
      <x:c r="S1117" s="2" t="n">
        <x:v>0</x:v>
      </x:c>
      <x:c r="T1117" s="2" t="n">
        <x:f>R1117+S1117+J1117-I1117</x:f>
        <x:v>101</x:v>
      </x:c>
      <x:c r="U1117" s="2" t="n">
        <x:v>0</x:v>
      </x:c>
      <x:c r="V1117" s="2" t="n">
        <x:v>3</x:v>
      </x:c>
      <x:c r="W1117" s="2" t="n">
        <x:v>14</x:v>
      </x:c>
      <x:c r="X1117" s="14" t="b">
        <x:v>0</x:v>
      </x:c>
      <x:c r="Y1117" s="14" t="b">
        <x:v>0</x:v>
      </x:c>
      <x:c r="Z1117" s="2" t="n">
        <x:f>ABS(T1117-AA1117)</x:f>
        <x:v>0</x:v>
      </x:c>
      <x:c r="AA1117" s="2" t="n">
        <x:v>101</x:v>
      </x:c>
      <x:c r="AB1117" s="2" t="n">
        <x:f>ABS(K1117-W1117)</x:f>
        <x:v>1</x:v>
      </x:c>
      <x:c r="AC1117" s="2" t="n">
        <x:f>COUNTIF($A$2:$A$1921,A1117)-1</x:f>
        <x:v>0</x:v>
      </x:c>
      <x:c r="AD1117" s="2" t="n">
        <x:f>IF(AND(D1117=D1116,H1117=H1116,C1117=C1116+1),ABS(R1117-T1116),0)</x:f>
        <x:v>0</x:v>
      </x:c>
    </x:row>
    <x:row r="1118" ht="23" customHeight="1">
      <x:c r="A1118" s="2" t="str">
        <x:v>DEMO-302-3-17</x:v>
      </x:c>
      <x:c r="B1118" s="15" t="d">
        <x:v>2026-08-24T00:00:00.000Z</x:v>
      </x:c>
      <x:c r="C1118" s="2" t="n">
        <x:v>17</x:v>
      </x:c>
      <x:c r="D1118" s="2" t="str">
        <x:v>DEMO-302</x:v>
      </x:c>
      <x:c r="E1118" s="2" t="str">
        <x:v>Soft Glow Lamp</x:v>
      </x:c>
      <x:c r="F1118" s="2" t="str">
        <x:v>Lifestyle</x:v>
      </x:c>
      <x:c r="G1118" s="2" t="str">
        <x:v>Online</x:v>
      </x:c>
      <x:c r="H1118" s="2" t="str">
        <x:v>Online</x:v>
      </x:c>
      <x:c r="I1118" s="2" t="n">
        <x:v>18</x:v>
      </x:c>
      <x:c r="J1118" s="2" t="n">
        <x:v>1</x:v>
      </x:c>
      <x:c r="K1118" s="2" t="n">
        <x:f>I1118-J1118</x:f>
        <x:v>17</x:v>
      </x:c>
      <x:c r="L1118" s="16" t="n">
        <x:v>26</x:v>
      </x:c>
      <x:c r="M1118" s="16" t="n">
        <x:v>20.8</x:v>
      </x:c>
      <x:c r="N1118" s="16" t="n">
        <x:v>10.01</x:v>
      </x:c>
      <x:c r="O1118" s="16" t="n">
        <x:f>K1118*M1118</x:f>
        <x:v>353.6</x:v>
      </x:c>
      <x:c r="P1118" s="16" t="n">
        <x:f>K1118*N1118</x:f>
        <x:v>170.17</x:v>
      </x:c>
      <x:c r="Q1118" s="16" t="n">
        <x:f>O1118-P1118</x:f>
        <x:v>183.43000000000004</x:v>
      </x:c>
      <x:c r="R1118" s="2" t="n">
        <x:v>101</x:v>
      </x:c>
      <x:c r="S1118" s="2" t="n">
        <x:v>65</x:v>
      </x:c>
      <x:c r="T1118" s="2" t="n">
        <x:f>R1118+S1118+J1118-I1118</x:f>
        <x:v>149</x:v>
      </x:c>
      <x:c r="U1118" s="2" t="n">
        <x:v>0</x:v>
      </x:c>
      <x:c r="V1118" s="2" t="n">
        <x:v>3</x:v>
      </x:c>
      <x:c r="W1118" s="2" t="n">
        <x:v>13</x:v>
      </x:c>
      <x:c r="X1118" s="14" t="b">
        <x:v>0</x:v>
      </x:c>
      <x:c r="Y1118" s="14" t="b">
        <x:v>1</x:v>
      </x:c>
      <x:c r="Z1118" s="2" t="n">
        <x:f>ABS(T1118-AA1118)</x:f>
        <x:v>0</x:v>
      </x:c>
      <x:c r="AA1118" s="2" t="n">
        <x:v>149</x:v>
      </x:c>
      <x:c r="AB1118" s="2" t="n">
        <x:f>ABS(K1118-W1118)</x:f>
        <x:v>4</x:v>
      </x:c>
      <x:c r="AC1118" s="2" t="n">
        <x:f>COUNTIF($A$2:$A$1921,A1118)-1</x:f>
        <x:v>0</x:v>
      </x:c>
      <x:c r="AD1118" s="2" t="n">
        <x:f>IF(AND(D1118=D1117,H1118=H1117,C1118=C1117+1),ABS(R1118-T1117),0)</x:f>
        <x:v>0</x:v>
      </x:c>
    </x:row>
    <x:row r="1119" ht="23" customHeight="1">
      <x:c r="A1119" s="2" t="str">
        <x:v>DEMO-302-3-18</x:v>
      </x:c>
      <x:c r="B1119" s="15" t="d">
        <x:v>2026-08-31T00:00:00.000Z</x:v>
      </x:c>
      <x:c r="C1119" s="2" t="n">
        <x:v>18</x:v>
      </x:c>
      <x:c r="D1119" s="2" t="str">
        <x:v>DEMO-302</x:v>
      </x:c>
      <x:c r="E1119" s="2" t="str">
        <x:v>Soft Glow Lamp</x:v>
      </x:c>
      <x:c r="F1119" s="2" t="str">
        <x:v>Lifestyle</x:v>
      </x:c>
      <x:c r="G1119" s="2" t="str">
        <x:v>Online</x:v>
      </x:c>
      <x:c r="H1119" s="2" t="str">
        <x:v>Online</x:v>
      </x:c>
      <x:c r="I1119" s="2" t="n">
        <x:v>16</x:v>
      </x:c>
      <x:c r="J1119" s="2" t="n">
        <x:v>0</x:v>
      </x:c>
      <x:c r="K1119" s="2" t="n">
        <x:f>I1119-J1119</x:f>
        <x:v>16</x:v>
      </x:c>
      <x:c r="L1119" s="16" t="n">
        <x:v>26</x:v>
      </x:c>
      <x:c r="M1119" s="16" t="n">
        <x:v>20.8</x:v>
      </x:c>
      <x:c r="N1119" s="16" t="n">
        <x:v>10.01</x:v>
      </x:c>
      <x:c r="O1119" s="16" t="n">
        <x:f>K1119*M1119</x:f>
        <x:v>332.8</x:v>
      </x:c>
      <x:c r="P1119" s="16" t="n">
        <x:f>K1119*N1119</x:f>
        <x:v>160.16</x:v>
      </x:c>
      <x:c r="Q1119" s="16" t="n">
        <x:f>O1119-P1119</x:f>
        <x:v>172.64000000000001</x:v>
      </x:c>
      <x:c r="R1119" s="2" t="n">
        <x:v>149</x:v>
      </x:c>
      <x:c r="S1119" s="2" t="n">
        <x:v>0</x:v>
      </x:c>
      <x:c r="T1119" s="2" t="n">
        <x:f>R1119+S1119+J1119-I1119</x:f>
        <x:v>133</x:v>
      </x:c>
      <x:c r="U1119" s="2" t="n">
        <x:v>0</x:v>
      </x:c>
      <x:c r="V1119" s="2" t="n">
        <x:v>3</x:v>
      </x:c>
      <x:c r="W1119" s="2" t="n">
        <x:v>14</x:v>
      </x:c>
      <x:c r="X1119" s="14" t="b">
        <x:v>0</x:v>
      </x:c>
      <x:c r="Y1119" s="14" t="b">
        <x:v>1</x:v>
      </x:c>
      <x:c r="Z1119" s="2" t="n">
        <x:f>ABS(T1119-AA1119)</x:f>
        <x:v>0</x:v>
      </x:c>
      <x:c r="AA1119" s="2" t="n">
        <x:v>133</x:v>
      </x:c>
      <x:c r="AB1119" s="2" t="n">
        <x:f>ABS(K1119-W1119)</x:f>
        <x:v>2</x:v>
      </x:c>
      <x:c r="AC1119" s="2" t="n">
        <x:f>COUNTIF($A$2:$A$1921,A1119)-1</x:f>
        <x:v>0</x:v>
      </x:c>
      <x:c r="AD1119" s="2" t="n">
        <x:f>IF(AND(D1119=D1118,H1119=H1118,C1119=C1118+1),ABS(R1119-T1118),0)</x:f>
        <x:v>0</x:v>
      </x:c>
    </x:row>
    <x:row r="1120" ht="23" customHeight="1">
      <x:c r="A1120" s="2" t="str">
        <x:v>DEMO-302-3-19</x:v>
      </x:c>
      <x:c r="B1120" s="15" t="d">
        <x:v>2026-09-07T00:00:00.000Z</x:v>
      </x:c>
      <x:c r="C1120" s="2" t="n">
        <x:v>19</x:v>
      </x:c>
      <x:c r="D1120" s="2" t="str">
        <x:v>DEMO-302</x:v>
      </x:c>
      <x:c r="E1120" s="2" t="str">
        <x:v>Soft Glow Lamp</x:v>
      </x:c>
      <x:c r="F1120" s="2" t="str">
        <x:v>Lifestyle</x:v>
      </x:c>
      <x:c r="G1120" s="2" t="str">
        <x:v>Online</x:v>
      </x:c>
      <x:c r="H1120" s="2" t="str">
        <x:v>Online</x:v>
      </x:c>
      <x:c r="I1120" s="2" t="n">
        <x:v>14</x:v>
      </x:c>
      <x:c r="J1120" s="2" t="n">
        <x:v>0</x:v>
      </x:c>
      <x:c r="K1120" s="2" t="n">
        <x:f>I1120-J1120</x:f>
        <x:v>14</x:v>
      </x:c>
      <x:c r="L1120" s="16" t="n">
        <x:v>26</x:v>
      </x:c>
      <x:c r="M1120" s="16" t="n">
        <x:v>20.8</x:v>
      </x:c>
      <x:c r="N1120" s="16" t="n">
        <x:v>10.01</x:v>
      </x:c>
      <x:c r="O1120" s="16" t="n">
        <x:f>K1120*M1120</x:f>
        <x:v>291.2</x:v>
      </x:c>
      <x:c r="P1120" s="16" t="n">
        <x:f>K1120*N1120</x:f>
        <x:v>140.14</x:v>
      </x:c>
      <x:c r="Q1120" s="16" t="n">
        <x:f>O1120-P1120</x:f>
        <x:v>151.06</x:v>
      </x:c>
      <x:c r="R1120" s="2" t="n">
        <x:v>133</x:v>
      </x:c>
      <x:c r="S1120" s="2" t="n">
        <x:v>0</x:v>
      </x:c>
      <x:c r="T1120" s="2" t="n">
        <x:f>R1120+S1120+J1120-I1120</x:f>
        <x:v>119</x:v>
      </x:c>
      <x:c r="U1120" s="2" t="n">
        <x:v>0</x:v>
      </x:c>
      <x:c r="V1120" s="2" t="n">
        <x:v>3</x:v>
      </x:c>
      <x:c r="W1120" s="2" t="n">
        <x:v>15</x:v>
      </x:c>
      <x:c r="X1120" s="14" t="b">
        <x:v>0</x:v>
      </x:c>
      <x:c r="Y1120" s="14" t="b">
        <x:v>1</x:v>
      </x:c>
      <x:c r="Z1120" s="2" t="n">
        <x:f>ABS(T1120-AA1120)</x:f>
        <x:v>0</x:v>
      </x:c>
      <x:c r="AA1120" s="2" t="n">
        <x:v>119</x:v>
      </x:c>
      <x:c r="AB1120" s="2" t="n">
        <x:f>ABS(K1120-W1120)</x:f>
        <x:v>1</x:v>
      </x:c>
      <x:c r="AC1120" s="2" t="n">
        <x:f>COUNTIF($A$2:$A$1921,A1120)-1</x:f>
        <x:v>0</x:v>
      </x:c>
      <x:c r="AD1120" s="2" t="n">
        <x:f>IF(AND(D1120=D1119,H1120=H1119,C1120=C1119+1),ABS(R1120-T1119),0)</x:f>
        <x:v>0</x:v>
      </x:c>
    </x:row>
    <x:row r="1121" ht="23" customHeight="1">
      <x:c r="A1121" s="2" t="str">
        <x:v>DEMO-302-3-20</x:v>
      </x:c>
      <x:c r="B1121" s="15" t="d">
        <x:v>2026-09-14T00:00:00.000Z</x:v>
      </x:c>
      <x:c r="C1121" s="2" t="n">
        <x:v>20</x:v>
      </x:c>
      <x:c r="D1121" s="2" t="str">
        <x:v>DEMO-302</x:v>
      </x:c>
      <x:c r="E1121" s="2" t="str">
        <x:v>Soft Glow Lamp</x:v>
      </x:c>
      <x:c r="F1121" s="2" t="str">
        <x:v>Lifestyle</x:v>
      </x:c>
      <x:c r="G1121" s="2" t="str">
        <x:v>Online</x:v>
      </x:c>
      <x:c r="H1121" s="2" t="str">
        <x:v>Online</x:v>
      </x:c>
      <x:c r="I1121" s="2" t="n">
        <x:v>14</x:v>
      </x:c>
      <x:c r="J1121" s="2" t="n">
        <x:v>0</x:v>
      </x:c>
      <x:c r="K1121" s="2" t="n">
        <x:f>I1121-J1121</x:f>
        <x:v>14</x:v>
      </x:c>
      <x:c r="L1121" s="16" t="n">
        <x:v>26</x:v>
      </x:c>
      <x:c r="M1121" s="16" t="n">
        <x:v>20.8</x:v>
      </x:c>
      <x:c r="N1121" s="16" t="n">
        <x:v>10.01</x:v>
      </x:c>
      <x:c r="O1121" s="16" t="n">
        <x:f>K1121*M1121</x:f>
        <x:v>291.2</x:v>
      </x:c>
      <x:c r="P1121" s="16" t="n">
        <x:f>K1121*N1121</x:f>
        <x:v>140.14</x:v>
      </x:c>
      <x:c r="Q1121" s="16" t="n">
        <x:f>O1121-P1121</x:f>
        <x:v>151.06</x:v>
      </x:c>
      <x:c r="R1121" s="2" t="n">
        <x:v>119</x:v>
      </x:c>
      <x:c r="S1121" s="2" t="n">
        <x:v>0</x:v>
      </x:c>
      <x:c r="T1121" s="2" t="n">
        <x:f>R1121+S1121+J1121-I1121</x:f>
        <x:v>105</x:v>
      </x:c>
      <x:c r="U1121" s="2" t="n">
        <x:v>24</x:v>
      </x:c>
      <x:c r="V1121" s="2" t="n">
        <x:v>3</x:v>
      </x:c>
      <x:c r="W1121" s="2" t="n">
        <x:v>15</x:v>
      </x:c>
      <x:c r="X1121" s="14" t="b">
        <x:v>0</x:v>
      </x:c>
      <x:c r="Y1121" s="14" t="b">
        <x:v>1</x:v>
      </x:c>
      <x:c r="Z1121" s="2" t="n">
        <x:f>ABS(T1121-AA1121)</x:f>
        <x:v>0</x:v>
      </x:c>
      <x:c r="AA1121" s="2" t="n">
        <x:v>105</x:v>
      </x:c>
      <x:c r="AB1121" s="2" t="n">
        <x:f>ABS(K1121-W1121)</x:f>
        <x:v>1</x:v>
      </x:c>
      <x:c r="AC1121" s="2" t="n">
        <x:f>COUNTIF($A$2:$A$1921,A1121)-1</x:f>
        <x:v>0</x:v>
      </x:c>
      <x:c r="AD1121" s="2" t="n">
        <x:f>IF(AND(D1121=D1120,H1121=H1120,C1121=C1120+1),ABS(R1121-T1120),0)</x:f>
        <x:v>0</x:v>
      </x:c>
    </x:row>
    <x:row r="1122" ht="23" customHeight="1">
      <x:c r="A1122" s="2" t="str">
        <x:v>DEMO-303-0-1</x:v>
      </x:c>
      <x:c r="B1122" s="15" t="d">
        <x:v>2026-05-04T00:00:00.000Z</x:v>
      </x:c>
      <x:c r="C1122" s="2" t="n">
        <x:v>1</x:v>
      </x:c>
      <x:c r="D1122" s="2" t="str">
        <x:v>DEMO-303</x:v>
      </x:c>
      <x:c r="E1122" s="2" t="str">
        <x:v>Weekend Flask</x:v>
      </x:c>
      <x:c r="F1122" s="2" t="str">
        <x:v>Lifestyle</x:v>
      </x:c>
      <x:c r="G1122" s="2" t="str">
        <x:v>Stores</x:v>
      </x:c>
      <x:c r="H1122" s="2" t="str">
        <x:v>North Arcade</x:v>
      </x:c>
      <x:c r="I1122" s="2" t="n">
        <x:v>17</x:v>
      </x:c>
      <x:c r="J1122" s="2" t="n">
        <x:v>0</x:v>
      </x:c>
      <x:c r="K1122" s="2" t="n">
        <x:f>I1122-J1122</x:f>
        <x:v>17</x:v>
      </x:c>
      <x:c r="L1122" s="16" t="n">
        <x:v>28</x:v>
      </x:c>
      <x:c r="M1122" s="16" t="n">
        <x:v>28</x:v>
      </x:c>
      <x:c r="N1122" s="16" t="n">
        <x:v>11.48</x:v>
      </x:c>
      <x:c r="O1122" s="16" t="n">
        <x:f>K1122*M1122</x:f>
        <x:v>476</x:v>
      </x:c>
      <x:c r="P1122" s="16" t="n">
        <x:f>K1122*N1122</x:f>
        <x:v>195.16</x:v>
      </x:c>
      <x:c r="Q1122" s="16" t="n">
        <x:f>O1122-P1122</x:f>
        <x:v>280.84000000000003</x:v>
      </x:c>
      <x:c r="R1122" s="2" t="n">
        <x:v>140</x:v>
      </x:c>
      <x:c r="S1122" s="2" t="n">
        <x:v>65</x:v>
      </x:c>
      <x:c r="T1122" s="2" t="n">
        <x:f>R1122+S1122+J1122-I1122</x:f>
        <x:v>188</x:v>
      </x:c>
      <x:c r="U1122" s="2" t="n">
        <x:v>0</x:v>
      </x:c>
      <x:c r="V1122" s="2" t="n">
        <x:v>4</x:v>
      </x:c>
      <x:c r="W1122" s="2" t="n">
        <x:v>17</x:v>
      </x:c>
      <x:c r="X1122" s="14" t="b">
        <x:v>0</x:v>
      </x:c>
      <x:c r="Y1122" s="14" t="b">
        <x:v>0</x:v>
      </x:c>
      <x:c r="Z1122" s="2" t="n">
        <x:f>ABS(T1122-AA1122)</x:f>
        <x:v>0</x:v>
      </x:c>
      <x:c r="AA1122" s="2" t="n">
        <x:v>188</x:v>
      </x:c>
      <x:c r="AB1122" s="2" t="n">
        <x:f>ABS(K1122-W1122)</x:f>
        <x:v>0</x:v>
      </x:c>
      <x:c r="AC1122" s="2" t="n">
        <x:f>COUNTIF($A$2:$A$1921,A1122)-1</x:f>
        <x:v>0</x:v>
      </x:c>
      <x:c r="AD1122" s="2" t="n">
        <x:f>IF(AND(D1122=D1121,H1122=H1121,C1122=C1121+1),ABS(R1122-T1121),0)</x:f>
        <x:v>0</x:v>
      </x:c>
    </x:row>
    <x:row r="1123" ht="23" customHeight="1">
      <x:c r="A1123" s="2" t="str">
        <x:v>DEMO-303-0-2</x:v>
      </x:c>
      <x:c r="B1123" s="15" t="d">
        <x:v>2026-05-11T00:00:00.000Z</x:v>
      </x:c>
      <x:c r="C1123" s="2" t="n">
        <x:v>2</x:v>
      </x:c>
      <x:c r="D1123" s="2" t="str">
        <x:v>DEMO-303</x:v>
      </x:c>
      <x:c r="E1123" s="2" t="str">
        <x:v>Weekend Flask</x:v>
      </x:c>
      <x:c r="F1123" s="2" t="str">
        <x:v>Lifestyle</x:v>
      </x:c>
      <x:c r="G1123" s="2" t="str">
        <x:v>Stores</x:v>
      </x:c>
      <x:c r="H1123" s="2" t="str">
        <x:v>North Arcade</x:v>
      </x:c>
      <x:c r="I1123" s="2" t="n">
        <x:v>19</x:v>
      </x:c>
      <x:c r="J1123" s="2" t="n">
        <x:v>0</x:v>
      </x:c>
      <x:c r="K1123" s="2" t="n">
        <x:f>I1123-J1123</x:f>
        <x:v>19</x:v>
      </x:c>
      <x:c r="L1123" s="16" t="n">
        <x:v>28</x:v>
      </x:c>
      <x:c r="M1123" s="16" t="n">
        <x:v>28</x:v>
      </x:c>
      <x:c r="N1123" s="16" t="n">
        <x:v>11.48</x:v>
      </x:c>
      <x:c r="O1123" s="16" t="n">
        <x:f>K1123*M1123</x:f>
        <x:v>532</x:v>
      </x:c>
      <x:c r="P1123" s="16" t="n">
        <x:f>K1123*N1123</x:f>
        <x:v>218.12</x:v>
      </x:c>
      <x:c r="Q1123" s="16" t="n">
        <x:f>O1123-P1123</x:f>
        <x:v>313.88</x:v>
      </x:c>
      <x:c r="R1123" s="2" t="n">
        <x:v>188</x:v>
      </x:c>
      <x:c r="S1123" s="2" t="n">
        <x:v>0</x:v>
      </x:c>
      <x:c r="T1123" s="2" t="n">
        <x:f>R1123+S1123+J1123-I1123</x:f>
        <x:v>169</x:v>
      </x:c>
      <x:c r="U1123" s="2" t="n">
        <x:v>0</x:v>
      </x:c>
      <x:c r="V1123" s="2" t="n">
        <x:v>4</x:v>
      </x:c>
      <x:c r="W1123" s="2" t="n">
        <x:v>17</x:v>
      </x:c>
      <x:c r="X1123" s="14" t="b">
        <x:v>0</x:v>
      </x:c>
      <x:c r="Y1123" s="14" t="b">
        <x:v>0</x:v>
      </x:c>
      <x:c r="Z1123" s="2" t="n">
        <x:f>ABS(T1123-AA1123)</x:f>
        <x:v>0</x:v>
      </x:c>
      <x:c r="AA1123" s="2" t="n">
        <x:v>169</x:v>
      </x:c>
      <x:c r="AB1123" s="2" t="n">
        <x:f>ABS(K1123-W1123)</x:f>
        <x:v>2</x:v>
      </x:c>
      <x:c r="AC1123" s="2" t="n">
        <x:f>COUNTIF($A$2:$A$1921,A1123)-1</x:f>
        <x:v>0</x:v>
      </x:c>
      <x:c r="AD1123" s="2" t="n">
        <x:f>IF(AND(D1123=D1122,H1123=H1122,C1123=C1122+1),ABS(R1123-T1122),0)</x:f>
        <x:v>0</x:v>
      </x:c>
    </x:row>
    <x:row r="1124" ht="23" customHeight="1">
      <x:c r="A1124" s="2" t="str">
        <x:v>DEMO-303-0-3</x:v>
      </x:c>
      <x:c r="B1124" s="15" t="d">
        <x:v>2026-05-18T00:00:00.000Z</x:v>
      </x:c>
      <x:c r="C1124" s="2" t="n">
        <x:v>3</x:v>
      </x:c>
      <x:c r="D1124" s="2" t="str">
        <x:v>DEMO-303</x:v>
      </x:c>
      <x:c r="E1124" s="2" t="str">
        <x:v>Weekend Flask</x:v>
      </x:c>
      <x:c r="F1124" s="2" t="str">
        <x:v>Lifestyle</x:v>
      </x:c>
      <x:c r="G1124" s="2" t="str">
        <x:v>Stores</x:v>
      </x:c>
      <x:c r="H1124" s="2" t="str">
        <x:v>North Arcade</x:v>
      </x:c>
      <x:c r="I1124" s="2" t="n">
        <x:v>18</x:v>
      </x:c>
      <x:c r="J1124" s="2" t="n">
        <x:v>0</x:v>
      </x:c>
      <x:c r="K1124" s="2" t="n">
        <x:f>I1124-J1124</x:f>
        <x:v>18</x:v>
      </x:c>
      <x:c r="L1124" s="16" t="n">
        <x:v>28</x:v>
      </x:c>
      <x:c r="M1124" s="16" t="n">
        <x:v>28</x:v>
      </x:c>
      <x:c r="N1124" s="16" t="n">
        <x:v>11.48</x:v>
      </x:c>
      <x:c r="O1124" s="16" t="n">
        <x:f>K1124*M1124</x:f>
        <x:v>504</x:v>
      </x:c>
      <x:c r="P1124" s="16" t="n">
        <x:f>K1124*N1124</x:f>
        <x:v>206.64000000000001</x:v>
      </x:c>
      <x:c r="Q1124" s="16" t="n">
        <x:f>O1124-P1124</x:f>
        <x:v>297.36</x:v>
      </x:c>
      <x:c r="R1124" s="2" t="n">
        <x:v>169</x:v>
      </x:c>
      <x:c r="S1124" s="2" t="n">
        <x:v>0</x:v>
      </x:c>
      <x:c r="T1124" s="2" t="n">
        <x:f>R1124+S1124+J1124-I1124</x:f>
        <x:v>151</x:v>
      </x:c>
      <x:c r="U1124" s="2" t="n">
        <x:v>0</x:v>
      </x:c>
      <x:c r="V1124" s="2" t="n">
        <x:v>4</x:v>
      </x:c>
      <x:c r="W1124" s="2" t="n">
        <x:v>18</x:v>
      </x:c>
      <x:c r="X1124" s="14" t="b">
        <x:v>0</x:v>
      </x:c>
      <x:c r="Y1124" s="14" t="b">
        <x:v>0</x:v>
      </x:c>
      <x:c r="Z1124" s="2" t="n">
        <x:f>ABS(T1124-AA1124)</x:f>
        <x:v>0</x:v>
      </x:c>
      <x:c r="AA1124" s="2" t="n">
        <x:v>151</x:v>
      </x:c>
      <x:c r="AB1124" s="2" t="n">
        <x:f>ABS(K1124-W1124)</x:f>
        <x:v>0</x:v>
      </x:c>
      <x:c r="AC1124" s="2" t="n">
        <x:f>COUNTIF($A$2:$A$1921,A1124)-1</x:f>
        <x:v>0</x:v>
      </x:c>
      <x:c r="AD1124" s="2" t="n">
        <x:f>IF(AND(D1124=D1123,H1124=H1123,C1124=C1123+1),ABS(R1124-T1123),0)</x:f>
        <x:v>0</x:v>
      </x:c>
    </x:row>
    <x:row r="1125" ht="23" customHeight="1">
      <x:c r="A1125" s="2" t="str">
        <x:v>DEMO-303-0-4</x:v>
      </x:c>
      <x:c r="B1125" s="15" t="d">
        <x:v>2026-05-25T00:00:00.000Z</x:v>
      </x:c>
      <x:c r="C1125" s="2" t="n">
        <x:v>4</x:v>
      </x:c>
      <x:c r="D1125" s="2" t="str">
        <x:v>DEMO-303</x:v>
      </x:c>
      <x:c r="E1125" s="2" t="str">
        <x:v>Weekend Flask</x:v>
      </x:c>
      <x:c r="F1125" s="2" t="str">
        <x:v>Lifestyle</x:v>
      </x:c>
      <x:c r="G1125" s="2" t="str">
        <x:v>Stores</x:v>
      </x:c>
      <x:c r="H1125" s="2" t="str">
        <x:v>North Arcade</x:v>
      </x:c>
      <x:c r="I1125" s="2" t="n">
        <x:v>12</x:v>
      </x:c>
      <x:c r="J1125" s="2" t="n">
        <x:v>0</x:v>
      </x:c>
      <x:c r="K1125" s="2" t="n">
        <x:f>I1125-J1125</x:f>
        <x:v>12</x:v>
      </x:c>
      <x:c r="L1125" s="16" t="n">
        <x:v>28</x:v>
      </x:c>
      <x:c r="M1125" s="16" t="n">
        <x:v>28</x:v>
      </x:c>
      <x:c r="N1125" s="16" t="n">
        <x:v>11.48</x:v>
      </x:c>
      <x:c r="O1125" s="16" t="n">
        <x:f>K1125*M1125</x:f>
        <x:v>336</x:v>
      </x:c>
      <x:c r="P1125" s="16" t="n">
        <x:f>K1125*N1125</x:f>
        <x:v>137.76</x:v>
      </x:c>
      <x:c r="Q1125" s="16" t="n">
        <x:f>O1125-P1125</x:f>
        <x:v>198.24</x:v>
      </x:c>
      <x:c r="R1125" s="2" t="n">
        <x:v>151</x:v>
      </x:c>
      <x:c r="S1125" s="2" t="n">
        <x:v>0</x:v>
      </x:c>
      <x:c r="T1125" s="2" t="n">
        <x:f>R1125+S1125+J1125-I1125</x:f>
        <x:v>139</x:v>
      </x:c>
      <x:c r="U1125" s="2" t="n">
        <x:v>0</x:v>
      </x:c>
      <x:c r="V1125" s="2" t="n">
        <x:v>4</x:v>
      </x:c>
      <x:c r="W1125" s="2" t="n">
        <x:v>18</x:v>
      </x:c>
      <x:c r="X1125" s="14" t="b">
        <x:v>0</x:v>
      </x:c>
      <x:c r="Y1125" s="14" t="b">
        <x:v>0</x:v>
      </x:c>
      <x:c r="Z1125" s="2" t="n">
        <x:f>ABS(T1125-AA1125)</x:f>
        <x:v>0</x:v>
      </x:c>
      <x:c r="AA1125" s="2" t="n">
        <x:v>139</x:v>
      </x:c>
      <x:c r="AB1125" s="2" t="n">
        <x:f>ABS(K1125-W1125)</x:f>
        <x:v>6</x:v>
      </x:c>
      <x:c r="AC1125" s="2" t="n">
        <x:f>COUNTIF($A$2:$A$1921,A1125)-1</x:f>
        <x:v>0</x:v>
      </x:c>
      <x:c r="AD1125" s="2" t="n">
        <x:f>IF(AND(D1125=D1124,H1125=H1124,C1125=C1124+1),ABS(R1125-T1124),0)</x:f>
        <x:v>0</x:v>
      </x:c>
    </x:row>
    <x:row r="1126" ht="23" customHeight="1">
      <x:c r="A1126" s="2" t="str">
        <x:v>DEMO-303-0-5</x:v>
      </x:c>
      <x:c r="B1126" s="15" t="d">
        <x:v>2026-06-01T00:00:00.000Z</x:v>
      </x:c>
      <x:c r="C1126" s="2" t="n">
        <x:v>5</x:v>
      </x:c>
      <x:c r="D1126" s="2" t="str">
        <x:v>DEMO-303</x:v>
      </x:c>
      <x:c r="E1126" s="2" t="str">
        <x:v>Weekend Flask</x:v>
      </x:c>
      <x:c r="F1126" s="2" t="str">
        <x:v>Lifestyle</x:v>
      </x:c>
      <x:c r="G1126" s="2" t="str">
        <x:v>Stores</x:v>
      </x:c>
      <x:c r="H1126" s="2" t="str">
        <x:v>North Arcade</x:v>
      </x:c>
      <x:c r="I1126" s="2" t="n">
        <x:v>16</x:v>
      </x:c>
      <x:c r="J1126" s="2" t="n">
        <x:v>0</x:v>
      </x:c>
      <x:c r="K1126" s="2" t="n">
        <x:f>I1126-J1126</x:f>
        <x:v>16</x:v>
      </x:c>
      <x:c r="L1126" s="16" t="n">
        <x:v>28</x:v>
      </x:c>
      <x:c r="M1126" s="16" t="n">
        <x:v>28</x:v>
      </x:c>
      <x:c r="N1126" s="16" t="n">
        <x:v>11.48</x:v>
      </x:c>
      <x:c r="O1126" s="16" t="n">
        <x:f>K1126*M1126</x:f>
        <x:v>448</x:v>
      </x:c>
      <x:c r="P1126" s="16" t="n">
        <x:f>K1126*N1126</x:f>
        <x:v>183.68</x:v>
      </x:c>
      <x:c r="Q1126" s="16" t="n">
        <x:f>O1126-P1126</x:f>
        <x:v>264.32</x:v>
      </x:c>
      <x:c r="R1126" s="2" t="n">
        <x:v>139</x:v>
      </x:c>
      <x:c r="S1126" s="2" t="n">
        <x:v>65</x:v>
      </x:c>
      <x:c r="T1126" s="2" t="n">
        <x:f>R1126+S1126+J1126-I1126</x:f>
        <x:v>188</x:v>
      </x:c>
      <x:c r="U1126" s="2" t="n">
        <x:v>0</x:v>
      </x:c>
      <x:c r="V1126" s="2" t="n">
        <x:v>4</x:v>
      </x:c>
      <x:c r="W1126" s="2" t="n">
        <x:v>17</x:v>
      </x:c>
      <x:c r="X1126" s="14" t="b">
        <x:v>0</x:v>
      </x:c>
      <x:c r="Y1126" s="14" t="b">
        <x:v>0</x:v>
      </x:c>
      <x:c r="Z1126" s="2" t="n">
        <x:f>ABS(T1126-AA1126)</x:f>
        <x:v>0</x:v>
      </x:c>
      <x:c r="AA1126" s="2" t="n">
        <x:v>188</x:v>
      </x:c>
      <x:c r="AB1126" s="2" t="n">
        <x:f>ABS(K1126-W1126)</x:f>
        <x:v>1</x:v>
      </x:c>
      <x:c r="AC1126" s="2" t="n">
        <x:f>COUNTIF($A$2:$A$1921,A1126)-1</x:f>
        <x:v>0</x:v>
      </x:c>
      <x:c r="AD1126" s="2" t="n">
        <x:f>IF(AND(D1126=D1125,H1126=H1125,C1126=C1125+1),ABS(R1126-T1125),0)</x:f>
        <x:v>0</x:v>
      </x:c>
    </x:row>
    <x:row r="1127" ht="23" customHeight="1">
      <x:c r="A1127" s="2" t="str">
        <x:v>DEMO-303-0-6</x:v>
      </x:c>
      <x:c r="B1127" s="15" t="d">
        <x:v>2026-06-08T00:00:00.000Z</x:v>
      </x:c>
      <x:c r="C1127" s="2" t="n">
        <x:v>6</x:v>
      </x:c>
      <x:c r="D1127" s="2" t="str">
        <x:v>DEMO-303</x:v>
      </x:c>
      <x:c r="E1127" s="2" t="str">
        <x:v>Weekend Flask</x:v>
      </x:c>
      <x:c r="F1127" s="2" t="str">
        <x:v>Lifestyle</x:v>
      </x:c>
      <x:c r="G1127" s="2" t="str">
        <x:v>Stores</x:v>
      </x:c>
      <x:c r="H1127" s="2" t="str">
        <x:v>North Arcade</x:v>
      </x:c>
      <x:c r="I1127" s="2" t="n">
        <x:v>14</x:v>
      </x:c>
      <x:c r="J1127" s="2" t="n">
        <x:v>0</x:v>
      </x:c>
      <x:c r="K1127" s="2" t="n">
        <x:f>I1127-J1127</x:f>
        <x:v>14</x:v>
      </x:c>
      <x:c r="L1127" s="16" t="n">
        <x:v>28</x:v>
      </x:c>
      <x:c r="M1127" s="16" t="n">
        <x:v>28</x:v>
      </x:c>
      <x:c r="N1127" s="16" t="n">
        <x:v>11.48</x:v>
      </x:c>
      <x:c r="O1127" s="16" t="n">
        <x:f>K1127*M1127</x:f>
        <x:v>392</x:v>
      </x:c>
      <x:c r="P1127" s="16" t="n">
        <x:f>K1127*N1127</x:f>
        <x:v>160.72</x:v>
      </x:c>
      <x:c r="Q1127" s="16" t="n">
        <x:f>O1127-P1127</x:f>
        <x:v>231.28</x:v>
      </x:c>
      <x:c r="R1127" s="2" t="n">
        <x:v>188</x:v>
      </x:c>
      <x:c r="S1127" s="2" t="n">
        <x:v>0</x:v>
      </x:c>
      <x:c r="T1127" s="2" t="n">
        <x:f>R1127+S1127+J1127-I1127</x:f>
        <x:v>174</x:v>
      </x:c>
      <x:c r="U1127" s="2" t="n">
        <x:v>0</x:v>
      </x:c>
      <x:c r="V1127" s="2" t="n">
        <x:v>4</x:v>
      </x:c>
      <x:c r="W1127" s="2" t="n">
        <x:v>16</x:v>
      </x:c>
      <x:c r="X1127" s="14" t="b">
        <x:v>0</x:v>
      </x:c>
      <x:c r="Y1127" s="14" t="b">
        <x:v>0</x:v>
      </x:c>
      <x:c r="Z1127" s="2" t="n">
        <x:f>ABS(T1127-AA1127)</x:f>
        <x:v>0</x:v>
      </x:c>
      <x:c r="AA1127" s="2" t="n">
        <x:v>174</x:v>
      </x:c>
      <x:c r="AB1127" s="2" t="n">
        <x:f>ABS(K1127-W1127)</x:f>
        <x:v>2</x:v>
      </x:c>
      <x:c r="AC1127" s="2" t="n">
        <x:f>COUNTIF($A$2:$A$1921,A1127)-1</x:f>
        <x:v>0</x:v>
      </x:c>
      <x:c r="AD1127" s="2" t="n">
        <x:f>IF(AND(D1127=D1126,H1127=H1126,C1127=C1126+1),ABS(R1127-T1126),0)</x:f>
        <x:v>0</x:v>
      </x:c>
    </x:row>
    <x:row r="1128" ht="23" customHeight="1">
      <x:c r="A1128" s="2" t="str">
        <x:v>DEMO-303-0-7</x:v>
      </x:c>
      <x:c r="B1128" s="15" t="d">
        <x:v>2026-06-15T00:00:00.000Z</x:v>
      </x:c>
      <x:c r="C1128" s="2" t="n">
        <x:v>7</x:v>
      </x:c>
      <x:c r="D1128" s="2" t="str">
        <x:v>DEMO-303</x:v>
      </x:c>
      <x:c r="E1128" s="2" t="str">
        <x:v>Weekend Flask</x:v>
      </x:c>
      <x:c r="F1128" s="2" t="str">
        <x:v>Lifestyle</x:v>
      </x:c>
      <x:c r="G1128" s="2" t="str">
        <x:v>Stores</x:v>
      </x:c>
      <x:c r="H1128" s="2" t="str">
        <x:v>North Arcade</x:v>
      </x:c>
      <x:c r="I1128" s="2" t="n">
        <x:v>14</x:v>
      </x:c>
      <x:c r="J1128" s="2" t="n">
        <x:v>0</x:v>
      </x:c>
      <x:c r="K1128" s="2" t="n">
        <x:f>I1128-J1128</x:f>
        <x:v>14</x:v>
      </x:c>
      <x:c r="L1128" s="16" t="n">
        <x:v>28</x:v>
      </x:c>
      <x:c r="M1128" s="16" t="n">
        <x:v>28</x:v>
      </x:c>
      <x:c r="N1128" s="16" t="n">
        <x:v>11.48</x:v>
      </x:c>
      <x:c r="O1128" s="16" t="n">
        <x:f>K1128*M1128</x:f>
        <x:v>392</x:v>
      </x:c>
      <x:c r="P1128" s="16" t="n">
        <x:f>K1128*N1128</x:f>
        <x:v>160.72</x:v>
      </x:c>
      <x:c r="Q1128" s="16" t="n">
        <x:f>O1128-P1128</x:f>
        <x:v>231.28</x:v>
      </x:c>
      <x:c r="R1128" s="2" t="n">
        <x:v>174</x:v>
      </x:c>
      <x:c r="S1128" s="2" t="n">
        <x:v>0</x:v>
      </x:c>
      <x:c r="T1128" s="2" t="n">
        <x:f>R1128+S1128+J1128-I1128</x:f>
        <x:v>160</x:v>
      </x:c>
      <x:c r="U1128" s="2" t="n">
        <x:v>0</x:v>
      </x:c>
      <x:c r="V1128" s="2" t="n">
        <x:v>4</x:v>
      </x:c>
      <x:c r="W1128" s="2" t="n">
        <x:v>15</x:v>
      </x:c>
      <x:c r="X1128" s="14" t="b">
        <x:v>0</x:v>
      </x:c>
      <x:c r="Y1128" s="14" t="b">
        <x:v>0</x:v>
      </x:c>
      <x:c r="Z1128" s="2" t="n">
        <x:f>ABS(T1128-AA1128)</x:f>
        <x:v>0</x:v>
      </x:c>
      <x:c r="AA1128" s="2" t="n">
        <x:v>160</x:v>
      </x:c>
      <x:c r="AB1128" s="2" t="n">
        <x:f>ABS(K1128-W1128)</x:f>
        <x:v>1</x:v>
      </x:c>
      <x:c r="AC1128" s="2" t="n">
        <x:f>COUNTIF($A$2:$A$1921,A1128)-1</x:f>
        <x:v>0</x:v>
      </x:c>
      <x:c r="AD1128" s="2" t="n">
        <x:f>IF(AND(D1128=D1127,H1128=H1127,C1128=C1127+1),ABS(R1128-T1127),0)</x:f>
        <x:v>0</x:v>
      </x:c>
    </x:row>
    <x:row r="1129" ht="23" customHeight="1">
      <x:c r="A1129" s="2" t="str">
        <x:v>DEMO-303-0-8</x:v>
      </x:c>
      <x:c r="B1129" s="15" t="d">
        <x:v>2026-06-22T00:00:00.000Z</x:v>
      </x:c>
      <x:c r="C1129" s="2" t="n">
        <x:v>8</x:v>
      </x:c>
      <x:c r="D1129" s="2" t="str">
        <x:v>DEMO-303</x:v>
      </x:c>
      <x:c r="E1129" s="2" t="str">
        <x:v>Weekend Flask</x:v>
      </x:c>
      <x:c r="F1129" s="2" t="str">
        <x:v>Lifestyle</x:v>
      </x:c>
      <x:c r="G1129" s="2" t="str">
        <x:v>Stores</x:v>
      </x:c>
      <x:c r="H1129" s="2" t="str">
        <x:v>North Arcade</x:v>
      </x:c>
      <x:c r="I1129" s="2" t="n">
        <x:v>13</x:v>
      </x:c>
      <x:c r="J1129" s="2" t="n">
        <x:v>0</x:v>
      </x:c>
      <x:c r="K1129" s="2" t="n">
        <x:f>I1129-J1129</x:f>
        <x:v>13</x:v>
      </x:c>
      <x:c r="L1129" s="16" t="n">
        <x:v>28</x:v>
      </x:c>
      <x:c r="M1129" s="16" t="n">
        <x:v>28</x:v>
      </x:c>
      <x:c r="N1129" s="16" t="n">
        <x:v>11.48</x:v>
      </x:c>
      <x:c r="O1129" s="16" t="n">
        <x:f>K1129*M1129</x:f>
        <x:v>364</x:v>
      </x:c>
      <x:c r="P1129" s="16" t="n">
        <x:f>K1129*N1129</x:f>
        <x:v>149.24</x:v>
      </x:c>
      <x:c r="Q1129" s="16" t="n">
        <x:f>O1129-P1129</x:f>
        <x:v>214.76</x:v>
      </x:c>
      <x:c r="R1129" s="2" t="n">
        <x:v>160</x:v>
      </x:c>
      <x:c r="S1129" s="2" t="n">
        <x:v>0</x:v>
      </x:c>
      <x:c r="T1129" s="2" t="n">
        <x:f>R1129+S1129+J1129-I1129</x:f>
        <x:v>147</x:v>
      </x:c>
      <x:c r="U1129" s="2" t="n">
        <x:v>0</x:v>
      </x:c>
      <x:c r="V1129" s="2" t="n">
        <x:v>4</x:v>
      </x:c>
      <x:c r="W1129" s="2" t="n">
        <x:v>14</x:v>
      </x:c>
      <x:c r="X1129" s="14" t="b">
        <x:v>0</x:v>
      </x:c>
      <x:c r="Y1129" s="14" t="b">
        <x:v>0</x:v>
      </x:c>
      <x:c r="Z1129" s="2" t="n">
        <x:f>ABS(T1129-AA1129)</x:f>
        <x:v>0</x:v>
      </x:c>
      <x:c r="AA1129" s="2" t="n">
        <x:v>147</x:v>
      </x:c>
      <x:c r="AB1129" s="2" t="n">
        <x:f>ABS(K1129-W1129)</x:f>
        <x:v>1</x:v>
      </x:c>
      <x:c r="AC1129" s="2" t="n">
        <x:f>COUNTIF($A$2:$A$1921,A1129)-1</x:f>
        <x:v>0</x:v>
      </x:c>
      <x:c r="AD1129" s="2" t="n">
        <x:f>IF(AND(D1129=D1128,H1129=H1128,C1129=C1128+1),ABS(R1129-T1128),0)</x:f>
        <x:v>0</x:v>
      </x:c>
    </x:row>
    <x:row r="1130" ht="23" customHeight="1">
      <x:c r="A1130" s="2" t="str">
        <x:v>DEMO-303-0-9</x:v>
      </x:c>
      <x:c r="B1130" s="15" t="d">
        <x:v>2026-06-29T00:00:00.000Z</x:v>
      </x:c>
      <x:c r="C1130" s="2" t="n">
        <x:v>9</x:v>
      </x:c>
      <x:c r="D1130" s="2" t="str">
        <x:v>DEMO-303</x:v>
      </x:c>
      <x:c r="E1130" s="2" t="str">
        <x:v>Weekend Flask</x:v>
      </x:c>
      <x:c r="F1130" s="2" t="str">
        <x:v>Lifestyle</x:v>
      </x:c>
      <x:c r="G1130" s="2" t="str">
        <x:v>Stores</x:v>
      </x:c>
      <x:c r="H1130" s="2" t="str">
        <x:v>North Arcade</x:v>
      </x:c>
      <x:c r="I1130" s="2" t="n">
        <x:v>10</x:v>
      </x:c>
      <x:c r="J1130" s="2" t="n">
        <x:v>0</x:v>
      </x:c>
      <x:c r="K1130" s="2" t="n">
        <x:f>I1130-J1130</x:f>
        <x:v>10</x:v>
      </x:c>
      <x:c r="L1130" s="16" t="n">
        <x:v>28</x:v>
      </x:c>
      <x:c r="M1130" s="16" t="n">
        <x:v>28</x:v>
      </x:c>
      <x:c r="N1130" s="16" t="n">
        <x:v>11.48</x:v>
      </x:c>
      <x:c r="O1130" s="16" t="n">
        <x:f>K1130*M1130</x:f>
        <x:v>280</x:v>
      </x:c>
      <x:c r="P1130" s="16" t="n">
        <x:f>K1130*N1130</x:f>
        <x:v>114.80000000000001</x:v>
      </x:c>
      <x:c r="Q1130" s="16" t="n">
        <x:f>O1130-P1130</x:f>
        <x:v>165.2</x:v>
      </x:c>
      <x:c r="R1130" s="2" t="n">
        <x:v>147</x:v>
      </x:c>
      <x:c r="S1130" s="2" t="n">
        <x:v>65</x:v>
      </x:c>
      <x:c r="T1130" s="2" t="n">
        <x:f>R1130+S1130+J1130-I1130</x:f>
        <x:v>202</x:v>
      </x:c>
      <x:c r="U1130" s="2" t="n">
        <x:v>0</x:v>
      </x:c>
      <x:c r="V1130" s="2" t="n">
        <x:v>4</x:v>
      </x:c>
      <x:c r="W1130" s="2" t="n">
        <x:v>14</x:v>
      </x:c>
      <x:c r="X1130" s="14" t="b">
        <x:v>0</x:v>
      </x:c>
      <x:c r="Y1130" s="14" t="b">
        <x:v>0</x:v>
      </x:c>
      <x:c r="Z1130" s="2" t="n">
        <x:f>ABS(T1130-AA1130)</x:f>
        <x:v>0</x:v>
      </x:c>
      <x:c r="AA1130" s="2" t="n">
        <x:v>202</x:v>
      </x:c>
      <x:c r="AB1130" s="2" t="n">
        <x:f>ABS(K1130-W1130)</x:f>
        <x:v>4</x:v>
      </x:c>
      <x:c r="AC1130" s="2" t="n">
        <x:f>COUNTIF($A$2:$A$1921,A1130)-1</x:f>
        <x:v>0</x:v>
      </x:c>
      <x:c r="AD1130" s="2" t="n">
        <x:f>IF(AND(D1130=D1129,H1130=H1129,C1130=C1129+1),ABS(R1130-T1129),0)</x:f>
        <x:v>0</x:v>
      </x:c>
    </x:row>
    <x:row r="1131" ht="23" customHeight="1">
      <x:c r="A1131" s="2" t="str">
        <x:v>DEMO-303-0-10</x:v>
      </x:c>
      <x:c r="B1131" s="15" t="d">
        <x:v>2026-07-06T00:00:00.000Z</x:v>
      </x:c>
      <x:c r="C1131" s="2" t="n">
        <x:v>10</x:v>
      </x:c>
      <x:c r="D1131" s="2" t="str">
        <x:v>DEMO-303</x:v>
      </x:c>
      <x:c r="E1131" s="2" t="str">
        <x:v>Weekend Flask</x:v>
      </x:c>
      <x:c r="F1131" s="2" t="str">
        <x:v>Lifestyle</x:v>
      </x:c>
      <x:c r="G1131" s="2" t="str">
        <x:v>Stores</x:v>
      </x:c>
      <x:c r="H1131" s="2" t="str">
        <x:v>North Arcade</x:v>
      </x:c>
      <x:c r="I1131" s="2" t="n">
        <x:v>13</x:v>
      </x:c>
      <x:c r="J1131" s="2" t="n">
        <x:v>0</x:v>
      </x:c>
      <x:c r="K1131" s="2" t="n">
        <x:f>I1131-J1131</x:f>
        <x:v>13</x:v>
      </x:c>
      <x:c r="L1131" s="16" t="n">
        <x:v>28</x:v>
      </x:c>
      <x:c r="M1131" s="16" t="n">
        <x:v>28</x:v>
      </x:c>
      <x:c r="N1131" s="16" t="n">
        <x:v>11.48</x:v>
      </x:c>
      <x:c r="O1131" s="16" t="n">
        <x:f>K1131*M1131</x:f>
        <x:v>364</x:v>
      </x:c>
      <x:c r="P1131" s="16" t="n">
        <x:f>K1131*N1131</x:f>
        <x:v>149.24</x:v>
      </x:c>
      <x:c r="Q1131" s="16" t="n">
        <x:f>O1131-P1131</x:f>
        <x:v>214.76</x:v>
      </x:c>
      <x:c r="R1131" s="2" t="n">
        <x:v>202</x:v>
      </x:c>
      <x:c r="S1131" s="2" t="n">
        <x:v>0</x:v>
      </x:c>
      <x:c r="T1131" s="2" t="n">
        <x:f>R1131+S1131+J1131-I1131</x:f>
        <x:v>189</x:v>
      </x:c>
      <x:c r="U1131" s="2" t="n">
        <x:v>0</x:v>
      </x:c>
      <x:c r="V1131" s="2" t="n">
        <x:v>4</x:v>
      </x:c>
      <x:c r="W1131" s="2" t="n">
        <x:v>13</x:v>
      </x:c>
      <x:c r="X1131" s="14" t="b">
        <x:v>0</x:v>
      </x:c>
      <x:c r="Y1131" s="14" t="b">
        <x:v>0</x:v>
      </x:c>
      <x:c r="Z1131" s="2" t="n">
        <x:f>ABS(T1131-AA1131)</x:f>
        <x:v>0</x:v>
      </x:c>
      <x:c r="AA1131" s="2" t="n">
        <x:v>189</x:v>
      </x:c>
      <x:c r="AB1131" s="2" t="n">
        <x:f>ABS(K1131-W1131)</x:f>
        <x:v>0</x:v>
      </x:c>
      <x:c r="AC1131" s="2" t="n">
        <x:f>COUNTIF($A$2:$A$1921,A1131)-1</x:f>
        <x:v>0</x:v>
      </x:c>
      <x:c r="AD1131" s="2" t="n">
        <x:f>IF(AND(D1131=D1130,H1131=H1130,C1131=C1130+1),ABS(R1131-T1130),0)</x:f>
        <x:v>0</x:v>
      </x:c>
    </x:row>
    <x:row r="1132" ht="23" customHeight="1">
      <x:c r="A1132" s="2" t="str">
        <x:v>DEMO-303-0-11</x:v>
      </x:c>
      <x:c r="B1132" s="15" t="d">
        <x:v>2026-07-13T00:00:00.000Z</x:v>
      </x:c>
      <x:c r="C1132" s="2" t="n">
        <x:v>11</x:v>
      </x:c>
      <x:c r="D1132" s="2" t="str">
        <x:v>DEMO-303</x:v>
      </x:c>
      <x:c r="E1132" s="2" t="str">
        <x:v>Weekend Flask</x:v>
      </x:c>
      <x:c r="F1132" s="2" t="str">
        <x:v>Lifestyle</x:v>
      </x:c>
      <x:c r="G1132" s="2" t="str">
        <x:v>Stores</x:v>
      </x:c>
      <x:c r="H1132" s="2" t="str">
        <x:v>North Arcade</x:v>
      </x:c>
      <x:c r="I1132" s="2" t="n">
        <x:v>11</x:v>
      </x:c>
      <x:c r="J1132" s="2" t="n">
        <x:v>0</x:v>
      </x:c>
      <x:c r="K1132" s="2" t="n">
        <x:f>I1132-J1132</x:f>
        <x:v>11</x:v>
      </x:c>
      <x:c r="L1132" s="16" t="n">
        <x:v>28</x:v>
      </x:c>
      <x:c r="M1132" s="16" t="n">
        <x:v>28</x:v>
      </x:c>
      <x:c r="N1132" s="16" t="n">
        <x:v>11.48</x:v>
      </x:c>
      <x:c r="O1132" s="16" t="n">
        <x:f>K1132*M1132</x:f>
        <x:v>308</x:v>
      </x:c>
      <x:c r="P1132" s="16" t="n">
        <x:f>K1132*N1132</x:f>
        <x:v>126.28</x:v>
      </x:c>
      <x:c r="Q1132" s="16" t="n">
        <x:f>O1132-P1132</x:f>
        <x:v>181.72</x:v>
      </x:c>
      <x:c r="R1132" s="2" t="n">
        <x:v>189</x:v>
      </x:c>
      <x:c r="S1132" s="2" t="n">
        <x:v>0</x:v>
      </x:c>
      <x:c r="T1132" s="2" t="n">
        <x:f>R1132+S1132+J1132-I1132</x:f>
        <x:v>178</x:v>
      </x:c>
      <x:c r="U1132" s="2" t="n">
        <x:v>0</x:v>
      </x:c>
      <x:c r="V1132" s="2" t="n">
        <x:v>4</x:v>
      </x:c>
      <x:c r="W1132" s="2" t="n">
        <x:v>13</x:v>
      </x:c>
      <x:c r="X1132" s="14" t="b">
        <x:v>0</x:v>
      </x:c>
      <x:c r="Y1132" s="14" t="b">
        <x:v>0</x:v>
      </x:c>
      <x:c r="Z1132" s="2" t="n">
        <x:f>ABS(T1132-AA1132)</x:f>
        <x:v>0</x:v>
      </x:c>
      <x:c r="AA1132" s="2" t="n">
        <x:v>178</x:v>
      </x:c>
      <x:c r="AB1132" s="2" t="n">
        <x:f>ABS(K1132-W1132)</x:f>
        <x:v>2</x:v>
      </x:c>
      <x:c r="AC1132" s="2" t="n">
        <x:f>COUNTIF($A$2:$A$1921,A1132)-1</x:f>
        <x:v>0</x:v>
      </x:c>
      <x:c r="AD1132" s="2" t="n">
        <x:f>IF(AND(D1132=D1131,H1132=H1131,C1132=C1131+1),ABS(R1132-T1131),0)</x:f>
        <x:v>0</x:v>
      </x:c>
    </x:row>
    <x:row r="1133" ht="23" customHeight="1">
      <x:c r="A1133" s="2" t="str">
        <x:v>DEMO-303-0-12</x:v>
      </x:c>
      <x:c r="B1133" s="15" t="d">
        <x:v>2026-07-20T00:00:00.000Z</x:v>
      </x:c>
      <x:c r="C1133" s="2" t="n">
        <x:v>12</x:v>
      </x:c>
      <x:c r="D1133" s="2" t="str">
        <x:v>DEMO-303</x:v>
      </x:c>
      <x:c r="E1133" s="2" t="str">
        <x:v>Weekend Flask</x:v>
      </x:c>
      <x:c r="F1133" s="2" t="str">
        <x:v>Lifestyle</x:v>
      </x:c>
      <x:c r="G1133" s="2" t="str">
        <x:v>Stores</x:v>
      </x:c>
      <x:c r="H1133" s="2" t="str">
        <x:v>North Arcade</x:v>
      </x:c>
      <x:c r="I1133" s="2" t="n">
        <x:v>12</x:v>
      </x:c>
      <x:c r="J1133" s="2" t="n">
        <x:v>0</x:v>
      </x:c>
      <x:c r="K1133" s="2" t="n">
        <x:f>I1133-J1133</x:f>
        <x:v>12</x:v>
      </x:c>
      <x:c r="L1133" s="16" t="n">
        <x:v>28</x:v>
      </x:c>
      <x:c r="M1133" s="16" t="n">
        <x:v>28</x:v>
      </x:c>
      <x:c r="N1133" s="16" t="n">
        <x:v>11.48</x:v>
      </x:c>
      <x:c r="O1133" s="16" t="n">
        <x:f>K1133*M1133</x:f>
        <x:v>336</x:v>
      </x:c>
      <x:c r="P1133" s="16" t="n">
        <x:f>K1133*N1133</x:f>
        <x:v>137.76</x:v>
      </x:c>
      <x:c r="Q1133" s="16" t="n">
        <x:f>O1133-P1133</x:f>
        <x:v>198.24</x:v>
      </x:c>
      <x:c r="R1133" s="2" t="n">
        <x:v>178</x:v>
      </x:c>
      <x:c r="S1133" s="2" t="n">
        <x:v>0</x:v>
      </x:c>
      <x:c r="T1133" s="2" t="n">
        <x:f>R1133+S1133+J1133-I1133</x:f>
        <x:v>166</x:v>
      </x:c>
      <x:c r="U1133" s="2" t="n">
        <x:v>0</x:v>
      </x:c>
      <x:c r="V1133" s="2" t="n">
        <x:v>4</x:v>
      </x:c>
      <x:c r="W1133" s="2" t="n">
        <x:v>12</x:v>
      </x:c>
      <x:c r="X1133" s="14" t="b">
        <x:v>0</x:v>
      </x:c>
      <x:c r="Y1133" s="14" t="b">
        <x:v>0</x:v>
      </x:c>
      <x:c r="Z1133" s="2" t="n">
        <x:f>ABS(T1133-AA1133)</x:f>
        <x:v>0</x:v>
      </x:c>
      <x:c r="AA1133" s="2" t="n">
        <x:v>166</x:v>
      </x:c>
      <x:c r="AB1133" s="2" t="n">
        <x:f>ABS(K1133-W1133)</x:f>
        <x:v>0</x:v>
      </x:c>
      <x:c r="AC1133" s="2" t="n">
        <x:f>COUNTIF($A$2:$A$1921,A1133)-1</x:f>
        <x:v>0</x:v>
      </x:c>
      <x:c r="AD1133" s="2" t="n">
        <x:f>IF(AND(D1133=D1132,H1133=H1132,C1133=C1132+1),ABS(R1133-T1132),0)</x:f>
        <x:v>0</x:v>
      </x:c>
    </x:row>
    <x:row r="1134" ht="23" customHeight="1">
      <x:c r="A1134" s="2" t="str">
        <x:v>DEMO-303-0-13</x:v>
      </x:c>
      <x:c r="B1134" s="15" t="d">
        <x:v>2026-07-27T00:00:00.000Z</x:v>
      </x:c>
      <x:c r="C1134" s="2" t="n">
        <x:v>13</x:v>
      </x:c>
      <x:c r="D1134" s="2" t="str">
        <x:v>DEMO-303</x:v>
      </x:c>
      <x:c r="E1134" s="2" t="str">
        <x:v>Weekend Flask</x:v>
      </x:c>
      <x:c r="F1134" s="2" t="str">
        <x:v>Lifestyle</x:v>
      </x:c>
      <x:c r="G1134" s="2" t="str">
        <x:v>Stores</x:v>
      </x:c>
      <x:c r="H1134" s="2" t="str">
        <x:v>North Arcade</x:v>
      </x:c>
      <x:c r="I1134" s="2" t="n">
        <x:v>12</x:v>
      </x:c>
      <x:c r="J1134" s="2" t="n">
        <x:v>0</x:v>
      </x:c>
      <x:c r="K1134" s="2" t="n">
        <x:f>I1134-J1134</x:f>
        <x:v>12</x:v>
      </x:c>
      <x:c r="L1134" s="16" t="n">
        <x:v>28</x:v>
      </x:c>
      <x:c r="M1134" s="16" t="n">
        <x:v>28</x:v>
      </x:c>
      <x:c r="N1134" s="16" t="n">
        <x:v>11.48</x:v>
      </x:c>
      <x:c r="O1134" s="16" t="n">
        <x:f>K1134*M1134</x:f>
        <x:v>336</x:v>
      </x:c>
      <x:c r="P1134" s="16" t="n">
        <x:f>K1134*N1134</x:f>
        <x:v>137.76</x:v>
      </x:c>
      <x:c r="Q1134" s="16" t="n">
        <x:f>O1134-P1134</x:f>
        <x:v>198.24</x:v>
      </x:c>
      <x:c r="R1134" s="2" t="n">
        <x:v>166</x:v>
      </x:c>
      <x:c r="S1134" s="2" t="n">
        <x:v>65</x:v>
      </x:c>
      <x:c r="T1134" s="2" t="n">
        <x:f>R1134+S1134+J1134-I1134</x:f>
        <x:v>219</x:v>
      </x:c>
      <x:c r="U1134" s="2" t="n">
        <x:v>0</x:v>
      </x:c>
      <x:c r="V1134" s="2" t="n">
        <x:v>4</x:v>
      </x:c>
      <x:c r="W1134" s="2" t="n">
        <x:v>12</x:v>
      </x:c>
      <x:c r="X1134" s="14" t="b">
        <x:v>0</x:v>
      </x:c>
      <x:c r="Y1134" s="14" t="b">
        <x:v>0</x:v>
      </x:c>
      <x:c r="Z1134" s="2" t="n">
        <x:f>ABS(T1134-AA1134)</x:f>
        <x:v>0</x:v>
      </x:c>
      <x:c r="AA1134" s="2" t="n">
        <x:v>219</x:v>
      </x:c>
      <x:c r="AB1134" s="2" t="n">
        <x:f>ABS(K1134-W1134)</x:f>
        <x:v>0</x:v>
      </x:c>
      <x:c r="AC1134" s="2" t="n">
        <x:f>COUNTIF($A$2:$A$1921,A1134)-1</x:f>
        <x:v>0</x:v>
      </x:c>
      <x:c r="AD1134" s="2" t="n">
        <x:f>IF(AND(D1134=D1133,H1134=H1133,C1134=C1133+1),ABS(R1134-T1133),0)</x:f>
        <x:v>0</x:v>
      </x:c>
    </x:row>
    <x:row r="1135" ht="23" customHeight="1">
      <x:c r="A1135" s="2" t="str">
        <x:v>DEMO-303-0-14</x:v>
      </x:c>
      <x:c r="B1135" s="15" t="d">
        <x:v>2026-08-03T00:00:00.000Z</x:v>
      </x:c>
      <x:c r="C1135" s="2" t="n">
        <x:v>14</x:v>
      </x:c>
      <x:c r="D1135" s="2" t="str">
        <x:v>DEMO-303</x:v>
      </x:c>
      <x:c r="E1135" s="2" t="str">
        <x:v>Weekend Flask</x:v>
      </x:c>
      <x:c r="F1135" s="2" t="str">
        <x:v>Lifestyle</x:v>
      </x:c>
      <x:c r="G1135" s="2" t="str">
        <x:v>Stores</x:v>
      </x:c>
      <x:c r="H1135" s="2" t="str">
        <x:v>North Arcade</x:v>
      </x:c>
      <x:c r="I1135" s="2" t="n">
        <x:v>10</x:v>
      </x:c>
      <x:c r="J1135" s="2" t="n">
        <x:v>0</x:v>
      </x:c>
      <x:c r="K1135" s="2" t="n">
        <x:f>I1135-J1135</x:f>
        <x:v>10</x:v>
      </x:c>
      <x:c r="L1135" s="16" t="n">
        <x:v>28</x:v>
      </x:c>
      <x:c r="M1135" s="16" t="n">
        <x:v>28</x:v>
      </x:c>
      <x:c r="N1135" s="16" t="n">
        <x:v>11.48</x:v>
      </x:c>
      <x:c r="O1135" s="16" t="n">
        <x:f>K1135*M1135</x:f>
        <x:v>280</x:v>
      </x:c>
      <x:c r="P1135" s="16" t="n">
        <x:f>K1135*N1135</x:f>
        <x:v>114.80000000000001</x:v>
      </x:c>
      <x:c r="Q1135" s="16" t="n">
        <x:f>O1135-P1135</x:f>
        <x:v>165.2</x:v>
      </x:c>
      <x:c r="R1135" s="2" t="n">
        <x:v>219</x:v>
      </x:c>
      <x:c r="S1135" s="2" t="n">
        <x:v>0</x:v>
      </x:c>
      <x:c r="T1135" s="2" t="n">
        <x:f>R1135+S1135+J1135-I1135</x:f>
        <x:v>209</x:v>
      </x:c>
      <x:c r="U1135" s="2" t="n">
        <x:v>0</x:v>
      </x:c>
      <x:c r="V1135" s="2" t="n">
        <x:v>4</x:v>
      </x:c>
      <x:c r="W1135" s="2" t="n">
        <x:v>12</x:v>
      </x:c>
      <x:c r="X1135" s="14" t="b">
        <x:v>0</x:v>
      </x:c>
      <x:c r="Y1135" s="14" t="b">
        <x:v>0</x:v>
      </x:c>
      <x:c r="Z1135" s="2" t="n">
        <x:f>ABS(T1135-AA1135)</x:f>
        <x:v>0</x:v>
      </x:c>
      <x:c r="AA1135" s="2" t="n">
        <x:v>209</x:v>
      </x:c>
      <x:c r="AB1135" s="2" t="n">
        <x:f>ABS(K1135-W1135)</x:f>
        <x:v>2</x:v>
      </x:c>
      <x:c r="AC1135" s="2" t="n">
        <x:f>COUNTIF($A$2:$A$1921,A1135)-1</x:f>
        <x:v>0</x:v>
      </x:c>
      <x:c r="AD1135" s="2" t="n">
        <x:f>IF(AND(D1135=D1134,H1135=H1134,C1135=C1134+1),ABS(R1135-T1134),0)</x:f>
        <x:v>0</x:v>
      </x:c>
    </x:row>
    <x:row r="1136" ht="23" customHeight="1">
      <x:c r="A1136" s="2" t="str">
        <x:v>DEMO-303-0-15</x:v>
      </x:c>
      <x:c r="B1136" s="15" t="d">
        <x:v>2026-08-10T00:00:00.000Z</x:v>
      </x:c>
      <x:c r="C1136" s="2" t="n">
        <x:v>15</x:v>
      </x:c>
      <x:c r="D1136" s="2" t="str">
        <x:v>DEMO-303</x:v>
      </x:c>
      <x:c r="E1136" s="2" t="str">
        <x:v>Weekend Flask</x:v>
      </x:c>
      <x:c r="F1136" s="2" t="str">
        <x:v>Lifestyle</x:v>
      </x:c>
      <x:c r="G1136" s="2" t="str">
        <x:v>Stores</x:v>
      </x:c>
      <x:c r="H1136" s="2" t="str">
        <x:v>North Arcade</x:v>
      </x:c>
      <x:c r="I1136" s="2" t="n">
        <x:v>8</x:v>
      </x:c>
      <x:c r="J1136" s="2" t="n">
        <x:v>1</x:v>
      </x:c>
      <x:c r="K1136" s="2" t="n">
        <x:f>I1136-J1136</x:f>
        <x:v>7</x:v>
      </x:c>
      <x:c r="L1136" s="16" t="n">
        <x:v>28</x:v>
      </x:c>
      <x:c r="M1136" s="16" t="n">
        <x:v>28</x:v>
      </x:c>
      <x:c r="N1136" s="16" t="n">
        <x:v>11.48</x:v>
      </x:c>
      <x:c r="O1136" s="16" t="n">
        <x:f>K1136*M1136</x:f>
        <x:v>196</x:v>
      </x:c>
      <x:c r="P1136" s="16" t="n">
        <x:f>K1136*N1136</x:f>
        <x:v>80.36</x:v>
      </x:c>
      <x:c r="Q1136" s="16" t="n">
        <x:f>O1136-P1136</x:f>
        <x:v>115.64</x:v>
      </x:c>
      <x:c r="R1136" s="2" t="n">
        <x:v>209</x:v>
      </x:c>
      <x:c r="S1136" s="2" t="n">
        <x:v>0</x:v>
      </x:c>
      <x:c r="T1136" s="2" t="n">
        <x:f>R1136+S1136+J1136-I1136</x:f>
        <x:v>202</x:v>
      </x:c>
      <x:c r="U1136" s="2" t="n">
        <x:v>0</x:v>
      </x:c>
      <x:c r="V1136" s="2" t="n">
        <x:v>4</x:v>
      </x:c>
      <x:c r="W1136" s="2" t="n">
        <x:v>11</x:v>
      </x:c>
      <x:c r="X1136" s="14" t="b">
        <x:v>0</x:v>
      </x:c>
      <x:c r="Y1136" s="14" t="b">
        <x:v>0</x:v>
      </x:c>
      <x:c r="Z1136" s="2" t="n">
        <x:f>ABS(T1136-AA1136)</x:f>
        <x:v>0</x:v>
      </x:c>
      <x:c r="AA1136" s="2" t="n">
        <x:v>202</x:v>
      </x:c>
      <x:c r="AB1136" s="2" t="n">
        <x:f>ABS(K1136-W1136)</x:f>
        <x:v>4</x:v>
      </x:c>
      <x:c r="AC1136" s="2" t="n">
        <x:f>COUNTIF($A$2:$A$1921,A1136)-1</x:f>
        <x:v>0</x:v>
      </x:c>
      <x:c r="AD1136" s="2" t="n">
        <x:f>IF(AND(D1136=D1135,H1136=H1135,C1136=C1135+1),ABS(R1136-T1135),0)</x:f>
        <x:v>0</x:v>
      </x:c>
    </x:row>
    <x:row r="1137" ht="23" customHeight="1">
      <x:c r="A1137" s="2" t="str">
        <x:v>DEMO-303-0-16</x:v>
      </x:c>
      <x:c r="B1137" s="15" t="d">
        <x:v>2026-08-17T00:00:00.000Z</x:v>
      </x:c>
      <x:c r="C1137" s="2" t="n">
        <x:v>16</x:v>
      </x:c>
      <x:c r="D1137" s="2" t="str">
        <x:v>DEMO-303</x:v>
      </x:c>
      <x:c r="E1137" s="2" t="str">
        <x:v>Weekend Flask</x:v>
      </x:c>
      <x:c r="F1137" s="2" t="str">
        <x:v>Lifestyle</x:v>
      </x:c>
      <x:c r="G1137" s="2" t="str">
        <x:v>Stores</x:v>
      </x:c>
      <x:c r="H1137" s="2" t="str">
        <x:v>North Arcade</x:v>
      </x:c>
      <x:c r="I1137" s="2" t="n">
        <x:v>10</x:v>
      </x:c>
      <x:c r="J1137" s="2" t="n">
        <x:v>1</x:v>
      </x:c>
      <x:c r="K1137" s="2" t="n">
        <x:f>I1137-J1137</x:f>
        <x:v>9</x:v>
      </x:c>
      <x:c r="L1137" s="16" t="n">
        <x:v>28</x:v>
      </x:c>
      <x:c r="M1137" s="16" t="n">
        <x:v>28</x:v>
      </x:c>
      <x:c r="N1137" s="16" t="n">
        <x:v>11.48</x:v>
      </x:c>
      <x:c r="O1137" s="16" t="n">
        <x:f>K1137*M1137</x:f>
        <x:v>252</x:v>
      </x:c>
      <x:c r="P1137" s="16" t="n">
        <x:f>K1137*N1137</x:f>
        <x:v>103.32000000000001</x:v>
      </x:c>
      <x:c r="Q1137" s="16" t="n">
        <x:f>O1137-P1137</x:f>
        <x:v>148.68</x:v>
      </x:c>
      <x:c r="R1137" s="2" t="n">
        <x:v>202</x:v>
      </x:c>
      <x:c r="S1137" s="2" t="n">
        <x:v>0</x:v>
      </x:c>
      <x:c r="T1137" s="2" t="n">
        <x:f>R1137+S1137+J1137-I1137</x:f>
        <x:v>193</x:v>
      </x:c>
      <x:c r="U1137" s="2" t="n">
        <x:v>0</x:v>
      </x:c>
      <x:c r="V1137" s="2" t="n">
        <x:v>4</x:v>
      </x:c>
      <x:c r="W1137" s="2" t="n">
        <x:v>10</x:v>
      </x:c>
      <x:c r="X1137" s="14" t="b">
        <x:v>0</x:v>
      </x:c>
      <x:c r="Y1137" s="14" t="b">
        <x:v>0</x:v>
      </x:c>
      <x:c r="Z1137" s="2" t="n">
        <x:f>ABS(T1137-AA1137)</x:f>
        <x:v>0</x:v>
      </x:c>
      <x:c r="AA1137" s="2" t="n">
        <x:v>193</x:v>
      </x:c>
      <x:c r="AB1137" s="2" t="n">
        <x:f>ABS(K1137-W1137)</x:f>
        <x:v>1</x:v>
      </x:c>
      <x:c r="AC1137" s="2" t="n">
        <x:f>COUNTIF($A$2:$A$1921,A1137)-1</x:f>
        <x:v>0</x:v>
      </x:c>
      <x:c r="AD1137" s="2" t="n">
        <x:f>IF(AND(D1137=D1136,H1137=H1136,C1137=C1136+1),ABS(R1137-T1136),0)</x:f>
        <x:v>0</x:v>
      </x:c>
    </x:row>
    <x:row r="1138" ht="23" customHeight="1">
      <x:c r="A1138" s="2" t="str">
        <x:v>DEMO-303-0-17</x:v>
      </x:c>
      <x:c r="B1138" s="15" t="d">
        <x:v>2026-08-24T00:00:00.000Z</x:v>
      </x:c>
      <x:c r="C1138" s="2" t="n">
        <x:v>17</x:v>
      </x:c>
      <x:c r="D1138" s="2" t="str">
        <x:v>DEMO-303</x:v>
      </x:c>
      <x:c r="E1138" s="2" t="str">
        <x:v>Weekend Flask</x:v>
      </x:c>
      <x:c r="F1138" s="2" t="str">
        <x:v>Lifestyle</x:v>
      </x:c>
      <x:c r="G1138" s="2" t="str">
        <x:v>Stores</x:v>
      </x:c>
      <x:c r="H1138" s="2" t="str">
        <x:v>North Arcade</x:v>
      </x:c>
      <x:c r="I1138" s="2" t="n">
        <x:v>14</x:v>
      </x:c>
      <x:c r="J1138" s="2" t="n">
        <x:v>0</x:v>
      </x:c>
      <x:c r="K1138" s="2" t="n">
        <x:f>I1138-J1138</x:f>
        <x:v>14</x:v>
      </x:c>
      <x:c r="L1138" s="16" t="n">
        <x:v>28</x:v>
      </x:c>
      <x:c r="M1138" s="16" t="n">
        <x:v>22.4</x:v>
      </x:c>
      <x:c r="N1138" s="16" t="n">
        <x:v>11.48</x:v>
      </x:c>
      <x:c r="O1138" s="16" t="n">
        <x:f>K1138*M1138</x:f>
        <x:v>313.59999999999997</x:v>
      </x:c>
      <x:c r="P1138" s="16" t="n">
        <x:f>K1138*N1138</x:f>
        <x:v>160.72</x:v>
      </x:c>
      <x:c r="Q1138" s="16" t="n">
        <x:f>O1138-P1138</x:f>
        <x:v>152.87999999999997</x:v>
      </x:c>
      <x:c r="R1138" s="2" t="n">
        <x:v>193</x:v>
      </x:c>
      <x:c r="S1138" s="2" t="n">
        <x:v>65</x:v>
      </x:c>
      <x:c r="T1138" s="2" t="n">
        <x:f>R1138+S1138+J1138-I1138</x:f>
        <x:v>244</x:v>
      </x:c>
      <x:c r="U1138" s="2" t="n">
        <x:v>0</x:v>
      </x:c>
      <x:c r="V1138" s="2" t="n">
        <x:v>4</x:v>
      </x:c>
      <x:c r="W1138" s="2" t="n">
        <x:v>10</x:v>
      </x:c>
      <x:c r="X1138" s="14" t="b">
        <x:v>0</x:v>
      </x:c>
      <x:c r="Y1138" s="14" t="b">
        <x:v>1</x:v>
      </x:c>
      <x:c r="Z1138" s="2" t="n">
        <x:f>ABS(T1138-AA1138)</x:f>
        <x:v>0</x:v>
      </x:c>
      <x:c r="AA1138" s="2" t="n">
        <x:v>244</x:v>
      </x:c>
      <x:c r="AB1138" s="2" t="n">
        <x:f>ABS(K1138-W1138)</x:f>
        <x:v>4</x:v>
      </x:c>
      <x:c r="AC1138" s="2" t="n">
        <x:f>COUNTIF($A$2:$A$1921,A1138)-1</x:f>
        <x:v>0</x:v>
      </x:c>
      <x:c r="AD1138" s="2" t="n">
        <x:f>IF(AND(D1138=D1137,H1138=H1137,C1138=C1137+1),ABS(R1138-T1137),0)</x:f>
        <x:v>0</x:v>
      </x:c>
    </x:row>
    <x:row r="1139" ht="23" customHeight="1">
      <x:c r="A1139" s="2" t="str">
        <x:v>DEMO-303-0-18</x:v>
      </x:c>
      <x:c r="B1139" s="15" t="d">
        <x:v>2026-08-31T00:00:00.000Z</x:v>
      </x:c>
      <x:c r="C1139" s="2" t="n">
        <x:v>18</x:v>
      </x:c>
      <x:c r="D1139" s="2" t="str">
        <x:v>DEMO-303</x:v>
      </x:c>
      <x:c r="E1139" s="2" t="str">
        <x:v>Weekend Flask</x:v>
      </x:c>
      <x:c r="F1139" s="2" t="str">
        <x:v>Lifestyle</x:v>
      </x:c>
      <x:c r="G1139" s="2" t="str">
        <x:v>Stores</x:v>
      </x:c>
      <x:c r="H1139" s="2" t="str">
        <x:v>North Arcade</x:v>
      </x:c>
      <x:c r="I1139" s="2" t="n">
        <x:v>10</x:v>
      </x:c>
      <x:c r="J1139" s="2" t="n">
        <x:v>0</x:v>
      </x:c>
      <x:c r="K1139" s="2" t="n">
        <x:f>I1139-J1139</x:f>
        <x:v>10</x:v>
      </x:c>
      <x:c r="L1139" s="16" t="n">
        <x:v>28</x:v>
      </x:c>
      <x:c r="M1139" s="16" t="n">
        <x:v>22.4</x:v>
      </x:c>
      <x:c r="N1139" s="16" t="n">
        <x:v>11.48</x:v>
      </x:c>
      <x:c r="O1139" s="16" t="n">
        <x:f>K1139*M1139</x:f>
        <x:v>224</x:v>
      </x:c>
      <x:c r="P1139" s="16" t="n">
        <x:f>K1139*N1139</x:f>
        <x:v>114.80000000000001</x:v>
      </x:c>
      <x:c r="Q1139" s="16" t="n">
        <x:f>O1139-P1139</x:f>
        <x:v>109.19999999999999</x:v>
      </x:c>
      <x:c r="R1139" s="2" t="n">
        <x:v>244</x:v>
      </x:c>
      <x:c r="S1139" s="2" t="n">
        <x:v>0</x:v>
      </x:c>
      <x:c r="T1139" s="2" t="n">
        <x:f>R1139+S1139+J1139-I1139</x:f>
        <x:v>234</x:v>
      </x:c>
      <x:c r="U1139" s="2" t="n">
        <x:v>0</x:v>
      </x:c>
      <x:c r="V1139" s="2" t="n">
        <x:v>4</x:v>
      </x:c>
      <x:c r="W1139" s="2" t="n">
        <x:v>10</x:v>
      </x:c>
      <x:c r="X1139" s="14" t="b">
        <x:v>0</x:v>
      </x:c>
      <x:c r="Y1139" s="14" t="b">
        <x:v>1</x:v>
      </x:c>
      <x:c r="Z1139" s="2" t="n">
        <x:f>ABS(T1139-AA1139)</x:f>
        <x:v>0</x:v>
      </x:c>
      <x:c r="AA1139" s="2" t="n">
        <x:v>234</x:v>
      </x:c>
      <x:c r="AB1139" s="2" t="n">
        <x:f>ABS(K1139-W1139)</x:f>
        <x:v>0</x:v>
      </x:c>
      <x:c r="AC1139" s="2" t="n">
        <x:f>COUNTIF($A$2:$A$1921,A1139)-1</x:f>
        <x:v>0</x:v>
      </x:c>
      <x:c r="AD1139" s="2" t="n">
        <x:f>IF(AND(D1139=D1138,H1139=H1138,C1139=C1138+1),ABS(R1139-T1138),0)</x:f>
        <x:v>0</x:v>
      </x:c>
    </x:row>
    <x:row r="1140" ht="23" customHeight="1">
      <x:c r="A1140" s="2" t="str">
        <x:v>DEMO-303-0-19</x:v>
      </x:c>
      <x:c r="B1140" s="15" t="d">
        <x:v>2026-09-07T00:00:00.000Z</x:v>
      </x:c>
      <x:c r="C1140" s="2" t="n">
        <x:v>19</x:v>
      </x:c>
      <x:c r="D1140" s="2" t="str">
        <x:v>DEMO-303</x:v>
      </x:c>
      <x:c r="E1140" s="2" t="str">
        <x:v>Weekend Flask</x:v>
      </x:c>
      <x:c r="F1140" s="2" t="str">
        <x:v>Lifestyle</x:v>
      </x:c>
      <x:c r="G1140" s="2" t="str">
        <x:v>Stores</x:v>
      </x:c>
      <x:c r="H1140" s="2" t="str">
        <x:v>North Arcade</x:v>
      </x:c>
      <x:c r="I1140" s="2" t="n">
        <x:v>10</x:v>
      </x:c>
      <x:c r="J1140" s="2" t="n">
        <x:v>0</x:v>
      </x:c>
      <x:c r="K1140" s="2" t="n">
        <x:f>I1140-J1140</x:f>
        <x:v>10</x:v>
      </x:c>
      <x:c r="L1140" s="16" t="n">
        <x:v>28</x:v>
      </x:c>
      <x:c r="M1140" s="16" t="n">
        <x:v>22.4</x:v>
      </x:c>
      <x:c r="N1140" s="16" t="n">
        <x:v>11.48</x:v>
      </x:c>
      <x:c r="O1140" s="16" t="n">
        <x:f>K1140*M1140</x:f>
        <x:v>224</x:v>
      </x:c>
      <x:c r="P1140" s="16" t="n">
        <x:f>K1140*N1140</x:f>
        <x:v>114.80000000000001</x:v>
      </x:c>
      <x:c r="Q1140" s="16" t="n">
        <x:f>O1140-P1140</x:f>
        <x:v>109.19999999999999</x:v>
      </x:c>
      <x:c r="R1140" s="2" t="n">
        <x:v>234</x:v>
      </x:c>
      <x:c r="S1140" s="2" t="n">
        <x:v>0</x:v>
      </x:c>
      <x:c r="T1140" s="2" t="n">
        <x:f>R1140+S1140+J1140-I1140</x:f>
        <x:v>224</x:v>
      </x:c>
      <x:c r="U1140" s="2" t="n">
        <x:v>0</x:v>
      </x:c>
      <x:c r="V1140" s="2" t="n">
        <x:v>4</x:v>
      </x:c>
      <x:c r="W1140" s="2" t="n">
        <x:v>10</x:v>
      </x:c>
      <x:c r="X1140" s="14" t="b">
        <x:v>0</x:v>
      </x:c>
      <x:c r="Y1140" s="14" t="b">
        <x:v>1</x:v>
      </x:c>
      <x:c r="Z1140" s="2" t="n">
        <x:f>ABS(T1140-AA1140)</x:f>
        <x:v>0</x:v>
      </x:c>
      <x:c r="AA1140" s="2" t="n">
        <x:v>224</x:v>
      </x:c>
      <x:c r="AB1140" s="2" t="n">
        <x:f>ABS(K1140-W1140)</x:f>
        <x:v>0</x:v>
      </x:c>
      <x:c r="AC1140" s="2" t="n">
        <x:f>COUNTIF($A$2:$A$1921,A1140)-1</x:f>
        <x:v>0</x:v>
      </x:c>
      <x:c r="AD1140" s="2" t="n">
        <x:f>IF(AND(D1140=D1139,H1140=H1139,C1140=C1139+1),ABS(R1140-T1139),0)</x:f>
        <x:v>0</x:v>
      </x:c>
    </x:row>
    <x:row r="1141" ht="23" customHeight="1">
      <x:c r="A1141" s="2" t="str">
        <x:v>DEMO-303-0-20</x:v>
      </x:c>
      <x:c r="B1141" s="15" t="d">
        <x:v>2026-09-14T00:00:00.000Z</x:v>
      </x:c>
      <x:c r="C1141" s="2" t="n">
        <x:v>20</x:v>
      </x:c>
      <x:c r="D1141" s="2" t="str">
        <x:v>DEMO-303</x:v>
      </x:c>
      <x:c r="E1141" s="2" t="str">
        <x:v>Weekend Flask</x:v>
      </x:c>
      <x:c r="F1141" s="2" t="str">
        <x:v>Lifestyle</x:v>
      </x:c>
      <x:c r="G1141" s="2" t="str">
        <x:v>Stores</x:v>
      </x:c>
      <x:c r="H1141" s="2" t="str">
        <x:v>North Arcade</x:v>
      </x:c>
      <x:c r="I1141" s="2" t="n">
        <x:v>9</x:v>
      </x:c>
      <x:c r="J1141" s="2" t="n">
        <x:v>0</x:v>
      </x:c>
      <x:c r="K1141" s="2" t="n">
        <x:f>I1141-J1141</x:f>
        <x:v>9</x:v>
      </x:c>
      <x:c r="L1141" s="16" t="n">
        <x:v>28</x:v>
      </x:c>
      <x:c r="M1141" s="16" t="n">
        <x:v>22.4</x:v>
      </x:c>
      <x:c r="N1141" s="16" t="n">
        <x:v>11.48</x:v>
      </x:c>
      <x:c r="O1141" s="16" t="n">
        <x:f>K1141*M1141</x:f>
        <x:v>201.6</x:v>
      </x:c>
      <x:c r="P1141" s="16" t="n">
        <x:f>K1141*N1141</x:f>
        <x:v>103.32000000000001</x:v>
      </x:c>
      <x:c r="Q1141" s="16" t="n">
        <x:f>O1141-P1141</x:f>
        <x:v>98.27999999999999</x:v>
      </x:c>
      <x:c r="R1141" s="2" t="n">
        <x:v>224</x:v>
      </x:c>
      <x:c r="S1141" s="2" t="n">
        <x:v>0</x:v>
      </x:c>
      <x:c r="T1141" s="2" t="n">
        <x:f>R1141+S1141+J1141-I1141</x:f>
        <x:v>215</x:v>
      </x:c>
      <x:c r="U1141" s="2" t="n">
        <x:v>24</x:v>
      </x:c>
      <x:c r="V1141" s="2" t="n">
        <x:v>4</x:v>
      </x:c>
      <x:c r="W1141" s="2" t="n">
        <x:v>11</x:v>
      </x:c>
      <x:c r="X1141" s="14" t="b">
        <x:v>0</x:v>
      </x:c>
      <x:c r="Y1141" s="14" t="b">
        <x:v>1</x:v>
      </x:c>
      <x:c r="Z1141" s="2" t="n">
        <x:f>ABS(T1141-AA1141)</x:f>
        <x:v>0</x:v>
      </x:c>
      <x:c r="AA1141" s="2" t="n">
        <x:v>215</x:v>
      </x:c>
      <x:c r="AB1141" s="2" t="n">
        <x:f>ABS(K1141-W1141)</x:f>
        <x:v>2</x:v>
      </x:c>
      <x:c r="AC1141" s="2" t="n">
        <x:f>COUNTIF($A$2:$A$1921,A1141)-1</x:f>
        <x:v>0</x:v>
      </x:c>
      <x:c r="AD1141" s="2" t="n">
        <x:f>IF(AND(D1141=D1140,H1141=H1140,C1141=C1140+1),ABS(R1141-T1140),0)</x:f>
        <x:v>0</x:v>
      </x:c>
    </x:row>
    <x:row r="1142" ht="23" customHeight="1">
      <x:c r="A1142" s="2" t="str">
        <x:v>DEMO-303-1-1</x:v>
      </x:c>
      <x:c r="B1142" s="15" t="d">
        <x:v>2026-05-04T00:00:00.000Z</x:v>
      </x:c>
      <x:c r="C1142" s="2" t="n">
        <x:v>1</x:v>
      </x:c>
      <x:c r="D1142" s="2" t="str">
        <x:v>DEMO-303</x:v>
      </x:c>
      <x:c r="E1142" s="2" t="str">
        <x:v>Weekend Flask</x:v>
      </x:c>
      <x:c r="F1142" s="2" t="str">
        <x:v>Lifestyle</x:v>
      </x:c>
      <x:c r="G1142" s="2" t="str">
        <x:v>Stores</x:v>
      </x:c>
      <x:c r="H1142" s="2" t="str">
        <x:v>Riverside</x:v>
      </x:c>
      <x:c r="I1142" s="2" t="n">
        <x:v>17</x:v>
      </x:c>
      <x:c r="J1142" s="2" t="n">
        <x:v>1</x:v>
      </x:c>
      <x:c r="K1142" s="2" t="n">
        <x:f>I1142-J1142</x:f>
        <x:v>16</x:v>
      </x:c>
      <x:c r="L1142" s="16" t="n">
        <x:v>28</x:v>
      </x:c>
      <x:c r="M1142" s="16" t="n">
        <x:v>28</x:v>
      </x:c>
      <x:c r="N1142" s="16" t="n">
        <x:v>11.48</x:v>
      </x:c>
      <x:c r="O1142" s="16" t="n">
        <x:f>K1142*M1142</x:f>
        <x:v>448</x:v>
      </x:c>
      <x:c r="P1142" s="16" t="n">
        <x:f>K1142*N1142</x:f>
        <x:v>183.68</x:v>
      </x:c>
      <x:c r="Q1142" s="16" t="n">
        <x:f>O1142-P1142</x:f>
        <x:v>264.32</x:v>
      </x:c>
      <x:c r="R1142" s="2" t="n">
        <x:v>140</x:v>
      </x:c>
      <x:c r="S1142" s="2" t="n">
        <x:v>65</x:v>
      </x:c>
      <x:c r="T1142" s="2" t="n">
        <x:f>R1142+S1142+J1142-I1142</x:f>
        <x:v>189</x:v>
      </x:c>
      <x:c r="U1142" s="2" t="n">
        <x:v>0</x:v>
      </x:c>
      <x:c r="V1142" s="2" t="n">
        <x:v>4</x:v>
      </x:c>
      <x:c r="W1142" s="2" t="n">
        <x:v>17</x:v>
      </x:c>
      <x:c r="X1142" s="14" t="b">
        <x:v>0</x:v>
      </x:c>
      <x:c r="Y1142" s="14" t="b">
        <x:v>0</x:v>
      </x:c>
      <x:c r="Z1142" s="2" t="n">
        <x:f>ABS(T1142-AA1142)</x:f>
        <x:v>0</x:v>
      </x:c>
      <x:c r="AA1142" s="2" t="n">
        <x:v>189</x:v>
      </x:c>
      <x:c r="AB1142" s="2" t="n">
        <x:f>ABS(K1142-W1142)</x:f>
        <x:v>1</x:v>
      </x:c>
      <x:c r="AC1142" s="2" t="n">
        <x:f>COUNTIF($A$2:$A$1921,A1142)-1</x:f>
        <x:v>0</x:v>
      </x:c>
      <x:c r="AD1142" s="2" t="n">
        <x:f>IF(AND(D1142=D1141,H1142=H1141,C1142=C1141+1),ABS(R1142-T1141),0)</x:f>
        <x:v>0</x:v>
      </x:c>
    </x:row>
    <x:row r="1143" ht="23" customHeight="1">
      <x:c r="A1143" s="2" t="str">
        <x:v>DEMO-303-1-2</x:v>
      </x:c>
      <x:c r="B1143" s="15" t="d">
        <x:v>2026-05-11T00:00:00.000Z</x:v>
      </x:c>
      <x:c r="C1143" s="2" t="n">
        <x:v>2</x:v>
      </x:c>
      <x:c r="D1143" s="2" t="str">
        <x:v>DEMO-303</x:v>
      </x:c>
      <x:c r="E1143" s="2" t="str">
        <x:v>Weekend Flask</x:v>
      </x:c>
      <x:c r="F1143" s="2" t="str">
        <x:v>Lifestyle</x:v>
      </x:c>
      <x:c r="G1143" s="2" t="str">
        <x:v>Stores</x:v>
      </x:c>
      <x:c r="H1143" s="2" t="str">
        <x:v>Riverside</x:v>
      </x:c>
      <x:c r="I1143" s="2" t="n">
        <x:v>17</x:v>
      </x:c>
      <x:c r="J1143" s="2" t="n">
        <x:v>0</x:v>
      </x:c>
      <x:c r="K1143" s="2" t="n">
        <x:f>I1143-J1143</x:f>
        <x:v>17</x:v>
      </x:c>
      <x:c r="L1143" s="16" t="n">
        <x:v>28</x:v>
      </x:c>
      <x:c r="M1143" s="16" t="n">
        <x:v>28</x:v>
      </x:c>
      <x:c r="N1143" s="16" t="n">
        <x:v>11.48</x:v>
      </x:c>
      <x:c r="O1143" s="16" t="n">
        <x:f>K1143*M1143</x:f>
        <x:v>476</x:v>
      </x:c>
      <x:c r="P1143" s="16" t="n">
        <x:f>K1143*N1143</x:f>
        <x:v>195.16</x:v>
      </x:c>
      <x:c r="Q1143" s="16" t="n">
        <x:f>O1143-P1143</x:f>
        <x:v>280.84000000000003</x:v>
      </x:c>
      <x:c r="R1143" s="2" t="n">
        <x:v>189</x:v>
      </x:c>
      <x:c r="S1143" s="2" t="n">
        <x:v>0</x:v>
      </x:c>
      <x:c r="T1143" s="2" t="n">
        <x:f>R1143+S1143+J1143-I1143</x:f>
        <x:v>172</x:v>
      </x:c>
      <x:c r="U1143" s="2" t="n">
        <x:v>0</x:v>
      </x:c>
      <x:c r="V1143" s="2" t="n">
        <x:v>4</x:v>
      </x:c>
      <x:c r="W1143" s="2" t="n">
        <x:v>16</x:v>
      </x:c>
      <x:c r="X1143" s="14" t="b">
        <x:v>0</x:v>
      </x:c>
      <x:c r="Y1143" s="14" t="b">
        <x:v>0</x:v>
      </x:c>
      <x:c r="Z1143" s="2" t="n">
        <x:f>ABS(T1143-AA1143)</x:f>
        <x:v>0</x:v>
      </x:c>
      <x:c r="AA1143" s="2" t="n">
        <x:v>172</x:v>
      </x:c>
      <x:c r="AB1143" s="2" t="n">
        <x:f>ABS(K1143-W1143)</x:f>
        <x:v>1</x:v>
      </x:c>
      <x:c r="AC1143" s="2" t="n">
        <x:f>COUNTIF($A$2:$A$1921,A1143)-1</x:f>
        <x:v>0</x:v>
      </x:c>
      <x:c r="AD1143" s="2" t="n">
        <x:f>IF(AND(D1143=D1142,H1143=H1142,C1143=C1142+1),ABS(R1143-T1142),0)</x:f>
        <x:v>0</x:v>
      </x:c>
    </x:row>
    <x:row r="1144" ht="23" customHeight="1">
      <x:c r="A1144" s="2" t="str">
        <x:v>DEMO-303-1-3</x:v>
      </x:c>
      <x:c r="B1144" s="15" t="d">
        <x:v>2026-05-18T00:00:00.000Z</x:v>
      </x:c>
      <x:c r="C1144" s="2" t="n">
        <x:v>3</x:v>
      </x:c>
      <x:c r="D1144" s="2" t="str">
        <x:v>DEMO-303</x:v>
      </x:c>
      <x:c r="E1144" s="2" t="str">
        <x:v>Weekend Flask</x:v>
      </x:c>
      <x:c r="F1144" s="2" t="str">
        <x:v>Lifestyle</x:v>
      </x:c>
      <x:c r="G1144" s="2" t="str">
        <x:v>Stores</x:v>
      </x:c>
      <x:c r="H1144" s="2" t="str">
        <x:v>Riverside</x:v>
      </x:c>
      <x:c r="I1144" s="2" t="n">
        <x:v>16</x:v>
      </x:c>
      <x:c r="J1144" s="2" t="n">
        <x:v>1</x:v>
      </x:c>
      <x:c r="K1144" s="2" t="n">
        <x:f>I1144-J1144</x:f>
        <x:v>15</x:v>
      </x:c>
      <x:c r="L1144" s="16" t="n">
        <x:v>28</x:v>
      </x:c>
      <x:c r="M1144" s="16" t="n">
        <x:v>28</x:v>
      </x:c>
      <x:c r="N1144" s="16" t="n">
        <x:v>11.48</x:v>
      </x:c>
      <x:c r="O1144" s="16" t="n">
        <x:f>K1144*M1144</x:f>
        <x:v>420</x:v>
      </x:c>
      <x:c r="P1144" s="16" t="n">
        <x:f>K1144*N1144</x:f>
        <x:v>172.20000000000002</x:v>
      </x:c>
      <x:c r="Q1144" s="16" t="n">
        <x:f>O1144-P1144</x:f>
        <x:v>247.79999999999998</x:v>
      </x:c>
      <x:c r="R1144" s="2" t="n">
        <x:v>172</x:v>
      </x:c>
      <x:c r="S1144" s="2" t="n">
        <x:v>0</x:v>
      </x:c>
      <x:c r="T1144" s="2" t="n">
        <x:f>R1144+S1144+J1144-I1144</x:f>
        <x:v>157</x:v>
      </x:c>
      <x:c r="U1144" s="2" t="n">
        <x:v>0</x:v>
      </x:c>
      <x:c r="V1144" s="2" t="n">
        <x:v>4</x:v>
      </x:c>
      <x:c r="W1144" s="2" t="n">
        <x:v>17</x:v>
      </x:c>
      <x:c r="X1144" s="14" t="b">
        <x:v>0</x:v>
      </x:c>
      <x:c r="Y1144" s="14" t="b">
        <x:v>0</x:v>
      </x:c>
      <x:c r="Z1144" s="2" t="n">
        <x:f>ABS(T1144-AA1144)</x:f>
        <x:v>0</x:v>
      </x:c>
      <x:c r="AA1144" s="2" t="n">
        <x:v>157</x:v>
      </x:c>
      <x:c r="AB1144" s="2" t="n">
        <x:f>ABS(K1144-W1144)</x:f>
        <x:v>2</x:v>
      </x:c>
      <x:c r="AC1144" s="2" t="n">
        <x:f>COUNTIF($A$2:$A$1921,A1144)-1</x:f>
        <x:v>0</x:v>
      </x:c>
      <x:c r="AD1144" s="2" t="n">
        <x:f>IF(AND(D1144=D1143,H1144=H1143,C1144=C1143+1),ABS(R1144-T1143),0)</x:f>
        <x:v>0</x:v>
      </x:c>
    </x:row>
    <x:row r="1145" ht="23" customHeight="1">
      <x:c r="A1145" s="2" t="str">
        <x:v>DEMO-303-1-4</x:v>
      </x:c>
      <x:c r="B1145" s="15" t="d">
        <x:v>2026-05-25T00:00:00.000Z</x:v>
      </x:c>
      <x:c r="C1145" s="2" t="n">
        <x:v>4</x:v>
      </x:c>
      <x:c r="D1145" s="2" t="str">
        <x:v>DEMO-303</x:v>
      </x:c>
      <x:c r="E1145" s="2" t="str">
        <x:v>Weekend Flask</x:v>
      </x:c>
      <x:c r="F1145" s="2" t="str">
        <x:v>Lifestyle</x:v>
      </x:c>
      <x:c r="G1145" s="2" t="str">
        <x:v>Stores</x:v>
      </x:c>
      <x:c r="H1145" s="2" t="str">
        <x:v>Riverside</x:v>
      </x:c>
      <x:c r="I1145" s="2" t="n">
        <x:v>15</x:v>
      </x:c>
      <x:c r="J1145" s="2" t="n">
        <x:v>0</x:v>
      </x:c>
      <x:c r="K1145" s="2" t="n">
        <x:f>I1145-J1145</x:f>
        <x:v>15</x:v>
      </x:c>
      <x:c r="L1145" s="16" t="n">
        <x:v>28</x:v>
      </x:c>
      <x:c r="M1145" s="16" t="n">
        <x:v>28</x:v>
      </x:c>
      <x:c r="N1145" s="16" t="n">
        <x:v>11.48</x:v>
      </x:c>
      <x:c r="O1145" s="16" t="n">
        <x:f>K1145*M1145</x:f>
        <x:v>420</x:v>
      </x:c>
      <x:c r="P1145" s="16" t="n">
        <x:f>K1145*N1145</x:f>
        <x:v>172.20000000000002</x:v>
      </x:c>
      <x:c r="Q1145" s="16" t="n">
        <x:f>O1145-P1145</x:f>
        <x:v>247.79999999999998</x:v>
      </x:c>
      <x:c r="R1145" s="2" t="n">
        <x:v>157</x:v>
      </x:c>
      <x:c r="S1145" s="2" t="n">
        <x:v>0</x:v>
      </x:c>
      <x:c r="T1145" s="2" t="n">
        <x:f>R1145+S1145+J1145-I1145</x:f>
        <x:v>142</x:v>
      </x:c>
      <x:c r="U1145" s="2" t="n">
        <x:v>0</x:v>
      </x:c>
      <x:c r="V1145" s="2" t="n">
        <x:v>4</x:v>
      </x:c>
      <x:c r="W1145" s="2" t="n">
        <x:v>16</x:v>
      </x:c>
      <x:c r="X1145" s="14" t="b">
        <x:v>0</x:v>
      </x:c>
      <x:c r="Y1145" s="14" t="b">
        <x:v>0</x:v>
      </x:c>
      <x:c r="Z1145" s="2" t="n">
        <x:f>ABS(T1145-AA1145)</x:f>
        <x:v>0</x:v>
      </x:c>
      <x:c r="AA1145" s="2" t="n">
        <x:v>142</x:v>
      </x:c>
      <x:c r="AB1145" s="2" t="n">
        <x:f>ABS(K1145-W1145)</x:f>
        <x:v>1</x:v>
      </x:c>
      <x:c r="AC1145" s="2" t="n">
        <x:f>COUNTIF($A$2:$A$1921,A1145)-1</x:f>
        <x:v>0</x:v>
      </x:c>
      <x:c r="AD1145" s="2" t="n">
        <x:f>IF(AND(D1145=D1144,H1145=H1144,C1145=C1144+1),ABS(R1145-T1144),0)</x:f>
        <x:v>0</x:v>
      </x:c>
    </x:row>
    <x:row r="1146" ht="23" customHeight="1">
      <x:c r="A1146" s="2" t="str">
        <x:v>DEMO-303-1-5</x:v>
      </x:c>
      <x:c r="B1146" s="15" t="d">
        <x:v>2026-06-01T00:00:00.000Z</x:v>
      </x:c>
      <x:c r="C1146" s="2" t="n">
        <x:v>5</x:v>
      </x:c>
      <x:c r="D1146" s="2" t="str">
        <x:v>DEMO-303</x:v>
      </x:c>
      <x:c r="E1146" s="2" t="str">
        <x:v>Weekend Flask</x:v>
      </x:c>
      <x:c r="F1146" s="2" t="str">
        <x:v>Lifestyle</x:v>
      </x:c>
      <x:c r="G1146" s="2" t="str">
        <x:v>Stores</x:v>
      </x:c>
      <x:c r="H1146" s="2" t="str">
        <x:v>Riverside</x:v>
      </x:c>
      <x:c r="I1146" s="2" t="n">
        <x:v>13</x:v>
      </x:c>
      <x:c r="J1146" s="2" t="n">
        <x:v>0</x:v>
      </x:c>
      <x:c r="K1146" s="2" t="n">
        <x:f>I1146-J1146</x:f>
        <x:v>13</x:v>
      </x:c>
      <x:c r="L1146" s="16" t="n">
        <x:v>28</x:v>
      </x:c>
      <x:c r="M1146" s="16" t="n">
        <x:v>28</x:v>
      </x:c>
      <x:c r="N1146" s="16" t="n">
        <x:v>11.48</x:v>
      </x:c>
      <x:c r="O1146" s="16" t="n">
        <x:f>K1146*M1146</x:f>
        <x:v>364</x:v>
      </x:c>
      <x:c r="P1146" s="16" t="n">
        <x:f>K1146*N1146</x:f>
        <x:v>149.24</x:v>
      </x:c>
      <x:c r="Q1146" s="16" t="n">
        <x:f>O1146-P1146</x:f>
        <x:v>214.76</x:v>
      </x:c>
      <x:c r="R1146" s="2" t="n">
        <x:v>142</x:v>
      </x:c>
      <x:c r="S1146" s="2" t="n">
        <x:v>65</x:v>
      </x:c>
      <x:c r="T1146" s="2" t="n">
        <x:f>R1146+S1146+J1146-I1146</x:f>
        <x:v>194</x:v>
      </x:c>
      <x:c r="U1146" s="2" t="n">
        <x:v>0</x:v>
      </x:c>
      <x:c r="V1146" s="2" t="n">
        <x:v>4</x:v>
      </x:c>
      <x:c r="W1146" s="2" t="n">
        <x:v>16</x:v>
      </x:c>
      <x:c r="X1146" s="14" t="b">
        <x:v>0</x:v>
      </x:c>
      <x:c r="Y1146" s="14" t="b">
        <x:v>0</x:v>
      </x:c>
      <x:c r="Z1146" s="2" t="n">
        <x:f>ABS(T1146-AA1146)</x:f>
        <x:v>0</x:v>
      </x:c>
      <x:c r="AA1146" s="2" t="n">
        <x:v>194</x:v>
      </x:c>
      <x:c r="AB1146" s="2" t="n">
        <x:f>ABS(K1146-W1146)</x:f>
        <x:v>3</x:v>
      </x:c>
      <x:c r="AC1146" s="2" t="n">
        <x:f>COUNTIF($A$2:$A$1921,A1146)-1</x:f>
        <x:v>0</x:v>
      </x:c>
      <x:c r="AD1146" s="2" t="n">
        <x:f>IF(AND(D1146=D1145,H1146=H1145,C1146=C1145+1),ABS(R1146-T1145),0)</x:f>
        <x:v>0</x:v>
      </x:c>
    </x:row>
    <x:row r="1147" ht="23" customHeight="1">
      <x:c r="A1147" s="2" t="str">
        <x:v>DEMO-303-1-6</x:v>
      </x:c>
      <x:c r="B1147" s="15" t="d">
        <x:v>2026-06-08T00:00:00.000Z</x:v>
      </x:c>
      <x:c r="C1147" s="2" t="n">
        <x:v>6</x:v>
      </x:c>
      <x:c r="D1147" s="2" t="str">
        <x:v>DEMO-303</x:v>
      </x:c>
      <x:c r="E1147" s="2" t="str">
        <x:v>Weekend Flask</x:v>
      </x:c>
      <x:c r="F1147" s="2" t="str">
        <x:v>Lifestyle</x:v>
      </x:c>
      <x:c r="G1147" s="2" t="str">
        <x:v>Stores</x:v>
      </x:c>
      <x:c r="H1147" s="2" t="str">
        <x:v>Riverside</x:v>
      </x:c>
      <x:c r="I1147" s="2" t="n">
        <x:v>15</x:v>
      </x:c>
      <x:c r="J1147" s="2" t="n">
        <x:v>1</x:v>
      </x:c>
      <x:c r="K1147" s="2" t="n">
        <x:f>I1147-J1147</x:f>
        <x:v>14</x:v>
      </x:c>
      <x:c r="L1147" s="16" t="n">
        <x:v>28</x:v>
      </x:c>
      <x:c r="M1147" s="16" t="n">
        <x:v>28</x:v>
      </x:c>
      <x:c r="N1147" s="16" t="n">
        <x:v>11.48</x:v>
      </x:c>
      <x:c r="O1147" s="16" t="n">
        <x:f>K1147*M1147</x:f>
        <x:v>392</x:v>
      </x:c>
      <x:c r="P1147" s="16" t="n">
        <x:f>K1147*N1147</x:f>
        <x:v>160.72</x:v>
      </x:c>
      <x:c r="Q1147" s="16" t="n">
        <x:f>O1147-P1147</x:f>
        <x:v>231.28</x:v>
      </x:c>
      <x:c r="R1147" s="2" t="n">
        <x:v>194</x:v>
      </x:c>
      <x:c r="S1147" s="2" t="n">
        <x:v>0</x:v>
      </x:c>
      <x:c r="T1147" s="2" t="n">
        <x:f>R1147+S1147+J1147-I1147</x:f>
        <x:v>180</x:v>
      </x:c>
      <x:c r="U1147" s="2" t="n">
        <x:v>0</x:v>
      </x:c>
      <x:c r="V1147" s="2" t="n">
        <x:v>4</x:v>
      </x:c>
      <x:c r="W1147" s="2" t="n">
        <x:v>15</x:v>
      </x:c>
      <x:c r="X1147" s="14" t="b">
        <x:v>0</x:v>
      </x:c>
      <x:c r="Y1147" s="14" t="b">
        <x:v>0</x:v>
      </x:c>
      <x:c r="Z1147" s="2" t="n">
        <x:f>ABS(T1147-AA1147)</x:f>
        <x:v>0</x:v>
      </x:c>
      <x:c r="AA1147" s="2" t="n">
        <x:v>180</x:v>
      </x:c>
      <x:c r="AB1147" s="2" t="n">
        <x:f>ABS(K1147-W1147)</x:f>
        <x:v>1</x:v>
      </x:c>
      <x:c r="AC1147" s="2" t="n">
        <x:f>COUNTIF($A$2:$A$1921,A1147)-1</x:f>
        <x:v>0</x:v>
      </x:c>
      <x:c r="AD1147" s="2" t="n">
        <x:f>IF(AND(D1147=D1146,H1147=H1146,C1147=C1146+1),ABS(R1147-T1146),0)</x:f>
        <x:v>0</x:v>
      </x:c>
    </x:row>
    <x:row r="1148" ht="23" customHeight="1">
      <x:c r="A1148" s="2" t="str">
        <x:v>DEMO-303-1-7</x:v>
      </x:c>
      <x:c r="B1148" s="15" t="d">
        <x:v>2026-06-15T00:00:00.000Z</x:v>
      </x:c>
      <x:c r="C1148" s="2" t="n">
        <x:v>7</x:v>
      </x:c>
      <x:c r="D1148" s="2" t="str">
        <x:v>DEMO-303</x:v>
      </x:c>
      <x:c r="E1148" s="2" t="str">
        <x:v>Weekend Flask</x:v>
      </x:c>
      <x:c r="F1148" s="2" t="str">
        <x:v>Lifestyle</x:v>
      </x:c>
      <x:c r="G1148" s="2" t="str">
        <x:v>Stores</x:v>
      </x:c>
      <x:c r="H1148" s="2" t="str">
        <x:v>Riverside</x:v>
      </x:c>
      <x:c r="I1148" s="2" t="n">
        <x:v>17</x:v>
      </x:c>
      <x:c r="J1148" s="2" t="n">
        <x:v>0</x:v>
      </x:c>
      <x:c r="K1148" s="2" t="n">
        <x:f>I1148-J1148</x:f>
        <x:v>17</x:v>
      </x:c>
      <x:c r="L1148" s="16" t="n">
        <x:v>28</x:v>
      </x:c>
      <x:c r="M1148" s="16" t="n">
        <x:v>28</x:v>
      </x:c>
      <x:c r="N1148" s="16" t="n">
        <x:v>11.48</x:v>
      </x:c>
      <x:c r="O1148" s="16" t="n">
        <x:f>K1148*M1148</x:f>
        <x:v>476</x:v>
      </x:c>
      <x:c r="P1148" s="16" t="n">
        <x:f>K1148*N1148</x:f>
        <x:v>195.16</x:v>
      </x:c>
      <x:c r="Q1148" s="16" t="n">
        <x:f>O1148-P1148</x:f>
        <x:v>280.84000000000003</x:v>
      </x:c>
      <x:c r="R1148" s="2" t="n">
        <x:v>180</x:v>
      </x:c>
      <x:c r="S1148" s="2" t="n">
        <x:v>0</x:v>
      </x:c>
      <x:c r="T1148" s="2" t="n">
        <x:f>R1148+S1148+J1148-I1148</x:f>
        <x:v>163</x:v>
      </x:c>
      <x:c r="U1148" s="2" t="n">
        <x:v>0</x:v>
      </x:c>
      <x:c r="V1148" s="2" t="n">
        <x:v>4</x:v>
      </x:c>
      <x:c r="W1148" s="2" t="n">
        <x:v>14</x:v>
      </x:c>
      <x:c r="X1148" s="14" t="b">
        <x:v>0</x:v>
      </x:c>
      <x:c r="Y1148" s="14" t="b">
        <x:v>0</x:v>
      </x:c>
      <x:c r="Z1148" s="2" t="n">
        <x:f>ABS(T1148-AA1148)</x:f>
        <x:v>0</x:v>
      </x:c>
      <x:c r="AA1148" s="2" t="n">
        <x:v>163</x:v>
      </x:c>
      <x:c r="AB1148" s="2" t="n">
        <x:f>ABS(K1148-W1148)</x:f>
        <x:v>3</x:v>
      </x:c>
      <x:c r="AC1148" s="2" t="n">
        <x:f>COUNTIF($A$2:$A$1921,A1148)-1</x:f>
        <x:v>0</x:v>
      </x:c>
      <x:c r="AD1148" s="2" t="n">
        <x:f>IF(AND(D1148=D1147,H1148=H1147,C1148=C1147+1),ABS(R1148-T1147),0)</x:f>
        <x:v>0</x:v>
      </x:c>
    </x:row>
    <x:row r="1149" ht="23" customHeight="1">
      <x:c r="A1149" s="2" t="str">
        <x:v>DEMO-303-1-8</x:v>
      </x:c>
      <x:c r="B1149" s="15" t="d">
        <x:v>2026-06-22T00:00:00.000Z</x:v>
      </x:c>
      <x:c r="C1149" s="2" t="n">
        <x:v>8</x:v>
      </x:c>
      <x:c r="D1149" s="2" t="str">
        <x:v>DEMO-303</x:v>
      </x:c>
      <x:c r="E1149" s="2" t="str">
        <x:v>Weekend Flask</x:v>
      </x:c>
      <x:c r="F1149" s="2" t="str">
        <x:v>Lifestyle</x:v>
      </x:c>
      <x:c r="G1149" s="2" t="str">
        <x:v>Stores</x:v>
      </x:c>
      <x:c r="H1149" s="2" t="str">
        <x:v>Riverside</x:v>
      </x:c>
      <x:c r="I1149" s="2" t="n">
        <x:v>12</x:v>
      </x:c>
      <x:c r="J1149" s="2" t="n">
        <x:v>0</x:v>
      </x:c>
      <x:c r="K1149" s="2" t="n">
        <x:f>I1149-J1149</x:f>
        <x:v>12</x:v>
      </x:c>
      <x:c r="L1149" s="16" t="n">
        <x:v>28</x:v>
      </x:c>
      <x:c r="M1149" s="16" t="n">
        <x:v>28</x:v>
      </x:c>
      <x:c r="N1149" s="16" t="n">
        <x:v>11.48</x:v>
      </x:c>
      <x:c r="O1149" s="16" t="n">
        <x:f>K1149*M1149</x:f>
        <x:v>336</x:v>
      </x:c>
      <x:c r="P1149" s="16" t="n">
        <x:f>K1149*N1149</x:f>
        <x:v>137.76</x:v>
      </x:c>
      <x:c r="Q1149" s="16" t="n">
        <x:f>O1149-P1149</x:f>
        <x:v>198.24</x:v>
      </x:c>
      <x:c r="R1149" s="2" t="n">
        <x:v>163</x:v>
      </x:c>
      <x:c r="S1149" s="2" t="n">
        <x:v>0</x:v>
      </x:c>
      <x:c r="T1149" s="2" t="n">
        <x:f>R1149+S1149+J1149-I1149</x:f>
        <x:v>151</x:v>
      </x:c>
      <x:c r="U1149" s="2" t="n">
        <x:v>0</x:v>
      </x:c>
      <x:c r="V1149" s="2" t="n">
        <x:v>4</x:v>
      </x:c>
      <x:c r="W1149" s="2" t="n">
        <x:v>15</x:v>
      </x:c>
      <x:c r="X1149" s="14" t="b">
        <x:v>0</x:v>
      </x:c>
      <x:c r="Y1149" s="14" t="b">
        <x:v>0</x:v>
      </x:c>
      <x:c r="Z1149" s="2" t="n">
        <x:f>ABS(T1149-AA1149)</x:f>
        <x:v>0</x:v>
      </x:c>
      <x:c r="AA1149" s="2" t="n">
        <x:v>151</x:v>
      </x:c>
      <x:c r="AB1149" s="2" t="n">
        <x:f>ABS(K1149-W1149)</x:f>
        <x:v>3</x:v>
      </x:c>
      <x:c r="AC1149" s="2" t="n">
        <x:f>COUNTIF($A$2:$A$1921,A1149)-1</x:f>
        <x:v>0</x:v>
      </x:c>
      <x:c r="AD1149" s="2" t="n">
        <x:f>IF(AND(D1149=D1148,H1149=H1148,C1149=C1148+1),ABS(R1149-T1148),0)</x:f>
        <x:v>0</x:v>
      </x:c>
    </x:row>
    <x:row r="1150" ht="23" customHeight="1">
      <x:c r="A1150" s="2" t="str">
        <x:v>DEMO-303-1-9</x:v>
      </x:c>
      <x:c r="B1150" s="15" t="d">
        <x:v>2026-06-29T00:00:00.000Z</x:v>
      </x:c>
      <x:c r="C1150" s="2" t="n">
        <x:v>9</x:v>
      </x:c>
      <x:c r="D1150" s="2" t="str">
        <x:v>DEMO-303</x:v>
      </x:c>
      <x:c r="E1150" s="2" t="str">
        <x:v>Weekend Flask</x:v>
      </x:c>
      <x:c r="F1150" s="2" t="str">
        <x:v>Lifestyle</x:v>
      </x:c>
      <x:c r="G1150" s="2" t="str">
        <x:v>Stores</x:v>
      </x:c>
      <x:c r="H1150" s="2" t="str">
        <x:v>Riverside</x:v>
      </x:c>
      <x:c r="I1150" s="2" t="n">
        <x:v>13</x:v>
      </x:c>
      <x:c r="J1150" s="2" t="n">
        <x:v>0</x:v>
      </x:c>
      <x:c r="K1150" s="2" t="n">
        <x:f>I1150-J1150</x:f>
        <x:v>13</x:v>
      </x:c>
      <x:c r="L1150" s="16" t="n">
        <x:v>28</x:v>
      </x:c>
      <x:c r="M1150" s="16" t="n">
        <x:v>28</x:v>
      </x:c>
      <x:c r="N1150" s="16" t="n">
        <x:v>11.48</x:v>
      </x:c>
      <x:c r="O1150" s="16" t="n">
        <x:f>K1150*M1150</x:f>
        <x:v>364</x:v>
      </x:c>
      <x:c r="P1150" s="16" t="n">
        <x:f>K1150*N1150</x:f>
        <x:v>149.24</x:v>
      </x:c>
      <x:c r="Q1150" s="16" t="n">
        <x:f>O1150-P1150</x:f>
        <x:v>214.76</x:v>
      </x:c>
      <x:c r="R1150" s="2" t="n">
        <x:v>151</x:v>
      </x:c>
      <x:c r="S1150" s="2" t="n">
        <x:v>65</x:v>
      </x:c>
      <x:c r="T1150" s="2" t="n">
        <x:f>R1150+S1150+J1150-I1150</x:f>
        <x:v>203</x:v>
      </x:c>
      <x:c r="U1150" s="2" t="n">
        <x:v>0</x:v>
      </x:c>
      <x:c r="V1150" s="2" t="n">
        <x:v>4</x:v>
      </x:c>
      <x:c r="W1150" s="2" t="n">
        <x:v>14</x:v>
      </x:c>
      <x:c r="X1150" s="14" t="b">
        <x:v>0</x:v>
      </x:c>
      <x:c r="Y1150" s="14" t="b">
        <x:v>0</x:v>
      </x:c>
      <x:c r="Z1150" s="2" t="n">
        <x:f>ABS(T1150-AA1150)</x:f>
        <x:v>0</x:v>
      </x:c>
      <x:c r="AA1150" s="2" t="n">
        <x:v>203</x:v>
      </x:c>
      <x:c r="AB1150" s="2" t="n">
        <x:f>ABS(K1150-W1150)</x:f>
        <x:v>1</x:v>
      </x:c>
      <x:c r="AC1150" s="2" t="n">
        <x:f>COUNTIF($A$2:$A$1921,A1150)-1</x:f>
        <x:v>0</x:v>
      </x:c>
      <x:c r="AD1150" s="2" t="n">
        <x:f>IF(AND(D1150=D1149,H1150=H1149,C1150=C1149+1),ABS(R1150-T1149),0)</x:f>
        <x:v>0</x:v>
      </x:c>
    </x:row>
    <x:row r="1151" ht="23" customHeight="1">
      <x:c r="A1151" s="2" t="str">
        <x:v>DEMO-303-1-10</x:v>
      </x:c>
      <x:c r="B1151" s="15" t="d">
        <x:v>2026-07-06T00:00:00.000Z</x:v>
      </x:c>
      <x:c r="C1151" s="2" t="n">
        <x:v>10</x:v>
      </x:c>
      <x:c r="D1151" s="2" t="str">
        <x:v>DEMO-303</x:v>
      </x:c>
      <x:c r="E1151" s="2" t="str">
        <x:v>Weekend Flask</x:v>
      </x:c>
      <x:c r="F1151" s="2" t="str">
        <x:v>Lifestyle</x:v>
      </x:c>
      <x:c r="G1151" s="2" t="str">
        <x:v>Stores</x:v>
      </x:c>
      <x:c r="H1151" s="2" t="str">
        <x:v>Riverside</x:v>
      </x:c>
      <x:c r="I1151" s="2" t="n">
        <x:v>10</x:v>
      </x:c>
      <x:c r="J1151" s="2" t="n">
        <x:v>1</x:v>
      </x:c>
      <x:c r="K1151" s="2" t="n">
        <x:f>I1151-J1151</x:f>
        <x:v>9</x:v>
      </x:c>
      <x:c r="L1151" s="16" t="n">
        <x:v>28</x:v>
      </x:c>
      <x:c r="M1151" s="16" t="n">
        <x:v>28</x:v>
      </x:c>
      <x:c r="N1151" s="16" t="n">
        <x:v>11.48</x:v>
      </x:c>
      <x:c r="O1151" s="16" t="n">
        <x:f>K1151*M1151</x:f>
        <x:v>252</x:v>
      </x:c>
      <x:c r="P1151" s="16" t="n">
        <x:f>K1151*N1151</x:f>
        <x:v>103.32000000000001</x:v>
      </x:c>
      <x:c r="Q1151" s="16" t="n">
        <x:f>O1151-P1151</x:f>
        <x:v>148.68</x:v>
      </x:c>
      <x:c r="R1151" s="2" t="n">
        <x:v>203</x:v>
      </x:c>
      <x:c r="S1151" s="2" t="n">
        <x:v>0</x:v>
      </x:c>
      <x:c r="T1151" s="2" t="n">
        <x:f>R1151+S1151+J1151-I1151</x:f>
        <x:v>194</x:v>
      </x:c>
      <x:c r="U1151" s="2" t="n">
        <x:v>0</x:v>
      </x:c>
      <x:c r="V1151" s="2" t="n">
        <x:v>4</x:v>
      </x:c>
      <x:c r="W1151" s="2" t="n">
        <x:v>14</x:v>
      </x:c>
      <x:c r="X1151" s="14" t="b">
        <x:v>0</x:v>
      </x:c>
      <x:c r="Y1151" s="14" t="b">
        <x:v>0</x:v>
      </x:c>
      <x:c r="Z1151" s="2" t="n">
        <x:f>ABS(T1151-AA1151)</x:f>
        <x:v>0</x:v>
      </x:c>
      <x:c r="AA1151" s="2" t="n">
        <x:v>194</x:v>
      </x:c>
      <x:c r="AB1151" s="2" t="n">
        <x:f>ABS(K1151-W1151)</x:f>
        <x:v>5</x:v>
      </x:c>
      <x:c r="AC1151" s="2" t="n">
        <x:f>COUNTIF($A$2:$A$1921,A1151)-1</x:f>
        <x:v>0</x:v>
      </x:c>
      <x:c r="AD1151" s="2" t="n">
        <x:f>IF(AND(D1151=D1150,H1151=H1150,C1151=C1150+1),ABS(R1151-T1150),0)</x:f>
        <x:v>0</x:v>
      </x:c>
    </x:row>
    <x:row r="1152" ht="23" customHeight="1">
      <x:c r="A1152" s="2" t="str">
        <x:v>DEMO-303-1-11</x:v>
      </x:c>
      <x:c r="B1152" s="15" t="d">
        <x:v>2026-07-13T00:00:00.000Z</x:v>
      </x:c>
      <x:c r="C1152" s="2" t="n">
        <x:v>11</x:v>
      </x:c>
      <x:c r="D1152" s="2" t="str">
        <x:v>DEMO-303</x:v>
      </x:c>
      <x:c r="E1152" s="2" t="str">
        <x:v>Weekend Flask</x:v>
      </x:c>
      <x:c r="F1152" s="2" t="str">
        <x:v>Lifestyle</x:v>
      </x:c>
      <x:c r="G1152" s="2" t="str">
        <x:v>Stores</x:v>
      </x:c>
      <x:c r="H1152" s="2" t="str">
        <x:v>Riverside</x:v>
      </x:c>
      <x:c r="I1152" s="2" t="n">
        <x:v>10</x:v>
      </x:c>
      <x:c r="J1152" s="2" t="n">
        <x:v>0</x:v>
      </x:c>
      <x:c r="K1152" s="2" t="n">
        <x:f>I1152-J1152</x:f>
        <x:v>10</x:v>
      </x:c>
      <x:c r="L1152" s="16" t="n">
        <x:v>28</x:v>
      </x:c>
      <x:c r="M1152" s="16" t="n">
        <x:v>28</x:v>
      </x:c>
      <x:c r="N1152" s="16" t="n">
        <x:v>11.48</x:v>
      </x:c>
      <x:c r="O1152" s="16" t="n">
        <x:f>K1152*M1152</x:f>
        <x:v>280</x:v>
      </x:c>
      <x:c r="P1152" s="16" t="n">
        <x:f>K1152*N1152</x:f>
        <x:v>114.80000000000001</x:v>
      </x:c>
      <x:c r="Q1152" s="16" t="n">
        <x:f>O1152-P1152</x:f>
        <x:v>165.2</x:v>
      </x:c>
      <x:c r="R1152" s="2" t="n">
        <x:v>194</x:v>
      </x:c>
      <x:c r="S1152" s="2" t="n">
        <x:v>0</x:v>
      </x:c>
      <x:c r="T1152" s="2" t="n">
        <x:f>R1152+S1152+J1152-I1152</x:f>
        <x:v>184</x:v>
      </x:c>
      <x:c r="U1152" s="2" t="n">
        <x:v>0</x:v>
      </x:c>
      <x:c r="V1152" s="2" t="n">
        <x:v>4</x:v>
      </x:c>
      <x:c r="W1152" s="2" t="n">
        <x:v>13</x:v>
      </x:c>
      <x:c r="X1152" s="14" t="b">
        <x:v>0</x:v>
      </x:c>
      <x:c r="Y1152" s="14" t="b">
        <x:v>0</x:v>
      </x:c>
      <x:c r="Z1152" s="2" t="n">
        <x:f>ABS(T1152-AA1152)</x:f>
        <x:v>0</x:v>
      </x:c>
      <x:c r="AA1152" s="2" t="n">
        <x:v>184</x:v>
      </x:c>
      <x:c r="AB1152" s="2" t="n">
        <x:f>ABS(K1152-W1152)</x:f>
        <x:v>3</x:v>
      </x:c>
      <x:c r="AC1152" s="2" t="n">
        <x:f>COUNTIF($A$2:$A$1921,A1152)-1</x:f>
        <x:v>0</x:v>
      </x:c>
      <x:c r="AD1152" s="2" t="n">
        <x:f>IF(AND(D1152=D1151,H1152=H1151,C1152=C1151+1),ABS(R1152-T1151),0)</x:f>
        <x:v>0</x:v>
      </x:c>
    </x:row>
    <x:row r="1153" ht="23" customHeight="1">
      <x:c r="A1153" s="2" t="str">
        <x:v>DEMO-303-1-12</x:v>
      </x:c>
      <x:c r="B1153" s="15" t="d">
        <x:v>2026-07-20T00:00:00.000Z</x:v>
      </x:c>
      <x:c r="C1153" s="2" t="n">
        <x:v>12</x:v>
      </x:c>
      <x:c r="D1153" s="2" t="str">
        <x:v>DEMO-303</x:v>
      </x:c>
      <x:c r="E1153" s="2" t="str">
        <x:v>Weekend Flask</x:v>
      </x:c>
      <x:c r="F1153" s="2" t="str">
        <x:v>Lifestyle</x:v>
      </x:c>
      <x:c r="G1153" s="2" t="str">
        <x:v>Stores</x:v>
      </x:c>
      <x:c r="H1153" s="2" t="str">
        <x:v>Riverside</x:v>
      </x:c>
      <x:c r="I1153" s="2" t="n">
        <x:v>13</x:v>
      </x:c>
      <x:c r="J1153" s="2" t="n">
        <x:v>0</x:v>
      </x:c>
      <x:c r="K1153" s="2" t="n">
        <x:f>I1153-J1153</x:f>
        <x:v>13</x:v>
      </x:c>
      <x:c r="L1153" s="16" t="n">
        <x:v>28</x:v>
      </x:c>
      <x:c r="M1153" s="16" t="n">
        <x:v>28</x:v>
      </x:c>
      <x:c r="N1153" s="16" t="n">
        <x:v>11.48</x:v>
      </x:c>
      <x:c r="O1153" s="16" t="n">
        <x:f>K1153*M1153</x:f>
        <x:v>364</x:v>
      </x:c>
      <x:c r="P1153" s="16" t="n">
        <x:f>K1153*N1153</x:f>
        <x:v>149.24</x:v>
      </x:c>
      <x:c r="Q1153" s="16" t="n">
        <x:f>O1153-P1153</x:f>
        <x:v>214.76</x:v>
      </x:c>
      <x:c r="R1153" s="2" t="n">
        <x:v>184</x:v>
      </x:c>
      <x:c r="S1153" s="2" t="n">
        <x:v>0</x:v>
      </x:c>
      <x:c r="T1153" s="2" t="n">
        <x:f>R1153+S1153+J1153-I1153</x:f>
        <x:v>171</x:v>
      </x:c>
      <x:c r="U1153" s="2" t="n">
        <x:v>0</x:v>
      </x:c>
      <x:c r="V1153" s="2" t="n">
        <x:v>4</x:v>
      </x:c>
      <x:c r="W1153" s="2" t="n">
        <x:v>11</x:v>
      </x:c>
      <x:c r="X1153" s="14" t="b">
        <x:v>0</x:v>
      </x:c>
      <x:c r="Y1153" s="14" t="b">
        <x:v>0</x:v>
      </x:c>
      <x:c r="Z1153" s="2" t="n">
        <x:f>ABS(T1153-AA1153)</x:f>
        <x:v>0</x:v>
      </x:c>
      <x:c r="AA1153" s="2" t="n">
        <x:v>171</x:v>
      </x:c>
      <x:c r="AB1153" s="2" t="n">
        <x:f>ABS(K1153-W1153)</x:f>
        <x:v>2</x:v>
      </x:c>
      <x:c r="AC1153" s="2" t="n">
        <x:f>COUNTIF($A$2:$A$1921,A1153)-1</x:f>
        <x:v>0</x:v>
      </x:c>
      <x:c r="AD1153" s="2" t="n">
        <x:f>IF(AND(D1153=D1152,H1153=H1152,C1153=C1152+1),ABS(R1153-T1152),0)</x:f>
        <x:v>0</x:v>
      </x:c>
    </x:row>
    <x:row r="1154" ht="23" customHeight="1">
      <x:c r="A1154" s="2" t="str">
        <x:v>DEMO-303-1-13</x:v>
      </x:c>
      <x:c r="B1154" s="15" t="d">
        <x:v>2026-07-27T00:00:00.000Z</x:v>
      </x:c>
      <x:c r="C1154" s="2" t="n">
        <x:v>13</x:v>
      </x:c>
      <x:c r="D1154" s="2" t="str">
        <x:v>DEMO-303</x:v>
      </x:c>
      <x:c r="E1154" s="2" t="str">
        <x:v>Weekend Flask</x:v>
      </x:c>
      <x:c r="F1154" s="2" t="str">
        <x:v>Lifestyle</x:v>
      </x:c>
      <x:c r="G1154" s="2" t="str">
        <x:v>Stores</x:v>
      </x:c>
      <x:c r="H1154" s="2" t="str">
        <x:v>Riverside</x:v>
      </x:c>
      <x:c r="I1154" s="2" t="n">
        <x:v>13</x:v>
      </x:c>
      <x:c r="J1154" s="2" t="n">
        <x:v>0</x:v>
      </x:c>
      <x:c r="K1154" s="2" t="n">
        <x:f>I1154-J1154</x:f>
        <x:v>13</x:v>
      </x:c>
      <x:c r="L1154" s="16" t="n">
        <x:v>28</x:v>
      </x:c>
      <x:c r="M1154" s="16" t="n">
        <x:v>28</x:v>
      </x:c>
      <x:c r="N1154" s="16" t="n">
        <x:v>11.48</x:v>
      </x:c>
      <x:c r="O1154" s="16" t="n">
        <x:f>K1154*M1154</x:f>
        <x:v>364</x:v>
      </x:c>
      <x:c r="P1154" s="16" t="n">
        <x:f>K1154*N1154</x:f>
        <x:v>149.24</x:v>
      </x:c>
      <x:c r="Q1154" s="16" t="n">
        <x:f>O1154-P1154</x:f>
        <x:v>214.76</x:v>
      </x:c>
      <x:c r="R1154" s="2" t="n">
        <x:v>171</x:v>
      </x:c>
      <x:c r="S1154" s="2" t="n">
        <x:v>65</x:v>
      </x:c>
      <x:c r="T1154" s="2" t="n">
        <x:f>R1154+S1154+J1154-I1154</x:f>
        <x:v>223</x:v>
      </x:c>
      <x:c r="U1154" s="2" t="n">
        <x:v>0</x:v>
      </x:c>
      <x:c r="V1154" s="2" t="n">
        <x:v>4</x:v>
      </x:c>
      <x:c r="W1154" s="2" t="n">
        <x:v>11</x:v>
      </x:c>
      <x:c r="X1154" s="14" t="b">
        <x:v>0</x:v>
      </x:c>
      <x:c r="Y1154" s="14" t="b">
        <x:v>0</x:v>
      </x:c>
      <x:c r="Z1154" s="2" t="n">
        <x:f>ABS(T1154-AA1154)</x:f>
        <x:v>0</x:v>
      </x:c>
      <x:c r="AA1154" s="2" t="n">
        <x:v>223</x:v>
      </x:c>
      <x:c r="AB1154" s="2" t="n">
        <x:f>ABS(K1154-W1154)</x:f>
        <x:v>2</x:v>
      </x:c>
      <x:c r="AC1154" s="2" t="n">
        <x:f>COUNTIF($A$2:$A$1921,A1154)-1</x:f>
        <x:v>0</x:v>
      </x:c>
      <x:c r="AD1154" s="2" t="n">
        <x:f>IF(AND(D1154=D1153,H1154=H1153,C1154=C1153+1),ABS(R1154-T1153),0)</x:f>
        <x:v>0</x:v>
      </x:c>
    </x:row>
    <x:row r="1155" ht="23" customHeight="1">
      <x:c r="A1155" s="2" t="str">
        <x:v>DEMO-303-1-14</x:v>
      </x:c>
      <x:c r="B1155" s="15" t="d">
        <x:v>2026-08-03T00:00:00.000Z</x:v>
      </x:c>
      <x:c r="C1155" s="2" t="n">
        <x:v>14</x:v>
      </x:c>
      <x:c r="D1155" s="2" t="str">
        <x:v>DEMO-303</x:v>
      </x:c>
      <x:c r="E1155" s="2" t="str">
        <x:v>Weekend Flask</x:v>
      </x:c>
      <x:c r="F1155" s="2" t="str">
        <x:v>Lifestyle</x:v>
      </x:c>
      <x:c r="G1155" s="2" t="str">
        <x:v>Stores</x:v>
      </x:c>
      <x:c r="H1155" s="2" t="str">
        <x:v>Riverside</x:v>
      </x:c>
      <x:c r="I1155" s="2" t="n">
        <x:v>12</x:v>
      </x:c>
      <x:c r="J1155" s="2" t="n">
        <x:v>0</x:v>
      </x:c>
      <x:c r="K1155" s="2" t="n">
        <x:f>I1155-J1155</x:f>
        <x:v>12</x:v>
      </x:c>
      <x:c r="L1155" s="16" t="n">
        <x:v>28</x:v>
      </x:c>
      <x:c r="M1155" s="16" t="n">
        <x:v>28</x:v>
      </x:c>
      <x:c r="N1155" s="16" t="n">
        <x:v>11.48</x:v>
      </x:c>
      <x:c r="O1155" s="16" t="n">
        <x:f>K1155*M1155</x:f>
        <x:v>336</x:v>
      </x:c>
      <x:c r="P1155" s="16" t="n">
        <x:f>K1155*N1155</x:f>
        <x:v>137.76</x:v>
      </x:c>
      <x:c r="Q1155" s="16" t="n">
        <x:f>O1155-P1155</x:f>
        <x:v>198.24</x:v>
      </x:c>
      <x:c r="R1155" s="2" t="n">
        <x:v>223</x:v>
      </x:c>
      <x:c r="S1155" s="2" t="n">
        <x:v>0</x:v>
      </x:c>
      <x:c r="T1155" s="2" t="n">
        <x:f>R1155+S1155+J1155-I1155</x:f>
        <x:v>211</x:v>
      </x:c>
      <x:c r="U1155" s="2" t="n">
        <x:v>0</x:v>
      </x:c>
      <x:c r="V1155" s="2" t="n">
        <x:v>4</x:v>
      </x:c>
      <x:c r="W1155" s="2" t="n">
        <x:v>11</x:v>
      </x:c>
      <x:c r="X1155" s="14" t="b">
        <x:v>0</x:v>
      </x:c>
      <x:c r="Y1155" s="14" t="b">
        <x:v>0</x:v>
      </x:c>
      <x:c r="Z1155" s="2" t="n">
        <x:f>ABS(T1155-AA1155)</x:f>
        <x:v>0</x:v>
      </x:c>
      <x:c r="AA1155" s="2" t="n">
        <x:v>211</x:v>
      </x:c>
      <x:c r="AB1155" s="2" t="n">
        <x:f>ABS(K1155-W1155)</x:f>
        <x:v>1</x:v>
      </x:c>
      <x:c r="AC1155" s="2" t="n">
        <x:f>COUNTIF($A$2:$A$1921,A1155)-1</x:f>
        <x:v>0</x:v>
      </x:c>
      <x:c r="AD1155" s="2" t="n">
        <x:f>IF(AND(D1155=D1154,H1155=H1154,C1155=C1154+1),ABS(R1155-T1154),0)</x:f>
        <x:v>0</x:v>
      </x:c>
    </x:row>
    <x:row r="1156" ht="23" customHeight="1">
      <x:c r="A1156" s="2" t="str">
        <x:v>DEMO-303-1-15</x:v>
      </x:c>
      <x:c r="B1156" s="15" t="d">
        <x:v>2026-08-10T00:00:00.000Z</x:v>
      </x:c>
      <x:c r="C1156" s="2" t="n">
        <x:v>15</x:v>
      </x:c>
      <x:c r="D1156" s="2" t="str">
        <x:v>DEMO-303</x:v>
      </x:c>
      <x:c r="E1156" s="2" t="str">
        <x:v>Weekend Flask</x:v>
      </x:c>
      <x:c r="F1156" s="2" t="str">
        <x:v>Lifestyle</x:v>
      </x:c>
      <x:c r="G1156" s="2" t="str">
        <x:v>Stores</x:v>
      </x:c>
      <x:c r="H1156" s="2" t="str">
        <x:v>Riverside</x:v>
      </x:c>
      <x:c r="I1156" s="2" t="n">
        <x:v>10</x:v>
      </x:c>
      <x:c r="J1156" s="2" t="n">
        <x:v>0</x:v>
      </x:c>
      <x:c r="K1156" s="2" t="n">
        <x:f>I1156-J1156</x:f>
        <x:v>10</x:v>
      </x:c>
      <x:c r="L1156" s="16" t="n">
        <x:v>28</x:v>
      </x:c>
      <x:c r="M1156" s="16" t="n">
        <x:v>28</x:v>
      </x:c>
      <x:c r="N1156" s="16" t="n">
        <x:v>11.48</x:v>
      </x:c>
      <x:c r="O1156" s="16" t="n">
        <x:f>K1156*M1156</x:f>
        <x:v>280</x:v>
      </x:c>
      <x:c r="P1156" s="16" t="n">
        <x:f>K1156*N1156</x:f>
        <x:v>114.80000000000001</x:v>
      </x:c>
      <x:c r="Q1156" s="16" t="n">
        <x:f>O1156-P1156</x:f>
        <x:v>165.2</x:v>
      </x:c>
      <x:c r="R1156" s="2" t="n">
        <x:v>211</x:v>
      </x:c>
      <x:c r="S1156" s="2" t="n">
        <x:v>0</x:v>
      </x:c>
      <x:c r="T1156" s="2" t="n">
        <x:f>R1156+S1156+J1156-I1156</x:f>
        <x:v>201</x:v>
      </x:c>
      <x:c r="U1156" s="2" t="n">
        <x:v>0</x:v>
      </x:c>
      <x:c r="V1156" s="2" t="n">
        <x:v>4</x:v>
      </x:c>
      <x:c r="W1156" s="2" t="n">
        <x:v>12</x:v>
      </x:c>
      <x:c r="X1156" s="14" t="b">
        <x:v>0</x:v>
      </x:c>
      <x:c r="Y1156" s="14" t="b">
        <x:v>0</x:v>
      </x:c>
      <x:c r="Z1156" s="2" t="n">
        <x:f>ABS(T1156-AA1156)</x:f>
        <x:v>0</x:v>
      </x:c>
      <x:c r="AA1156" s="2" t="n">
        <x:v>201</x:v>
      </x:c>
      <x:c r="AB1156" s="2" t="n">
        <x:f>ABS(K1156-W1156)</x:f>
        <x:v>2</x:v>
      </x:c>
      <x:c r="AC1156" s="2" t="n">
        <x:f>COUNTIF($A$2:$A$1921,A1156)-1</x:f>
        <x:v>0</x:v>
      </x:c>
      <x:c r="AD1156" s="2" t="n">
        <x:f>IF(AND(D1156=D1155,H1156=H1155,C1156=C1155+1),ABS(R1156-T1155),0)</x:f>
        <x:v>0</x:v>
      </x:c>
    </x:row>
    <x:row r="1157" ht="23" customHeight="1">
      <x:c r="A1157" s="2" t="str">
        <x:v>DEMO-303-1-16</x:v>
      </x:c>
      <x:c r="B1157" s="15" t="d">
        <x:v>2026-08-17T00:00:00.000Z</x:v>
      </x:c>
      <x:c r="C1157" s="2" t="n">
        <x:v>16</x:v>
      </x:c>
      <x:c r="D1157" s="2" t="str">
        <x:v>DEMO-303</x:v>
      </x:c>
      <x:c r="E1157" s="2" t="str">
        <x:v>Weekend Flask</x:v>
      </x:c>
      <x:c r="F1157" s="2" t="str">
        <x:v>Lifestyle</x:v>
      </x:c>
      <x:c r="G1157" s="2" t="str">
        <x:v>Stores</x:v>
      </x:c>
      <x:c r="H1157" s="2" t="str">
        <x:v>Riverside</x:v>
      </x:c>
      <x:c r="I1157" s="2" t="n">
        <x:v>9</x:v>
      </x:c>
      <x:c r="J1157" s="2" t="n">
        <x:v>1</x:v>
      </x:c>
      <x:c r="K1157" s="2" t="n">
        <x:f>I1157-J1157</x:f>
        <x:v>8</x:v>
      </x:c>
      <x:c r="L1157" s="16" t="n">
        <x:v>28</x:v>
      </x:c>
      <x:c r="M1157" s="16" t="n">
        <x:v>28</x:v>
      </x:c>
      <x:c r="N1157" s="16" t="n">
        <x:v>11.48</x:v>
      </x:c>
      <x:c r="O1157" s="16" t="n">
        <x:f>K1157*M1157</x:f>
        <x:v>224</x:v>
      </x:c>
      <x:c r="P1157" s="16" t="n">
        <x:f>K1157*N1157</x:f>
        <x:v>91.84</x:v>
      </x:c>
      <x:c r="Q1157" s="16" t="n">
        <x:f>O1157-P1157</x:f>
        <x:v>132.16</x:v>
      </x:c>
      <x:c r="R1157" s="2" t="n">
        <x:v>201</x:v>
      </x:c>
      <x:c r="S1157" s="2" t="n">
        <x:v>0</x:v>
      </x:c>
      <x:c r="T1157" s="2" t="n">
        <x:f>R1157+S1157+J1157-I1157</x:f>
        <x:v>193</x:v>
      </x:c>
      <x:c r="U1157" s="2" t="n">
        <x:v>0</x:v>
      </x:c>
      <x:c r="V1157" s="2" t="n">
        <x:v>4</x:v>
      </x:c>
      <x:c r="W1157" s="2" t="n">
        <x:v>12</x:v>
      </x:c>
      <x:c r="X1157" s="14" t="b">
        <x:v>0</x:v>
      </x:c>
      <x:c r="Y1157" s="14" t="b">
        <x:v>0</x:v>
      </x:c>
      <x:c r="Z1157" s="2" t="n">
        <x:f>ABS(T1157-AA1157)</x:f>
        <x:v>0</x:v>
      </x:c>
      <x:c r="AA1157" s="2" t="n">
        <x:v>193</x:v>
      </x:c>
      <x:c r="AB1157" s="2" t="n">
        <x:f>ABS(K1157-W1157)</x:f>
        <x:v>4</x:v>
      </x:c>
      <x:c r="AC1157" s="2" t="n">
        <x:f>COUNTIF($A$2:$A$1921,A1157)-1</x:f>
        <x:v>0</x:v>
      </x:c>
      <x:c r="AD1157" s="2" t="n">
        <x:f>IF(AND(D1157=D1156,H1157=H1156,C1157=C1156+1),ABS(R1157-T1156),0)</x:f>
        <x:v>0</x:v>
      </x:c>
    </x:row>
    <x:row r="1158" ht="23" customHeight="1">
      <x:c r="A1158" s="2" t="str">
        <x:v>DEMO-303-1-17</x:v>
      </x:c>
      <x:c r="B1158" s="15" t="d">
        <x:v>2026-08-24T00:00:00.000Z</x:v>
      </x:c>
      <x:c r="C1158" s="2" t="n">
        <x:v>17</x:v>
      </x:c>
      <x:c r="D1158" s="2" t="str">
        <x:v>DEMO-303</x:v>
      </x:c>
      <x:c r="E1158" s="2" t="str">
        <x:v>Weekend Flask</x:v>
      </x:c>
      <x:c r="F1158" s="2" t="str">
        <x:v>Lifestyle</x:v>
      </x:c>
      <x:c r="G1158" s="2" t="str">
        <x:v>Stores</x:v>
      </x:c>
      <x:c r="H1158" s="2" t="str">
        <x:v>Riverside</x:v>
      </x:c>
      <x:c r="I1158" s="2" t="n">
        <x:v>12</x:v>
      </x:c>
      <x:c r="J1158" s="2" t="n">
        <x:v>0</x:v>
      </x:c>
      <x:c r="K1158" s="2" t="n">
        <x:f>I1158-J1158</x:f>
        <x:v>12</x:v>
      </x:c>
      <x:c r="L1158" s="16" t="n">
        <x:v>28</x:v>
      </x:c>
      <x:c r="M1158" s="16" t="n">
        <x:v>22.4</x:v>
      </x:c>
      <x:c r="N1158" s="16" t="n">
        <x:v>11.48</x:v>
      </x:c>
      <x:c r="O1158" s="16" t="n">
        <x:f>K1158*M1158</x:f>
        <x:v>268.79999999999995</x:v>
      </x:c>
      <x:c r="P1158" s="16" t="n">
        <x:f>K1158*N1158</x:f>
        <x:v>137.76</x:v>
      </x:c>
      <x:c r="Q1158" s="16" t="n">
        <x:f>O1158-P1158</x:f>
        <x:v>131.03999999999996</x:v>
      </x:c>
      <x:c r="R1158" s="2" t="n">
        <x:v>193</x:v>
      </x:c>
      <x:c r="S1158" s="2" t="n">
        <x:v>65</x:v>
      </x:c>
      <x:c r="T1158" s="2" t="n">
        <x:f>R1158+S1158+J1158-I1158</x:f>
        <x:v>246</x:v>
      </x:c>
      <x:c r="U1158" s="2" t="n">
        <x:v>0</x:v>
      </x:c>
      <x:c r="V1158" s="2" t="n">
        <x:v>4</x:v>
      </x:c>
      <x:c r="W1158" s="2" t="n">
        <x:v>11</x:v>
      </x:c>
      <x:c r="X1158" s="14" t="b">
        <x:v>0</x:v>
      </x:c>
      <x:c r="Y1158" s="14" t="b">
        <x:v>1</x:v>
      </x:c>
      <x:c r="Z1158" s="2" t="n">
        <x:f>ABS(T1158-AA1158)</x:f>
        <x:v>0</x:v>
      </x:c>
      <x:c r="AA1158" s="2" t="n">
        <x:v>246</x:v>
      </x:c>
      <x:c r="AB1158" s="2" t="n">
        <x:f>ABS(K1158-W1158)</x:f>
        <x:v>1</x:v>
      </x:c>
      <x:c r="AC1158" s="2" t="n">
        <x:f>COUNTIF($A$2:$A$1921,A1158)-1</x:f>
        <x:v>0</x:v>
      </x:c>
      <x:c r="AD1158" s="2" t="n">
        <x:f>IF(AND(D1158=D1157,H1158=H1157,C1158=C1157+1),ABS(R1158-T1157),0)</x:f>
        <x:v>0</x:v>
      </x:c>
    </x:row>
    <x:row r="1159" ht="23" customHeight="1">
      <x:c r="A1159" s="2" t="str">
        <x:v>DEMO-303-1-18</x:v>
      </x:c>
      <x:c r="B1159" s="15" t="d">
        <x:v>2026-08-31T00:00:00.000Z</x:v>
      </x:c>
      <x:c r="C1159" s="2" t="n">
        <x:v>18</x:v>
      </x:c>
      <x:c r="D1159" s="2" t="str">
        <x:v>DEMO-303</x:v>
      </x:c>
      <x:c r="E1159" s="2" t="str">
        <x:v>Weekend Flask</x:v>
      </x:c>
      <x:c r="F1159" s="2" t="str">
        <x:v>Lifestyle</x:v>
      </x:c>
      <x:c r="G1159" s="2" t="str">
        <x:v>Stores</x:v>
      </x:c>
      <x:c r="H1159" s="2" t="str">
        <x:v>Riverside</x:v>
      </x:c>
      <x:c r="I1159" s="2" t="n">
        <x:v>12</x:v>
      </x:c>
      <x:c r="J1159" s="2" t="n">
        <x:v>0</x:v>
      </x:c>
      <x:c r="K1159" s="2" t="n">
        <x:f>I1159-J1159</x:f>
        <x:v>12</x:v>
      </x:c>
      <x:c r="L1159" s="16" t="n">
        <x:v>28</x:v>
      </x:c>
      <x:c r="M1159" s="16" t="n">
        <x:v>22.4</x:v>
      </x:c>
      <x:c r="N1159" s="16" t="n">
        <x:v>11.48</x:v>
      </x:c>
      <x:c r="O1159" s="16" t="n">
        <x:f>K1159*M1159</x:f>
        <x:v>268.79999999999995</x:v>
      </x:c>
      <x:c r="P1159" s="16" t="n">
        <x:f>K1159*N1159</x:f>
        <x:v>137.76</x:v>
      </x:c>
      <x:c r="Q1159" s="16" t="n">
        <x:f>O1159-P1159</x:f>
        <x:v>131.03999999999996</x:v>
      </x:c>
      <x:c r="R1159" s="2" t="n">
        <x:v>246</x:v>
      </x:c>
      <x:c r="S1159" s="2" t="n">
        <x:v>0</x:v>
      </x:c>
      <x:c r="T1159" s="2" t="n">
        <x:f>R1159+S1159+J1159-I1159</x:f>
        <x:v>234</x:v>
      </x:c>
      <x:c r="U1159" s="2" t="n">
        <x:v>0</x:v>
      </x:c>
      <x:c r="V1159" s="2" t="n">
        <x:v>4</x:v>
      </x:c>
      <x:c r="W1159" s="2" t="n">
        <x:v>11</x:v>
      </x:c>
      <x:c r="X1159" s="14" t="b">
        <x:v>0</x:v>
      </x:c>
      <x:c r="Y1159" s="14" t="b">
        <x:v>1</x:v>
      </x:c>
      <x:c r="Z1159" s="2" t="n">
        <x:f>ABS(T1159-AA1159)</x:f>
        <x:v>0</x:v>
      </x:c>
      <x:c r="AA1159" s="2" t="n">
        <x:v>234</x:v>
      </x:c>
      <x:c r="AB1159" s="2" t="n">
        <x:f>ABS(K1159-W1159)</x:f>
        <x:v>1</x:v>
      </x:c>
      <x:c r="AC1159" s="2" t="n">
        <x:f>COUNTIF($A$2:$A$1921,A1159)-1</x:f>
        <x:v>0</x:v>
      </x:c>
      <x:c r="AD1159" s="2" t="n">
        <x:f>IF(AND(D1159=D1158,H1159=H1158,C1159=C1158+1),ABS(R1159-T1158),0)</x:f>
        <x:v>0</x:v>
      </x:c>
    </x:row>
    <x:row r="1160" ht="23" customHeight="1">
      <x:c r="A1160" s="2" t="str">
        <x:v>DEMO-303-1-19</x:v>
      </x:c>
      <x:c r="B1160" s="15" t="d">
        <x:v>2026-09-07T00:00:00.000Z</x:v>
      </x:c>
      <x:c r="C1160" s="2" t="n">
        <x:v>19</x:v>
      </x:c>
      <x:c r="D1160" s="2" t="str">
        <x:v>DEMO-303</x:v>
      </x:c>
      <x:c r="E1160" s="2" t="str">
        <x:v>Weekend Flask</x:v>
      </x:c>
      <x:c r="F1160" s="2" t="str">
        <x:v>Lifestyle</x:v>
      </x:c>
      <x:c r="G1160" s="2" t="str">
        <x:v>Stores</x:v>
      </x:c>
      <x:c r="H1160" s="2" t="str">
        <x:v>Riverside</x:v>
      </x:c>
      <x:c r="I1160" s="2" t="n">
        <x:v>10</x:v>
      </x:c>
      <x:c r="J1160" s="2" t="n">
        <x:v>0</x:v>
      </x:c>
      <x:c r="K1160" s="2" t="n">
        <x:f>I1160-J1160</x:f>
        <x:v>10</x:v>
      </x:c>
      <x:c r="L1160" s="16" t="n">
        <x:v>28</x:v>
      </x:c>
      <x:c r="M1160" s="16" t="n">
        <x:v>22.4</x:v>
      </x:c>
      <x:c r="N1160" s="16" t="n">
        <x:v>11.48</x:v>
      </x:c>
      <x:c r="O1160" s="16" t="n">
        <x:f>K1160*M1160</x:f>
        <x:v>224</x:v>
      </x:c>
      <x:c r="P1160" s="16" t="n">
        <x:f>K1160*N1160</x:f>
        <x:v>114.80000000000001</x:v>
      </x:c>
      <x:c r="Q1160" s="16" t="n">
        <x:f>O1160-P1160</x:f>
        <x:v>109.19999999999999</x:v>
      </x:c>
      <x:c r="R1160" s="2" t="n">
        <x:v>234</x:v>
      </x:c>
      <x:c r="S1160" s="2" t="n">
        <x:v>0</x:v>
      </x:c>
      <x:c r="T1160" s="2" t="n">
        <x:f>R1160+S1160+J1160-I1160</x:f>
        <x:v>224</x:v>
      </x:c>
      <x:c r="U1160" s="2" t="n">
        <x:v>0</x:v>
      </x:c>
      <x:c r="V1160" s="2" t="n">
        <x:v>4</x:v>
      </x:c>
      <x:c r="W1160" s="2" t="n">
        <x:v>11</x:v>
      </x:c>
      <x:c r="X1160" s="14" t="b">
        <x:v>0</x:v>
      </x:c>
      <x:c r="Y1160" s="14" t="b">
        <x:v>1</x:v>
      </x:c>
      <x:c r="Z1160" s="2" t="n">
        <x:f>ABS(T1160-AA1160)</x:f>
        <x:v>0</x:v>
      </x:c>
      <x:c r="AA1160" s="2" t="n">
        <x:v>224</x:v>
      </x:c>
      <x:c r="AB1160" s="2" t="n">
        <x:f>ABS(K1160-W1160)</x:f>
        <x:v>1</x:v>
      </x:c>
      <x:c r="AC1160" s="2" t="n">
        <x:f>COUNTIF($A$2:$A$1921,A1160)-1</x:f>
        <x:v>0</x:v>
      </x:c>
      <x:c r="AD1160" s="2" t="n">
        <x:f>IF(AND(D1160=D1159,H1160=H1159,C1160=C1159+1),ABS(R1160-T1159),0)</x:f>
        <x:v>0</x:v>
      </x:c>
    </x:row>
    <x:row r="1161" ht="23" customHeight="1">
      <x:c r="A1161" s="2" t="str">
        <x:v>DEMO-303-1-20</x:v>
      </x:c>
      <x:c r="B1161" s="15" t="d">
        <x:v>2026-09-14T00:00:00.000Z</x:v>
      </x:c>
      <x:c r="C1161" s="2" t="n">
        <x:v>20</x:v>
      </x:c>
      <x:c r="D1161" s="2" t="str">
        <x:v>DEMO-303</x:v>
      </x:c>
      <x:c r="E1161" s="2" t="str">
        <x:v>Weekend Flask</x:v>
      </x:c>
      <x:c r="F1161" s="2" t="str">
        <x:v>Lifestyle</x:v>
      </x:c>
      <x:c r="G1161" s="2" t="str">
        <x:v>Stores</x:v>
      </x:c>
      <x:c r="H1161" s="2" t="str">
        <x:v>Riverside</x:v>
      </x:c>
      <x:c r="I1161" s="2" t="n">
        <x:v>10</x:v>
      </x:c>
      <x:c r="J1161" s="2" t="n">
        <x:v>0</x:v>
      </x:c>
      <x:c r="K1161" s="2" t="n">
        <x:f>I1161-J1161</x:f>
        <x:v>10</x:v>
      </x:c>
      <x:c r="L1161" s="16" t="n">
        <x:v>28</x:v>
      </x:c>
      <x:c r="M1161" s="16" t="n">
        <x:v>22.4</x:v>
      </x:c>
      <x:c r="N1161" s="16" t="n">
        <x:v>11.48</x:v>
      </x:c>
      <x:c r="O1161" s="16" t="n">
        <x:f>K1161*M1161</x:f>
        <x:v>224</x:v>
      </x:c>
      <x:c r="P1161" s="16" t="n">
        <x:f>K1161*N1161</x:f>
        <x:v>114.80000000000001</x:v>
      </x:c>
      <x:c r="Q1161" s="16" t="n">
        <x:f>O1161-P1161</x:f>
        <x:v>109.19999999999999</x:v>
      </x:c>
      <x:c r="R1161" s="2" t="n">
        <x:v>224</x:v>
      </x:c>
      <x:c r="S1161" s="2" t="n">
        <x:v>0</x:v>
      </x:c>
      <x:c r="T1161" s="2" t="n">
        <x:f>R1161+S1161+J1161-I1161</x:f>
        <x:v>214</x:v>
      </x:c>
      <x:c r="U1161" s="2" t="n">
        <x:v>24</x:v>
      </x:c>
      <x:c r="V1161" s="2" t="n">
        <x:v>4</x:v>
      </x:c>
      <x:c r="W1161" s="2" t="n">
        <x:v>11</x:v>
      </x:c>
      <x:c r="X1161" s="14" t="b">
        <x:v>0</x:v>
      </x:c>
      <x:c r="Y1161" s="14" t="b">
        <x:v>1</x:v>
      </x:c>
      <x:c r="Z1161" s="2" t="n">
        <x:f>ABS(T1161-AA1161)</x:f>
        <x:v>0</x:v>
      </x:c>
      <x:c r="AA1161" s="2" t="n">
        <x:v>214</x:v>
      </x:c>
      <x:c r="AB1161" s="2" t="n">
        <x:f>ABS(K1161-W1161)</x:f>
        <x:v>1</x:v>
      </x:c>
      <x:c r="AC1161" s="2" t="n">
        <x:f>COUNTIF($A$2:$A$1921,A1161)-1</x:f>
        <x:v>0</x:v>
      </x:c>
      <x:c r="AD1161" s="2" t="n">
        <x:f>IF(AND(D1161=D1160,H1161=H1160,C1161=C1160+1),ABS(R1161-T1160),0)</x:f>
        <x:v>0</x:v>
      </x:c>
    </x:row>
    <x:row r="1162" ht="23" customHeight="1">
      <x:c r="A1162" s="2" t="str">
        <x:v>DEMO-303-2-1</x:v>
      </x:c>
      <x:c r="B1162" s="15" t="d">
        <x:v>2026-05-04T00:00:00.000Z</x:v>
      </x:c>
      <x:c r="C1162" s="2" t="n">
        <x:v>1</x:v>
      </x:c>
      <x:c r="D1162" s="2" t="str">
        <x:v>DEMO-303</x:v>
      </x:c>
      <x:c r="E1162" s="2" t="str">
        <x:v>Weekend Flask</x:v>
      </x:c>
      <x:c r="F1162" s="2" t="str">
        <x:v>Lifestyle</x:v>
      </x:c>
      <x:c r="G1162" s="2" t="str">
        <x:v>Stores</x:v>
      </x:c>
      <x:c r="H1162" s="2" t="str">
        <x:v>Central Market</x:v>
      </x:c>
      <x:c r="I1162" s="2" t="n">
        <x:v>13</x:v>
      </x:c>
      <x:c r="J1162" s="2" t="n">
        <x:v>0</x:v>
      </x:c>
      <x:c r="K1162" s="2" t="n">
        <x:f>I1162-J1162</x:f>
        <x:v>13</x:v>
      </x:c>
      <x:c r="L1162" s="16" t="n">
        <x:v>28</x:v>
      </x:c>
      <x:c r="M1162" s="16" t="n">
        <x:v>28</x:v>
      </x:c>
      <x:c r="N1162" s="16" t="n">
        <x:v>11.48</x:v>
      </x:c>
      <x:c r="O1162" s="16" t="n">
        <x:f>K1162*M1162</x:f>
        <x:v>364</x:v>
      </x:c>
      <x:c r="P1162" s="16" t="n">
        <x:f>K1162*N1162</x:f>
        <x:v>149.24</x:v>
      </x:c>
      <x:c r="Q1162" s="16" t="n">
        <x:f>O1162-P1162</x:f>
        <x:v>214.76</x:v>
      </x:c>
      <x:c r="R1162" s="2" t="n">
        <x:v>140</x:v>
      </x:c>
      <x:c r="S1162" s="2" t="n">
        <x:v>65</x:v>
      </x:c>
      <x:c r="T1162" s="2" t="n">
        <x:f>R1162+S1162+J1162-I1162</x:f>
        <x:v>192</x:v>
      </x:c>
      <x:c r="U1162" s="2" t="n">
        <x:v>0</x:v>
      </x:c>
      <x:c r="V1162" s="2" t="n">
        <x:v>4</x:v>
      </x:c>
      <x:c r="W1162" s="2" t="n">
        <x:v>17</x:v>
      </x:c>
      <x:c r="X1162" s="14" t="b">
        <x:v>0</x:v>
      </x:c>
      <x:c r="Y1162" s="14" t="b">
        <x:v>0</x:v>
      </x:c>
      <x:c r="Z1162" s="2" t="n">
        <x:f>ABS(T1162-AA1162)</x:f>
        <x:v>0</x:v>
      </x:c>
      <x:c r="AA1162" s="2" t="n">
        <x:v>192</x:v>
      </x:c>
      <x:c r="AB1162" s="2" t="n">
        <x:f>ABS(K1162-W1162)</x:f>
        <x:v>4</x:v>
      </x:c>
      <x:c r="AC1162" s="2" t="n">
        <x:f>COUNTIF($A$2:$A$1921,A1162)-1</x:f>
        <x:v>0</x:v>
      </x:c>
      <x:c r="AD1162" s="2" t="n">
        <x:f>IF(AND(D1162=D1161,H1162=H1161,C1162=C1161+1),ABS(R1162-T1161),0)</x:f>
        <x:v>0</x:v>
      </x:c>
    </x:row>
    <x:row r="1163" ht="23" customHeight="1">
      <x:c r="A1163" s="2" t="str">
        <x:v>DEMO-303-2-2</x:v>
      </x:c>
      <x:c r="B1163" s="15" t="d">
        <x:v>2026-05-11T00:00:00.000Z</x:v>
      </x:c>
      <x:c r="C1163" s="2" t="n">
        <x:v>2</x:v>
      </x:c>
      <x:c r="D1163" s="2" t="str">
        <x:v>DEMO-303</x:v>
      </x:c>
      <x:c r="E1163" s="2" t="str">
        <x:v>Weekend Flask</x:v>
      </x:c>
      <x:c r="F1163" s="2" t="str">
        <x:v>Lifestyle</x:v>
      </x:c>
      <x:c r="G1163" s="2" t="str">
        <x:v>Stores</x:v>
      </x:c>
      <x:c r="H1163" s="2" t="str">
        <x:v>Central Market</x:v>
      </x:c>
      <x:c r="I1163" s="2" t="n">
        <x:v>16</x:v>
      </x:c>
      <x:c r="J1163" s="2" t="n">
        <x:v>0</x:v>
      </x:c>
      <x:c r="K1163" s="2" t="n">
        <x:f>I1163-J1163</x:f>
        <x:v>16</x:v>
      </x:c>
      <x:c r="L1163" s="16" t="n">
        <x:v>28</x:v>
      </x:c>
      <x:c r="M1163" s="16" t="n">
        <x:v>28</x:v>
      </x:c>
      <x:c r="N1163" s="16" t="n">
        <x:v>11.48</x:v>
      </x:c>
      <x:c r="O1163" s="16" t="n">
        <x:f>K1163*M1163</x:f>
        <x:v>448</x:v>
      </x:c>
      <x:c r="P1163" s="16" t="n">
        <x:f>K1163*N1163</x:f>
        <x:v>183.68</x:v>
      </x:c>
      <x:c r="Q1163" s="16" t="n">
        <x:f>O1163-P1163</x:f>
        <x:v>264.32</x:v>
      </x:c>
      <x:c r="R1163" s="2" t="n">
        <x:v>192</x:v>
      </x:c>
      <x:c r="S1163" s="2" t="n">
        <x:v>0</x:v>
      </x:c>
      <x:c r="T1163" s="2" t="n">
        <x:f>R1163+S1163+J1163-I1163</x:f>
        <x:v>176</x:v>
      </x:c>
      <x:c r="U1163" s="2" t="n">
        <x:v>0</x:v>
      </x:c>
      <x:c r="V1163" s="2" t="n">
        <x:v>4</x:v>
      </x:c>
      <x:c r="W1163" s="2" t="n">
        <x:v>13</x:v>
      </x:c>
      <x:c r="X1163" s="14" t="b">
        <x:v>0</x:v>
      </x:c>
      <x:c r="Y1163" s="14" t="b">
        <x:v>0</x:v>
      </x:c>
      <x:c r="Z1163" s="2" t="n">
        <x:f>ABS(T1163-AA1163)</x:f>
        <x:v>0</x:v>
      </x:c>
      <x:c r="AA1163" s="2" t="n">
        <x:v>176</x:v>
      </x:c>
      <x:c r="AB1163" s="2" t="n">
        <x:f>ABS(K1163-W1163)</x:f>
        <x:v>3</x:v>
      </x:c>
      <x:c r="AC1163" s="2" t="n">
        <x:f>COUNTIF($A$2:$A$1921,A1163)-1</x:f>
        <x:v>0</x:v>
      </x:c>
      <x:c r="AD1163" s="2" t="n">
        <x:f>IF(AND(D1163=D1162,H1163=H1162,C1163=C1162+1),ABS(R1163-T1162),0)</x:f>
        <x:v>0</x:v>
      </x:c>
    </x:row>
    <x:row r="1164" ht="23" customHeight="1">
      <x:c r="A1164" s="2" t="str">
        <x:v>DEMO-303-2-3</x:v>
      </x:c>
      <x:c r="B1164" s="15" t="d">
        <x:v>2026-05-18T00:00:00.000Z</x:v>
      </x:c>
      <x:c r="C1164" s="2" t="n">
        <x:v>3</x:v>
      </x:c>
      <x:c r="D1164" s="2" t="str">
        <x:v>DEMO-303</x:v>
      </x:c>
      <x:c r="E1164" s="2" t="str">
        <x:v>Weekend Flask</x:v>
      </x:c>
      <x:c r="F1164" s="2" t="str">
        <x:v>Lifestyle</x:v>
      </x:c>
      <x:c r="G1164" s="2" t="str">
        <x:v>Stores</x:v>
      </x:c>
      <x:c r="H1164" s="2" t="str">
        <x:v>Central Market</x:v>
      </x:c>
      <x:c r="I1164" s="2" t="n">
        <x:v>15</x:v>
      </x:c>
      <x:c r="J1164" s="2" t="n">
        <x:v>0</x:v>
      </x:c>
      <x:c r="K1164" s="2" t="n">
        <x:f>I1164-J1164</x:f>
        <x:v>15</x:v>
      </x:c>
      <x:c r="L1164" s="16" t="n">
        <x:v>28</x:v>
      </x:c>
      <x:c r="M1164" s="16" t="n">
        <x:v>28</x:v>
      </x:c>
      <x:c r="N1164" s="16" t="n">
        <x:v>11.48</x:v>
      </x:c>
      <x:c r="O1164" s="16" t="n">
        <x:f>K1164*M1164</x:f>
        <x:v>420</x:v>
      </x:c>
      <x:c r="P1164" s="16" t="n">
        <x:f>K1164*N1164</x:f>
        <x:v>172.20000000000002</x:v>
      </x:c>
      <x:c r="Q1164" s="16" t="n">
        <x:f>O1164-P1164</x:f>
        <x:v>247.79999999999998</x:v>
      </x:c>
      <x:c r="R1164" s="2" t="n">
        <x:v>176</x:v>
      </x:c>
      <x:c r="S1164" s="2" t="n">
        <x:v>0</x:v>
      </x:c>
      <x:c r="T1164" s="2" t="n">
        <x:f>R1164+S1164+J1164-I1164</x:f>
        <x:v>161</x:v>
      </x:c>
      <x:c r="U1164" s="2" t="n">
        <x:v>0</x:v>
      </x:c>
      <x:c r="V1164" s="2" t="n">
        <x:v>4</x:v>
      </x:c>
      <x:c r="W1164" s="2" t="n">
        <x:v>15</x:v>
      </x:c>
      <x:c r="X1164" s="14" t="b">
        <x:v>0</x:v>
      </x:c>
      <x:c r="Y1164" s="14" t="b">
        <x:v>0</x:v>
      </x:c>
      <x:c r="Z1164" s="2" t="n">
        <x:f>ABS(T1164-AA1164)</x:f>
        <x:v>0</x:v>
      </x:c>
      <x:c r="AA1164" s="2" t="n">
        <x:v>161</x:v>
      </x:c>
      <x:c r="AB1164" s="2" t="n">
        <x:f>ABS(K1164-W1164)</x:f>
        <x:v>0</x:v>
      </x:c>
      <x:c r="AC1164" s="2" t="n">
        <x:f>COUNTIF($A$2:$A$1921,A1164)-1</x:f>
        <x:v>0</x:v>
      </x:c>
      <x:c r="AD1164" s="2" t="n">
        <x:f>IF(AND(D1164=D1163,H1164=H1163,C1164=C1163+1),ABS(R1164-T1163),0)</x:f>
        <x:v>0</x:v>
      </x:c>
    </x:row>
    <x:row r="1165" ht="23" customHeight="1">
      <x:c r="A1165" s="2" t="str">
        <x:v>DEMO-303-2-4</x:v>
      </x:c>
      <x:c r="B1165" s="15" t="d">
        <x:v>2026-05-25T00:00:00.000Z</x:v>
      </x:c>
      <x:c r="C1165" s="2" t="n">
        <x:v>4</x:v>
      </x:c>
      <x:c r="D1165" s="2" t="str">
        <x:v>DEMO-303</x:v>
      </x:c>
      <x:c r="E1165" s="2" t="str">
        <x:v>Weekend Flask</x:v>
      </x:c>
      <x:c r="F1165" s="2" t="str">
        <x:v>Lifestyle</x:v>
      </x:c>
      <x:c r="G1165" s="2" t="str">
        <x:v>Stores</x:v>
      </x:c>
      <x:c r="H1165" s="2" t="str">
        <x:v>Central Market</x:v>
      </x:c>
      <x:c r="I1165" s="2" t="n">
        <x:v>15</x:v>
      </x:c>
      <x:c r="J1165" s="2" t="n">
        <x:v>0</x:v>
      </x:c>
      <x:c r="K1165" s="2" t="n">
        <x:f>I1165-J1165</x:f>
        <x:v>15</x:v>
      </x:c>
      <x:c r="L1165" s="16" t="n">
        <x:v>28</x:v>
      </x:c>
      <x:c r="M1165" s="16" t="n">
        <x:v>28</x:v>
      </x:c>
      <x:c r="N1165" s="16" t="n">
        <x:v>11.48</x:v>
      </x:c>
      <x:c r="O1165" s="16" t="n">
        <x:f>K1165*M1165</x:f>
        <x:v>420</x:v>
      </x:c>
      <x:c r="P1165" s="16" t="n">
        <x:f>K1165*N1165</x:f>
        <x:v>172.20000000000002</x:v>
      </x:c>
      <x:c r="Q1165" s="16" t="n">
        <x:f>O1165-P1165</x:f>
        <x:v>247.79999999999998</x:v>
      </x:c>
      <x:c r="R1165" s="2" t="n">
        <x:v>161</x:v>
      </x:c>
      <x:c r="S1165" s="2" t="n">
        <x:v>0</x:v>
      </x:c>
      <x:c r="T1165" s="2" t="n">
        <x:f>R1165+S1165+J1165-I1165</x:f>
        <x:v>146</x:v>
      </x:c>
      <x:c r="U1165" s="2" t="n">
        <x:v>0</x:v>
      </x:c>
      <x:c r="V1165" s="2" t="n">
        <x:v>4</x:v>
      </x:c>
      <x:c r="W1165" s="2" t="n">
        <x:v>15</x:v>
      </x:c>
      <x:c r="X1165" s="14" t="b">
        <x:v>0</x:v>
      </x:c>
      <x:c r="Y1165" s="14" t="b">
        <x:v>0</x:v>
      </x:c>
      <x:c r="Z1165" s="2" t="n">
        <x:f>ABS(T1165-AA1165)</x:f>
        <x:v>0</x:v>
      </x:c>
      <x:c r="AA1165" s="2" t="n">
        <x:v>146</x:v>
      </x:c>
      <x:c r="AB1165" s="2" t="n">
        <x:f>ABS(K1165-W1165)</x:f>
        <x:v>0</x:v>
      </x:c>
      <x:c r="AC1165" s="2" t="n">
        <x:f>COUNTIF($A$2:$A$1921,A1165)-1</x:f>
        <x:v>0</x:v>
      </x:c>
      <x:c r="AD1165" s="2" t="n">
        <x:f>IF(AND(D1165=D1164,H1165=H1164,C1165=C1164+1),ABS(R1165-T1164),0)</x:f>
        <x:v>0</x:v>
      </x:c>
    </x:row>
    <x:row r="1166" ht="23" customHeight="1">
      <x:c r="A1166" s="2" t="str">
        <x:v>DEMO-303-2-5</x:v>
      </x:c>
      <x:c r="B1166" s="15" t="d">
        <x:v>2026-06-01T00:00:00.000Z</x:v>
      </x:c>
      <x:c r="C1166" s="2" t="n">
        <x:v>5</x:v>
      </x:c>
      <x:c r="D1166" s="2" t="str">
        <x:v>DEMO-303</x:v>
      </x:c>
      <x:c r="E1166" s="2" t="str">
        <x:v>Weekend Flask</x:v>
      </x:c>
      <x:c r="F1166" s="2" t="str">
        <x:v>Lifestyle</x:v>
      </x:c>
      <x:c r="G1166" s="2" t="str">
        <x:v>Stores</x:v>
      </x:c>
      <x:c r="H1166" s="2" t="str">
        <x:v>Central Market</x:v>
      </x:c>
      <x:c r="I1166" s="2" t="n">
        <x:v>16</x:v>
      </x:c>
      <x:c r="J1166" s="2" t="n">
        <x:v>0</x:v>
      </x:c>
      <x:c r="K1166" s="2" t="n">
        <x:f>I1166-J1166</x:f>
        <x:v>16</x:v>
      </x:c>
      <x:c r="L1166" s="16" t="n">
        <x:v>28</x:v>
      </x:c>
      <x:c r="M1166" s="16" t="n">
        <x:v>28</x:v>
      </x:c>
      <x:c r="N1166" s="16" t="n">
        <x:v>11.48</x:v>
      </x:c>
      <x:c r="O1166" s="16" t="n">
        <x:f>K1166*M1166</x:f>
        <x:v>448</x:v>
      </x:c>
      <x:c r="P1166" s="16" t="n">
        <x:f>K1166*N1166</x:f>
        <x:v>183.68</x:v>
      </x:c>
      <x:c r="Q1166" s="16" t="n">
        <x:f>O1166-P1166</x:f>
        <x:v>264.32</x:v>
      </x:c>
      <x:c r="R1166" s="2" t="n">
        <x:v>146</x:v>
      </x:c>
      <x:c r="S1166" s="2" t="n">
        <x:v>65</x:v>
      </x:c>
      <x:c r="T1166" s="2" t="n">
        <x:f>R1166+S1166+J1166-I1166</x:f>
        <x:v>195</x:v>
      </x:c>
      <x:c r="U1166" s="2" t="n">
        <x:v>0</x:v>
      </x:c>
      <x:c r="V1166" s="2" t="n">
        <x:v>4</x:v>
      </x:c>
      <x:c r="W1166" s="2" t="n">
        <x:v>15</x:v>
      </x:c>
      <x:c r="X1166" s="14" t="b">
        <x:v>0</x:v>
      </x:c>
      <x:c r="Y1166" s="14" t="b">
        <x:v>0</x:v>
      </x:c>
      <x:c r="Z1166" s="2" t="n">
        <x:f>ABS(T1166-AA1166)</x:f>
        <x:v>0</x:v>
      </x:c>
      <x:c r="AA1166" s="2" t="n">
        <x:v>195</x:v>
      </x:c>
      <x:c r="AB1166" s="2" t="n">
        <x:f>ABS(K1166-W1166)</x:f>
        <x:v>1</x:v>
      </x:c>
      <x:c r="AC1166" s="2" t="n">
        <x:f>COUNTIF($A$2:$A$1921,A1166)-1</x:f>
        <x:v>0</x:v>
      </x:c>
      <x:c r="AD1166" s="2" t="n">
        <x:f>IF(AND(D1166=D1165,H1166=H1165,C1166=C1165+1),ABS(R1166-T1165),0)</x:f>
        <x:v>0</x:v>
      </x:c>
    </x:row>
    <x:row r="1167" ht="23" customHeight="1">
      <x:c r="A1167" s="2" t="str">
        <x:v>DEMO-303-2-6</x:v>
      </x:c>
      <x:c r="B1167" s="15" t="d">
        <x:v>2026-06-08T00:00:00.000Z</x:v>
      </x:c>
      <x:c r="C1167" s="2" t="n">
        <x:v>6</x:v>
      </x:c>
      <x:c r="D1167" s="2" t="str">
        <x:v>DEMO-303</x:v>
      </x:c>
      <x:c r="E1167" s="2" t="str">
        <x:v>Weekend Flask</x:v>
      </x:c>
      <x:c r="F1167" s="2" t="str">
        <x:v>Lifestyle</x:v>
      </x:c>
      <x:c r="G1167" s="2" t="str">
        <x:v>Stores</x:v>
      </x:c>
      <x:c r="H1167" s="2" t="str">
        <x:v>Central Market</x:v>
      </x:c>
      <x:c r="I1167" s="2" t="n">
        <x:v>16</x:v>
      </x:c>
      <x:c r="J1167" s="2" t="n">
        <x:v>0</x:v>
      </x:c>
      <x:c r="K1167" s="2" t="n">
        <x:f>I1167-J1167</x:f>
        <x:v>16</x:v>
      </x:c>
      <x:c r="L1167" s="16" t="n">
        <x:v>28</x:v>
      </x:c>
      <x:c r="M1167" s="16" t="n">
        <x:v>28</x:v>
      </x:c>
      <x:c r="N1167" s="16" t="n">
        <x:v>11.48</x:v>
      </x:c>
      <x:c r="O1167" s="16" t="n">
        <x:f>K1167*M1167</x:f>
        <x:v>448</x:v>
      </x:c>
      <x:c r="P1167" s="16" t="n">
        <x:f>K1167*N1167</x:f>
        <x:v>183.68</x:v>
      </x:c>
      <x:c r="Q1167" s="16" t="n">
        <x:f>O1167-P1167</x:f>
        <x:v>264.32</x:v>
      </x:c>
      <x:c r="R1167" s="2" t="n">
        <x:v>195</x:v>
      </x:c>
      <x:c r="S1167" s="2" t="n">
        <x:v>0</x:v>
      </x:c>
      <x:c r="T1167" s="2" t="n">
        <x:f>R1167+S1167+J1167-I1167</x:f>
        <x:v>179</x:v>
      </x:c>
      <x:c r="U1167" s="2" t="n">
        <x:v>0</x:v>
      </x:c>
      <x:c r="V1167" s="2" t="n">
        <x:v>4</x:v>
      </x:c>
      <x:c r="W1167" s="2" t="n">
        <x:v>16</x:v>
      </x:c>
      <x:c r="X1167" s="14" t="b">
        <x:v>0</x:v>
      </x:c>
      <x:c r="Y1167" s="14" t="b">
        <x:v>0</x:v>
      </x:c>
      <x:c r="Z1167" s="2" t="n">
        <x:f>ABS(T1167-AA1167)</x:f>
        <x:v>0</x:v>
      </x:c>
      <x:c r="AA1167" s="2" t="n">
        <x:v>179</x:v>
      </x:c>
      <x:c r="AB1167" s="2" t="n">
        <x:f>ABS(K1167-W1167)</x:f>
        <x:v>0</x:v>
      </x:c>
      <x:c r="AC1167" s="2" t="n">
        <x:f>COUNTIF($A$2:$A$1921,A1167)-1</x:f>
        <x:v>0</x:v>
      </x:c>
      <x:c r="AD1167" s="2" t="n">
        <x:f>IF(AND(D1167=D1166,H1167=H1166,C1167=C1166+1),ABS(R1167-T1166),0)</x:f>
        <x:v>0</x:v>
      </x:c>
    </x:row>
    <x:row r="1168" ht="23" customHeight="1">
      <x:c r="A1168" s="2" t="str">
        <x:v>DEMO-303-2-7</x:v>
      </x:c>
      <x:c r="B1168" s="15" t="d">
        <x:v>2026-06-15T00:00:00.000Z</x:v>
      </x:c>
      <x:c r="C1168" s="2" t="n">
        <x:v>7</x:v>
      </x:c>
      <x:c r="D1168" s="2" t="str">
        <x:v>DEMO-303</x:v>
      </x:c>
      <x:c r="E1168" s="2" t="str">
        <x:v>Weekend Flask</x:v>
      </x:c>
      <x:c r="F1168" s="2" t="str">
        <x:v>Lifestyle</x:v>
      </x:c>
      <x:c r="G1168" s="2" t="str">
        <x:v>Stores</x:v>
      </x:c>
      <x:c r="H1168" s="2" t="str">
        <x:v>Central Market</x:v>
      </x:c>
      <x:c r="I1168" s="2" t="n">
        <x:v>12</x:v>
      </x:c>
      <x:c r="J1168" s="2" t="n">
        <x:v>1</x:v>
      </x:c>
      <x:c r="K1168" s="2" t="n">
        <x:f>I1168-J1168</x:f>
        <x:v>11</x:v>
      </x:c>
      <x:c r="L1168" s="16" t="n">
        <x:v>28</x:v>
      </x:c>
      <x:c r="M1168" s="16" t="n">
        <x:v>28</x:v>
      </x:c>
      <x:c r="N1168" s="16" t="n">
        <x:v>11.48</x:v>
      </x:c>
      <x:c r="O1168" s="16" t="n">
        <x:f>K1168*M1168</x:f>
        <x:v>308</x:v>
      </x:c>
      <x:c r="P1168" s="16" t="n">
        <x:f>K1168*N1168</x:f>
        <x:v>126.28</x:v>
      </x:c>
      <x:c r="Q1168" s="16" t="n">
        <x:f>O1168-P1168</x:f>
        <x:v>181.72</x:v>
      </x:c>
      <x:c r="R1168" s="2" t="n">
        <x:v>179</x:v>
      </x:c>
      <x:c r="S1168" s="2" t="n">
        <x:v>0</x:v>
      </x:c>
      <x:c r="T1168" s="2" t="n">
        <x:f>R1168+S1168+J1168-I1168</x:f>
        <x:v>168</x:v>
      </x:c>
      <x:c r="U1168" s="2" t="n">
        <x:v>0</x:v>
      </x:c>
      <x:c r="V1168" s="2" t="n">
        <x:v>4</x:v>
      </x:c>
      <x:c r="W1168" s="2" t="n">
        <x:v>16</x:v>
      </x:c>
      <x:c r="X1168" s="14" t="b">
        <x:v>0</x:v>
      </x:c>
      <x:c r="Y1168" s="14" t="b">
        <x:v>0</x:v>
      </x:c>
      <x:c r="Z1168" s="2" t="n">
        <x:f>ABS(T1168-AA1168)</x:f>
        <x:v>0</x:v>
      </x:c>
      <x:c r="AA1168" s="2" t="n">
        <x:v>168</x:v>
      </x:c>
      <x:c r="AB1168" s="2" t="n">
        <x:f>ABS(K1168-W1168)</x:f>
        <x:v>5</x:v>
      </x:c>
      <x:c r="AC1168" s="2" t="n">
        <x:f>COUNTIF($A$2:$A$1921,A1168)-1</x:f>
        <x:v>0</x:v>
      </x:c>
      <x:c r="AD1168" s="2" t="n">
        <x:f>IF(AND(D1168=D1167,H1168=H1167,C1168=C1167+1),ABS(R1168-T1167),0)</x:f>
        <x:v>0</x:v>
      </x:c>
    </x:row>
    <x:row r="1169" ht="23" customHeight="1">
      <x:c r="A1169" s="2" t="str">
        <x:v>DEMO-303-2-8</x:v>
      </x:c>
      <x:c r="B1169" s="15" t="d">
        <x:v>2026-06-22T00:00:00.000Z</x:v>
      </x:c>
      <x:c r="C1169" s="2" t="n">
        <x:v>8</x:v>
      </x:c>
      <x:c r="D1169" s="2" t="str">
        <x:v>DEMO-303</x:v>
      </x:c>
      <x:c r="E1169" s="2" t="str">
        <x:v>Weekend Flask</x:v>
      </x:c>
      <x:c r="F1169" s="2" t="str">
        <x:v>Lifestyle</x:v>
      </x:c>
      <x:c r="G1169" s="2" t="str">
        <x:v>Stores</x:v>
      </x:c>
      <x:c r="H1169" s="2" t="str">
        <x:v>Central Market</x:v>
      </x:c>
      <x:c r="I1169" s="2" t="n">
        <x:v>15</x:v>
      </x:c>
      <x:c r="J1169" s="2" t="n">
        <x:v>0</x:v>
      </x:c>
      <x:c r="K1169" s="2" t="n">
        <x:f>I1169-J1169</x:f>
        <x:v>15</x:v>
      </x:c>
      <x:c r="L1169" s="16" t="n">
        <x:v>28</x:v>
      </x:c>
      <x:c r="M1169" s="16" t="n">
        <x:v>28</x:v>
      </x:c>
      <x:c r="N1169" s="16" t="n">
        <x:v>11.48</x:v>
      </x:c>
      <x:c r="O1169" s="16" t="n">
        <x:f>K1169*M1169</x:f>
        <x:v>420</x:v>
      </x:c>
      <x:c r="P1169" s="16" t="n">
        <x:f>K1169*N1169</x:f>
        <x:v>172.20000000000002</x:v>
      </x:c>
      <x:c r="Q1169" s="16" t="n">
        <x:f>O1169-P1169</x:f>
        <x:v>247.79999999999998</x:v>
      </x:c>
      <x:c r="R1169" s="2" t="n">
        <x:v>168</x:v>
      </x:c>
      <x:c r="S1169" s="2" t="n">
        <x:v>0</x:v>
      </x:c>
      <x:c r="T1169" s="2" t="n">
        <x:f>R1169+S1169+J1169-I1169</x:f>
        <x:v>153</x:v>
      </x:c>
      <x:c r="U1169" s="2" t="n">
        <x:v>0</x:v>
      </x:c>
      <x:c r="V1169" s="2" t="n">
        <x:v>4</x:v>
      </x:c>
      <x:c r="W1169" s="2" t="n">
        <x:v>15</x:v>
      </x:c>
      <x:c r="X1169" s="14" t="b">
        <x:v>0</x:v>
      </x:c>
      <x:c r="Y1169" s="14" t="b">
        <x:v>0</x:v>
      </x:c>
      <x:c r="Z1169" s="2" t="n">
        <x:f>ABS(T1169-AA1169)</x:f>
        <x:v>0</x:v>
      </x:c>
      <x:c r="AA1169" s="2" t="n">
        <x:v>153</x:v>
      </x:c>
      <x:c r="AB1169" s="2" t="n">
        <x:f>ABS(K1169-W1169)</x:f>
        <x:v>0</x:v>
      </x:c>
      <x:c r="AC1169" s="2" t="n">
        <x:f>COUNTIF($A$2:$A$1921,A1169)-1</x:f>
        <x:v>0</x:v>
      </x:c>
      <x:c r="AD1169" s="2" t="n">
        <x:f>IF(AND(D1169=D1168,H1169=H1168,C1169=C1168+1),ABS(R1169-T1168),0)</x:f>
        <x:v>0</x:v>
      </x:c>
    </x:row>
    <x:row r="1170" ht="23" customHeight="1">
      <x:c r="A1170" s="2" t="str">
        <x:v>DEMO-303-2-9</x:v>
      </x:c>
      <x:c r="B1170" s="15" t="d">
        <x:v>2026-06-29T00:00:00.000Z</x:v>
      </x:c>
      <x:c r="C1170" s="2" t="n">
        <x:v>9</x:v>
      </x:c>
      <x:c r="D1170" s="2" t="str">
        <x:v>DEMO-303</x:v>
      </x:c>
      <x:c r="E1170" s="2" t="str">
        <x:v>Weekend Flask</x:v>
      </x:c>
      <x:c r="F1170" s="2" t="str">
        <x:v>Lifestyle</x:v>
      </x:c>
      <x:c r="G1170" s="2" t="str">
        <x:v>Stores</x:v>
      </x:c>
      <x:c r="H1170" s="2" t="str">
        <x:v>Central Market</x:v>
      </x:c>
      <x:c r="I1170" s="2" t="n">
        <x:v>13</x:v>
      </x:c>
      <x:c r="J1170" s="2" t="n">
        <x:v>0</x:v>
      </x:c>
      <x:c r="K1170" s="2" t="n">
        <x:f>I1170-J1170</x:f>
        <x:v>13</x:v>
      </x:c>
      <x:c r="L1170" s="16" t="n">
        <x:v>28</x:v>
      </x:c>
      <x:c r="M1170" s="16" t="n">
        <x:v>28</x:v>
      </x:c>
      <x:c r="N1170" s="16" t="n">
        <x:v>11.48</x:v>
      </x:c>
      <x:c r="O1170" s="16" t="n">
        <x:f>K1170*M1170</x:f>
        <x:v>364</x:v>
      </x:c>
      <x:c r="P1170" s="16" t="n">
        <x:f>K1170*N1170</x:f>
        <x:v>149.24</x:v>
      </x:c>
      <x:c r="Q1170" s="16" t="n">
        <x:f>O1170-P1170</x:f>
        <x:v>214.76</x:v>
      </x:c>
      <x:c r="R1170" s="2" t="n">
        <x:v>153</x:v>
      </x:c>
      <x:c r="S1170" s="2" t="n">
        <x:v>65</x:v>
      </x:c>
      <x:c r="T1170" s="2" t="n">
        <x:f>R1170+S1170+J1170-I1170</x:f>
        <x:v>205</x:v>
      </x:c>
      <x:c r="U1170" s="2" t="n">
        <x:v>0</x:v>
      </x:c>
      <x:c r="V1170" s="2" t="n">
        <x:v>4</x:v>
      </x:c>
      <x:c r="W1170" s="2" t="n">
        <x:v>15</x:v>
      </x:c>
      <x:c r="X1170" s="14" t="b">
        <x:v>0</x:v>
      </x:c>
      <x:c r="Y1170" s="14" t="b">
        <x:v>0</x:v>
      </x:c>
      <x:c r="Z1170" s="2" t="n">
        <x:f>ABS(T1170-AA1170)</x:f>
        <x:v>0</x:v>
      </x:c>
      <x:c r="AA1170" s="2" t="n">
        <x:v>205</x:v>
      </x:c>
      <x:c r="AB1170" s="2" t="n">
        <x:f>ABS(K1170-W1170)</x:f>
        <x:v>2</x:v>
      </x:c>
      <x:c r="AC1170" s="2" t="n">
        <x:f>COUNTIF($A$2:$A$1921,A1170)-1</x:f>
        <x:v>0</x:v>
      </x:c>
      <x:c r="AD1170" s="2" t="n">
        <x:f>IF(AND(D1170=D1169,H1170=H1169,C1170=C1169+1),ABS(R1170-T1169),0)</x:f>
        <x:v>0</x:v>
      </x:c>
    </x:row>
    <x:row r="1171" ht="23" customHeight="1">
      <x:c r="A1171" s="2" t="str">
        <x:v>DEMO-303-2-10</x:v>
      </x:c>
      <x:c r="B1171" s="15" t="d">
        <x:v>2026-07-06T00:00:00.000Z</x:v>
      </x:c>
      <x:c r="C1171" s="2" t="n">
        <x:v>10</x:v>
      </x:c>
      <x:c r="D1171" s="2" t="str">
        <x:v>DEMO-303</x:v>
      </x:c>
      <x:c r="E1171" s="2" t="str">
        <x:v>Weekend Flask</x:v>
      </x:c>
      <x:c r="F1171" s="2" t="str">
        <x:v>Lifestyle</x:v>
      </x:c>
      <x:c r="G1171" s="2" t="str">
        <x:v>Stores</x:v>
      </x:c>
      <x:c r="H1171" s="2" t="str">
        <x:v>Central Market</x:v>
      </x:c>
      <x:c r="I1171" s="2" t="n">
        <x:v>15</x:v>
      </x:c>
      <x:c r="J1171" s="2" t="n">
        <x:v>0</x:v>
      </x:c>
      <x:c r="K1171" s="2" t="n">
        <x:f>I1171-J1171</x:f>
        <x:v>15</x:v>
      </x:c>
      <x:c r="L1171" s="16" t="n">
        <x:v>28</x:v>
      </x:c>
      <x:c r="M1171" s="16" t="n">
        <x:v>28</x:v>
      </x:c>
      <x:c r="N1171" s="16" t="n">
        <x:v>11.48</x:v>
      </x:c>
      <x:c r="O1171" s="16" t="n">
        <x:f>K1171*M1171</x:f>
        <x:v>420</x:v>
      </x:c>
      <x:c r="P1171" s="16" t="n">
        <x:f>K1171*N1171</x:f>
        <x:v>172.20000000000002</x:v>
      </x:c>
      <x:c r="Q1171" s="16" t="n">
        <x:f>O1171-P1171</x:f>
        <x:v>247.79999999999998</x:v>
      </x:c>
      <x:c r="R1171" s="2" t="n">
        <x:v>205</x:v>
      </x:c>
      <x:c r="S1171" s="2" t="n">
        <x:v>0</x:v>
      </x:c>
      <x:c r="T1171" s="2" t="n">
        <x:f>R1171+S1171+J1171-I1171</x:f>
        <x:v>190</x:v>
      </x:c>
      <x:c r="U1171" s="2" t="n">
        <x:v>0</x:v>
      </x:c>
      <x:c r="V1171" s="2" t="n">
        <x:v>4</x:v>
      </x:c>
      <x:c r="W1171" s="2" t="n">
        <x:v>14</x:v>
      </x:c>
      <x:c r="X1171" s="14" t="b">
        <x:v>0</x:v>
      </x:c>
      <x:c r="Y1171" s="14" t="b">
        <x:v>0</x:v>
      </x:c>
      <x:c r="Z1171" s="2" t="n">
        <x:f>ABS(T1171-AA1171)</x:f>
        <x:v>0</x:v>
      </x:c>
      <x:c r="AA1171" s="2" t="n">
        <x:v>190</x:v>
      </x:c>
      <x:c r="AB1171" s="2" t="n">
        <x:f>ABS(K1171-W1171)</x:f>
        <x:v>1</x:v>
      </x:c>
      <x:c r="AC1171" s="2" t="n">
        <x:f>COUNTIF($A$2:$A$1921,A1171)-1</x:f>
        <x:v>0</x:v>
      </x:c>
      <x:c r="AD1171" s="2" t="n">
        <x:f>IF(AND(D1171=D1170,H1171=H1170,C1171=C1170+1),ABS(R1171-T1170),0)</x:f>
        <x:v>0</x:v>
      </x:c>
    </x:row>
    <x:row r="1172" ht="23" customHeight="1">
      <x:c r="A1172" s="2" t="str">
        <x:v>DEMO-303-2-11</x:v>
      </x:c>
      <x:c r="B1172" s="15" t="d">
        <x:v>2026-07-13T00:00:00.000Z</x:v>
      </x:c>
      <x:c r="C1172" s="2" t="n">
        <x:v>11</x:v>
      </x:c>
      <x:c r="D1172" s="2" t="str">
        <x:v>DEMO-303</x:v>
      </x:c>
      <x:c r="E1172" s="2" t="str">
        <x:v>Weekend Flask</x:v>
      </x:c>
      <x:c r="F1172" s="2" t="str">
        <x:v>Lifestyle</x:v>
      </x:c>
      <x:c r="G1172" s="2" t="str">
        <x:v>Stores</x:v>
      </x:c>
      <x:c r="H1172" s="2" t="str">
        <x:v>Central Market</x:v>
      </x:c>
      <x:c r="I1172" s="2" t="n">
        <x:v>12</x:v>
      </x:c>
      <x:c r="J1172" s="2" t="n">
        <x:v>1</x:v>
      </x:c>
      <x:c r="K1172" s="2" t="n">
        <x:f>I1172-J1172</x:f>
        <x:v>11</x:v>
      </x:c>
      <x:c r="L1172" s="16" t="n">
        <x:v>28</x:v>
      </x:c>
      <x:c r="M1172" s="16" t="n">
        <x:v>28</x:v>
      </x:c>
      <x:c r="N1172" s="16" t="n">
        <x:v>11.48</x:v>
      </x:c>
      <x:c r="O1172" s="16" t="n">
        <x:f>K1172*M1172</x:f>
        <x:v>308</x:v>
      </x:c>
      <x:c r="P1172" s="16" t="n">
        <x:f>K1172*N1172</x:f>
        <x:v>126.28</x:v>
      </x:c>
      <x:c r="Q1172" s="16" t="n">
        <x:f>O1172-P1172</x:f>
        <x:v>181.72</x:v>
      </x:c>
      <x:c r="R1172" s="2" t="n">
        <x:v>190</x:v>
      </x:c>
      <x:c r="S1172" s="2" t="n">
        <x:v>0</x:v>
      </x:c>
      <x:c r="T1172" s="2" t="n">
        <x:f>R1172+S1172+J1172-I1172</x:f>
        <x:v>179</x:v>
      </x:c>
      <x:c r="U1172" s="2" t="n">
        <x:v>0</x:v>
      </x:c>
      <x:c r="V1172" s="2" t="n">
        <x:v>4</x:v>
      </x:c>
      <x:c r="W1172" s="2" t="n">
        <x:v>14</x:v>
      </x:c>
      <x:c r="X1172" s="14" t="b">
        <x:v>0</x:v>
      </x:c>
      <x:c r="Y1172" s="14" t="b">
        <x:v>0</x:v>
      </x:c>
      <x:c r="Z1172" s="2" t="n">
        <x:f>ABS(T1172-AA1172)</x:f>
        <x:v>0</x:v>
      </x:c>
      <x:c r="AA1172" s="2" t="n">
        <x:v>179</x:v>
      </x:c>
      <x:c r="AB1172" s="2" t="n">
        <x:f>ABS(K1172-W1172)</x:f>
        <x:v>3</x:v>
      </x:c>
      <x:c r="AC1172" s="2" t="n">
        <x:f>COUNTIF($A$2:$A$1921,A1172)-1</x:f>
        <x:v>0</x:v>
      </x:c>
      <x:c r="AD1172" s="2" t="n">
        <x:f>IF(AND(D1172=D1171,H1172=H1171,C1172=C1171+1),ABS(R1172-T1171),0)</x:f>
        <x:v>0</x:v>
      </x:c>
    </x:row>
    <x:row r="1173" ht="23" customHeight="1">
      <x:c r="A1173" s="2" t="str">
        <x:v>DEMO-303-2-12</x:v>
      </x:c>
      <x:c r="B1173" s="15" t="d">
        <x:v>2026-07-20T00:00:00.000Z</x:v>
      </x:c>
      <x:c r="C1173" s="2" t="n">
        <x:v>12</x:v>
      </x:c>
      <x:c r="D1173" s="2" t="str">
        <x:v>DEMO-303</x:v>
      </x:c>
      <x:c r="E1173" s="2" t="str">
        <x:v>Weekend Flask</x:v>
      </x:c>
      <x:c r="F1173" s="2" t="str">
        <x:v>Lifestyle</x:v>
      </x:c>
      <x:c r="G1173" s="2" t="str">
        <x:v>Stores</x:v>
      </x:c>
      <x:c r="H1173" s="2" t="str">
        <x:v>Central Market</x:v>
      </x:c>
      <x:c r="I1173" s="2" t="n">
        <x:v>12</x:v>
      </x:c>
      <x:c r="J1173" s="2" t="n">
        <x:v>0</x:v>
      </x:c>
      <x:c r="K1173" s="2" t="n">
        <x:f>I1173-J1173</x:f>
        <x:v>12</x:v>
      </x:c>
      <x:c r="L1173" s="16" t="n">
        <x:v>28</x:v>
      </x:c>
      <x:c r="M1173" s="16" t="n">
        <x:v>28</x:v>
      </x:c>
      <x:c r="N1173" s="16" t="n">
        <x:v>11.48</x:v>
      </x:c>
      <x:c r="O1173" s="16" t="n">
        <x:f>K1173*M1173</x:f>
        <x:v>336</x:v>
      </x:c>
      <x:c r="P1173" s="16" t="n">
        <x:f>K1173*N1173</x:f>
        <x:v>137.76</x:v>
      </x:c>
      <x:c r="Q1173" s="16" t="n">
        <x:f>O1173-P1173</x:f>
        <x:v>198.24</x:v>
      </x:c>
      <x:c r="R1173" s="2" t="n">
        <x:v>179</x:v>
      </x:c>
      <x:c r="S1173" s="2" t="n">
        <x:v>0</x:v>
      </x:c>
      <x:c r="T1173" s="2" t="n">
        <x:f>R1173+S1173+J1173-I1173</x:f>
        <x:v>167</x:v>
      </x:c>
      <x:c r="U1173" s="2" t="n">
        <x:v>0</x:v>
      </x:c>
      <x:c r="V1173" s="2" t="n">
        <x:v>4</x:v>
      </x:c>
      <x:c r="W1173" s="2" t="n">
        <x:v>14</x:v>
      </x:c>
      <x:c r="X1173" s="14" t="b">
        <x:v>0</x:v>
      </x:c>
      <x:c r="Y1173" s="14" t="b">
        <x:v>0</x:v>
      </x:c>
      <x:c r="Z1173" s="2" t="n">
        <x:f>ABS(T1173-AA1173)</x:f>
        <x:v>0</x:v>
      </x:c>
      <x:c r="AA1173" s="2" t="n">
        <x:v>167</x:v>
      </x:c>
      <x:c r="AB1173" s="2" t="n">
        <x:f>ABS(K1173-W1173)</x:f>
        <x:v>2</x:v>
      </x:c>
      <x:c r="AC1173" s="2" t="n">
        <x:f>COUNTIF($A$2:$A$1921,A1173)-1</x:f>
        <x:v>0</x:v>
      </x:c>
      <x:c r="AD1173" s="2" t="n">
        <x:f>IF(AND(D1173=D1172,H1173=H1172,C1173=C1172+1),ABS(R1173-T1172),0)</x:f>
        <x:v>0</x:v>
      </x:c>
    </x:row>
    <x:row r="1174" ht="23" customHeight="1">
      <x:c r="A1174" s="2" t="str">
        <x:v>DEMO-303-2-13</x:v>
      </x:c>
      <x:c r="B1174" s="15" t="d">
        <x:v>2026-07-27T00:00:00.000Z</x:v>
      </x:c>
      <x:c r="C1174" s="2" t="n">
        <x:v>13</x:v>
      </x:c>
      <x:c r="D1174" s="2" t="str">
        <x:v>DEMO-303</x:v>
      </x:c>
      <x:c r="E1174" s="2" t="str">
        <x:v>Weekend Flask</x:v>
      </x:c>
      <x:c r="F1174" s="2" t="str">
        <x:v>Lifestyle</x:v>
      </x:c>
      <x:c r="G1174" s="2" t="str">
        <x:v>Stores</x:v>
      </x:c>
      <x:c r="H1174" s="2" t="str">
        <x:v>Central Market</x:v>
      </x:c>
      <x:c r="I1174" s="2" t="n">
        <x:v>11</x:v>
      </x:c>
      <x:c r="J1174" s="2" t="n">
        <x:v>1</x:v>
      </x:c>
      <x:c r="K1174" s="2" t="n">
        <x:f>I1174-J1174</x:f>
        <x:v>10</x:v>
      </x:c>
      <x:c r="L1174" s="16" t="n">
        <x:v>28</x:v>
      </x:c>
      <x:c r="M1174" s="16" t="n">
        <x:v>28</x:v>
      </x:c>
      <x:c r="N1174" s="16" t="n">
        <x:v>11.48</x:v>
      </x:c>
      <x:c r="O1174" s="16" t="n">
        <x:f>K1174*M1174</x:f>
        <x:v>280</x:v>
      </x:c>
      <x:c r="P1174" s="16" t="n">
        <x:f>K1174*N1174</x:f>
        <x:v>114.80000000000001</x:v>
      </x:c>
      <x:c r="Q1174" s="16" t="n">
        <x:f>O1174-P1174</x:f>
        <x:v>165.2</x:v>
      </x:c>
      <x:c r="R1174" s="2" t="n">
        <x:v>167</x:v>
      </x:c>
      <x:c r="S1174" s="2" t="n">
        <x:v>65</x:v>
      </x:c>
      <x:c r="T1174" s="2" t="n">
        <x:f>R1174+S1174+J1174-I1174</x:f>
        <x:v>222</x:v>
      </x:c>
      <x:c r="U1174" s="2" t="n">
        <x:v>0</x:v>
      </x:c>
      <x:c r="V1174" s="2" t="n">
        <x:v>4</x:v>
      </x:c>
      <x:c r="W1174" s="2" t="n">
        <x:v>13</x:v>
      </x:c>
      <x:c r="X1174" s="14" t="b">
        <x:v>0</x:v>
      </x:c>
      <x:c r="Y1174" s="14" t="b">
        <x:v>0</x:v>
      </x:c>
      <x:c r="Z1174" s="2" t="n">
        <x:f>ABS(T1174-AA1174)</x:f>
        <x:v>0</x:v>
      </x:c>
      <x:c r="AA1174" s="2" t="n">
        <x:v>222</x:v>
      </x:c>
      <x:c r="AB1174" s="2" t="n">
        <x:f>ABS(K1174-W1174)</x:f>
        <x:v>3</x:v>
      </x:c>
      <x:c r="AC1174" s="2" t="n">
        <x:f>COUNTIF($A$2:$A$1921,A1174)-1</x:f>
        <x:v>0</x:v>
      </x:c>
      <x:c r="AD1174" s="2" t="n">
        <x:f>IF(AND(D1174=D1173,H1174=H1173,C1174=C1173+1),ABS(R1174-T1173),0)</x:f>
        <x:v>0</x:v>
      </x:c>
    </x:row>
    <x:row r="1175" ht="23" customHeight="1">
      <x:c r="A1175" s="2" t="str">
        <x:v>DEMO-303-2-14</x:v>
      </x:c>
      <x:c r="B1175" s="15" t="d">
        <x:v>2026-08-03T00:00:00.000Z</x:v>
      </x:c>
      <x:c r="C1175" s="2" t="n">
        <x:v>14</x:v>
      </x:c>
      <x:c r="D1175" s="2" t="str">
        <x:v>DEMO-303</x:v>
      </x:c>
      <x:c r="E1175" s="2" t="str">
        <x:v>Weekend Flask</x:v>
      </x:c>
      <x:c r="F1175" s="2" t="str">
        <x:v>Lifestyle</x:v>
      </x:c>
      <x:c r="G1175" s="2" t="str">
        <x:v>Stores</x:v>
      </x:c>
      <x:c r="H1175" s="2" t="str">
        <x:v>Central Market</x:v>
      </x:c>
      <x:c r="I1175" s="2" t="n">
        <x:v>11</x:v>
      </x:c>
      <x:c r="J1175" s="2" t="n">
        <x:v>1</x:v>
      </x:c>
      <x:c r="K1175" s="2" t="n">
        <x:f>I1175-J1175</x:f>
        <x:v>10</x:v>
      </x:c>
      <x:c r="L1175" s="16" t="n">
        <x:v>28</x:v>
      </x:c>
      <x:c r="M1175" s="16" t="n">
        <x:v>28</x:v>
      </x:c>
      <x:c r="N1175" s="16" t="n">
        <x:v>11.48</x:v>
      </x:c>
      <x:c r="O1175" s="16" t="n">
        <x:f>K1175*M1175</x:f>
        <x:v>280</x:v>
      </x:c>
      <x:c r="P1175" s="16" t="n">
        <x:f>K1175*N1175</x:f>
        <x:v>114.80000000000001</x:v>
      </x:c>
      <x:c r="Q1175" s="16" t="n">
        <x:f>O1175-P1175</x:f>
        <x:v>165.2</x:v>
      </x:c>
      <x:c r="R1175" s="2" t="n">
        <x:v>222</x:v>
      </x:c>
      <x:c r="S1175" s="2" t="n">
        <x:v>0</x:v>
      </x:c>
      <x:c r="T1175" s="2" t="n">
        <x:f>R1175+S1175+J1175-I1175</x:f>
        <x:v>212</x:v>
      </x:c>
      <x:c r="U1175" s="2" t="n">
        <x:v>0</x:v>
      </x:c>
      <x:c r="V1175" s="2" t="n">
        <x:v>4</x:v>
      </x:c>
      <x:c r="W1175" s="2" t="n">
        <x:v>12</x:v>
      </x:c>
      <x:c r="X1175" s="14" t="b">
        <x:v>0</x:v>
      </x:c>
      <x:c r="Y1175" s="14" t="b">
        <x:v>0</x:v>
      </x:c>
      <x:c r="Z1175" s="2" t="n">
        <x:f>ABS(T1175-AA1175)</x:f>
        <x:v>0</x:v>
      </x:c>
      <x:c r="AA1175" s="2" t="n">
        <x:v>212</x:v>
      </x:c>
      <x:c r="AB1175" s="2" t="n">
        <x:f>ABS(K1175-W1175)</x:f>
        <x:v>2</x:v>
      </x:c>
      <x:c r="AC1175" s="2" t="n">
        <x:f>COUNTIF($A$2:$A$1921,A1175)-1</x:f>
        <x:v>0</x:v>
      </x:c>
      <x:c r="AD1175" s="2" t="n">
        <x:f>IF(AND(D1175=D1174,H1175=H1174,C1175=C1174+1),ABS(R1175-T1174),0)</x:f>
        <x:v>0</x:v>
      </x:c>
    </x:row>
    <x:row r="1176" ht="23" customHeight="1">
      <x:c r="A1176" s="2" t="str">
        <x:v>DEMO-303-2-15</x:v>
      </x:c>
      <x:c r="B1176" s="15" t="d">
        <x:v>2026-08-10T00:00:00.000Z</x:v>
      </x:c>
      <x:c r="C1176" s="2" t="n">
        <x:v>15</x:v>
      </x:c>
      <x:c r="D1176" s="2" t="str">
        <x:v>DEMO-303</x:v>
      </x:c>
      <x:c r="E1176" s="2" t="str">
        <x:v>Weekend Flask</x:v>
      </x:c>
      <x:c r="F1176" s="2" t="str">
        <x:v>Lifestyle</x:v>
      </x:c>
      <x:c r="G1176" s="2" t="str">
        <x:v>Stores</x:v>
      </x:c>
      <x:c r="H1176" s="2" t="str">
        <x:v>Central Market</x:v>
      </x:c>
      <x:c r="I1176" s="2" t="n">
        <x:v>10</x:v>
      </x:c>
      <x:c r="J1176" s="2" t="n">
        <x:v>0</x:v>
      </x:c>
      <x:c r="K1176" s="2" t="n">
        <x:f>I1176-J1176</x:f>
        <x:v>10</x:v>
      </x:c>
      <x:c r="L1176" s="16" t="n">
        <x:v>28</x:v>
      </x:c>
      <x:c r="M1176" s="16" t="n">
        <x:v>28</x:v>
      </x:c>
      <x:c r="N1176" s="16" t="n">
        <x:v>11.48</x:v>
      </x:c>
      <x:c r="O1176" s="16" t="n">
        <x:f>K1176*M1176</x:f>
        <x:v>280</x:v>
      </x:c>
      <x:c r="P1176" s="16" t="n">
        <x:f>K1176*N1176</x:f>
        <x:v>114.80000000000001</x:v>
      </x:c>
      <x:c r="Q1176" s="16" t="n">
        <x:f>O1176-P1176</x:f>
        <x:v>165.2</x:v>
      </x:c>
      <x:c r="R1176" s="2" t="n">
        <x:v>212</x:v>
      </x:c>
      <x:c r="S1176" s="2" t="n">
        <x:v>0</x:v>
      </x:c>
      <x:c r="T1176" s="2" t="n">
        <x:f>R1176+S1176+J1176-I1176</x:f>
        <x:v>202</x:v>
      </x:c>
      <x:c r="U1176" s="2" t="n">
        <x:v>0</x:v>
      </x:c>
      <x:c r="V1176" s="2" t="n">
        <x:v>4</x:v>
      </x:c>
      <x:c r="W1176" s="2" t="n">
        <x:v>11</x:v>
      </x:c>
      <x:c r="X1176" s="14" t="b">
        <x:v>0</x:v>
      </x:c>
      <x:c r="Y1176" s="14" t="b">
        <x:v>0</x:v>
      </x:c>
      <x:c r="Z1176" s="2" t="n">
        <x:f>ABS(T1176-AA1176)</x:f>
        <x:v>0</x:v>
      </x:c>
      <x:c r="AA1176" s="2" t="n">
        <x:v>202</x:v>
      </x:c>
      <x:c r="AB1176" s="2" t="n">
        <x:f>ABS(K1176-W1176)</x:f>
        <x:v>1</x:v>
      </x:c>
      <x:c r="AC1176" s="2" t="n">
        <x:f>COUNTIF($A$2:$A$1921,A1176)-1</x:f>
        <x:v>0</x:v>
      </x:c>
      <x:c r="AD1176" s="2" t="n">
        <x:f>IF(AND(D1176=D1175,H1176=H1175,C1176=C1175+1),ABS(R1176-T1175),0)</x:f>
        <x:v>0</x:v>
      </x:c>
    </x:row>
    <x:row r="1177" ht="23" customHeight="1">
      <x:c r="A1177" s="2" t="str">
        <x:v>DEMO-303-2-16</x:v>
      </x:c>
      <x:c r="B1177" s="15" t="d">
        <x:v>2026-08-17T00:00:00.000Z</x:v>
      </x:c>
      <x:c r="C1177" s="2" t="n">
        <x:v>16</x:v>
      </x:c>
      <x:c r="D1177" s="2" t="str">
        <x:v>DEMO-303</x:v>
      </x:c>
      <x:c r="E1177" s="2" t="str">
        <x:v>Weekend Flask</x:v>
      </x:c>
      <x:c r="F1177" s="2" t="str">
        <x:v>Lifestyle</x:v>
      </x:c>
      <x:c r="G1177" s="2" t="str">
        <x:v>Stores</x:v>
      </x:c>
      <x:c r="H1177" s="2" t="str">
        <x:v>Central Market</x:v>
      </x:c>
      <x:c r="I1177" s="2" t="n">
        <x:v>10</x:v>
      </x:c>
      <x:c r="J1177" s="2" t="n">
        <x:v>0</x:v>
      </x:c>
      <x:c r="K1177" s="2" t="n">
        <x:f>I1177-J1177</x:f>
        <x:v>10</x:v>
      </x:c>
      <x:c r="L1177" s="16" t="n">
        <x:v>28</x:v>
      </x:c>
      <x:c r="M1177" s="16" t="n">
        <x:v>28</x:v>
      </x:c>
      <x:c r="N1177" s="16" t="n">
        <x:v>11.48</x:v>
      </x:c>
      <x:c r="O1177" s="16" t="n">
        <x:f>K1177*M1177</x:f>
        <x:v>280</x:v>
      </x:c>
      <x:c r="P1177" s="16" t="n">
        <x:f>K1177*N1177</x:f>
        <x:v>114.80000000000001</x:v>
      </x:c>
      <x:c r="Q1177" s="16" t="n">
        <x:f>O1177-P1177</x:f>
        <x:v>165.2</x:v>
      </x:c>
      <x:c r="R1177" s="2" t="n">
        <x:v>202</x:v>
      </x:c>
      <x:c r="S1177" s="2" t="n">
        <x:v>0</x:v>
      </x:c>
      <x:c r="T1177" s="2" t="n">
        <x:f>R1177+S1177+J1177-I1177</x:f>
        <x:v>192</x:v>
      </x:c>
      <x:c r="U1177" s="2" t="n">
        <x:v>0</x:v>
      </x:c>
      <x:c r="V1177" s="2" t="n">
        <x:v>4</x:v>
      </x:c>
      <x:c r="W1177" s="2" t="n">
        <x:v>11</x:v>
      </x:c>
      <x:c r="X1177" s="14" t="b">
        <x:v>0</x:v>
      </x:c>
      <x:c r="Y1177" s="14" t="b">
        <x:v>0</x:v>
      </x:c>
      <x:c r="Z1177" s="2" t="n">
        <x:f>ABS(T1177-AA1177)</x:f>
        <x:v>0</x:v>
      </x:c>
      <x:c r="AA1177" s="2" t="n">
        <x:v>192</x:v>
      </x:c>
      <x:c r="AB1177" s="2" t="n">
        <x:f>ABS(K1177-W1177)</x:f>
        <x:v>1</x:v>
      </x:c>
      <x:c r="AC1177" s="2" t="n">
        <x:f>COUNTIF($A$2:$A$1921,A1177)-1</x:f>
        <x:v>0</x:v>
      </x:c>
      <x:c r="AD1177" s="2" t="n">
        <x:f>IF(AND(D1177=D1176,H1177=H1176,C1177=C1176+1),ABS(R1177-T1176),0)</x:f>
        <x:v>0</x:v>
      </x:c>
    </x:row>
    <x:row r="1178" ht="23" customHeight="1">
      <x:c r="A1178" s="2" t="str">
        <x:v>DEMO-303-2-17</x:v>
      </x:c>
      <x:c r="B1178" s="15" t="d">
        <x:v>2026-08-24T00:00:00.000Z</x:v>
      </x:c>
      <x:c r="C1178" s="2" t="n">
        <x:v>17</x:v>
      </x:c>
      <x:c r="D1178" s="2" t="str">
        <x:v>DEMO-303</x:v>
      </x:c>
      <x:c r="E1178" s="2" t="str">
        <x:v>Weekend Flask</x:v>
      </x:c>
      <x:c r="F1178" s="2" t="str">
        <x:v>Lifestyle</x:v>
      </x:c>
      <x:c r="G1178" s="2" t="str">
        <x:v>Stores</x:v>
      </x:c>
      <x:c r="H1178" s="2" t="str">
        <x:v>Central Market</x:v>
      </x:c>
      <x:c r="I1178" s="2" t="n">
        <x:v>13</x:v>
      </x:c>
      <x:c r="J1178" s="2" t="n">
        <x:v>0</x:v>
      </x:c>
      <x:c r="K1178" s="2" t="n">
        <x:f>I1178-J1178</x:f>
        <x:v>13</x:v>
      </x:c>
      <x:c r="L1178" s="16" t="n">
        <x:v>28</x:v>
      </x:c>
      <x:c r="M1178" s="16" t="n">
        <x:v>22.4</x:v>
      </x:c>
      <x:c r="N1178" s="16" t="n">
        <x:v>11.48</x:v>
      </x:c>
      <x:c r="O1178" s="16" t="n">
        <x:f>K1178*M1178</x:f>
        <x:v>291.2</x:v>
      </x:c>
      <x:c r="P1178" s="16" t="n">
        <x:f>K1178*N1178</x:f>
        <x:v>149.24</x:v>
      </x:c>
      <x:c r="Q1178" s="16" t="n">
        <x:f>O1178-P1178</x:f>
        <x:v>141.95999999999998</x:v>
      </x:c>
      <x:c r="R1178" s="2" t="n">
        <x:v>192</x:v>
      </x:c>
      <x:c r="S1178" s="2" t="n">
        <x:v>65</x:v>
      </x:c>
      <x:c r="T1178" s="2" t="n">
        <x:f>R1178+S1178+J1178-I1178</x:f>
        <x:v>244</x:v>
      </x:c>
      <x:c r="U1178" s="2" t="n">
        <x:v>0</x:v>
      </x:c>
      <x:c r="V1178" s="2" t="n">
        <x:v>4</x:v>
      </x:c>
      <x:c r="W1178" s="2" t="n">
        <x:v>10</x:v>
      </x:c>
      <x:c r="X1178" s="14" t="b">
        <x:v>0</x:v>
      </x:c>
      <x:c r="Y1178" s="14" t="b">
        <x:v>1</x:v>
      </x:c>
      <x:c r="Z1178" s="2" t="n">
        <x:f>ABS(T1178-AA1178)</x:f>
        <x:v>0</x:v>
      </x:c>
      <x:c r="AA1178" s="2" t="n">
        <x:v>244</x:v>
      </x:c>
      <x:c r="AB1178" s="2" t="n">
        <x:f>ABS(K1178-W1178)</x:f>
        <x:v>3</x:v>
      </x:c>
      <x:c r="AC1178" s="2" t="n">
        <x:f>COUNTIF($A$2:$A$1921,A1178)-1</x:f>
        <x:v>0</x:v>
      </x:c>
      <x:c r="AD1178" s="2" t="n">
        <x:f>IF(AND(D1178=D1177,H1178=H1177,C1178=C1177+1),ABS(R1178-T1177),0)</x:f>
        <x:v>0</x:v>
      </x:c>
    </x:row>
    <x:row r="1179" ht="23" customHeight="1">
      <x:c r="A1179" s="2" t="str">
        <x:v>DEMO-303-2-18</x:v>
      </x:c>
      <x:c r="B1179" s="15" t="d">
        <x:v>2026-08-31T00:00:00.000Z</x:v>
      </x:c>
      <x:c r="C1179" s="2" t="n">
        <x:v>18</x:v>
      </x:c>
      <x:c r="D1179" s="2" t="str">
        <x:v>DEMO-303</x:v>
      </x:c>
      <x:c r="E1179" s="2" t="str">
        <x:v>Weekend Flask</x:v>
      </x:c>
      <x:c r="F1179" s="2" t="str">
        <x:v>Lifestyle</x:v>
      </x:c>
      <x:c r="G1179" s="2" t="str">
        <x:v>Stores</x:v>
      </x:c>
      <x:c r="H1179" s="2" t="str">
        <x:v>Central Market</x:v>
      </x:c>
      <x:c r="I1179" s="2" t="n">
        <x:v>11</x:v>
      </x:c>
      <x:c r="J1179" s="2" t="n">
        <x:v>0</x:v>
      </x:c>
      <x:c r="K1179" s="2" t="n">
        <x:f>I1179-J1179</x:f>
        <x:v>11</x:v>
      </x:c>
      <x:c r="L1179" s="16" t="n">
        <x:v>28</x:v>
      </x:c>
      <x:c r="M1179" s="16" t="n">
        <x:v>22.4</x:v>
      </x:c>
      <x:c r="N1179" s="16" t="n">
        <x:v>11.48</x:v>
      </x:c>
      <x:c r="O1179" s="16" t="n">
        <x:f>K1179*M1179</x:f>
        <x:v>246.39999999999998</x:v>
      </x:c>
      <x:c r="P1179" s="16" t="n">
        <x:f>K1179*N1179</x:f>
        <x:v>126.28</x:v>
      </x:c>
      <x:c r="Q1179" s="16" t="n">
        <x:f>O1179-P1179</x:f>
        <x:v>120.11999999999998</x:v>
      </x:c>
      <x:c r="R1179" s="2" t="n">
        <x:v>244</x:v>
      </x:c>
      <x:c r="S1179" s="2" t="n">
        <x:v>0</x:v>
      </x:c>
      <x:c r="T1179" s="2" t="n">
        <x:f>R1179+S1179+J1179-I1179</x:f>
        <x:v>233</x:v>
      </x:c>
      <x:c r="U1179" s="2" t="n">
        <x:v>0</x:v>
      </x:c>
      <x:c r="V1179" s="2" t="n">
        <x:v>4</x:v>
      </x:c>
      <x:c r="W1179" s="2" t="n">
        <x:v>11</x:v>
      </x:c>
      <x:c r="X1179" s="14" t="b">
        <x:v>0</x:v>
      </x:c>
      <x:c r="Y1179" s="14" t="b">
        <x:v>1</x:v>
      </x:c>
      <x:c r="Z1179" s="2" t="n">
        <x:f>ABS(T1179-AA1179)</x:f>
        <x:v>0</x:v>
      </x:c>
      <x:c r="AA1179" s="2" t="n">
        <x:v>233</x:v>
      </x:c>
      <x:c r="AB1179" s="2" t="n">
        <x:f>ABS(K1179-W1179)</x:f>
        <x:v>0</x:v>
      </x:c>
      <x:c r="AC1179" s="2" t="n">
        <x:f>COUNTIF($A$2:$A$1921,A1179)-1</x:f>
        <x:v>0</x:v>
      </x:c>
      <x:c r="AD1179" s="2" t="n">
        <x:f>IF(AND(D1179=D1178,H1179=H1178,C1179=C1178+1),ABS(R1179-T1178),0)</x:f>
        <x:v>0</x:v>
      </x:c>
    </x:row>
    <x:row r="1180" ht="23" customHeight="1">
      <x:c r="A1180" s="2" t="str">
        <x:v>DEMO-303-2-19</x:v>
      </x:c>
      <x:c r="B1180" s="15" t="d">
        <x:v>2026-09-07T00:00:00.000Z</x:v>
      </x:c>
      <x:c r="C1180" s="2" t="n">
        <x:v>19</x:v>
      </x:c>
      <x:c r="D1180" s="2" t="str">
        <x:v>DEMO-303</x:v>
      </x:c>
      <x:c r="E1180" s="2" t="str">
        <x:v>Weekend Flask</x:v>
      </x:c>
      <x:c r="F1180" s="2" t="str">
        <x:v>Lifestyle</x:v>
      </x:c>
      <x:c r="G1180" s="2" t="str">
        <x:v>Stores</x:v>
      </x:c>
      <x:c r="H1180" s="2" t="str">
        <x:v>Central Market</x:v>
      </x:c>
      <x:c r="I1180" s="2" t="n">
        <x:v>12</x:v>
      </x:c>
      <x:c r="J1180" s="2" t="n">
        <x:v>0</x:v>
      </x:c>
      <x:c r="K1180" s="2" t="n">
        <x:f>I1180-J1180</x:f>
        <x:v>12</x:v>
      </x:c>
      <x:c r="L1180" s="16" t="n">
        <x:v>28</x:v>
      </x:c>
      <x:c r="M1180" s="16" t="n">
        <x:v>22.4</x:v>
      </x:c>
      <x:c r="N1180" s="16" t="n">
        <x:v>11.48</x:v>
      </x:c>
      <x:c r="O1180" s="16" t="n">
        <x:f>K1180*M1180</x:f>
        <x:v>268.79999999999995</x:v>
      </x:c>
      <x:c r="P1180" s="16" t="n">
        <x:f>K1180*N1180</x:f>
        <x:v>137.76</x:v>
      </x:c>
      <x:c r="Q1180" s="16" t="n">
        <x:f>O1180-P1180</x:f>
        <x:v>131.03999999999996</x:v>
      </x:c>
      <x:c r="R1180" s="2" t="n">
        <x:v>233</x:v>
      </x:c>
      <x:c r="S1180" s="2" t="n">
        <x:v>0</x:v>
      </x:c>
      <x:c r="T1180" s="2" t="n">
        <x:f>R1180+S1180+J1180-I1180</x:f>
        <x:v>221</x:v>
      </x:c>
      <x:c r="U1180" s="2" t="n">
        <x:v>0</x:v>
      </x:c>
      <x:c r="V1180" s="2" t="n">
        <x:v>4</x:v>
      </x:c>
      <x:c r="W1180" s="2" t="n">
        <x:v>11</x:v>
      </x:c>
      <x:c r="X1180" s="14" t="b">
        <x:v>0</x:v>
      </x:c>
      <x:c r="Y1180" s="14" t="b">
        <x:v>1</x:v>
      </x:c>
      <x:c r="Z1180" s="2" t="n">
        <x:f>ABS(T1180-AA1180)</x:f>
        <x:v>0</x:v>
      </x:c>
      <x:c r="AA1180" s="2" t="n">
        <x:v>221</x:v>
      </x:c>
      <x:c r="AB1180" s="2" t="n">
        <x:f>ABS(K1180-W1180)</x:f>
        <x:v>1</x:v>
      </x:c>
      <x:c r="AC1180" s="2" t="n">
        <x:f>COUNTIF($A$2:$A$1921,A1180)-1</x:f>
        <x:v>0</x:v>
      </x:c>
      <x:c r="AD1180" s="2" t="n">
        <x:f>IF(AND(D1180=D1179,H1180=H1179,C1180=C1179+1),ABS(R1180-T1179),0)</x:f>
        <x:v>0</x:v>
      </x:c>
    </x:row>
    <x:row r="1181" ht="23" customHeight="1">
      <x:c r="A1181" s="2" t="str">
        <x:v>DEMO-303-2-20</x:v>
      </x:c>
      <x:c r="B1181" s="15" t="d">
        <x:v>2026-09-14T00:00:00.000Z</x:v>
      </x:c>
      <x:c r="C1181" s="2" t="n">
        <x:v>20</x:v>
      </x:c>
      <x:c r="D1181" s="2" t="str">
        <x:v>DEMO-303</x:v>
      </x:c>
      <x:c r="E1181" s="2" t="str">
        <x:v>Weekend Flask</x:v>
      </x:c>
      <x:c r="F1181" s="2" t="str">
        <x:v>Lifestyle</x:v>
      </x:c>
      <x:c r="G1181" s="2" t="str">
        <x:v>Stores</x:v>
      </x:c>
      <x:c r="H1181" s="2" t="str">
        <x:v>Central Market</x:v>
      </x:c>
      <x:c r="I1181" s="2" t="n">
        <x:v>8</x:v>
      </x:c>
      <x:c r="J1181" s="2" t="n">
        <x:v>1</x:v>
      </x:c>
      <x:c r="K1181" s="2" t="n">
        <x:f>I1181-J1181</x:f>
        <x:v>7</x:v>
      </x:c>
      <x:c r="L1181" s="16" t="n">
        <x:v>28</x:v>
      </x:c>
      <x:c r="M1181" s="16" t="n">
        <x:v>22.4</x:v>
      </x:c>
      <x:c r="N1181" s="16" t="n">
        <x:v>11.48</x:v>
      </x:c>
      <x:c r="O1181" s="16" t="n">
        <x:f>K1181*M1181</x:f>
        <x:v>156.79999999999998</x:v>
      </x:c>
      <x:c r="P1181" s="16" t="n">
        <x:f>K1181*N1181</x:f>
        <x:v>80.36</x:v>
      </x:c>
      <x:c r="Q1181" s="16" t="n">
        <x:f>O1181-P1181</x:f>
        <x:v>76.43999999999998</x:v>
      </x:c>
      <x:c r="R1181" s="2" t="n">
        <x:v>221</x:v>
      </x:c>
      <x:c r="S1181" s="2" t="n">
        <x:v>0</x:v>
      </x:c>
      <x:c r="T1181" s="2" t="n">
        <x:f>R1181+S1181+J1181-I1181</x:f>
        <x:v>214</x:v>
      </x:c>
      <x:c r="U1181" s="2" t="n">
        <x:v>24</x:v>
      </x:c>
      <x:c r="V1181" s="2" t="n">
        <x:v>4</x:v>
      </x:c>
      <x:c r="W1181" s="2" t="n">
        <x:v>12</x:v>
      </x:c>
      <x:c r="X1181" s="14" t="b">
        <x:v>0</x:v>
      </x:c>
      <x:c r="Y1181" s="14" t="b">
        <x:v>1</x:v>
      </x:c>
      <x:c r="Z1181" s="2" t="n">
        <x:f>ABS(T1181-AA1181)</x:f>
        <x:v>0</x:v>
      </x:c>
      <x:c r="AA1181" s="2" t="n">
        <x:v>214</x:v>
      </x:c>
      <x:c r="AB1181" s="2" t="n">
        <x:f>ABS(K1181-W1181)</x:f>
        <x:v>5</x:v>
      </x:c>
      <x:c r="AC1181" s="2" t="n">
        <x:f>COUNTIF($A$2:$A$1921,A1181)-1</x:f>
        <x:v>0</x:v>
      </x:c>
      <x:c r="AD1181" s="2" t="n">
        <x:f>IF(AND(D1181=D1180,H1181=H1180,C1181=C1180+1),ABS(R1181-T1180),0)</x:f>
        <x:v>0</x:v>
      </x:c>
    </x:row>
    <x:row r="1182" ht="23" customHeight="1">
      <x:c r="A1182" s="2" t="str">
        <x:v>DEMO-303-3-1</x:v>
      </x:c>
      <x:c r="B1182" s="15" t="d">
        <x:v>2026-05-04T00:00:00.000Z</x:v>
      </x:c>
      <x:c r="C1182" s="2" t="n">
        <x:v>1</x:v>
      </x:c>
      <x:c r="D1182" s="2" t="str">
        <x:v>DEMO-303</x:v>
      </x:c>
      <x:c r="E1182" s="2" t="str">
        <x:v>Weekend Flask</x:v>
      </x:c>
      <x:c r="F1182" s="2" t="str">
        <x:v>Lifestyle</x:v>
      </x:c>
      <x:c r="G1182" s="2" t="str">
        <x:v>Online</x:v>
      </x:c>
      <x:c r="H1182" s="2" t="str">
        <x:v>Online</x:v>
      </x:c>
      <x:c r="I1182" s="2" t="n">
        <x:v>29</x:v>
      </x:c>
      <x:c r="J1182" s="2" t="n">
        <x:v>0</x:v>
      </x:c>
      <x:c r="K1182" s="2" t="n">
        <x:f>I1182-J1182</x:f>
        <x:v>29</x:v>
      </x:c>
      <x:c r="L1182" s="16" t="n">
        <x:v>28</x:v>
      </x:c>
      <x:c r="M1182" s="16" t="n">
        <x:v>28</x:v>
      </x:c>
      <x:c r="N1182" s="16" t="n">
        <x:v>11.48</x:v>
      </x:c>
      <x:c r="O1182" s="16" t="n">
        <x:f>K1182*M1182</x:f>
        <x:v>812</x:v>
      </x:c>
      <x:c r="P1182" s="16" t="n">
        <x:f>K1182*N1182</x:f>
        <x:v>332.92</x:v>
      </x:c>
      <x:c r="Q1182" s="16" t="n">
        <x:f>O1182-P1182</x:f>
        <x:v>479.08</x:v>
      </x:c>
      <x:c r="R1182" s="2" t="n">
        <x:v>140</x:v>
      </x:c>
      <x:c r="S1182" s="2" t="n">
        <x:v>65</x:v>
      </x:c>
      <x:c r="T1182" s="2" t="n">
        <x:f>R1182+S1182+J1182-I1182</x:f>
        <x:v>176</x:v>
      </x:c>
      <x:c r="U1182" s="2" t="n">
        <x:v>0</x:v>
      </x:c>
      <x:c r="V1182" s="2" t="n">
        <x:v>4</x:v>
      </x:c>
      <x:c r="W1182" s="2" t="n">
        <x:v>29</x:v>
      </x:c>
      <x:c r="X1182" s="14" t="b">
        <x:v>0</x:v>
      </x:c>
      <x:c r="Y1182" s="14" t="b">
        <x:v>0</x:v>
      </x:c>
      <x:c r="Z1182" s="2" t="n">
        <x:f>ABS(T1182-AA1182)</x:f>
        <x:v>0</x:v>
      </x:c>
      <x:c r="AA1182" s="2" t="n">
        <x:v>176</x:v>
      </x:c>
      <x:c r="AB1182" s="2" t="n">
        <x:f>ABS(K1182-W1182)</x:f>
        <x:v>0</x:v>
      </x:c>
      <x:c r="AC1182" s="2" t="n">
        <x:f>COUNTIF($A$2:$A$1921,A1182)-1</x:f>
        <x:v>0</x:v>
      </x:c>
      <x:c r="AD1182" s="2" t="n">
        <x:f>IF(AND(D1182=D1181,H1182=H1181,C1182=C1181+1),ABS(R1182-T1181),0)</x:f>
        <x:v>0</x:v>
      </x:c>
    </x:row>
    <x:row r="1183" ht="23" customHeight="1">
      <x:c r="A1183" s="2" t="str">
        <x:v>DEMO-303-3-2</x:v>
      </x:c>
      <x:c r="B1183" s="15" t="d">
        <x:v>2026-05-11T00:00:00.000Z</x:v>
      </x:c>
      <x:c r="C1183" s="2" t="n">
        <x:v>2</x:v>
      </x:c>
      <x:c r="D1183" s="2" t="str">
        <x:v>DEMO-303</x:v>
      </x:c>
      <x:c r="E1183" s="2" t="str">
        <x:v>Weekend Flask</x:v>
      </x:c>
      <x:c r="F1183" s="2" t="str">
        <x:v>Lifestyle</x:v>
      </x:c>
      <x:c r="G1183" s="2" t="str">
        <x:v>Online</x:v>
      </x:c>
      <x:c r="H1183" s="2" t="str">
        <x:v>Online</x:v>
      </x:c>
      <x:c r="I1183" s="2" t="n">
        <x:v>31</x:v>
      </x:c>
      <x:c r="J1183" s="2" t="n">
        <x:v>0</x:v>
      </x:c>
      <x:c r="K1183" s="2" t="n">
        <x:f>I1183-J1183</x:f>
        <x:v>31</x:v>
      </x:c>
      <x:c r="L1183" s="16" t="n">
        <x:v>28</x:v>
      </x:c>
      <x:c r="M1183" s="16" t="n">
        <x:v>28</x:v>
      </x:c>
      <x:c r="N1183" s="16" t="n">
        <x:v>11.48</x:v>
      </x:c>
      <x:c r="O1183" s="16" t="n">
        <x:f>K1183*M1183</x:f>
        <x:v>868</x:v>
      </x:c>
      <x:c r="P1183" s="16" t="n">
        <x:f>K1183*N1183</x:f>
        <x:v>355.88</x:v>
      </x:c>
      <x:c r="Q1183" s="16" t="n">
        <x:f>O1183-P1183</x:f>
        <x:v>512.12</x:v>
      </x:c>
      <x:c r="R1183" s="2" t="n">
        <x:v>176</x:v>
      </x:c>
      <x:c r="S1183" s="2" t="n">
        <x:v>0</x:v>
      </x:c>
      <x:c r="T1183" s="2" t="n">
        <x:f>R1183+S1183+J1183-I1183</x:f>
        <x:v>145</x:v>
      </x:c>
      <x:c r="U1183" s="2" t="n">
        <x:v>0</x:v>
      </x:c>
      <x:c r="V1183" s="2" t="n">
        <x:v>4</x:v>
      </x:c>
      <x:c r="W1183" s="2" t="n">
        <x:v>29</x:v>
      </x:c>
      <x:c r="X1183" s="14" t="b">
        <x:v>0</x:v>
      </x:c>
      <x:c r="Y1183" s="14" t="b">
        <x:v>0</x:v>
      </x:c>
      <x:c r="Z1183" s="2" t="n">
        <x:f>ABS(T1183-AA1183)</x:f>
        <x:v>0</x:v>
      </x:c>
      <x:c r="AA1183" s="2" t="n">
        <x:v>145</x:v>
      </x:c>
      <x:c r="AB1183" s="2" t="n">
        <x:f>ABS(K1183-W1183)</x:f>
        <x:v>2</x:v>
      </x:c>
      <x:c r="AC1183" s="2" t="n">
        <x:f>COUNTIF($A$2:$A$1921,A1183)-1</x:f>
        <x:v>0</x:v>
      </x:c>
      <x:c r="AD1183" s="2" t="n">
        <x:f>IF(AND(D1183=D1182,H1183=H1182,C1183=C1182+1),ABS(R1183-T1182),0)</x:f>
        <x:v>0</x:v>
      </x:c>
    </x:row>
    <x:row r="1184" ht="23" customHeight="1">
      <x:c r="A1184" s="2" t="str">
        <x:v>DEMO-303-3-3</x:v>
      </x:c>
      <x:c r="B1184" s="15" t="d">
        <x:v>2026-05-18T00:00:00.000Z</x:v>
      </x:c>
      <x:c r="C1184" s="2" t="n">
        <x:v>3</x:v>
      </x:c>
      <x:c r="D1184" s="2" t="str">
        <x:v>DEMO-303</x:v>
      </x:c>
      <x:c r="E1184" s="2" t="str">
        <x:v>Weekend Flask</x:v>
      </x:c>
      <x:c r="F1184" s="2" t="str">
        <x:v>Lifestyle</x:v>
      </x:c>
      <x:c r="G1184" s="2" t="str">
        <x:v>Online</x:v>
      </x:c>
      <x:c r="H1184" s="2" t="str">
        <x:v>Online</x:v>
      </x:c>
      <x:c r="I1184" s="2" t="n">
        <x:v>26</x:v>
      </x:c>
      <x:c r="J1184" s="2" t="n">
        <x:v>1</x:v>
      </x:c>
      <x:c r="K1184" s="2" t="n">
        <x:f>I1184-J1184</x:f>
        <x:v>25</x:v>
      </x:c>
      <x:c r="L1184" s="16" t="n">
        <x:v>28</x:v>
      </x:c>
      <x:c r="M1184" s="16" t="n">
        <x:v>28</x:v>
      </x:c>
      <x:c r="N1184" s="16" t="n">
        <x:v>11.48</x:v>
      </x:c>
      <x:c r="O1184" s="16" t="n">
        <x:f>K1184*M1184</x:f>
        <x:v>700</x:v>
      </x:c>
      <x:c r="P1184" s="16" t="n">
        <x:f>K1184*N1184</x:f>
        <x:v>287</x:v>
      </x:c>
      <x:c r="Q1184" s="16" t="n">
        <x:f>O1184-P1184</x:f>
        <x:v>413</x:v>
      </x:c>
      <x:c r="R1184" s="2" t="n">
        <x:v>145</x:v>
      </x:c>
      <x:c r="S1184" s="2" t="n">
        <x:v>0</x:v>
      </x:c>
      <x:c r="T1184" s="2" t="n">
        <x:f>R1184+S1184+J1184-I1184</x:f>
        <x:v>120</x:v>
      </x:c>
      <x:c r="U1184" s="2" t="n">
        <x:v>0</x:v>
      </x:c>
      <x:c r="V1184" s="2" t="n">
        <x:v>4</x:v>
      </x:c>
      <x:c r="W1184" s="2" t="n">
        <x:v>30</x:v>
      </x:c>
      <x:c r="X1184" s="14" t="b">
        <x:v>0</x:v>
      </x:c>
      <x:c r="Y1184" s="14" t="b">
        <x:v>0</x:v>
      </x:c>
      <x:c r="Z1184" s="2" t="n">
        <x:f>ABS(T1184-AA1184)</x:f>
        <x:v>0</x:v>
      </x:c>
      <x:c r="AA1184" s="2" t="n">
        <x:v>120</x:v>
      </x:c>
      <x:c r="AB1184" s="2" t="n">
        <x:f>ABS(K1184-W1184)</x:f>
        <x:v>5</x:v>
      </x:c>
      <x:c r="AC1184" s="2" t="n">
        <x:f>COUNTIF($A$2:$A$1921,A1184)-1</x:f>
        <x:v>0</x:v>
      </x:c>
      <x:c r="AD1184" s="2" t="n">
        <x:f>IF(AND(D1184=D1183,H1184=H1183,C1184=C1183+1),ABS(R1184-T1183),0)</x:f>
        <x:v>0</x:v>
      </x:c>
    </x:row>
    <x:row r="1185" ht="23" customHeight="1">
      <x:c r="A1185" s="2" t="str">
        <x:v>DEMO-303-3-4</x:v>
      </x:c>
      <x:c r="B1185" s="15" t="d">
        <x:v>2026-05-25T00:00:00.000Z</x:v>
      </x:c>
      <x:c r="C1185" s="2" t="n">
        <x:v>4</x:v>
      </x:c>
      <x:c r="D1185" s="2" t="str">
        <x:v>DEMO-303</x:v>
      </x:c>
      <x:c r="E1185" s="2" t="str">
        <x:v>Weekend Flask</x:v>
      </x:c>
      <x:c r="F1185" s="2" t="str">
        <x:v>Lifestyle</x:v>
      </x:c>
      <x:c r="G1185" s="2" t="str">
        <x:v>Online</x:v>
      </x:c>
      <x:c r="H1185" s="2" t="str">
        <x:v>Online</x:v>
      </x:c>
      <x:c r="I1185" s="2" t="n">
        <x:v>30</x:v>
      </x:c>
      <x:c r="J1185" s="2" t="n">
        <x:v>0</x:v>
      </x:c>
      <x:c r="K1185" s="2" t="n">
        <x:f>I1185-J1185</x:f>
        <x:v>30</x:v>
      </x:c>
      <x:c r="L1185" s="16" t="n">
        <x:v>28</x:v>
      </x:c>
      <x:c r="M1185" s="16" t="n">
        <x:v>28</x:v>
      </x:c>
      <x:c r="N1185" s="16" t="n">
        <x:v>11.48</x:v>
      </x:c>
      <x:c r="O1185" s="16" t="n">
        <x:f>K1185*M1185</x:f>
        <x:v>840</x:v>
      </x:c>
      <x:c r="P1185" s="16" t="n">
        <x:f>K1185*N1185</x:f>
        <x:v>344.40000000000003</x:v>
      </x:c>
      <x:c r="Q1185" s="16" t="n">
        <x:f>O1185-P1185</x:f>
        <x:v>495.59999999999997</x:v>
      </x:c>
      <x:c r="R1185" s="2" t="n">
        <x:v>120</x:v>
      </x:c>
      <x:c r="S1185" s="2" t="n">
        <x:v>0</x:v>
      </x:c>
      <x:c r="T1185" s="2" t="n">
        <x:f>R1185+S1185+J1185-I1185</x:f>
        <x:v>90</x:v>
      </x:c>
      <x:c r="U1185" s="2" t="n">
        <x:v>0</x:v>
      </x:c>
      <x:c r="V1185" s="2" t="n">
        <x:v>4</x:v>
      </x:c>
      <x:c r="W1185" s="2" t="n">
        <x:v>28</x:v>
      </x:c>
      <x:c r="X1185" s="14" t="b">
        <x:v>0</x:v>
      </x:c>
      <x:c r="Y1185" s="14" t="b">
        <x:v>0</x:v>
      </x:c>
      <x:c r="Z1185" s="2" t="n">
        <x:f>ABS(T1185-AA1185)</x:f>
        <x:v>0</x:v>
      </x:c>
      <x:c r="AA1185" s="2" t="n">
        <x:v>90</x:v>
      </x:c>
      <x:c r="AB1185" s="2" t="n">
        <x:f>ABS(K1185-W1185)</x:f>
        <x:v>2</x:v>
      </x:c>
      <x:c r="AC1185" s="2" t="n">
        <x:f>COUNTIF($A$2:$A$1921,A1185)-1</x:f>
        <x:v>0</x:v>
      </x:c>
      <x:c r="AD1185" s="2" t="n">
        <x:f>IF(AND(D1185=D1184,H1185=H1184,C1185=C1184+1),ABS(R1185-T1184),0)</x:f>
        <x:v>0</x:v>
      </x:c>
    </x:row>
    <x:row r="1186" ht="23" customHeight="1">
      <x:c r="A1186" s="2" t="str">
        <x:v>DEMO-303-3-5</x:v>
      </x:c>
      <x:c r="B1186" s="15" t="d">
        <x:v>2026-06-01T00:00:00.000Z</x:v>
      </x:c>
      <x:c r="C1186" s="2" t="n">
        <x:v>5</x:v>
      </x:c>
      <x:c r="D1186" s="2" t="str">
        <x:v>DEMO-303</x:v>
      </x:c>
      <x:c r="E1186" s="2" t="str">
        <x:v>Weekend Flask</x:v>
      </x:c>
      <x:c r="F1186" s="2" t="str">
        <x:v>Lifestyle</x:v>
      </x:c>
      <x:c r="G1186" s="2" t="str">
        <x:v>Online</x:v>
      </x:c>
      <x:c r="H1186" s="2" t="str">
        <x:v>Online</x:v>
      </x:c>
      <x:c r="I1186" s="2" t="n">
        <x:v>30</x:v>
      </x:c>
      <x:c r="J1186" s="2" t="n">
        <x:v>1</x:v>
      </x:c>
      <x:c r="K1186" s="2" t="n">
        <x:f>I1186-J1186</x:f>
        <x:v>29</x:v>
      </x:c>
      <x:c r="L1186" s="16" t="n">
        <x:v>28</x:v>
      </x:c>
      <x:c r="M1186" s="16" t="n">
        <x:v>28</x:v>
      </x:c>
      <x:c r="N1186" s="16" t="n">
        <x:v>11.48</x:v>
      </x:c>
      <x:c r="O1186" s="16" t="n">
        <x:f>K1186*M1186</x:f>
        <x:v>812</x:v>
      </x:c>
      <x:c r="P1186" s="16" t="n">
        <x:f>K1186*N1186</x:f>
        <x:v>332.92</x:v>
      </x:c>
      <x:c r="Q1186" s="16" t="n">
        <x:f>O1186-P1186</x:f>
        <x:v>479.08</x:v>
      </x:c>
      <x:c r="R1186" s="2" t="n">
        <x:v>90</x:v>
      </x:c>
      <x:c r="S1186" s="2" t="n">
        <x:v>65</x:v>
      </x:c>
      <x:c r="T1186" s="2" t="n">
        <x:f>R1186+S1186+J1186-I1186</x:f>
        <x:v>126</x:v>
      </x:c>
      <x:c r="U1186" s="2" t="n">
        <x:v>0</x:v>
      </x:c>
      <x:c r="V1186" s="2" t="n">
        <x:v>4</x:v>
      </x:c>
      <x:c r="W1186" s="2" t="n">
        <x:v>29</x:v>
      </x:c>
      <x:c r="X1186" s="14" t="b">
        <x:v>0</x:v>
      </x:c>
      <x:c r="Y1186" s="14" t="b">
        <x:v>0</x:v>
      </x:c>
      <x:c r="Z1186" s="2" t="n">
        <x:f>ABS(T1186-AA1186)</x:f>
        <x:v>0</x:v>
      </x:c>
      <x:c r="AA1186" s="2" t="n">
        <x:v>126</x:v>
      </x:c>
      <x:c r="AB1186" s="2" t="n">
        <x:f>ABS(K1186-W1186)</x:f>
        <x:v>0</x:v>
      </x:c>
      <x:c r="AC1186" s="2" t="n">
        <x:f>COUNTIF($A$2:$A$1921,A1186)-1</x:f>
        <x:v>0</x:v>
      </x:c>
      <x:c r="AD1186" s="2" t="n">
        <x:f>IF(AND(D1186=D1185,H1186=H1185,C1186=C1185+1),ABS(R1186-T1185),0)</x:f>
        <x:v>0</x:v>
      </x:c>
    </x:row>
    <x:row r="1187" ht="23" customHeight="1">
      <x:c r="A1187" s="2" t="str">
        <x:v>DEMO-303-3-6</x:v>
      </x:c>
      <x:c r="B1187" s="15" t="d">
        <x:v>2026-06-08T00:00:00.000Z</x:v>
      </x:c>
      <x:c r="C1187" s="2" t="n">
        <x:v>6</x:v>
      </x:c>
      <x:c r="D1187" s="2" t="str">
        <x:v>DEMO-303</x:v>
      </x:c>
      <x:c r="E1187" s="2" t="str">
        <x:v>Weekend Flask</x:v>
      </x:c>
      <x:c r="F1187" s="2" t="str">
        <x:v>Lifestyle</x:v>
      </x:c>
      <x:c r="G1187" s="2" t="str">
        <x:v>Online</x:v>
      </x:c>
      <x:c r="H1187" s="2" t="str">
        <x:v>Online</x:v>
      </x:c>
      <x:c r="I1187" s="2" t="n">
        <x:v>29</x:v>
      </x:c>
      <x:c r="J1187" s="2" t="n">
        <x:v>0</x:v>
      </x:c>
      <x:c r="K1187" s="2" t="n">
        <x:f>I1187-J1187</x:f>
        <x:v>29</x:v>
      </x:c>
      <x:c r="L1187" s="16" t="n">
        <x:v>28</x:v>
      </x:c>
      <x:c r="M1187" s="16" t="n">
        <x:v>28</x:v>
      </x:c>
      <x:c r="N1187" s="16" t="n">
        <x:v>11.48</x:v>
      </x:c>
      <x:c r="O1187" s="16" t="n">
        <x:f>K1187*M1187</x:f>
        <x:v>812</x:v>
      </x:c>
      <x:c r="P1187" s="16" t="n">
        <x:f>K1187*N1187</x:f>
        <x:v>332.92</x:v>
      </x:c>
      <x:c r="Q1187" s="16" t="n">
        <x:f>O1187-P1187</x:f>
        <x:v>479.08</x:v>
      </x:c>
      <x:c r="R1187" s="2" t="n">
        <x:v>126</x:v>
      </x:c>
      <x:c r="S1187" s="2" t="n">
        <x:v>0</x:v>
      </x:c>
      <x:c r="T1187" s="2" t="n">
        <x:f>R1187+S1187+J1187-I1187</x:f>
        <x:v>97</x:v>
      </x:c>
      <x:c r="U1187" s="2" t="n">
        <x:v>0</x:v>
      </x:c>
      <x:c r="V1187" s="2" t="n">
        <x:v>4</x:v>
      </x:c>
      <x:c r="W1187" s="2" t="n">
        <x:v>29</x:v>
      </x:c>
      <x:c r="X1187" s="14" t="b">
        <x:v>0</x:v>
      </x:c>
      <x:c r="Y1187" s="14" t="b">
        <x:v>0</x:v>
      </x:c>
      <x:c r="Z1187" s="2" t="n">
        <x:f>ABS(T1187-AA1187)</x:f>
        <x:v>0</x:v>
      </x:c>
      <x:c r="AA1187" s="2" t="n">
        <x:v>97</x:v>
      </x:c>
      <x:c r="AB1187" s="2" t="n">
        <x:f>ABS(K1187-W1187)</x:f>
        <x:v>0</x:v>
      </x:c>
      <x:c r="AC1187" s="2" t="n">
        <x:f>COUNTIF($A$2:$A$1921,A1187)-1</x:f>
        <x:v>0</x:v>
      </x:c>
      <x:c r="AD1187" s="2" t="n">
        <x:f>IF(AND(D1187=D1186,H1187=H1186,C1187=C1186+1),ABS(R1187-T1186),0)</x:f>
        <x:v>0</x:v>
      </x:c>
    </x:row>
    <x:row r="1188" ht="23" customHeight="1">
      <x:c r="A1188" s="2" t="str">
        <x:v>DEMO-303-3-7</x:v>
      </x:c>
      <x:c r="B1188" s="15" t="d">
        <x:v>2026-06-15T00:00:00.000Z</x:v>
      </x:c>
      <x:c r="C1188" s="2" t="n">
        <x:v>7</x:v>
      </x:c>
      <x:c r="D1188" s="2" t="str">
        <x:v>DEMO-303</x:v>
      </x:c>
      <x:c r="E1188" s="2" t="str">
        <x:v>Weekend Flask</x:v>
      </x:c>
      <x:c r="F1188" s="2" t="str">
        <x:v>Lifestyle</x:v>
      </x:c>
      <x:c r="G1188" s="2" t="str">
        <x:v>Online</x:v>
      </x:c>
      <x:c r="H1188" s="2" t="str">
        <x:v>Online</x:v>
      </x:c>
      <x:c r="I1188" s="2" t="n">
        <x:v>22</x:v>
      </x:c>
      <x:c r="J1188" s="2" t="n">
        <x:v>0</x:v>
      </x:c>
      <x:c r="K1188" s="2" t="n">
        <x:f>I1188-J1188</x:f>
        <x:v>22</x:v>
      </x:c>
      <x:c r="L1188" s="16" t="n">
        <x:v>28</x:v>
      </x:c>
      <x:c r="M1188" s="16" t="n">
        <x:v>28</x:v>
      </x:c>
      <x:c r="N1188" s="16" t="n">
        <x:v>11.48</x:v>
      </x:c>
      <x:c r="O1188" s="16" t="n">
        <x:f>K1188*M1188</x:f>
        <x:v>616</x:v>
      </x:c>
      <x:c r="P1188" s="16" t="n">
        <x:f>K1188*N1188</x:f>
        <x:v>252.56</x:v>
      </x:c>
      <x:c r="Q1188" s="16" t="n">
        <x:f>O1188-P1188</x:f>
        <x:v>363.44</x:v>
      </x:c>
      <x:c r="R1188" s="2" t="n">
        <x:v>97</x:v>
      </x:c>
      <x:c r="S1188" s="2" t="n">
        <x:v>0</x:v>
      </x:c>
      <x:c r="T1188" s="2" t="n">
        <x:f>R1188+S1188+J1188-I1188</x:f>
        <x:v>75</x:v>
      </x:c>
      <x:c r="U1188" s="2" t="n">
        <x:v>0</x:v>
      </x:c>
      <x:c r="V1188" s="2" t="n">
        <x:v>4</x:v>
      </x:c>
      <x:c r="W1188" s="2" t="n">
        <x:v>28</x:v>
      </x:c>
      <x:c r="X1188" s="14" t="b">
        <x:v>0</x:v>
      </x:c>
      <x:c r="Y1188" s="14" t="b">
        <x:v>0</x:v>
      </x:c>
      <x:c r="Z1188" s="2" t="n">
        <x:f>ABS(T1188-AA1188)</x:f>
        <x:v>0</x:v>
      </x:c>
      <x:c r="AA1188" s="2" t="n">
        <x:v>75</x:v>
      </x:c>
      <x:c r="AB1188" s="2" t="n">
        <x:f>ABS(K1188-W1188)</x:f>
        <x:v>6</x:v>
      </x:c>
      <x:c r="AC1188" s="2" t="n">
        <x:f>COUNTIF($A$2:$A$1921,A1188)-1</x:f>
        <x:v>0</x:v>
      </x:c>
      <x:c r="AD1188" s="2" t="n">
        <x:f>IF(AND(D1188=D1187,H1188=H1187,C1188=C1187+1),ABS(R1188-T1187),0)</x:f>
        <x:v>0</x:v>
      </x:c>
    </x:row>
    <x:row r="1189" ht="23" customHeight="1">
      <x:c r="A1189" s="2" t="str">
        <x:v>DEMO-303-3-8</x:v>
      </x:c>
      <x:c r="B1189" s="15" t="d">
        <x:v>2026-06-22T00:00:00.000Z</x:v>
      </x:c>
      <x:c r="C1189" s="2" t="n">
        <x:v>8</x:v>
      </x:c>
      <x:c r="D1189" s="2" t="str">
        <x:v>DEMO-303</x:v>
      </x:c>
      <x:c r="E1189" s="2" t="str">
        <x:v>Weekend Flask</x:v>
      </x:c>
      <x:c r="F1189" s="2" t="str">
        <x:v>Lifestyle</x:v>
      </x:c>
      <x:c r="G1189" s="2" t="str">
        <x:v>Online</x:v>
      </x:c>
      <x:c r="H1189" s="2" t="str">
        <x:v>Online</x:v>
      </x:c>
      <x:c r="I1189" s="2" t="n">
        <x:v>19</x:v>
      </x:c>
      <x:c r="J1189" s="2" t="n">
        <x:v>0</x:v>
      </x:c>
      <x:c r="K1189" s="2" t="n">
        <x:f>I1189-J1189</x:f>
        <x:v>19</x:v>
      </x:c>
      <x:c r="L1189" s="16" t="n">
        <x:v>28</x:v>
      </x:c>
      <x:c r="M1189" s="16" t="n">
        <x:v>28</x:v>
      </x:c>
      <x:c r="N1189" s="16" t="n">
        <x:v>11.48</x:v>
      </x:c>
      <x:c r="O1189" s="16" t="n">
        <x:f>K1189*M1189</x:f>
        <x:v>532</x:v>
      </x:c>
      <x:c r="P1189" s="16" t="n">
        <x:f>K1189*N1189</x:f>
        <x:v>218.12</x:v>
      </x:c>
      <x:c r="Q1189" s="16" t="n">
        <x:f>O1189-P1189</x:f>
        <x:v>313.88</x:v>
      </x:c>
      <x:c r="R1189" s="2" t="n">
        <x:v>75</x:v>
      </x:c>
      <x:c r="S1189" s="2" t="n">
        <x:v>0</x:v>
      </x:c>
      <x:c r="T1189" s="2" t="n">
        <x:f>R1189+S1189+J1189-I1189</x:f>
        <x:v>56</x:v>
      </x:c>
      <x:c r="U1189" s="2" t="n">
        <x:v>0</x:v>
      </x:c>
      <x:c r="V1189" s="2" t="n">
        <x:v>4</x:v>
      </x:c>
      <x:c r="W1189" s="2" t="n">
        <x:v>28</x:v>
      </x:c>
      <x:c r="X1189" s="14" t="b">
        <x:v>0</x:v>
      </x:c>
      <x:c r="Y1189" s="14" t="b">
        <x:v>0</x:v>
      </x:c>
      <x:c r="Z1189" s="2" t="n">
        <x:f>ABS(T1189-AA1189)</x:f>
        <x:v>0</x:v>
      </x:c>
      <x:c r="AA1189" s="2" t="n">
        <x:v>56</x:v>
      </x:c>
      <x:c r="AB1189" s="2" t="n">
        <x:f>ABS(K1189-W1189)</x:f>
        <x:v>9</x:v>
      </x:c>
      <x:c r="AC1189" s="2" t="n">
        <x:f>COUNTIF($A$2:$A$1921,A1189)-1</x:f>
        <x:v>0</x:v>
      </x:c>
      <x:c r="AD1189" s="2" t="n">
        <x:f>IF(AND(D1189=D1188,H1189=H1188,C1189=C1188+1),ABS(R1189-T1188),0)</x:f>
        <x:v>0</x:v>
      </x:c>
    </x:row>
    <x:row r="1190" ht="23" customHeight="1">
      <x:c r="A1190" s="2" t="str">
        <x:v>DEMO-303-3-9</x:v>
      </x:c>
      <x:c r="B1190" s="15" t="d">
        <x:v>2026-06-29T00:00:00.000Z</x:v>
      </x:c>
      <x:c r="C1190" s="2" t="n">
        <x:v>9</x:v>
      </x:c>
      <x:c r="D1190" s="2" t="str">
        <x:v>DEMO-303</x:v>
      </x:c>
      <x:c r="E1190" s="2" t="str">
        <x:v>Weekend Flask</x:v>
      </x:c>
      <x:c r="F1190" s="2" t="str">
        <x:v>Lifestyle</x:v>
      </x:c>
      <x:c r="G1190" s="2" t="str">
        <x:v>Online</x:v>
      </x:c>
      <x:c r="H1190" s="2" t="str">
        <x:v>Online</x:v>
      </x:c>
      <x:c r="I1190" s="2" t="n">
        <x:v>22</x:v>
      </x:c>
      <x:c r="J1190" s="2" t="n">
        <x:v>0</x:v>
      </x:c>
      <x:c r="K1190" s="2" t="n">
        <x:f>I1190-J1190</x:f>
        <x:v>22</x:v>
      </x:c>
      <x:c r="L1190" s="16" t="n">
        <x:v>28</x:v>
      </x:c>
      <x:c r="M1190" s="16" t="n">
        <x:v>28</x:v>
      </x:c>
      <x:c r="N1190" s="16" t="n">
        <x:v>11.48</x:v>
      </x:c>
      <x:c r="O1190" s="16" t="n">
        <x:f>K1190*M1190</x:f>
        <x:v>616</x:v>
      </x:c>
      <x:c r="P1190" s="16" t="n">
        <x:f>K1190*N1190</x:f>
        <x:v>252.56</x:v>
      </x:c>
      <x:c r="Q1190" s="16" t="n">
        <x:f>O1190-P1190</x:f>
        <x:v>363.44</x:v>
      </x:c>
      <x:c r="R1190" s="2" t="n">
        <x:v>56</x:v>
      </x:c>
      <x:c r="S1190" s="2" t="n">
        <x:v>65</x:v>
      </x:c>
      <x:c r="T1190" s="2" t="n">
        <x:f>R1190+S1190+J1190-I1190</x:f>
        <x:v>99</x:v>
      </x:c>
      <x:c r="U1190" s="2" t="n">
        <x:v>0</x:v>
      </x:c>
      <x:c r="V1190" s="2" t="n">
        <x:v>4</x:v>
      </x:c>
      <x:c r="W1190" s="2" t="n">
        <x:v>25</x:v>
      </x:c>
      <x:c r="X1190" s="14" t="b">
        <x:v>0</x:v>
      </x:c>
      <x:c r="Y1190" s="14" t="b">
        <x:v>0</x:v>
      </x:c>
      <x:c r="Z1190" s="2" t="n">
        <x:f>ABS(T1190-AA1190)</x:f>
        <x:v>0</x:v>
      </x:c>
      <x:c r="AA1190" s="2" t="n">
        <x:v>99</x:v>
      </x:c>
      <x:c r="AB1190" s="2" t="n">
        <x:f>ABS(K1190-W1190)</x:f>
        <x:v>3</x:v>
      </x:c>
      <x:c r="AC1190" s="2" t="n">
        <x:f>COUNTIF($A$2:$A$1921,A1190)-1</x:f>
        <x:v>0</x:v>
      </x:c>
      <x:c r="AD1190" s="2" t="n">
        <x:f>IF(AND(D1190=D1189,H1190=H1189,C1190=C1189+1),ABS(R1190-T1189),0)</x:f>
        <x:v>0</x:v>
      </x:c>
    </x:row>
    <x:row r="1191" ht="23" customHeight="1">
      <x:c r="A1191" s="2" t="str">
        <x:v>DEMO-303-3-10</x:v>
      </x:c>
      <x:c r="B1191" s="15" t="d">
        <x:v>2026-07-06T00:00:00.000Z</x:v>
      </x:c>
      <x:c r="C1191" s="2" t="n">
        <x:v>10</x:v>
      </x:c>
      <x:c r="D1191" s="2" t="str">
        <x:v>DEMO-303</x:v>
      </x:c>
      <x:c r="E1191" s="2" t="str">
        <x:v>Weekend Flask</x:v>
      </x:c>
      <x:c r="F1191" s="2" t="str">
        <x:v>Lifestyle</x:v>
      </x:c>
      <x:c r="G1191" s="2" t="str">
        <x:v>Online</x:v>
      </x:c>
      <x:c r="H1191" s="2" t="str">
        <x:v>Online</x:v>
      </x:c>
      <x:c r="I1191" s="2" t="n">
        <x:v>20</x:v>
      </x:c>
      <x:c r="J1191" s="2" t="n">
        <x:v>0</x:v>
      </x:c>
      <x:c r="K1191" s="2" t="n">
        <x:f>I1191-J1191</x:f>
        <x:v>20</x:v>
      </x:c>
      <x:c r="L1191" s="16" t="n">
        <x:v>28</x:v>
      </x:c>
      <x:c r="M1191" s="16" t="n">
        <x:v>28</x:v>
      </x:c>
      <x:c r="N1191" s="16" t="n">
        <x:v>11.48</x:v>
      </x:c>
      <x:c r="O1191" s="16" t="n">
        <x:f>K1191*M1191</x:f>
        <x:v>560</x:v>
      </x:c>
      <x:c r="P1191" s="16" t="n">
        <x:f>K1191*N1191</x:f>
        <x:v>229.60000000000002</x:v>
      </x:c>
      <x:c r="Q1191" s="16" t="n">
        <x:f>O1191-P1191</x:f>
        <x:v>330.4</x:v>
      </x:c>
      <x:c r="R1191" s="2" t="n">
        <x:v>99</x:v>
      </x:c>
      <x:c r="S1191" s="2" t="n">
        <x:v>0</x:v>
      </x:c>
      <x:c r="T1191" s="2" t="n">
        <x:f>R1191+S1191+J1191-I1191</x:f>
        <x:v>79</x:v>
      </x:c>
      <x:c r="U1191" s="2" t="n">
        <x:v>0</x:v>
      </x:c>
      <x:c r="V1191" s="2" t="n">
        <x:v>4</x:v>
      </x:c>
      <x:c r="W1191" s="2" t="n">
        <x:v>23</x:v>
      </x:c>
      <x:c r="X1191" s="14" t="b">
        <x:v>0</x:v>
      </x:c>
      <x:c r="Y1191" s="14" t="b">
        <x:v>0</x:v>
      </x:c>
      <x:c r="Z1191" s="2" t="n">
        <x:f>ABS(T1191-AA1191)</x:f>
        <x:v>0</x:v>
      </x:c>
      <x:c r="AA1191" s="2" t="n">
        <x:v>79</x:v>
      </x:c>
      <x:c r="AB1191" s="2" t="n">
        <x:f>ABS(K1191-W1191)</x:f>
        <x:v>3</x:v>
      </x:c>
      <x:c r="AC1191" s="2" t="n">
        <x:f>COUNTIF($A$2:$A$1921,A1191)-1</x:f>
        <x:v>0</x:v>
      </x:c>
      <x:c r="AD1191" s="2" t="n">
        <x:f>IF(AND(D1191=D1190,H1191=H1190,C1191=C1190+1),ABS(R1191-T1190),0)</x:f>
        <x:v>0</x:v>
      </x:c>
    </x:row>
    <x:row r="1192" ht="23" customHeight="1">
      <x:c r="A1192" s="2" t="str">
        <x:v>DEMO-303-3-11</x:v>
      </x:c>
      <x:c r="B1192" s="15" t="d">
        <x:v>2026-07-13T00:00:00.000Z</x:v>
      </x:c>
      <x:c r="C1192" s="2" t="n">
        <x:v>11</x:v>
      </x:c>
      <x:c r="D1192" s="2" t="str">
        <x:v>DEMO-303</x:v>
      </x:c>
      <x:c r="E1192" s="2" t="str">
        <x:v>Weekend Flask</x:v>
      </x:c>
      <x:c r="F1192" s="2" t="str">
        <x:v>Lifestyle</x:v>
      </x:c>
      <x:c r="G1192" s="2" t="str">
        <x:v>Online</x:v>
      </x:c>
      <x:c r="H1192" s="2" t="str">
        <x:v>Online</x:v>
      </x:c>
      <x:c r="I1192" s="2" t="n">
        <x:v>18</x:v>
      </x:c>
      <x:c r="J1192" s="2" t="n">
        <x:v>0</x:v>
      </x:c>
      <x:c r="K1192" s="2" t="n">
        <x:f>I1192-J1192</x:f>
        <x:v>18</x:v>
      </x:c>
      <x:c r="L1192" s="16" t="n">
        <x:v>28</x:v>
      </x:c>
      <x:c r="M1192" s="16" t="n">
        <x:v>28</x:v>
      </x:c>
      <x:c r="N1192" s="16" t="n">
        <x:v>11.48</x:v>
      </x:c>
      <x:c r="O1192" s="16" t="n">
        <x:f>K1192*M1192</x:f>
        <x:v>504</x:v>
      </x:c>
      <x:c r="P1192" s="16" t="n">
        <x:f>K1192*N1192</x:f>
        <x:v>206.64000000000001</x:v>
      </x:c>
      <x:c r="Q1192" s="16" t="n">
        <x:f>O1192-P1192</x:f>
        <x:v>297.36</x:v>
      </x:c>
      <x:c r="R1192" s="2" t="n">
        <x:v>79</x:v>
      </x:c>
      <x:c r="S1192" s="2" t="n">
        <x:v>0</x:v>
      </x:c>
      <x:c r="T1192" s="2" t="n">
        <x:f>R1192+S1192+J1192-I1192</x:f>
        <x:v>61</x:v>
      </x:c>
      <x:c r="U1192" s="2" t="n">
        <x:v>0</x:v>
      </x:c>
      <x:c r="V1192" s="2" t="n">
        <x:v>4</x:v>
      </x:c>
      <x:c r="W1192" s="2" t="n">
        <x:v>21</x:v>
      </x:c>
      <x:c r="X1192" s="14" t="b">
        <x:v>0</x:v>
      </x:c>
      <x:c r="Y1192" s="14" t="b">
        <x:v>0</x:v>
      </x:c>
      <x:c r="Z1192" s="2" t="n">
        <x:f>ABS(T1192-AA1192)</x:f>
        <x:v>0</x:v>
      </x:c>
      <x:c r="AA1192" s="2" t="n">
        <x:v>61</x:v>
      </x:c>
      <x:c r="AB1192" s="2" t="n">
        <x:f>ABS(K1192-W1192)</x:f>
        <x:v>3</x:v>
      </x:c>
      <x:c r="AC1192" s="2" t="n">
        <x:f>COUNTIF($A$2:$A$1921,A1192)-1</x:f>
        <x:v>0</x:v>
      </x:c>
      <x:c r="AD1192" s="2" t="n">
        <x:f>IF(AND(D1192=D1191,H1192=H1191,C1192=C1191+1),ABS(R1192-T1191),0)</x:f>
        <x:v>0</x:v>
      </x:c>
    </x:row>
    <x:row r="1193" ht="23" customHeight="1">
      <x:c r="A1193" s="2" t="str">
        <x:v>DEMO-303-3-12</x:v>
      </x:c>
      <x:c r="B1193" s="15" t="d">
        <x:v>2026-07-20T00:00:00.000Z</x:v>
      </x:c>
      <x:c r="C1193" s="2" t="n">
        <x:v>12</x:v>
      </x:c>
      <x:c r="D1193" s="2" t="str">
        <x:v>DEMO-303</x:v>
      </x:c>
      <x:c r="E1193" s="2" t="str">
        <x:v>Weekend Flask</x:v>
      </x:c>
      <x:c r="F1193" s="2" t="str">
        <x:v>Lifestyle</x:v>
      </x:c>
      <x:c r="G1193" s="2" t="str">
        <x:v>Online</x:v>
      </x:c>
      <x:c r="H1193" s="2" t="str">
        <x:v>Online</x:v>
      </x:c>
      <x:c r="I1193" s="2" t="n">
        <x:v>17</x:v>
      </x:c>
      <x:c r="J1193" s="2" t="n">
        <x:v>0</x:v>
      </x:c>
      <x:c r="K1193" s="2" t="n">
        <x:f>I1193-J1193</x:f>
        <x:v>17</x:v>
      </x:c>
      <x:c r="L1193" s="16" t="n">
        <x:v>28</x:v>
      </x:c>
      <x:c r="M1193" s="16" t="n">
        <x:v>28</x:v>
      </x:c>
      <x:c r="N1193" s="16" t="n">
        <x:v>11.48</x:v>
      </x:c>
      <x:c r="O1193" s="16" t="n">
        <x:f>K1193*M1193</x:f>
        <x:v>476</x:v>
      </x:c>
      <x:c r="P1193" s="16" t="n">
        <x:f>K1193*N1193</x:f>
        <x:v>195.16</x:v>
      </x:c>
      <x:c r="Q1193" s="16" t="n">
        <x:f>O1193-P1193</x:f>
        <x:v>280.84000000000003</x:v>
      </x:c>
      <x:c r="R1193" s="2" t="n">
        <x:v>61</x:v>
      </x:c>
      <x:c r="S1193" s="2" t="n">
        <x:v>0</x:v>
      </x:c>
      <x:c r="T1193" s="2" t="n">
        <x:f>R1193+S1193+J1193-I1193</x:f>
        <x:v>44</x:v>
      </x:c>
      <x:c r="U1193" s="2" t="n">
        <x:v>0</x:v>
      </x:c>
      <x:c r="V1193" s="2" t="n">
        <x:v>4</x:v>
      </x:c>
      <x:c r="W1193" s="2" t="n">
        <x:v>20</x:v>
      </x:c>
      <x:c r="X1193" s="14" t="b">
        <x:v>0</x:v>
      </x:c>
      <x:c r="Y1193" s="14" t="b">
        <x:v>0</x:v>
      </x:c>
      <x:c r="Z1193" s="2" t="n">
        <x:f>ABS(T1193-AA1193)</x:f>
        <x:v>0</x:v>
      </x:c>
      <x:c r="AA1193" s="2" t="n">
        <x:v>44</x:v>
      </x:c>
      <x:c r="AB1193" s="2" t="n">
        <x:f>ABS(K1193-W1193)</x:f>
        <x:v>3</x:v>
      </x:c>
      <x:c r="AC1193" s="2" t="n">
        <x:f>COUNTIF($A$2:$A$1921,A1193)-1</x:f>
        <x:v>0</x:v>
      </x:c>
      <x:c r="AD1193" s="2" t="n">
        <x:f>IF(AND(D1193=D1192,H1193=H1192,C1193=C1192+1),ABS(R1193-T1192),0)</x:f>
        <x:v>0</x:v>
      </x:c>
    </x:row>
    <x:row r="1194" ht="23" customHeight="1">
      <x:c r="A1194" s="2" t="str">
        <x:v>DEMO-303-3-13</x:v>
      </x:c>
      <x:c r="B1194" s="15" t="d">
        <x:v>2026-07-27T00:00:00.000Z</x:v>
      </x:c>
      <x:c r="C1194" s="2" t="n">
        <x:v>13</x:v>
      </x:c>
      <x:c r="D1194" s="2" t="str">
        <x:v>DEMO-303</x:v>
      </x:c>
      <x:c r="E1194" s="2" t="str">
        <x:v>Weekend Flask</x:v>
      </x:c>
      <x:c r="F1194" s="2" t="str">
        <x:v>Lifestyle</x:v>
      </x:c>
      <x:c r="G1194" s="2" t="str">
        <x:v>Online</x:v>
      </x:c>
      <x:c r="H1194" s="2" t="str">
        <x:v>Online</x:v>
      </x:c>
      <x:c r="I1194" s="2" t="n">
        <x:v>20</x:v>
      </x:c>
      <x:c r="J1194" s="2" t="n">
        <x:v>0</x:v>
      </x:c>
      <x:c r="K1194" s="2" t="n">
        <x:f>I1194-J1194</x:f>
        <x:v>20</x:v>
      </x:c>
      <x:c r="L1194" s="16" t="n">
        <x:v>28</x:v>
      </x:c>
      <x:c r="M1194" s="16" t="n">
        <x:v>28</x:v>
      </x:c>
      <x:c r="N1194" s="16" t="n">
        <x:v>11.48</x:v>
      </x:c>
      <x:c r="O1194" s="16" t="n">
        <x:f>K1194*M1194</x:f>
        <x:v>560</x:v>
      </x:c>
      <x:c r="P1194" s="16" t="n">
        <x:f>K1194*N1194</x:f>
        <x:v>229.60000000000002</x:v>
      </x:c>
      <x:c r="Q1194" s="16" t="n">
        <x:f>O1194-P1194</x:f>
        <x:v>330.4</x:v>
      </x:c>
      <x:c r="R1194" s="2" t="n">
        <x:v>44</x:v>
      </x:c>
      <x:c r="S1194" s="2" t="n">
        <x:v>65</x:v>
      </x:c>
      <x:c r="T1194" s="2" t="n">
        <x:f>R1194+S1194+J1194-I1194</x:f>
        <x:v>89</x:v>
      </x:c>
      <x:c r="U1194" s="2" t="n">
        <x:v>0</x:v>
      </x:c>
      <x:c r="V1194" s="2" t="n">
        <x:v>4</x:v>
      </x:c>
      <x:c r="W1194" s="2" t="n">
        <x:v>19</x:v>
      </x:c>
      <x:c r="X1194" s="14" t="b">
        <x:v>0</x:v>
      </x:c>
      <x:c r="Y1194" s="14" t="b">
        <x:v>0</x:v>
      </x:c>
      <x:c r="Z1194" s="2" t="n">
        <x:f>ABS(T1194-AA1194)</x:f>
        <x:v>0</x:v>
      </x:c>
      <x:c r="AA1194" s="2" t="n">
        <x:v>89</x:v>
      </x:c>
      <x:c r="AB1194" s="2" t="n">
        <x:f>ABS(K1194-W1194)</x:f>
        <x:v>1</x:v>
      </x:c>
      <x:c r="AC1194" s="2" t="n">
        <x:f>COUNTIF($A$2:$A$1921,A1194)-1</x:f>
        <x:v>0</x:v>
      </x:c>
      <x:c r="AD1194" s="2" t="n">
        <x:f>IF(AND(D1194=D1193,H1194=H1193,C1194=C1193+1),ABS(R1194-T1193),0)</x:f>
        <x:v>0</x:v>
      </x:c>
    </x:row>
    <x:row r="1195" ht="23" customHeight="1">
      <x:c r="A1195" s="2" t="str">
        <x:v>DEMO-303-3-14</x:v>
      </x:c>
      <x:c r="B1195" s="15" t="d">
        <x:v>2026-08-03T00:00:00.000Z</x:v>
      </x:c>
      <x:c r="C1195" s="2" t="n">
        <x:v>14</x:v>
      </x:c>
      <x:c r="D1195" s="2" t="str">
        <x:v>DEMO-303</x:v>
      </x:c>
      <x:c r="E1195" s="2" t="str">
        <x:v>Weekend Flask</x:v>
      </x:c>
      <x:c r="F1195" s="2" t="str">
        <x:v>Lifestyle</x:v>
      </x:c>
      <x:c r="G1195" s="2" t="str">
        <x:v>Online</x:v>
      </x:c>
      <x:c r="H1195" s="2" t="str">
        <x:v>Online</x:v>
      </x:c>
      <x:c r="I1195" s="2" t="n">
        <x:v>15</x:v>
      </x:c>
      <x:c r="J1195" s="2" t="n">
        <x:v>0</x:v>
      </x:c>
      <x:c r="K1195" s="2" t="n">
        <x:f>I1195-J1195</x:f>
        <x:v>15</x:v>
      </x:c>
      <x:c r="L1195" s="16" t="n">
        <x:v>28</x:v>
      </x:c>
      <x:c r="M1195" s="16" t="n">
        <x:v>28</x:v>
      </x:c>
      <x:c r="N1195" s="16" t="n">
        <x:v>11.48</x:v>
      </x:c>
      <x:c r="O1195" s="16" t="n">
        <x:f>K1195*M1195</x:f>
        <x:v>420</x:v>
      </x:c>
      <x:c r="P1195" s="16" t="n">
        <x:f>K1195*N1195</x:f>
        <x:v>172.20000000000002</x:v>
      </x:c>
      <x:c r="Q1195" s="16" t="n">
        <x:f>O1195-P1195</x:f>
        <x:v>247.79999999999998</x:v>
      </x:c>
      <x:c r="R1195" s="2" t="n">
        <x:v>89</x:v>
      </x:c>
      <x:c r="S1195" s="2" t="n">
        <x:v>0</x:v>
      </x:c>
      <x:c r="T1195" s="2" t="n">
        <x:f>R1195+S1195+J1195-I1195</x:f>
        <x:v>74</x:v>
      </x:c>
      <x:c r="U1195" s="2" t="n">
        <x:v>0</x:v>
      </x:c>
      <x:c r="V1195" s="2" t="n">
        <x:v>4</x:v>
      </x:c>
      <x:c r="W1195" s="2" t="n">
        <x:v>19</x:v>
      </x:c>
      <x:c r="X1195" s="14" t="b">
        <x:v>0</x:v>
      </x:c>
      <x:c r="Y1195" s="14" t="b">
        <x:v>0</x:v>
      </x:c>
      <x:c r="Z1195" s="2" t="n">
        <x:f>ABS(T1195-AA1195)</x:f>
        <x:v>0</x:v>
      </x:c>
      <x:c r="AA1195" s="2" t="n">
        <x:v>74</x:v>
      </x:c>
      <x:c r="AB1195" s="2" t="n">
        <x:f>ABS(K1195-W1195)</x:f>
        <x:v>4</x:v>
      </x:c>
      <x:c r="AC1195" s="2" t="n">
        <x:f>COUNTIF($A$2:$A$1921,A1195)-1</x:f>
        <x:v>0</x:v>
      </x:c>
      <x:c r="AD1195" s="2" t="n">
        <x:f>IF(AND(D1195=D1194,H1195=H1194,C1195=C1194+1),ABS(R1195-T1194),0)</x:f>
        <x:v>0</x:v>
      </x:c>
    </x:row>
    <x:row r="1196" ht="23" customHeight="1">
      <x:c r="A1196" s="2" t="str">
        <x:v>DEMO-303-3-15</x:v>
      </x:c>
      <x:c r="B1196" s="15" t="d">
        <x:v>2026-08-10T00:00:00.000Z</x:v>
      </x:c>
      <x:c r="C1196" s="2" t="n">
        <x:v>15</x:v>
      </x:c>
      <x:c r="D1196" s="2" t="str">
        <x:v>DEMO-303</x:v>
      </x:c>
      <x:c r="E1196" s="2" t="str">
        <x:v>Weekend Flask</x:v>
      </x:c>
      <x:c r="F1196" s="2" t="str">
        <x:v>Lifestyle</x:v>
      </x:c>
      <x:c r="G1196" s="2" t="str">
        <x:v>Online</x:v>
      </x:c>
      <x:c r="H1196" s="2" t="str">
        <x:v>Online</x:v>
      </x:c>
      <x:c r="I1196" s="2" t="n">
        <x:v>20</x:v>
      </x:c>
      <x:c r="J1196" s="2" t="n">
        <x:v>0</x:v>
      </x:c>
      <x:c r="K1196" s="2" t="n">
        <x:f>I1196-J1196</x:f>
        <x:v>20</x:v>
      </x:c>
      <x:c r="L1196" s="16" t="n">
        <x:v>28</x:v>
      </x:c>
      <x:c r="M1196" s="16" t="n">
        <x:v>28</x:v>
      </x:c>
      <x:c r="N1196" s="16" t="n">
        <x:v>11.48</x:v>
      </x:c>
      <x:c r="O1196" s="16" t="n">
        <x:f>K1196*M1196</x:f>
        <x:v>560</x:v>
      </x:c>
      <x:c r="P1196" s="16" t="n">
        <x:f>K1196*N1196</x:f>
        <x:v>229.60000000000002</x:v>
      </x:c>
      <x:c r="Q1196" s="16" t="n">
        <x:f>O1196-P1196</x:f>
        <x:v>330.4</x:v>
      </x:c>
      <x:c r="R1196" s="2" t="n">
        <x:v>74</x:v>
      </x:c>
      <x:c r="S1196" s="2" t="n">
        <x:v>0</x:v>
      </x:c>
      <x:c r="T1196" s="2" t="n">
        <x:f>R1196+S1196+J1196-I1196</x:f>
        <x:v>54</x:v>
      </x:c>
      <x:c r="U1196" s="2" t="n">
        <x:v>0</x:v>
      </x:c>
      <x:c r="V1196" s="2" t="n">
        <x:v>4</x:v>
      </x:c>
      <x:c r="W1196" s="2" t="n">
        <x:v>18</x:v>
      </x:c>
      <x:c r="X1196" s="14" t="b">
        <x:v>0</x:v>
      </x:c>
      <x:c r="Y1196" s="14" t="b">
        <x:v>0</x:v>
      </x:c>
      <x:c r="Z1196" s="2" t="n">
        <x:f>ABS(T1196-AA1196)</x:f>
        <x:v>0</x:v>
      </x:c>
      <x:c r="AA1196" s="2" t="n">
        <x:v>54</x:v>
      </x:c>
      <x:c r="AB1196" s="2" t="n">
        <x:f>ABS(K1196-W1196)</x:f>
        <x:v>2</x:v>
      </x:c>
      <x:c r="AC1196" s="2" t="n">
        <x:f>COUNTIF($A$2:$A$1921,A1196)-1</x:f>
        <x:v>0</x:v>
      </x:c>
      <x:c r="AD1196" s="2" t="n">
        <x:f>IF(AND(D1196=D1195,H1196=H1195,C1196=C1195+1),ABS(R1196-T1195),0)</x:f>
        <x:v>0</x:v>
      </x:c>
    </x:row>
    <x:row r="1197" ht="23" customHeight="1">
      <x:c r="A1197" s="2" t="str">
        <x:v>DEMO-303-3-16</x:v>
      </x:c>
      <x:c r="B1197" s="15" t="d">
        <x:v>2026-08-17T00:00:00.000Z</x:v>
      </x:c>
      <x:c r="C1197" s="2" t="n">
        <x:v>16</x:v>
      </x:c>
      <x:c r="D1197" s="2" t="str">
        <x:v>DEMO-303</x:v>
      </x:c>
      <x:c r="E1197" s="2" t="str">
        <x:v>Weekend Flask</x:v>
      </x:c>
      <x:c r="F1197" s="2" t="str">
        <x:v>Lifestyle</x:v>
      </x:c>
      <x:c r="G1197" s="2" t="str">
        <x:v>Online</x:v>
      </x:c>
      <x:c r="H1197" s="2" t="str">
        <x:v>Online</x:v>
      </x:c>
      <x:c r="I1197" s="2" t="n">
        <x:v>19</x:v>
      </x:c>
      <x:c r="J1197" s="2" t="n">
        <x:v>1</x:v>
      </x:c>
      <x:c r="K1197" s="2" t="n">
        <x:f>I1197-J1197</x:f>
        <x:v>18</x:v>
      </x:c>
      <x:c r="L1197" s="16" t="n">
        <x:v>28</x:v>
      </x:c>
      <x:c r="M1197" s="16" t="n">
        <x:v>28</x:v>
      </x:c>
      <x:c r="N1197" s="16" t="n">
        <x:v>11.48</x:v>
      </x:c>
      <x:c r="O1197" s="16" t="n">
        <x:f>K1197*M1197</x:f>
        <x:v>504</x:v>
      </x:c>
      <x:c r="P1197" s="16" t="n">
        <x:f>K1197*N1197</x:f>
        <x:v>206.64000000000001</x:v>
      </x:c>
      <x:c r="Q1197" s="16" t="n">
        <x:f>O1197-P1197</x:f>
        <x:v>297.36</x:v>
      </x:c>
      <x:c r="R1197" s="2" t="n">
        <x:v>54</x:v>
      </x:c>
      <x:c r="S1197" s="2" t="n">
        <x:v>0</x:v>
      </x:c>
      <x:c r="T1197" s="2" t="n">
        <x:f>R1197+S1197+J1197-I1197</x:f>
        <x:v>36</x:v>
      </x:c>
      <x:c r="U1197" s="2" t="n">
        <x:v>0</x:v>
      </x:c>
      <x:c r="V1197" s="2" t="n">
        <x:v>4</x:v>
      </x:c>
      <x:c r="W1197" s="2" t="n">
        <x:v>18</x:v>
      </x:c>
      <x:c r="X1197" s="14" t="b">
        <x:v>0</x:v>
      </x:c>
      <x:c r="Y1197" s="14" t="b">
        <x:v>0</x:v>
      </x:c>
      <x:c r="Z1197" s="2" t="n">
        <x:f>ABS(T1197-AA1197)</x:f>
        <x:v>0</x:v>
      </x:c>
      <x:c r="AA1197" s="2" t="n">
        <x:v>36</x:v>
      </x:c>
      <x:c r="AB1197" s="2" t="n">
        <x:f>ABS(K1197-W1197)</x:f>
        <x:v>0</x:v>
      </x:c>
      <x:c r="AC1197" s="2" t="n">
        <x:f>COUNTIF($A$2:$A$1921,A1197)-1</x:f>
        <x:v>0</x:v>
      </x:c>
      <x:c r="AD1197" s="2" t="n">
        <x:f>IF(AND(D1197=D1196,H1197=H1196,C1197=C1196+1),ABS(R1197-T1196),0)</x:f>
        <x:v>0</x:v>
      </x:c>
    </x:row>
    <x:row r="1198" ht="23" customHeight="1">
      <x:c r="A1198" s="2" t="str">
        <x:v>DEMO-303-3-17</x:v>
      </x:c>
      <x:c r="B1198" s="15" t="d">
        <x:v>2026-08-24T00:00:00.000Z</x:v>
      </x:c>
      <x:c r="C1198" s="2" t="n">
        <x:v>17</x:v>
      </x:c>
      <x:c r="D1198" s="2" t="str">
        <x:v>DEMO-303</x:v>
      </x:c>
      <x:c r="E1198" s="2" t="str">
        <x:v>Weekend Flask</x:v>
      </x:c>
      <x:c r="F1198" s="2" t="str">
        <x:v>Lifestyle</x:v>
      </x:c>
      <x:c r="G1198" s="2" t="str">
        <x:v>Online</x:v>
      </x:c>
      <x:c r="H1198" s="2" t="str">
        <x:v>Online</x:v>
      </x:c>
      <x:c r="I1198" s="2" t="n">
        <x:v>20</x:v>
      </x:c>
      <x:c r="J1198" s="2" t="n">
        <x:v>1</x:v>
      </x:c>
      <x:c r="K1198" s="2" t="n">
        <x:f>I1198-J1198</x:f>
        <x:v>19</x:v>
      </x:c>
      <x:c r="L1198" s="16" t="n">
        <x:v>28</x:v>
      </x:c>
      <x:c r="M1198" s="16" t="n">
        <x:v>22.4</x:v>
      </x:c>
      <x:c r="N1198" s="16" t="n">
        <x:v>11.48</x:v>
      </x:c>
      <x:c r="O1198" s="16" t="n">
        <x:f>K1198*M1198</x:f>
        <x:v>425.59999999999997</x:v>
      </x:c>
      <x:c r="P1198" s="16" t="n">
        <x:f>K1198*N1198</x:f>
        <x:v>218.12</x:v>
      </x:c>
      <x:c r="Q1198" s="16" t="n">
        <x:f>O1198-P1198</x:f>
        <x:v>207.47999999999996</x:v>
      </x:c>
      <x:c r="R1198" s="2" t="n">
        <x:v>36</x:v>
      </x:c>
      <x:c r="S1198" s="2" t="n">
        <x:v>65</x:v>
      </x:c>
      <x:c r="T1198" s="2" t="n">
        <x:f>R1198+S1198+J1198-I1198</x:f>
        <x:v>82</x:v>
      </x:c>
      <x:c r="U1198" s="2" t="n">
        <x:v>0</x:v>
      </x:c>
      <x:c r="V1198" s="2" t="n">
        <x:v>4</x:v>
      </x:c>
      <x:c r="W1198" s="2" t="n">
        <x:v>18</x:v>
      </x:c>
      <x:c r="X1198" s="14" t="b">
        <x:v>0</x:v>
      </x:c>
      <x:c r="Y1198" s="14" t="b">
        <x:v>1</x:v>
      </x:c>
      <x:c r="Z1198" s="2" t="n">
        <x:f>ABS(T1198-AA1198)</x:f>
        <x:v>0</x:v>
      </x:c>
      <x:c r="AA1198" s="2" t="n">
        <x:v>82</x:v>
      </x:c>
      <x:c r="AB1198" s="2" t="n">
        <x:f>ABS(K1198-W1198)</x:f>
        <x:v>1</x:v>
      </x:c>
      <x:c r="AC1198" s="2" t="n">
        <x:f>COUNTIF($A$2:$A$1921,A1198)-1</x:f>
        <x:v>0</x:v>
      </x:c>
      <x:c r="AD1198" s="2" t="n">
        <x:f>IF(AND(D1198=D1197,H1198=H1197,C1198=C1197+1),ABS(R1198-T1197),0)</x:f>
        <x:v>0</x:v>
      </x:c>
    </x:row>
    <x:row r="1199" ht="23" customHeight="1">
      <x:c r="A1199" s="2" t="str">
        <x:v>DEMO-303-3-18</x:v>
      </x:c>
      <x:c r="B1199" s="15" t="d">
        <x:v>2026-08-31T00:00:00.000Z</x:v>
      </x:c>
      <x:c r="C1199" s="2" t="n">
        <x:v>18</x:v>
      </x:c>
      <x:c r="D1199" s="2" t="str">
        <x:v>DEMO-303</x:v>
      </x:c>
      <x:c r="E1199" s="2" t="str">
        <x:v>Weekend Flask</x:v>
      </x:c>
      <x:c r="F1199" s="2" t="str">
        <x:v>Lifestyle</x:v>
      </x:c>
      <x:c r="G1199" s="2" t="str">
        <x:v>Online</x:v>
      </x:c>
      <x:c r="H1199" s="2" t="str">
        <x:v>Online</x:v>
      </x:c>
      <x:c r="I1199" s="2" t="n">
        <x:v>18</x:v>
      </x:c>
      <x:c r="J1199" s="2" t="n">
        <x:v>0</x:v>
      </x:c>
      <x:c r="K1199" s="2" t="n">
        <x:f>I1199-J1199</x:f>
        <x:v>18</x:v>
      </x:c>
      <x:c r="L1199" s="16" t="n">
        <x:v>28</x:v>
      </x:c>
      <x:c r="M1199" s="16" t="n">
        <x:v>22.4</x:v>
      </x:c>
      <x:c r="N1199" s="16" t="n">
        <x:v>11.48</x:v>
      </x:c>
      <x:c r="O1199" s="16" t="n">
        <x:f>K1199*M1199</x:f>
        <x:v>403.2</x:v>
      </x:c>
      <x:c r="P1199" s="16" t="n">
        <x:f>K1199*N1199</x:f>
        <x:v>206.64000000000001</x:v>
      </x:c>
      <x:c r="Q1199" s="16" t="n">
        <x:f>O1199-P1199</x:f>
        <x:v>196.55999999999997</x:v>
      </x:c>
      <x:c r="R1199" s="2" t="n">
        <x:v>82</x:v>
      </x:c>
      <x:c r="S1199" s="2" t="n">
        <x:v>0</x:v>
      </x:c>
      <x:c r="T1199" s="2" t="n">
        <x:f>R1199+S1199+J1199-I1199</x:f>
        <x:v>64</x:v>
      </x:c>
      <x:c r="U1199" s="2" t="n">
        <x:v>0</x:v>
      </x:c>
      <x:c r="V1199" s="2" t="n">
        <x:v>4</x:v>
      </x:c>
      <x:c r="W1199" s="2" t="n">
        <x:v>18</x:v>
      </x:c>
      <x:c r="X1199" s="14" t="b">
        <x:v>0</x:v>
      </x:c>
      <x:c r="Y1199" s="14" t="b">
        <x:v>1</x:v>
      </x:c>
      <x:c r="Z1199" s="2" t="n">
        <x:f>ABS(T1199-AA1199)</x:f>
        <x:v>0</x:v>
      </x:c>
      <x:c r="AA1199" s="2" t="n">
        <x:v>64</x:v>
      </x:c>
      <x:c r="AB1199" s="2" t="n">
        <x:f>ABS(K1199-W1199)</x:f>
        <x:v>0</x:v>
      </x:c>
      <x:c r="AC1199" s="2" t="n">
        <x:f>COUNTIF($A$2:$A$1921,A1199)-1</x:f>
        <x:v>0</x:v>
      </x:c>
      <x:c r="AD1199" s="2" t="n">
        <x:f>IF(AND(D1199=D1198,H1199=H1198,C1199=C1198+1),ABS(R1199-T1198),0)</x:f>
        <x:v>0</x:v>
      </x:c>
    </x:row>
    <x:row r="1200" ht="23" customHeight="1">
      <x:c r="A1200" s="2" t="str">
        <x:v>DEMO-303-3-19</x:v>
      </x:c>
      <x:c r="B1200" s="15" t="d">
        <x:v>2026-09-07T00:00:00.000Z</x:v>
      </x:c>
      <x:c r="C1200" s="2" t="n">
        <x:v>19</x:v>
      </x:c>
      <x:c r="D1200" s="2" t="str">
        <x:v>DEMO-303</x:v>
      </x:c>
      <x:c r="E1200" s="2" t="str">
        <x:v>Weekend Flask</x:v>
      </x:c>
      <x:c r="F1200" s="2" t="str">
        <x:v>Lifestyle</x:v>
      </x:c>
      <x:c r="G1200" s="2" t="str">
        <x:v>Online</x:v>
      </x:c>
      <x:c r="H1200" s="2" t="str">
        <x:v>Online</x:v>
      </x:c>
      <x:c r="I1200" s="2" t="n">
        <x:v>18</x:v>
      </x:c>
      <x:c r="J1200" s="2" t="n">
        <x:v>0</x:v>
      </x:c>
      <x:c r="K1200" s="2" t="n">
        <x:f>I1200-J1200</x:f>
        <x:v>18</x:v>
      </x:c>
      <x:c r="L1200" s="16" t="n">
        <x:v>28</x:v>
      </x:c>
      <x:c r="M1200" s="16" t="n">
        <x:v>22.4</x:v>
      </x:c>
      <x:c r="N1200" s="16" t="n">
        <x:v>11.48</x:v>
      </x:c>
      <x:c r="O1200" s="16" t="n">
        <x:f>K1200*M1200</x:f>
        <x:v>403.2</x:v>
      </x:c>
      <x:c r="P1200" s="16" t="n">
        <x:f>K1200*N1200</x:f>
        <x:v>206.64000000000001</x:v>
      </x:c>
      <x:c r="Q1200" s="16" t="n">
        <x:f>O1200-P1200</x:f>
        <x:v>196.55999999999997</x:v>
      </x:c>
      <x:c r="R1200" s="2" t="n">
        <x:v>64</x:v>
      </x:c>
      <x:c r="S1200" s="2" t="n">
        <x:v>0</x:v>
      </x:c>
      <x:c r="T1200" s="2" t="n">
        <x:f>R1200+S1200+J1200-I1200</x:f>
        <x:v>46</x:v>
      </x:c>
      <x:c r="U1200" s="2" t="n">
        <x:v>0</x:v>
      </x:c>
      <x:c r="V1200" s="2" t="n">
        <x:v>4</x:v>
      </x:c>
      <x:c r="W1200" s="2" t="n">
        <x:v>19</x:v>
      </x:c>
      <x:c r="X1200" s="14" t="b">
        <x:v>0</x:v>
      </x:c>
      <x:c r="Y1200" s="14" t="b">
        <x:v>1</x:v>
      </x:c>
      <x:c r="Z1200" s="2" t="n">
        <x:f>ABS(T1200-AA1200)</x:f>
        <x:v>0</x:v>
      </x:c>
      <x:c r="AA1200" s="2" t="n">
        <x:v>46</x:v>
      </x:c>
      <x:c r="AB1200" s="2" t="n">
        <x:f>ABS(K1200-W1200)</x:f>
        <x:v>1</x:v>
      </x:c>
      <x:c r="AC1200" s="2" t="n">
        <x:f>COUNTIF($A$2:$A$1921,A1200)-1</x:f>
        <x:v>0</x:v>
      </x:c>
      <x:c r="AD1200" s="2" t="n">
        <x:f>IF(AND(D1200=D1199,H1200=H1199,C1200=C1199+1),ABS(R1200-T1199),0)</x:f>
        <x:v>0</x:v>
      </x:c>
    </x:row>
    <x:row r="1201" ht="23" customHeight="1">
      <x:c r="A1201" s="2" t="str">
        <x:v>DEMO-303-3-20</x:v>
      </x:c>
      <x:c r="B1201" s="15" t="d">
        <x:v>2026-09-14T00:00:00.000Z</x:v>
      </x:c>
      <x:c r="C1201" s="2" t="n">
        <x:v>20</x:v>
      </x:c>
      <x:c r="D1201" s="2" t="str">
        <x:v>DEMO-303</x:v>
      </x:c>
      <x:c r="E1201" s="2" t="str">
        <x:v>Weekend Flask</x:v>
      </x:c>
      <x:c r="F1201" s="2" t="str">
        <x:v>Lifestyle</x:v>
      </x:c>
      <x:c r="G1201" s="2" t="str">
        <x:v>Online</x:v>
      </x:c>
      <x:c r="H1201" s="2" t="str">
        <x:v>Online</x:v>
      </x:c>
      <x:c r="I1201" s="2" t="n">
        <x:v>15</x:v>
      </x:c>
      <x:c r="J1201" s="2" t="n">
        <x:v>1</x:v>
      </x:c>
      <x:c r="K1201" s="2" t="n">
        <x:f>I1201-J1201</x:f>
        <x:v>14</x:v>
      </x:c>
      <x:c r="L1201" s="16" t="n">
        <x:v>28</x:v>
      </x:c>
      <x:c r="M1201" s="16" t="n">
        <x:v>22.4</x:v>
      </x:c>
      <x:c r="N1201" s="16" t="n">
        <x:v>11.48</x:v>
      </x:c>
      <x:c r="O1201" s="16" t="n">
        <x:f>K1201*M1201</x:f>
        <x:v>313.59999999999997</x:v>
      </x:c>
      <x:c r="P1201" s="16" t="n">
        <x:f>K1201*N1201</x:f>
        <x:v>160.72</x:v>
      </x:c>
      <x:c r="Q1201" s="16" t="n">
        <x:f>O1201-P1201</x:f>
        <x:v>152.87999999999997</x:v>
      </x:c>
      <x:c r="R1201" s="2" t="n">
        <x:v>46</x:v>
      </x:c>
      <x:c r="S1201" s="2" t="n">
        <x:v>0</x:v>
      </x:c>
      <x:c r="T1201" s="2" t="n">
        <x:f>R1201+S1201+J1201-I1201</x:f>
        <x:v>32</x:v>
      </x:c>
      <x:c r="U1201" s="2" t="n">
        <x:v>24</x:v>
      </x:c>
      <x:c r="V1201" s="2" t="n">
        <x:v>4</x:v>
      </x:c>
      <x:c r="W1201" s="2" t="n">
        <x:v>18</x:v>
      </x:c>
      <x:c r="X1201" s="14" t="b">
        <x:v>0</x:v>
      </x:c>
      <x:c r="Y1201" s="14" t="b">
        <x:v>1</x:v>
      </x:c>
      <x:c r="Z1201" s="2" t="n">
        <x:f>ABS(T1201-AA1201)</x:f>
        <x:v>0</x:v>
      </x:c>
      <x:c r="AA1201" s="2" t="n">
        <x:v>32</x:v>
      </x:c>
      <x:c r="AB1201" s="2" t="n">
        <x:f>ABS(K1201-W1201)</x:f>
        <x:v>4</x:v>
      </x:c>
      <x:c r="AC1201" s="2" t="n">
        <x:f>COUNTIF($A$2:$A$1921,A1201)-1</x:f>
        <x:v>0</x:v>
      </x:c>
      <x:c r="AD1201" s="2" t="n">
        <x:f>IF(AND(D1201=D1200,H1201=H1200,C1201=C1200+1),ABS(R1201-T1200),0)</x:f>
        <x:v>0</x:v>
      </x:c>
    </x:row>
    <x:row r="1202" ht="23" customHeight="1">
      <x:c r="A1202" s="2" t="str">
        <x:v>DEMO-304-0-1</x:v>
      </x:c>
      <x:c r="B1202" s="15" t="d">
        <x:v>2026-05-04T00:00:00.000Z</x:v>
      </x:c>
      <x:c r="C1202" s="2" t="n">
        <x:v>1</x:v>
      </x:c>
      <x:c r="D1202" s="2" t="str">
        <x:v>DEMO-304</x:v>
      </x:c>
      <x:c r="E1202" s="2" t="str">
        <x:v>Calm Desk Mat</x:v>
      </x:c>
      <x:c r="F1202" s="2" t="str">
        <x:v>Lifestyle</x:v>
      </x:c>
      <x:c r="G1202" s="2" t="str">
        <x:v>Stores</x:v>
      </x:c>
      <x:c r="H1202" s="2" t="str">
        <x:v>North Arcade</x:v>
      </x:c>
      <x:c r="I1202" s="2" t="n">
        <x:v>9</x:v>
      </x:c>
      <x:c r="J1202" s="2" t="n">
        <x:v>1</x:v>
      </x:c>
      <x:c r="K1202" s="2" t="n">
        <x:f>I1202-J1202</x:f>
        <x:v>8</x:v>
      </x:c>
      <x:c r="L1202" s="16" t="n">
        <x:v>30</x:v>
      </x:c>
      <x:c r="M1202" s="16" t="n">
        <x:v>30</x:v>
      </x:c>
      <x:c r="N1202" s="16" t="n">
        <x:v>13.05</x:v>
      </x:c>
      <x:c r="O1202" s="16" t="n">
        <x:f>K1202*M1202</x:f>
        <x:v>240</x:v>
      </x:c>
      <x:c r="P1202" s="16" t="n">
        <x:f>K1202*N1202</x:f>
        <x:v>104.4</x:v>
      </x:c>
      <x:c r="Q1202" s="16" t="n">
        <x:f>O1202-P1202</x:f>
        <x:v>135.6</x:v>
      </x:c>
      <x:c r="R1202" s="2" t="n">
        <x:v>140</x:v>
      </x:c>
      <x:c r="S1202" s="2" t="n">
        <x:v>65</x:v>
      </x:c>
      <x:c r="T1202" s="2" t="n">
        <x:f>R1202+S1202+J1202-I1202</x:f>
        <x:v>197</x:v>
      </x:c>
      <x:c r="U1202" s="2" t="n">
        <x:v>0</x:v>
      </x:c>
      <x:c r="V1202" s="2" t="n">
        <x:v>2</x:v>
      </x:c>
      <x:c r="W1202" s="2" t="n">
        <x:v>8</x:v>
      </x:c>
      <x:c r="X1202" s="14" t="b">
        <x:v>0</x:v>
      </x:c>
      <x:c r="Y1202" s="14" t="b">
        <x:v>0</x:v>
      </x:c>
      <x:c r="Z1202" s="2" t="n">
        <x:f>ABS(T1202-AA1202)</x:f>
        <x:v>0</x:v>
      </x:c>
      <x:c r="AA1202" s="2" t="n">
        <x:v>197</x:v>
      </x:c>
      <x:c r="AB1202" s="2" t="n">
        <x:f>ABS(K1202-W1202)</x:f>
        <x:v>0</x:v>
      </x:c>
      <x:c r="AC1202" s="2" t="n">
        <x:f>COUNTIF($A$2:$A$1921,A1202)-1</x:f>
        <x:v>0</x:v>
      </x:c>
      <x:c r="AD1202" s="2" t="n">
        <x:f>IF(AND(D1202=D1201,H1202=H1201,C1202=C1201+1),ABS(R1202-T1201),0)</x:f>
        <x:v>0</x:v>
      </x:c>
    </x:row>
    <x:row r="1203" ht="23" customHeight="1">
      <x:c r="A1203" s="2" t="str">
        <x:v>DEMO-304-0-2</x:v>
      </x:c>
      <x:c r="B1203" s="15" t="d">
        <x:v>2026-05-11T00:00:00.000Z</x:v>
      </x:c>
      <x:c r="C1203" s="2" t="n">
        <x:v>2</x:v>
      </x:c>
      <x:c r="D1203" s="2" t="str">
        <x:v>DEMO-304</x:v>
      </x:c>
      <x:c r="E1203" s="2" t="str">
        <x:v>Calm Desk Mat</x:v>
      </x:c>
      <x:c r="F1203" s="2" t="str">
        <x:v>Lifestyle</x:v>
      </x:c>
      <x:c r="G1203" s="2" t="str">
        <x:v>Stores</x:v>
      </x:c>
      <x:c r="H1203" s="2" t="str">
        <x:v>North Arcade</x:v>
      </x:c>
      <x:c r="I1203" s="2" t="n">
        <x:v>7</x:v>
      </x:c>
      <x:c r="J1203" s="2" t="n">
        <x:v>0</x:v>
      </x:c>
      <x:c r="K1203" s="2" t="n">
        <x:f>I1203-J1203</x:f>
        <x:v>7</x:v>
      </x:c>
      <x:c r="L1203" s="16" t="n">
        <x:v>30</x:v>
      </x:c>
      <x:c r="M1203" s="16" t="n">
        <x:v>30</x:v>
      </x:c>
      <x:c r="N1203" s="16" t="n">
        <x:v>13.05</x:v>
      </x:c>
      <x:c r="O1203" s="16" t="n">
        <x:f>K1203*M1203</x:f>
        <x:v>210</x:v>
      </x:c>
      <x:c r="P1203" s="16" t="n">
        <x:f>K1203*N1203</x:f>
        <x:v>91.35000000000001</x:v>
      </x:c>
      <x:c r="Q1203" s="16" t="n">
        <x:f>O1203-P1203</x:f>
        <x:v>118.64999999999999</x:v>
      </x:c>
      <x:c r="R1203" s="2" t="n">
        <x:v>197</x:v>
      </x:c>
      <x:c r="S1203" s="2" t="n">
        <x:v>0</x:v>
      </x:c>
      <x:c r="T1203" s="2" t="n">
        <x:f>R1203+S1203+J1203-I1203</x:f>
        <x:v>190</x:v>
      </x:c>
      <x:c r="U1203" s="2" t="n">
        <x:v>0</x:v>
      </x:c>
      <x:c r="V1203" s="2" t="n">
        <x:v>2</x:v>
      </x:c>
      <x:c r="W1203" s="2" t="n">
        <x:v>8</x:v>
      </x:c>
      <x:c r="X1203" s="14" t="b">
        <x:v>0</x:v>
      </x:c>
      <x:c r="Y1203" s="14" t="b">
        <x:v>0</x:v>
      </x:c>
      <x:c r="Z1203" s="2" t="n">
        <x:f>ABS(T1203-AA1203)</x:f>
        <x:v>0</x:v>
      </x:c>
      <x:c r="AA1203" s="2" t="n">
        <x:v>190</x:v>
      </x:c>
      <x:c r="AB1203" s="2" t="n">
        <x:f>ABS(K1203-W1203)</x:f>
        <x:v>1</x:v>
      </x:c>
      <x:c r="AC1203" s="2" t="n">
        <x:f>COUNTIF($A$2:$A$1921,A1203)-1</x:f>
        <x:v>0</x:v>
      </x:c>
      <x:c r="AD1203" s="2" t="n">
        <x:f>IF(AND(D1203=D1202,H1203=H1202,C1203=C1202+1),ABS(R1203-T1202),0)</x:f>
        <x:v>0</x:v>
      </x:c>
    </x:row>
    <x:row r="1204" ht="23" customHeight="1">
      <x:c r="A1204" s="2" t="str">
        <x:v>DEMO-304-0-3</x:v>
      </x:c>
      <x:c r="B1204" s="15" t="d">
        <x:v>2026-05-18T00:00:00.000Z</x:v>
      </x:c>
      <x:c r="C1204" s="2" t="n">
        <x:v>3</x:v>
      </x:c>
      <x:c r="D1204" s="2" t="str">
        <x:v>DEMO-304</x:v>
      </x:c>
      <x:c r="E1204" s="2" t="str">
        <x:v>Calm Desk Mat</x:v>
      </x:c>
      <x:c r="F1204" s="2" t="str">
        <x:v>Lifestyle</x:v>
      </x:c>
      <x:c r="G1204" s="2" t="str">
        <x:v>Stores</x:v>
      </x:c>
      <x:c r="H1204" s="2" t="str">
        <x:v>North Arcade</x:v>
      </x:c>
      <x:c r="I1204" s="2" t="n">
        <x:v>7</x:v>
      </x:c>
      <x:c r="J1204" s="2" t="n">
        <x:v>0</x:v>
      </x:c>
      <x:c r="K1204" s="2" t="n">
        <x:f>I1204-J1204</x:f>
        <x:v>7</x:v>
      </x:c>
      <x:c r="L1204" s="16" t="n">
        <x:v>30</x:v>
      </x:c>
      <x:c r="M1204" s="16" t="n">
        <x:v>30</x:v>
      </x:c>
      <x:c r="N1204" s="16" t="n">
        <x:v>13.05</x:v>
      </x:c>
      <x:c r="O1204" s="16" t="n">
        <x:f>K1204*M1204</x:f>
        <x:v>210</x:v>
      </x:c>
      <x:c r="P1204" s="16" t="n">
        <x:f>K1204*N1204</x:f>
        <x:v>91.35000000000001</x:v>
      </x:c>
      <x:c r="Q1204" s="16" t="n">
        <x:f>O1204-P1204</x:f>
        <x:v>118.64999999999999</x:v>
      </x:c>
      <x:c r="R1204" s="2" t="n">
        <x:v>190</x:v>
      </x:c>
      <x:c r="S1204" s="2" t="n">
        <x:v>0</x:v>
      </x:c>
      <x:c r="T1204" s="2" t="n">
        <x:f>R1204+S1204+J1204-I1204</x:f>
        <x:v>183</x:v>
      </x:c>
      <x:c r="U1204" s="2" t="n">
        <x:v>0</x:v>
      </x:c>
      <x:c r="V1204" s="2" t="n">
        <x:v>2</x:v>
      </x:c>
      <x:c r="W1204" s="2" t="n">
        <x:v>8</x:v>
      </x:c>
      <x:c r="X1204" s="14" t="b">
        <x:v>0</x:v>
      </x:c>
      <x:c r="Y1204" s="14" t="b">
        <x:v>0</x:v>
      </x:c>
      <x:c r="Z1204" s="2" t="n">
        <x:f>ABS(T1204-AA1204)</x:f>
        <x:v>0</x:v>
      </x:c>
      <x:c r="AA1204" s="2" t="n">
        <x:v>183</x:v>
      </x:c>
      <x:c r="AB1204" s="2" t="n">
        <x:f>ABS(K1204-W1204)</x:f>
        <x:v>1</x:v>
      </x:c>
      <x:c r="AC1204" s="2" t="n">
        <x:f>COUNTIF($A$2:$A$1921,A1204)-1</x:f>
        <x:v>0</x:v>
      </x:c>
      <x:c r="AD1204" s="2" t="n">
        <x:f>IF(AND(D1204=D1203,H1204=H1203,C1204=C1203+1),ABS(R1204-T1203),0)</x:f>
        <x:v>0</x:v>
      </x:c>
    </x:row>
    <x:row r="1205" ht="23" customHeight="1">
      <x:c r="A1205" s="2" t="str">
        <x:v>DEMO-304-0-4</x:v>
      </x:c>
      <x:c r="B1205" s="15" t="d">
        <x:v>2026-05-25T00:00:00.000Z</x:v>
      </x:c>
      <x:c r="C1205" s="2" t="n">
        <x:v>4</x:v>
      </x:c>
      <x:c r="D1205" s="2" t="str">
        <x:v>DEMO-304</x:v>
      </x:c>
      <x:c r="E1205" s="2" t="str">
        <x:v>Calm Desk Mat</x:v>
      </x:c>
      <x:c r="F1205" s="2" t="str">
        <x:v>Lifestyle</x:v>
      </x:c>
      <x:c r="G1205" s="2" t="str">
        <x:v>Stores</x:v>
      </x:c>
      <x:c r="H1205" s="2" t="str">
        <x:v>North Arcade</x:v>
      </x:c>
      <x:c r="I1205" s="2" t="n">
        <x:v>8</x:v>
      </x:c>
      <x:c r="J1205" s="2" t="n">
        <x:v>1</x:v>
      </x:c>
      <x:c r="K1205" s="2" t="n">
        <x:f>I1205-J1205</x:f>
        <x:v>7</x:v>
      </x:c>
      <x:c r="L1205" s="16" t="n">
        <x:v>30</x:v>
      </x:c>
      <x:c r="M1205" s="16" t="n">
        <x:v>30</x:v>
      </x:c>
      <x:c r="N1205" s="16" t="n">
        <x:v>13.05</x:v>
      </x:c>
      <x:c r="O1205" s="16" t="n">
        <x:f>K1205*M1205</x:f>
        <x:v>210</x:v>
      </x:c>
      <x:c r="P1205" s="16" t="n">
        <x:f>K1205*N1205</x:f>
        <x:v>91.35000000000001</x:v>
      </x:c>
      <x:c r="Q1205" s="16" t="n">
        <x:f>O1205-P1205</x:f>
        <x:v>118.64999999999999</x:v>
      </x:c>
      <x:c r="R1205" s="2" t="n">
        <x:v>183</x:v>
      </x:c>
      <x:c r="S1205" s="2" t="n">
        <x:v>0</x:v>
      </x:c>
      <x:c r="T1205" s="2" t="n">
        <x:f>R1205+S1205+J1205-I1205</x:f>
        <x:v>176</x:v>
      </x:c>
      <x:c r="U1205" s="2" t="n">
        <x:v>0</x:v>
      </x:c>
      <x:c r="V1205" s="2" t="n">
        <x:v>2</x:v>
      </x:c>
      <x:c r="W1205" s="2" t="n">
        <x:v>7</x:v>
      </x:c>
      <x:c r="X1205" s="14" t="b">
        <x:v>0</x:v>
      </x:c>
      <x:c r="Y1205" s="14" t="b">
        <x:v>0</x:v>
      </x:c>
      <x:c r="Z1205" s="2" t="n">
        <x:f>ABS(T1205-AA1205)</x:f>
        <x:v>0</x:v>
      </x:c>
      <x:c r="AA1205" s="2" t="n">
        <x:v>176</x:v>
      </x:c>
      <x:c r="AB1205" s="2" t="n">
        <x:f>ABS(K1205-W1205)</x:f>
        <x:v>0</x:v>
      </x:c>
      <x:c r="AC1205" s="2" t="n">
        <x:f>COUNTIF($A$2:$A$1921,A1205)-1</x:f>
        <x:v>0</x:v>
      </x:c>
      <x:c r="AD1205" s="2" t="n">
        <x:f>IF(AND(D1205=D1204,H1205=H1204,C1205=C1204+1),ABS(R1205-T1204),0)</x:f>
        <x:v>0</x:v>
      </x:c>
    </x:row>
    <x:row r="1206" ht="23" customHeight="1">
      <x:c r="A1206" s="2" t="str">
        <x:v>DEMO-304-0-5</x:v>
      </x:c>
      <x:c r="B1206" s="15" t="d">
        <x:v>2026-06-01T00:00:00.000Z</x:v>
      </x:c>
      <x:c r="C1206" s="2" t="n">
        <x:v>5</x:v>
      </x:c>
      <x:c r="D1206" s="2" t="str">
        <x:v>DEMO-304</x:v>
      </x:c>
      <x:c r="E1206" s="2" t="str">
        <x:v>Calm Desk Mat</x:v>
      </x:c>
      <x:c r="F1206" s="2" t="str">
        <x:v>Lifestyle</x:v>
      </x:c>
      <x:c r="G1206" s="2" t="str">
        <x:v>Stores</x:v>
      </x:c>
      <x:c r="H1206" s="2" t="str">
        <x:v>North Arcade</x:v>
      </x:c>
      <x:c r="I1206" s="2" t="n">
        <x:v>8</x:v>
      </x:c>
      <x:c r="J1206" s="2" t="n">
        <x:v>1</x:v>
      </x:c>
      <x:c r="K1206" s="2" t="n">
        <x:f>I1206-J1206</x:f>
        <x:v>7</x:v>
      </x:c>
      <x:c r="L1206" s="16" t="n">
        <x:v>30</x:v>
      </x:c>
      <x:c r="M1206" s="16" t="n">
        <x:v>30</x:v>
      </x:c>
      <x:c r="N1206" s="16" t="n">
        <x:v>13.05</x:v>
      </x:c>
      <x:c r="O1206" s="16" t="n">
        <x:f>K1206*M1206</x:f>
        <x:v>210</x:v>
      </x:c>
      <x:c r="P1206" s="16" t="n">
        <x:f>K1206*N1206</x:f>
        <x:v>91.35000000000001</x:v>
      </x:c>
      <x:c r="Q1206" s="16" t="n">
        <x:f>O1206-P1206</x:f>
        <x:v>118.64999999999999</x:v>
      </x:c>
      <x:c r="R1206" s="2" t="n">
        <x:v>176</x:v>
      </x:c>
      <x:c r="S1206" s="2" t="n">
        <x:v>65</x:v>
      </x:c>
      <x:c r="T1206" s="2" t="n">
        <x:f>R1206+S1206+J1206-I1206</x:f>
        <x:v>234</x:v>
      </x:c>
      <x:c r="U1206" s="2" t="n">
        <x:v>0</x:v>
      </x:c>
      <x:c r="V1206" s="2" t="n">
        <x:v>2</x:v>
      </x:c>
      <x:c r="W1206" s="2" t="n">
        <x:v>7</x:v>
      </x:c>
      <x:c r="X1206" s="14" t="b">
        <x:v>0</x:v>
      </x:c>
      <x:c r="Y1206" s="14" t="b">
        <x:v>0</x:v>
      </x:c>
      <x:c r="Z1206" s="2" t="n">
        <x:f>ABS(T1206-AA1206)</x:f>
        <x:v>0</x:v>
      </x:c>
      <x:c r="AA1206" s="2" t="n">
        <x:v>234</x:v>
      </x:c>
      <x:c r="AB1206" s="2" t="n">
        <x:f>ABS(K1206-W1206)</x:f>
        <x:v>0</x:v>
      </x:c>
      <x:c r="AC1206" s="2" t="n">
        <x:f>COUNTIF($A$2:$A$1921,A1206)-1</x:f>
        <x:v>0</x:v>
      </x:c>
      <x:c r="AD1206" s="2" t="n">
        <x:f>IF(AND(D1206=D1205,H1206=H1205,C1206=C1205+1),ABS(R1206-T1205),0)</x:f>
        <x:v>0</x:v>
      </x:c>
    </x:row>
    <x:row r="1207" ht="23" customHeight="1">
      <x:c r="A1207" s="2" t="str">
        <x:v>DEMO-304-0-6</x:v>
      </x:c>
      <x:c r="B1207" s="15" t="d">
        <x:v>2026-06-08T00:00:00.000Z</x:v>
      </x:c>
      <x:c r="C1207" s="2" t="n">
        <x:v>6</x:v>
      </x:c>
      <x:c r="D1207" s="2" t="str">
        <x:v>DEMO-304</x:v>
      </x:c>
      <x:c r="E1207" s="2" t="str">
        <x:v>Calm Desk Mat</x:v>
      </x:c>
      <x:c r="F1207" s="2" t="str">
        <x:v>Lifestyle</x:v>
      </x:c>
      <x:c r="G1207" s="2" t="str">
        <x:v>Stores</x:v>
      </x:c>
      <x:c r="H1207" s="2" t="str">
        <x:v>North Arcade</x:v>
      </x:c>
      <x:c r="I1207" s="2" t="n">
        <x:v>8</x:v>
      </x:c>
      <x:c r="J1207" s="2" t="n">
        <x:v>0</x:v>
      </x:c>
      <x:c r="K1207" s="2" t="n">
        <x:f>I1207-J1207</x:f>
        <x:v>8</x:v>
      </x:c>
      <x:c r="L1207" s="16" t="n">
        <x:v>30</x:v>
      </x:c>
      <x:c r="M1207" s="16" t="n">
        <x:v>30</x:v>
      </x:c>
      <x:c r="N1207" s="16" t="n">
        <x:v>13.05</x:v>
      </x:c>
      <x:c r="O1207" s="16" t="n">
        <x:f>K1207*M1207</x:f>
        <x:v>240</x:v>
      </x:c>
      <x:c r="P1207" s="16" t="n">
        <x:f>K1207*N1207</x:f>
        <x:v>104.4</x:v>
      </x:c>
      <x:c r="Q1207" s="16" t="n">
        <x:f>O1207-P1207</x:f>
        <x:v>135.6</x:v>
      </x:c>
      <x:c r="R1207" s="2" t="n">
        <x:v>234</x:v>
      </x:c>
      <x:c r="S1207" s="2" t="n">
        <x:v>0</x:v>
      </x:c>
      <x:c r="T1207" s="2" t="n">
        <x:f>R1207+S1207+J1207-I1207</x:f>
        <x:v>226</x:v>
      </x:c>
      <x:c r="U1207" s="2" t="n">
        <x:v>0</x:v>
      </x:c>
      <x:c r="V1207" s="2" t="n">
        <x:v>2</x:v>
      </x:c>
      <x:c r="W1207" s="2" t="n">
        <x:v>7</x:v>
      </x:c>
      <x:c r="X1207" s="14" t="b">
        <x:v>0</x:v>
      </x:c>
      <x:c r="Y1207" s="14" t="b">
        <x:v>0</x:v>
      </x:c>
      <x:c r="Z1207" s="2" t="n">
        <x:f>ABS(T1207-AA1207)</x:f>
        <x:v>0</x:v>
      </x:c>
      <x:c r="AA1207" s="2" t="n">
        <x:v>226</x:v>
      </x:c>
      <x:c r="AB1207" s="2" t="n">
        <x:f>ABS(K1207-W1207)</x:f>
        <x:v>1</x:v>
      </x:c>
      <x:c r="AC1207" s="2" t="n">
        <x:f>COUNTIF($A$2:$A$1921,A1207)-1</x:f>
        <x:v>0</x:v>
      </x:c>
      <x:c r="AD1207" s="2" t="n">
        <x:f>IF(AND(D1207=D1206,H1207=H1206,C1207=C1206+1),ABS(R1207-T1206),0)</x:f>
        <x:v>0</x:v>
      </x:c>
    </x:row>
    <x:row r="1208" ht="23" customHeight="1">
      <x:c r="A1208" s="2" t="str">
        <x:v>DEMO-304-0-7</x:v>
      </x:c>
      <x:c r="B1208" s="15" t="d">
        <x:v>2026-06-15T00:00:00.000Z</x:v>
      </x:c>
      <x:c r="C1208" s="2" t="n">
        <x:v>7</x:v>
      </x:c>
      <x:c r="D1208" s="2" t="str">
        <x:v>DEMO-304</x:v>
      </x:c>
      <x:c r="E1208" s="2" t="str">
        <x:v>Calm Desk Mat</x:v>
      </x:c>
      <x:c r="F1208" s="2" t="str">
        <x:v>Lifestyle</x:v>
      </x:c>
      <x:c r="G1208" s="2" t="str">
        <x:v>Stores</x:v>
      </x:c>
      <x:c r="H1208" s="2" t="str">
        <x:v>North Arcade</x:v>
      </x:c>
      <x:c r="I1208" s="2" t="n">
        <x:v>6</x:v>
      </x:c>
      <x:c r="J1208" s="2" t="n">
        <x:v>0</x:v>
      </x:c>
      <x:c r="K1208" s="2" t="n">
        <x:f>I1208-J1208</x:f>
        <x:v>6</x:v>
      </x:c>
      <x:c r="L1208" s="16" t="n">
        <x:v>30</x:v>
      </x:c>
      <x:c r="M1208" s="16" t="n">
        <x:v>30</x:v>
      </x:c>
      <x:c r="N1208" s="16" t="n">
        <x:v>13.05</x:v>
      </x:c>
      <x:c r="O1208" s="16" t="n">
        <x:f>K1208*M1208</x:f>
        <x:v>180</x:v>
      </x:c>
      <x:c r="P1208" s="16" t="n">
        <x:f>K1208*N1208</x:f>
        <x:v>78.30000000000001</x:v>
      </x:c>
      <x:c r="Q1208" s="16" t="n">
        <x:f>O1208-P1208</x:f>
        <x:v>101.69999999999999</x:v>
      </x:c>
      <x:c r="R1208" s="2" t="n">
        <x:v>226</x:v>
      </x:c>
      <x:c r="S1208" s="2" t="n">
        <x:v>0</x:v>
      </x:c>
      <x:c r="T1208" s="2" t="n">
        <x:f>R1208+S1208+J1208-I1208</x:f>
        <x:v>220</x:v>
      </x:c>
      <x:c r="U1208" s="2" t="n">
        <x:v>0</x:v>
      </x:c>
      <x:c r="V1208" s="2" t="n">
        <x:v>2</x:v>
      </x:c>
      <x:c r="W1208" s="2" t="n">
        <x:v>7</x:v>
      </x:c>
      <x:c r="X1208" s="14" t="b">
        <x:v>0</x:v>
      </x:c>
      <x:c r="Y1208" s="14" t="b">
        <x:v>0</x:v>
      </x:c>
      <x:c r="Z1208" s="2" t="n">
        <x:f>ABS(T1208-AA1208)</x:f>
        <x:v>0</x:v>
      </x:c>
      <x:c r="AA1208" s="2" t="n">
        <x:v>220</x:v>
      </x:c>
      <x:c r="AB1208" s="2" t="n">
        <x:f>ABS(K1208-W1208)</x:f>
        <x:v>1</x:v>
      </x:c>
      <x:c r="AC1208" s="2" t="n">
        <x:f>COUNTIF($A$2:$A$1921,A1208)-1</x:f>
        <x:v>0</x:v>
      </x:c>
      <x:c r="AD1208" s="2" t="n">
        <x:f>IF(AND(D1208=D1207,H1208=H1207,C1208=C1207+1),ABS(R1208-T1207),0)</x:f>
        <x:v>0</x:v>
      </x:c>
    </x:row>
    <x:row r="1209" ht="23" customHeight="1">
      <x:c r="A1209" s="2" t="str">
        <x:v>DEMO-304-0-8</x:v>
      </x:c>
      <x:c r="B1209" s="15" t="d">
        <x:v>2026-06-22T00:00:00.000Z</x:v>
      </x:c>
      <x:c r="C1209" s="2" t="n">
        <x:v>8</x:v>
      </x:c>
      <x:c r="D1209" s="2" t="str">
        <x:v>DEMO-304</x:v>
      </x:c>
      <x:c r="E1209" s="2" t="str">
        <x:v>Calm Desk Mat</x:v>
      </x:c>
      <x:c r="F1209" s="2" t="str">
        <x:v>Lifestyle</x:v>
      </x:c>
      <x:c r="G1209" s="2" t="str">
        <x:v>Stores</x:v>
      </x:c>
      <x:c r="H1209" s="2" t="str">
        <x:v>North Arcade</x:v>
      </x:c>
      <x:c r="I1209" s="2" t="n">
        <x:v>7</x:v>
      </x:c>
      <x:c r="J1209" s="2" t="n">
        <x:v>1</x:v>
      </x:c>
      <x:c r="K1209" s="2" t="n">
        <x:f>I1209-J1209</x:f>
        <x:v>6</x:v>
      </x:c>
      <x:c r="L1209" s="16" t="n">
        <x:v>30</x:v>
      </x:c>
      <x:c r="M1209" s="16" t="n">
        <x:v>30</x:v>
      </x:c>
      <x:c r="N1209" s="16" t="n">
        <x:v>13.05</x:v>
      </x:c>
      <x:c r="O1209" s="16" t="n">
        <x:f>K1209*M1209</x:f>
        <x:v>180</x:v>
      </x:c>
      <x:c r="P1209" s="16" t="n">
        <x:f>K1209*N1209</x:f>
        <x:v>78.30000000000001</x:v>
      </x:c>
      <x:c r="Q1209" s="16" t="n">
        <x:f>O1209-P1209</x:f>
        <x:v>101.69999999999999</x:v>
      </x:c>
      <x:c r="R1209" s="2" t="n">
        <x:v>220</x:v>
      </x:c>
      <x:c r="S1209" s="2" t="n">
        <x:v>0</x:v>
      </x:c>
      <x:c r="T1209" s="2" t="n">
        <x:f>R1209+S1209+J1209-I1209</x:f>
        <x:v>214</x:v>
      </x:c>
      <x:c r="U1209" s="2" t="n">
        <x:v>0</x:v>
      </x:c>
      <x:c r="V1209" s="2" t="n">
        <x:v>2</x:v>
      </x:c>
      <x:c r="W1209" s="2" t="n">
        <x:v>7</x:v>
      </x:c>
      <x:c r="X1209" s="14" t="b">
        <x:v>0</x:v>
      </x:c>
      <x:c r="Y1209" s="14" t="b">
        <x:v>0</x:v>
      </x:c>
      <x:c r="Z1209" s="2" t="n">
        <x:f>ABS(T1209-AA1209)</x:f>
        <x:v>0</x:v>
      </x:c>
      <x:c r="AA1209" s="2" t="n">
        <x:v>214</x:v>
      </x:c>
      <x:c r="AB1209" s="2" t="n">
        <x:f>ABS(K1209-W1209)</x:f>
        <x:v>1</x:v>
      </x:c>
      <x:c r="AC1209" s="2" t="n">
        <x:f>COUNTIF($A$2:$A$1921,A1209)-1</x:f>
        <x:v>0</x:v>
      </x:c>
      <x:c r="AD1209" s="2" t="n">
        <x:f>IF(AND(D1209=D1208,H1209=H1208,C1209=C1208+1),ABS(R1209-T1208),0)</x:f>
        <x:v>0</x:v>
      </x:c>
    </x:row>
    <x:row r="1210" ht="23" customHeight="1">
      <x:c r="A1210" s="2" t="str">
        <x:v>DEMO-304-0-9</x:v>
      </x:c>
      <x:c r="B1210" s="15" t="d">
        <x:v>2026-06-29T00:00:00.000Z</x:v>
      </x:c>
      <x:c r="C1210" s="2" t="n">
        <x:v>9</x:v>
      </x:c>
      <x:c r="D1210" s="2" t="str">
        <x:v>DEMO-304</x:v>
      </x:c>
      <x:c r="E1210" s="2" t="str">
        <x:v>Calm Desk Mat</x:v>
      </x:c>
      <x:c r="F1210" s="2" t="str">
        <x:v>Lifestyle</x:v>
      </x:c>
      <x:c r="G1210" s="2" t="str">
        <x:v>Stores</x:v>
      </x:c>
      <x:c r="H1210" s="2" t="str">
        <x:v>North Arcade</x:v>
      </x:c>
      <x:c r="I1210" s="2" t="n">
        <x:v>7</x:v>
      </x:c>
      <x:c r="J1210" s="2" t="n">
        <x:v>0</x:v>
      </x:c>
      <x:c r="K1210" s="2" t="n">
        <x:f>I1210-J1210</x:f>
        <x:v>7</x:v>
      </x:c>
      <x:c r="L1210" s="16" t="n">
        <x:v>30</x:v>
      </x:c>
      <x:c r="M1210" s="16" t="n">
        <x:v>30</x:v>
      </x:c>
      <x:c r="N1210" s="16" t="n">
        <x:v>13.05</x:v>
      </x:c>
      <x:c r="O1210" s="16" t="n">
        <x:f>K1210*M1210</x:f>
        <x:v>210</x:v>
      </x:c>
      <x:c r="P1210" s="16" t="n">
        <x:f>K1210*N1210</x:f>
        <x:v>91.35000000000001</x:v>
      </x:c>
      <x:c r="Q1210" s="16" t="n">
        <x:f>O1210-P1210</x:f>
        <x:v>118.64999999999999</x:v>
      </x:c>
      <x:c r="R1210" s="2" t="n">
        <x:v>214</x:v>
      </x:c>
      <x:c r="S1210" s="2" t="n">
        <x:v>65</x:v>
      </x:c>
      <x:c r="T1210" s="2" t="n">
        <x:f>R1210+S1210+J1210-I1210</x:f>
        <x:v>272</x:v>
      </x:c>
      <x:c r="U1210" s="2" t="n">
        <x:v>0</x:v>
      </x:c>
      <x:c r="V1210" s="2" t="n">
        <x:v>2</x:v>
      </x:c>
      <x:c r="W1210" s="2" t="n">
        <x:v>7</x:v>
      </x:c>
      <x:c r="X1210" s="14" t="b">
        <x:v>0</x:v>
      </x:c>
      <x:c r="Y1210" s="14" t="b">
        <x:v>0</x:v>
      </x:c>
      <x:c r="Z1210" s="2" t="n">
        <x:f>ABS(T1210-AA1210)</x:f>
        <x:v>0</x:v>
      </x:c>
      <x:c r="AA1210" s="2" t="n">
        <x:v>272</x:v>
      </x:c>
      <x:c r="AB1210" s="2" t="n">
        <x:f>ABS(K1210-W1210)</x:f>
        <x:v>0</x:v>
      </x:c>
      <x:c r="AC1210" s="2" t="n">
        <x:f>COUNTIF($A$2:$A$1921,A1210)-1</x:f>
        <x:v>0</x:v>
      </x:c>
      <x:c r="AD1210" s="2" t="n">
        <x:f>IF(AND(D1210=D1209,H1210=H1209,C1210=C1209+1),ABS(R1210-T1209),0)</x:f>
        <x:v>0</x:v>
      </x:c>
    </x:row>
    <x:row r="1211" ht="23" customHeight="1">
      <x:c r="A1211" s="2" t="str">
        <x:v>DEMO-304-0-10</x:v>
      </x:c>
      <x:c r="B1211" s="15" t="d">
        <x:v>2026-07-06T00:00:00.000Z</x:v>
      </x:c>
      <x:c r="C1211" s="2" t="n">
        <x:v>10</x:v>
      </x:c>
      <x:c r="D1211" s="2" t="str">
        <x:v>DEMO-304</x:v>
      </x:c>
      <x:c r="E1211" s="2" t="str">
        <x:v>Calm Desk Mat</x:v>
      </x:c>
      <x:c r="F1211" s="2" t="str">
        <x:v>Lifestyle</x:v>
      </x:c>
      <x:c r="G1211" s="2" t="str">
        <x:v>Stores</x:v>
      </x:c>
      <x:c r="H1211" s="2" t="str">
        <x:v>North Arcade</x:v>
      </x:c>
      <x:c r="I1211" s="2" t="n">
        <x:v>6</x:v>
      </x:c>
      <x:c r="J1211" s="2" t="n">
        <x:v>1</x:v>
      </x:c>
      <x:c r="K1211" s="2" t="n">
        <x:f>I1211-J1211</x:f>
        <x:v>5</x:v>
      </x:c>
      <x:c r="L1211" s="16" t="n">
        <x:v>30</x:v>
      </x:c>
      <x:c r="M1211" s="16" t="n">
        <x:v>30</x:v>
      </x:c>
      <x:c r="N1211" s="16" t="n">
        <x:v>13.05</x:v>
      </x:c>
      <x:c r="O1211" s="16" t="n">
        <x:f>K1211*M1211</x:f>
        <x:v>150</x:v>
      </x:c>
      <x:c r="P1211" s="16" t="n">
        <x:f>K1211*N1211</x:f>
        <x:v>65.25</x:v>
      </x:c>
      <x:c r="Q1211" s="16" t="n">
        <x:f>O1211-P1211</x:f>
        <x:v>84.75</x:v>
      </x:c>
      <x:c r="R1211" s="2" t="n">
        <x:v>272</x:v>
      </x:c>
      <x:c r="S1211" s="2" t="n">
        <x:v>0</x:v>
      </x:c>
      <x:c r="T1211" s="2" t="n">
        <x:f>R1211+S1211+J1211-I1211</x:f>
        <x:v>267</x:v>
      </x:c>
      <x:c r="U1211" s="2" t="n">
        <x:v>0</x:v>
      </x:c>
      <x:c r="V1211" s="2" t="n">
        <x:v>2</x:v>
      </x:c>
      <x:c r="W1211" s="2" t="n">
        <x:v>7</x:v>
      </x:c>
      <x:c r="X1211" s="14" t="b">
        <x:v>0</x:v>
      </x:c>
      <x:c r="Y1211" s="14" t="b">
        <x:v>0</x:v>
      </x:c>
      <x:c r="Z1211" s="2" t="n">
        <x:f>ABS(T1211-AA1211)</x:f>
        <x:v>0</x:v>
      </x:c>
      <x:c r="AA1211" s="2" t="n">
        <x:v>267</x:v>
      </x:c>
      <x:c r="AB1211" s="2" t="n">
        <x:f>ABS(K1211-W1211)</x:f>
        <x:v>2</x:v>
      </x:c>
      <x:c r="AC1211" s="2" t="n">
        <x:f>COUNTIF($A$2:$A$1921,A1211)-1</x:f>
        <x:v>0</x:v>
      </x:c>
      <x:c r="AD1211" s="2" t="n">
        <x:f>IF(AND(D1211=D1210,H1211=H1210,C1211=C1210+1),ABS(R1211-T1210),0)</x:f>
        <x:v>0</x:v>
      </x:c>
    </x:row>
    <x:row r="1212" ht="23" customHeight="1">
      <x:c r="A1212" s="2" t="str">
        <x:v>DEMO-304-0-11</x:v>
      </x:c>
      <x:c r="B1212" s="15" t="d">
        <x:v>2026-07-13T00:00:00.000Z</x:v>
      </x:c>
      <x:c r="C1212" s="2" t="n">
        <x:v>11</x:v>
      </x:c>
      <x:c r="D1212" s="2" t="str">
        <x:v>DEMO-304</x:v>
      </x:c>
      <x:c r="E1212" s="2" t="str">
        <x:v>Calm Desk Mat</x:v>
      </x:c>
      <x:c r="F1212" s="2" t="str">
        <x:v>Lifestyle</x:v>
      </x:c>
      <x:c r="G1212" s="2" t="str">
        <x:v>Stores</x:v>
      </x:c>
      <x:c r="H1212" s="2" t="str">
        <x:v>North Arcade</x:v>
      </x:c>
      <x:c r="I1212" s="2" t="n">
        <x:v>5</x:v>
      </x:c>
      <x:c r="J1212" s="2" t="n">
        <x:v>0</x:v>
      </x:c>
      <x:c r="K1212" s="2" t="n">
        <x:f>I1212-J1212</x:f>
        <x:v>5</x:v>
      </x:c>
      <x:c r="L1212" s="16" t="n">
        <x:v>30</x:v>
      </x:c>
      <x:c r="M1212" s="16" t="n">
        <x:v>30</x:v>
      </x:c>
      <x:c r="N1212" s="16" t="n">
        <x:v>13.05</x:v>
      </x:c>
      <x:c r="O1212" s="16" t="n">
        <x:f>K1212*M1212</x:f>
        <x:v>150</x:v>
      </x:c>
      <x:c r="P1212" s="16" t="n">
        <x:f>K1212*N1212</x:f>
        <x:v>65.25</x:v>
      </x:c>
      <x:c r="Q1212" s="16" t="n">
        <x:f>O1212-P1212</x:f>
        <x:v>84.75</x:v>
      </x:c>
      <x:c r="R1212" s="2" t="n">
        <x:v>267</x:v>
      </x:c>
      <x:c r="S1212" s="2" t="n">
        <x:v>0</x:v>
      </x:c>
      <x:c r="T1212" s="2" t="n">
        <x:f>R1212+S1212+J1212-I1212</x:f>
        <x:v>262</x:v>
      </x:c>
      <x:c r="U1212" s="2" t="n">
        <x:v>0</x:v>
      </x:c>
      <x:c r="V1212" s="2" t="n">
        <x:v>2</x:v>
      </x:c>
      <x:c r="W1212" s="2" t="n">
        <x:v>6</x:v>
      </x:c>
      <x:c r="X1212" s="14" t="b">
        <x:v>0</x:v>
      </x:c>
      <x:c r="Y1212" s="14" t="b">
        <x:v>0</x:v>
      </x:c>
      <x:c r="Z1212" s="2" t="n">
        <x:f>ABS(T1212-AA1212)</x:f>
        <x:v>0</x:v>
      </x:c>
      <x:c r="AA1212" s="2" t="n">
        <x:v>262</x:v>
      </x:c>
      <x:c r="AB1212" s="2" t="n">
        <x:f>ABS(K1212-W1212)</x:f>
        <x:v>1</x:v>
      </x:c>
      <x:c r="AC1212" s="2" t="n">
        <x:f>COUNTIF($A$2:$A$1921,A1212)-1</x:f>
        <x:v>0</x:v>
      </x:c>
      <x:c r="AD1212" s="2" t="n">
        <x:f>IF(AND(D1212=D1211,H1212=H1211,C1212=C1211+1),ABS(R1212-T1211),0)</x:f>
        <x:v>0</x:v>
      </x:c>
    </x:row>
    <x:row r="1213" ht="23" customHeight="1">
      <x:c r="A1213" s="2" t="str">
        <x:v>DEMO-304-0-12</x:v>
      </x:c>
      <x:c r="B1213" s="15" t="d">
        <x:v>2026-07-20T00:00:00.000Z</x:v>
      </x:c>
      <x:c r="C1213" s="2" t="n">
        <x:v>12</x:v>
      </x:c>
      <x:c r="D1213" s="2" t="str">
        <x:v>DEMO-304</x:v>
      </x:c>
      <x:c r="E1213" s="2" t="str">
        <x:v>Calm Desk Mat</x:v>
      </x:c>
      <x:c r="F1213" s="2" t="str">
        <x:v>Lifestyle</x:v>
      </x:c>
      <x:c r="G1213" s="2" t="str">
        <x:v>Stores</x:v>
      </x:c>
      <x:c r="H1213" s="2" t="str">
        <x:v>North Arcade</x:v>
      </x:c>
      <x:c r="I1213" s="2" t="n">
        <x:v>5</x:v>
      </x:c>
      <x:c r="J1213" s="2" t="n">
        <x:v>0</x:v>
      </x:c>
      <x:c r="K1213" s="2" t="n">
        <x:f>I1213-J1213</x:f>
        <x:v>5</x:v>
      </x:c>
      <x:c r="L1213" s="16" t="n">
        <x:v>30</x:v>
      </x:c>
      <x:c r="M1213" s="16" t="n">
        <x:v>30</x:v>
      </x:c>
      <x:c r="N1213" s="16" t="n">
        <x:v>13.05</x:v>
      </x:c>
      <x:c r="O1213" s="16" t="n">
        <x:f>K1213*M1213</x:f>
        <x:v>150</x:v>
      </x:c>
      <x:c r="P1213" s="16" t="n">
        <x:f>K1213*N1213</x:f>
        <x:v>65.25</x:v>
      </x:c>
      <x:c r="Q1213" s="16" t="n">
        <x:f>O1213-P1213</x:f>
        <x:v>84.75</x:v>
      </x:c>
      <x:c r="R1213" s="2" t="n">
        <x:v>262</x:v>
      </x:c>
      <x:c r="S1213" s="2" t="n">
        <x:v>0</x:v>
      </x:c>
      <x:c r="T1213" s="2" t="n">
        <x:f>R1213+S1213+J1213-I1213</x:f>
        <x:v>257</x:v>
      </x:c>
      <x:c r="U1213" s="2" t="n">
        <x:v>0</x:v>
      </x:c>
      <x:c r="V1213" s="2" t="n">
        <x:v>2</x:v>
      </x:c>
      <x:c r="W1213" s="2" t="n">
        <x:v>6</x:v>
      </x:c>
      <x:c r="X1213" s="14" t="b">
        <x:v>0</x:v>
      </x:c>
      <x:c r="Y1213" s="14" t="b">
        <x:v>0</x:v>
      </x:c>
      <x:c r="Z1213" s="2" t="n">
        <x:f>ABS(T1213-AA1213)</x:f>
        <x:v>0</x:v>
      </x:c>
      <x:c r="AA1213" s="2" t="n">
        <x:v>257</x:v>
      </x:c>
      <x:c r="AB1213" s="2" t="n">
        <x:f>ABS(K1213-W1213)</x:f>
        <x:v>1</x:v>
      </x:c>
      <x:c r="AC1213" s="2" t="n">
        <x:f>COUNTIF($A$2:$A$1921,A1213)-1</x:f>
        <x:v>0</x:v>
      </x:c>
      <x:c r="AD1213" s="2" t="n">
        <x:f>IF(AND(D1213=D1212,H1213=H1212,C1213=C1212+1),ABS(R1213-T1212),0)</x:f>
        <x:v>0</x:v>
      </x:c>
    </x:row>
    <x:row r="1214" ht="23" customHeight="1">
      <x:c r="A1214" s="2" t="str">
        <x:v>DEMO-304-0-13</x:v>
      </x:c>
      <x:c r="B1214" s="15" t="d">
        <x:v>2026-07-27T00:00:00.000Z</x:v>
      </x:c>
      <x:c r="C1214" s="2" t="n">
        <x:v>13</x:v>
      </x:c>
      <x:c r="D1214" s="2" t="str">
        <x:v>DEMO-304</x:v>
      </x:c>
      <x:c r="E1214" s="2" t="str">
        <x:v>Calm Desk Mat</x:v>
      </x:c>
      <x:c r="F1214" s="2" t="str">
        <x:v>Lifestyle</x:v>
      </x:c>
      <x:c r="G1214" s="2" t="str">
        <x:v>Stores</x:v>
      </x:c>
      <x:c r="H1214" s="2" t="str">
        <x:v>North Arcade</x:v>
      </x:c>
      <x:c r="I1214" s="2" t="n">
        <x:v>5</x:v>
      </x:c>
      <x:c r="J1214" s="2" t="n">
        <x:v>0</x:v>
      </x:c>
      <x:c r="K1214" s="2" t="n">
        <x:f>I1214-J1214</x:f>
        <x:v>5</x:v>
      </x:c>
      <x:c r="L1214" s="16" t="n">
        <x:v>30</x:v>
      </x:c>
      <x:c r="M1214" s="16" t="n">
        <x:v>30</x:v>
      </x:c>
      <x:c r="N1214" s="16" t="n">
        <x:v>13.05</x:v>
      </x:c>
      <x:c r="O1214" s="16" t="n">
        <x:f>K1214*M1214</x:f>
        <x:v>150</x:v>
      </x:c>
      <x:c r="P1214" s="16" t="n">
        <x:f>K1214*N1214</x:f>
        <x:v>65.25</x:v>
      </x:c>
      <x:c r="Q1214" s="16" t="n">
        <x:f>O1214-P1214</x:f>
        <x:v>84.75</x:v>
      </x:c>
      <x:c r="R1214" s="2" t="n">
        <x:v>257</x:v>
      </x:c>
      <x:c r="S1214" s="2" t="n">
        <x:v>65</x:v>
      </x:c>
      <x:c r="T1214" s="2" t="n">
        <x:f>R1214+S1214+J1214-I1214</x:f>
        <x:v>317</x:v>
      </x:c>
      <x:c r="U1214" s="2" t="n">
        <x:v>0</x:v>
      </x:c>
      <x:c r="V1214" s="2" t="n">
        <x:v>2</x:v>
      </x:c>
      <x:c r="W1214" s="2" t="n">
        <x:v>6</x:v>
      </x:c>
      <x:c r="X1214" s="14" t="b">
        <x:v>0</x:v>
      </x:c>
      <x:c r="Y1214" s="14" t="b">
        <x:v>0</x:v>
      </x:c>
      <x:c r="Z1214" s="2" t="n">
        <x:f>ABS(T1214-AA1214)</x:f>
        <x:v>0</x:v>
      </x:c>
      <x:c r="AA1214" s="2" t="n">
        <x:v>317</x:v>
      </x:c>
      <x:c r="AB1214" s="2" t="n">
        <x:f>ABS(K1214-W1214)</x:f>
        <x:v>1</x:v>
      </x:c>
      <x:c r="AC1214" s="2" t="n">
        <x:f>COUNTIF($A$2:$A$1921,A1214)-1</x:f>
        <x:v>0</x:v>
      </x:c>
      <x:c r="AD1214" s="2" t="n">
        <x:f>IF(AND(D1214=D1213,H1214=H1213,C1214=C1213+1),ABS(R1214-T1213),0)</x:f>
        <x:v>0</x:v>
      </x:c>
    </x:row>
    <x:row r="1215" ht="23" customHeight="1">
      <x:c r="A1215" s="2" t="str">
        <x:v>DEMO-304-0-14</x:v>
      </x:c>
      <x:c r="B1215" s="15" t="d">
        <x:v>2026-08-03T00:00:00.000Z</x:v>
      </x:c>
      <x:c r="C1215" s="2" t="n">
        <x:v>14</x:v>
      </x:c>
      <x:c r="D1215" s="2" t="str">
        <x:v>DEMO-304</x:v>
      </x:c>
      <x:c r="E1215" s="2" t="str">
        <x:v>Calm Desk Mat</x:v>
      </x:c>
      <x:c r="F1215" s="2" t="str">
        <x:v>Lifestyle</x:v>
      </x:c>
      <x:c r="G1215" s="2" t="str">
        <x:v>Stores</x:v>
      </x:c>
      <x:c r="H1215" s="2" t="str">
        <x:v>North Arcade</x:v>
      </x:c>
      <x:c r="I1215" s="2" t="n">
        <x:v>6</x:v>
      </x:c>
      <x:c r="J1215" s="2" t="n">
        <x:v>0</x:v>
      </x:c>
      <x:c r="K1215" s="2" t="n">
        <x:f>I1215-J1215</x:f>
        <x:v>6</x:v>
      </x:c>
      <x:c r="L1215" s="16" t="n">
        <x:v>30</x:v>
      </x:c>
      <x:c r="M1215" s="16" t="n">
        <x:v>30</x:v>
      </x:c>
      <x:c r="N1215" s="16" t="n">
        <x:v>13.05</x:v>
      </x:c>
      <x:c r="O1215" s="16" t="n">
        <x:f>K1215*M1215</x:f>
        <x:v>180</x:v>
      </x:c>
      <x:c r="P1215" s="16" t="n">
        <x:f>K1215*N1215</x:f>
        <x:v>78.30000000000001</x:v>
      </x:c>
      <x:c r="Q1215" s="16" t="n">
        <x:f>O1215-P1215</x:f>
        <x:v>101.69999999999999</x:v>
      </x:c>
      <x:c r="R1215" s="2" t="n">
        <x:v>317</x:v>
      </x:c>
      <x:c r="S1215" s="2" t="n">
        <x:v>0</x:v>
      </x:c>
      <x:c r="T1215" s="2" t="n">
        <x:f>R1215+S1215+J1215-I1215</x:f>
        <x:v>311</x:v>
      </x:c>
      <x:c r="U1215" s="2" t="n">
        <x:v>0</x:v>
      </x:c>
      <x:c r="V1215" s="2" t="n">
        <x:v>2</x:v>
      </x:c>
      <x:c r="W1215" s="2" t="n">
        <x:v>5</x:v>
      </x:c>
      <x:c r="X1215" s="14" t="b">
        <x:v>0</x:v>
      </x:c>
      <x:c r="Y1215" s="14" t="b">
        <x:v>0</x:v>
      </x:c>
      <x:c r="Z1215" s="2" t="n">
        <x:f>ABS(T1215-AA1215)</x:f>
        <x:v>0</x:v>
      </x:c>
      <x:c r="AA1215" s="2" t="n">
        <x:v>311</x:v>
      </x:c>
      <x:c r="AB1215" s="2" t="n">
        <x:f>ABS(K1215-W1215)</x:f>
        <x:v>1</x:v>
      </x:c>
      <x:c r="AC1215" s="2" t="n">
        <x:f>COUNTIF($A$2:$A$1921,A1215)-1</x:f>
        <x:v>0</x:v>
      </x:c>
      <x:c r="AD1215" s="2" t="n">
        <x:f>IF(AND(D1215=D1214,H1215=H1214,C1215=C1214+1),ABS(R1215-T1214),0)</x:f>
        <x:v>0</x:v>
      </x:c>
    </x:row>
    <x:row r="1216" ht="23" customHeight="1">
      <x:c r="A1216" s="2" t="str">
        <x:v>DEMO-304-0-15</x:v>
      </x:c>
      <x:c r="B1216" s="15" t="d">
        <x:v>2026-08-10T00:00:00.000Z</x:v>
      </x:c>
      <x:c r="C1216" s="2" t="n">
        <x:v>15</x:v>
      </x:c>
      <x:c r="D1216" s="2" t="str">
        <x:v>DEMO-304</x:v>
      </x:c>
      <x:c r="E1216" s="2" t="str">
        <x:v>Calm Desk Mat</x:v>
      </x:c>
      <x:c r="F1216" s="2" t="str">
        <x:v>Lifestyle</x:v>
      </x:c>
      <x:c r="G1216" s="2" t="str">
        <x:v>Stores</x:v>
      </x:c>
      <x:c r="H1216" s="2" t="str">
        <x:v>North Arcade</x:v>
      </x:c>
      <x:c r="I1216" s="2" t="n">
        <x:v>4</x:v>
      </x:c>
      <x:c r="J1216" s="2" t="n">
        <x:v>0</x:v>
      </x:c>
      <x:c r="K1216" s="2" t="n">
        <x:f>I1216-J1216</x:f>
        <x:v>4</x:v>
      </x:c>
      <x:c r="L1216" s="16" t="n">
        <x:v>30</x:v>
      </x:c>
      <x:c r="M1216" s="16" t="n">
        <x:v>30</x:v>
      </x:c>
      <x:c r="N1216" s="16" t="n">
        <x:v>13.05</x:v>
      </x:c>
      <x:c r="O1216" s="16" t="n">
        <x:f>K1216*M1216</x:f>
        <x:v>120</x:v>
      </x:c>
      <x:c r="P1216" s="16" t="n">
        <x:f>K1216*N1216</x:f>
        <x:v>52.2</x:v>
      </x:c>
      <x:c r="Q1216" s="16" t="n">
        <x:f>O1216-P1216</x:f>
        <x:v>67.8</x:v>
      </x:c>
      <x:c r="R1216" s="2" t="n">
        <x:v>311</x:v>
      </x:c>
      <x:c r="S1216" s="2" t="n">
        <x:v>0</x:v>
      </x:c>
      <x:c r="T1216" s="2" t="n">
        <x:f>R1216+S1216+J1216-I1216</x:f>
        <x:v>307</x:v>
      </x:c>
      <x:c r="U1216" s="2" t="n">
        <x:v>0</x:v>
      </x:c>
      <x:c r="V1216" s="2" t="n">
        <x:v>2</x:v>
      </x:c>
      <x:c r="W1216" s="2" t="n">
        <x:v>5</x:v>
      </x:c>
      <x:c r="X1216" s="14" t="b">
        <x:v>0</x:v>
      </x:c>
      <x:c r="Y1216" s="14" t="b">
        <x:v>0</x:v>
      </x:c>
      <x:c r="Z1216" s="2" t="n">
        <x:f>ABS(T1216-AA1216)</x:f>
        <x:v>0</x:v>
      </x:c>
      <x:c r="AA1216" s="2" t="n">
        <x:v>307</x:v>
      </x:c>
      <x:c r="AB1216" s="2" t="n">
        <x:f>ABS(K1216-W1216)</x:f>
        <x:v>1</x:v>
      </x:c>
      <x:c r="AC1216" s="2" t="n">
        <x:f>COUNTIF($A$2:$A$1921,A1216)-1</x:f>
        <x:v>0</x:v>
      </x:c>
      <x:c r="AD1216" s="2" t="n">
        <x:f>IF(AND(D1216=D1215,H1216=H1215,C1216=C1215+1),ABS(R1216-T1215),0)</x:f>
        <x:v>0</x:v>
      </x:c>
    </x:row>
    <x:row r="1217" ht="23" customHeight="1">
      <x:c r="A1217" s="2" t="str">
        <x:v>DEMO-304-0-16</x:v>
      </x:c>
      <x:c r="B1217" s="15" t="d">
        <x:v>2026-08-17T00:00:00.000Z</x:v>
      </x:c>
      <x:c r="C1217" s="2" t="n">
        <x:v>16</x:v>
      </x:c>
      <x:c r="D1217" s="2" t="str">
        <x:v>DEMO-304</x:v>
      </x:c>
      <x:c r="E1217" s="2" t="str">
        <x:v>Calm Desk Mat</x:v>
      </x:c>
      <x:c r="F1217" s="2" t="str">
        <x:v>Lifestyle</x:v>
      </x:c>
      <x:c r="G1217" s="2" t="str">
        <x:v>Stores</x:v>
      </x:c>
      <x:c r="H1217" s="2" t="str">
        <x:v>North Arcade</x:v>
      </x:c>
      <x:c r="I1217" s="2" t="n">
        <x:v>5</x:v>
      </x:c>
      <x:c r="J1217" s="2" t="n">
        <x:v>0</x:v>
      </x:c>
      <x:c r="K1217" s="2" t="n">
        <x:f>I1217-J1217</x:f>
        <x:v>5</x:v>
      </x:c>
      <x:c r="L1217" s="16" t="n">
        <x:v>30</x:v>
      </x:c>
      <x:c r="M1217" s="16" t="n">
        <x:v>30</x:v>
      </x:c>
      <x:c r="N1217" s="16" t="n">
        <x:v>13.05</x:v>
      </x:c>
      <x:c r="O1217" s="16" t="n">
        <x:f>K1217*M1217</x:f>
        <x:v>150</x:v>
      </x:c>
      <x:c r="P1217" s="16" t="n">
        <x:f>K1217*N1217</x:f>
        <x:v>65.25</x:v>
      </x:c>
      <x:c r="Q1217" s="16" t="n">
        <x:f>O1217-P1217</x:f>
        <x:v>84.75</x:v>
      </x:c>
      <x:c r="R1217" s="2" t="n">
        <x:v>307</x:v>
      </x:c>
      <x:c r="S1217" s="2" t="n">
        <x:v>0</x:v>
      </x:c>
      <x:c r="T1217" s="2" t="n">
        <x:f>R1217+S1217+J1217-I1217</x:f>
        <x:v>302</x:v>
      </x:c>
      <x:c r="U1217" s="2" t="n">
        <x:v>0</x:v>
      </x:c>
      <x:c r="V1217" s="2" t="n">
        <x:v>2</x:v>
      </x:c>
      <x:c r="W1217" s="2" t="n">
        <x:v>5</x:v>
      </x:c>
      <x:c r="X1217" s="14" t="b">
        <x:v>0</x:v>
      </x:c>
      <x:c r="Y1217" s="14" t="b">
        <x:v>0</x:v>
      </x:c>
      <x:c r="Z1217" s="2" t="n">
        <x:f>ABS(T1217-AA1217)</x:f>
        <x:v>0</x:v>
      </x:c>
      <x:c r="AA1217" s="2" t="n">
        <x:v>302</x:v>
      </x:c>
      <x:c r="AB1217" s="2" t="n">
        <x:f>ABS(K1217-W1217)</x:f>
        <x:v>0</x:v>
      </x:c>
      <x:c r="AC1217" s="2" t="n">
        <x:f>COUNTIF($A$2:$A$1921,A1217)-1</x:f>
        <x:v>0</x:v>
      </x:c>
      <x:c r="AD1217" s="2" t="n">
        <x:f>IF(AND(D1217=D1216,H1217=H1216,C1217=C1216+1),ABS(R1217-T1216),0)</x:f>
        <x:v>0</x:v>
      </x:c>
    </x:row>
    <x:row r="1218" ht="23" customHeight="1">
      <x:c r="A1218" s="2" t="str">
        <x:v>DEMO-304-0-17</x:v>
      </x:c>
      <x:c r="B1218" s="15" t="d">
        <x:v>2026-08-24T00:00:00.000Z</x:v>
      </x:c>
      <x:c r="C1218" s="2" t="n">
        <x:v>17</x:v>
      </x:c>
      <x:c r="D1218" s="2" t="str">
        <x:v>DEMO-304</x:v>
      </x:c>
      <x:c r="E1218" s="2" t="str">
        <x:v>Calm Desk Mat</x:v>
      </x:c>
      <x:c r="F1218" s="2" t="str">
        <x:v>Lifestyle</x:v>
      </x:c>
      <x:c r="G1218" s="2" t="str">
        <x:v>Stores</x:v>
      </x:c>
      <x:c r="H1218" s="2" t="str">
        <x:v>North Arcade</x:v>
      </x:c>
      <x:c r="I1218" s="2" t="n">
        <x:v>5</x:v>
      </x:c>
      <x:c r="J1218" s="2" t="n">
        <x:v>0</x:v>
      </x:c>
      <x:c r="K1218" s="2" t="n">
        <x:f>I1218-J1218</x:f>
        <x:v>5</x:v>
      </x:c>
      <x:c r="L1218" s="16" t="n">
        <x:v>30</x:v>
      </x:c>
      <x:c r="M1218" s="16" t="n">
        <x:v>24</x:v>
      </x:c>
      <x:c r="N1218" s="16" t="n">
        <x:v>13.05</x:v>
      </x:c>
      <x:c r="O1218" s="16" t="n">
        <x:f>K1218*M1218</x:f>
        <x:v>120</x:v>
      </x:c>
      <x:c r="P1218" s="16" t="n">
        <x:f>K1218*N1218</x:f>
        <x:v>65.25</x:v>
      </x:c>
      <x:c r="Q1218" s="16" t="n">
        <x:f>O1218-P1218</x:f>
        <x:v>54.75</x:v>
      </x:c>
      <x:c r="R1218" s="2" t="n">
        <x:v>302</x:v>
      </x:c>
      <x:c r="S1218" s="2" t="n">
        <x:v>65</x:v>
      </x:c>
      <x:c r="T1218" s="2" t="n">
        <x:f>R1218+S1218+J1218-I1218</x:f>
        <x:v>362</x:v>
      </x:c>
      <x:c r="U1218" s="2" t="n">
        <x:v>0</x:v>
      </x:c>
      <x:c r="V1218" s="2" t="n">
        <x:v>2</x:v>
      </x:c>
      <x:c r="W1218" s="2" t="n">
        <x:v>5</x:v>
      </x:c>
      <x:c r="X1218" s="14" t="b">
        <x:v>0</x:v>
      </x:c>
      <x:c r="Y1218" s="14" t="b">
        <x:v>1</x:v>
      </x:c>
      <x:c r="Z1218" s="2" t="n">
        <x:f>ABS(T1218-AA1218)</x:f>
        <x:v>0</x:v>
      </x:c>
      <x:c r="AA1218" s="2" t="n">
        <x:v>362</x:v>
      </x:c>
      <x:c r="AB1218" s="2" t="n">
        <x:f>ABS(K1218-W1218)</x:f>
        <x:v>0</x:v>
      </x:c>
      <x:c r="AC1218" s="2" t="n">
        <x:f>COUNTIF($A$2:$A$1921,A1218)-1</x:f>
        <x:v>0</x:v>
      </x:c>
      <x:c r="AD1218" s="2" t="n">
        <x:f>IF(AND(D1218=D1217,H1218=H1217,C1218=C1217+1),ABS(R1218-T1217),0)</x:f>
        <x:v>0</x:v>
      </x:c>
    </x:row>
    <x:row r="1219" ht="23" customHeight="1">
      <x:c r="A1219" s="2" t="str">
        <x:v>DEMO-304-0-18</x:v>
      </x:c>
      <x:c r="B1219" s="15" t="d">
        <x:v>2026-08-31T00:00:00.000Z</x:v>
      </x:c>
      <x:c r="C1219" s="2" t="n">
        <x:v>18</x:v>
      </x:c>
      <x:c r="D1219" s="2" t="str">
        <x:v>DEMO-304</x:v>
      </x:c>
      <x:c r="E1219" s="2" t="str">
        <x:v>Calm Desk Mat</x:v>
      </x:c>
      <x:c r="F1219" s="2" t="str">
        <x:v>Lifestyle</x:v>
      </x:c>
      <x:c r="G1219" s="2" t="str">
        <x:v>Stores</x:v>
      </x:c>
      <x:c r="H1219" s="2" t="str">
        <x:v>North Arcade</x:v>
      </x:c>
      <x:c r="I1219" s="2" t="n">
        <x:v>5</x:v>
      </x:c>
      <x:c r="J1219" s="2" t="n">
        <x:v>0</x:v>
      </x:c>
      <x:c r="K1219" s="2" t="n">
        <x:f>I1219-J1219</x:f>
        <x:v>5</x:v>
      </x:c>
      <x:c r="L1219" s="16" t="n">
        <x:v>30</x:v>
      </x:c>
      <x:c r="M1219" s="16" t="n">
        <x:v>24</x:v>
      </x:c>
      <x:c r="N1219" s="16" t="n">
        <x:v>13.05</x:v>
      </x:c>
      <x:c r="O1219" s="16" t="n">
        <x:f>K1219*M1219</x:f>
        <x:v>120</x:v>
      </x:c>
      <x:c r="P1219" s="16" t="n">
        <x:f>K1219*N1219</x:f>
        <x:v>65.25</x:v>
      </x:c>
      <x:c r="Q1219" s="16" t="n">
        <x:f>O1219-P1219</x:f>
        <x:v>54.75</x:v>
      </x:c>
      <x:c r="R1219" s="2" t="n">
        <x:v>362</x:v>
      </x:c>
      <x:c r="S1219" s="2" t="n">
        <x:v>0</x:v>
      </x:c>
      <x:c r="T1219" s="2" t="n">
        <x:f>R1219+S1219+J1219-I1219</x:f>
        <x:v>357</x:v>
      </x:c>
      <x:c r="U1219" s="2" t="n">
        <x:v>0</x:v>
      </x:c>
      <x:c r="V1219" s="2" t="n">
        <x:v>2</x:v>
      </x:c>
      <x:c r="W1219" s="2" t="n">
        <x:v>5</x:v>
      </x:c>
      <x:c r="X1219" s="14" t="b">
        <x:v>0</x:v>
      </x:c>
      <x:c r="Y1219" s="14" t="b">
        <x:v>1</x:v>
      </x:c>
      <x:c r="Z1219" s="2" t="n">
        <x:f>ABS(T1219-AA1219)</x:f>
        <x:v>0</x:v>
      </x:c>
      <x:c r="AA1219" s="2" t="n">
        <x:v>357</x:v>
      </x:c>
      <x:c r="AB1219" s="2" t="n">
        <x:f>ABS(K1219-W1219)</x:f>
        <x:v>0</x:v>
      </x:c>
      <x:c r="AC1219" s="2" t="n">
        <x:f>COUNTIF($A$2:$A$1921,A1219)-1</x:f>
        <x:v>0</x:v>
      </x:c>
      <x:c r="AD1219" s="2" t="n">
        <x:f>IF(AND(D1219=D1218,H1219=H1218,C1219=C1218+1),ABS(R1219-T1218),0)</x:f>
        <x:v>0</x:v>
      </x:c>
    </x:row>
    <x:row r="1220" ht="23" customHeight="1">
      <x:c r="A1220" s="2" t="str">
        <x:v>DEMO-304-0-19</x:v>
      </x:c>
      <x:c r="B1220" s="15" t="d">
        <x:v>2026-09-07T00:00:00.000Z</x:v>
      </x:c>
      <x:c r="C1220" s="2" t="n">
        <x:v>19</x:v>
      </x:c>
      <x:c r="D1220" s="2" t="str">
        <x:v>DEMO-304</x:v>
      </x:c>
      <x:c r="E1220" s="2" t="str">
        <x:v>Calm Desk Mat</x:v>
      </x:c>
      <x:c r="F1220" s="2" t="str">
        <x:v>Lifestyle</x:v>
      </x:c>
      <x:c r="G1220" s="2" t="str">
        <x:v>Stores</x:v>
      </x:c>
      <x:c r="H1220" s="2" t="str">
        <x:v>North Arcade</x:v>
      </x:c>
      <x:c r="I1220" s="2" t="n">
        <x:v>6</x:v>
      </x:c>
      <x:c r="J1220" s="2" t="n">
        <x:v>0</x:v>
      </x:c>
      <x:c r="K1220" s="2" t="n">
        <x:f>I1220-J1220</x:f>
        <x:v>6</x:v>
      </x:c>
      <x:c r="L1220" s="16" t="n">
        <x:v>30</x:v>
      </x:c>
      <x:c r="M1220" s="16" t="n">
        <x:v>24</x:v>
      </x:c>
      <x:c r="N1220" s="16" t="n">
        <x:v>13.05</x:v>
      </x:c>
      <x:c r="O1220" s="16" t="n">
        <x:f>K1220*M1220</x:f>
        <x:v>144</x:v>
      </x:c>
      <x:c r="P1220" s="16" t="n">
        <x:f>K1220*N1220</x:f>
        <x:v>78.30000000000001</x:v>
      </x:c>
      <x:c r="Q1220" s="16" t="n">
        <x:f>O1220-P1220</x:f>
        <x:v>65.69999999999999</x:v>
      </x:c>
      <x:c r="R1220" s="2" t="n">
        <x:v>357</x:v>
      </x:c>
      <x:c r="S1220" s="2" t="n">
        <x:v>0</x:v>
      </x:c>
      <x:c r="T1220" s="2" t="n">
        <x:f>R1220+S1220+J1220-I1220</x:f>
        <x:v>351</x:v>
      </x:c>
      <x:c r="U1220" s="2" t="n">
        <x:v>0</x:v>
      </x:c>
      <x:c r="V1220" s="2" t="n">
        <x:v>2</x:v>
      </x:c>
      <x:c r="W1220" s="2" t="n">
        <x:v>5</x:v>
      </x:c>
      <x:c r="X1220" s="14" t="b">
        <x:v>0</x:v>
      </x:c>
      <x:c r="Y1220" s="14" t="b">
        <x:v>1</x:v>
      </x:c>
      <x:c r="Z1220" s="2" t="n">
        <x:f>ABS(T1220-AA1220)</x:f>
        <x:v>0</x:v>
      </x:c>
      <x:c r="AA1220" s="2" t="n">
        <x:v>351</x:v>
      </x:c>
      <x:c r="AB1220" s="2" t="n">
        <x:f>ABS(K1220-W1220)</x:f>
        <x:v>1</x:v>
      </x:c>
      <x:c r="AC1220" s="2" t="n">
        <x:f>COUNTIF($A$2:$A$1921,A1220)-1</x:f>
        <x:v>0</x:v>
      </x:c>
      <x:c r="AD1220" s="2" t="n">
        <x:f>IF(AND(D1220=D1219,H1220=H1219,C1220=C1219+1),ABS(R1220-T1219),0)</x:f>
        <x:v>0</x:v>
      </x:c>
    </x:row>
    <x:row r="1221" ht="23" customHeight="1">
      <x:c r="A1221" s="2" t="str">
        <x:v>DEMO-304-0-20</x:v>
      </x:c>
      <x:c r="B1221" s="15" t="d">
        <x:v>2026-09-14T00:00:00.000Z</x:v>
      </x:c>
      <x:c r="C1221" s="2" t="n">
        <x:v>20</x:v>
      </x:c>
      <x:c r="D1221" s="2" t="str">
        <x:v>DEMO-304</x:v>
      </x:c>
      <x:c r="E1221" s="2" t="str">
        <x:v>Calm Desk Mat</x:v>
      </x:c>
      <x:c r="F1221" s="2" t="str">
        <x:v>Lifestyle</x:v>
      </x:c>
      <x:c r="G1221" s="2" t="str">
        <x:v>Stores</x:v>
      </x:c>
      <x:c r="H1221" s="2" t="str">
        <x:v>North Arcade</x:v>
      </x:c>
      <x:c r="I1221" s="2" t="n">
        <x:v>5</x:v>
      </x:c>
      <x:c r="J1221" s="2" t="n">
        <x:v>1</x:v>
      </x:c>
      <x:c r="K1221" s="2" t="n">
        <x:f>I1221-J1221</x:f>
        <x:v>4</x:v>
      </x:c>
      <x:c r="L1221" s="16" t="n">
        <x:v>30</x:v>
      </x:c>
      <x:c r="M1221" s="16" t="n">
        <x:v>24</x:v>
      </x:c>
      <x:c r="N1221" s="16" t="n">
        <x:v>13.05</x:v>
      </x:c>
      <x:c r="O1221" s="16" t="n">
        <x:f>K1221*M1221</x:f>
        <x:v>96</x:v>
      </x:c>
      <x:c r="P1221" s="16" t="n">
        <x:f>K1221*N1221</x:f>
        <x:v>52.2</x:v>
      </x:c>
      <x:c r="Q1221" s="16" t="n">
        <x:f>O1221-P1221</x:f>
        <x:v>43.8</x:v>
      </x:c>
      <x:c r="R1221" s="2" t="n">
        <x:v>351</x:v>
      </x:c>
      <x:c r="S1221" s="2" t="n">
        <x:v>0</x:v>
      </x:c>
      <x:c r="T1221" s="2" t="n">
        <x:f>R1221+S1221+J1221-I1221</x:f>
        <x:v>347</x:v>
      </x:c>
      <x:c r="U1221" s="2" t="n">
        <x:v>24</x:v>
      </x:c>
      <x:c r="V1221" s="2" t="n">
        <x:v>2</x:v>
      </x:c>
      <x:c r="W1221" s="2" t="n">
        <x:v>5</x:v>
      </x:c>
      <x:c r="X1221" s="14" t="b">
        <x:v>0</x:v>
      </x:c>
      <x:c r="Y1221" s="14" t="b">
        <x:v>1</x:v>
      </x:c>
      <x:c r="Z1221" s="2" t="n">
        <x:f>ABS(T1221-AA1221)</x:f>
        <x:v>0</x:v>
      </x:c>
      <x:c r="AA1221" s="2" t="n">
        <x:v>347</x:v>
      </x:c>
      <x:c r="AB1221" s="2" t="n">
        <x:f>ABS(K1221-W1221)</x:f>
        <x:v>1</x:v>
      </x:c>
      <x:c r="AC1221" s="2" t="n">
        <x:f>COUNTIF($A$2:$A$1921,A1221)-1</x:f>
        <x:v>0</x:v>
      </x:c>
      <x:c r="AD1221" s="2" t="n">
        <x:f>IF(AND(D1221=D1220,H1221=H1220,C1221=C1220+1),ABS(R1221-T1220),0)</x:f>
        <x:v>0</x:v>
      </x:c>
    </x:row>
    <x:row r="1222" ht="23" customHeight="1">
      <x:c r="A1222" s="2" t="str">
        <x:v>DEMO-304-1-1</x:v>
      </x:c>
      <x:c r="B1222" s="15" t="d">
        <x:v>2026-05-04T00:00:00.000Z</x:v>
      </x:c>
      <x:c r="C1222" s="2" t="n">
        <x:v>1</x:v>
      </x:c>
      <x:c r="D1222" s="2" t="str">
        <x:v>DEMO-304</x:v>
      </x:c>
      <x:c r="E1222" s="2" t="str">
        <x:v>Calm Desk Mat</x:v>
      </x:c>
      <x:c r="F1222" s="2" t="str">
        <x:v>Lifestyle</x:v>
      </x:c>
      <x:c r="G1222" s="2" t="str">
        <x:v>Stores</x:v>
      </x:c>
      <x:c r="H1222" s="2" t="str">
        <x:v>Riverside</x:v>
      </x:c>
      <x:c r="I1222" s="2" t="n">
        <x:v>7</x:v>
      </x:c>
      <x:c r="J1222" s="2" t="n">
        <x:v>1</x:v>
      </x:c>
      <x:c r="K1222" s="2" t="n">
        <x:f>I1222-J1222</x:f>
        <x:v>6</x:v>
      </x:c>
      <x:c r="L1222" s="16" t="n">
        <x:v>30</x:v>
      </x:c>
      <x:c r="M1222" s="16" t="n">
        <x:v>30</x:v>
      </x:c>
      <x:c r="N1222" s="16" t="n">
        <x:v>13.05</x:v>
      </x:c>
      <x:c r="O1222" s="16" t="n">
        <x:f>K1222*M1222</x:f>
        <x:v>180</x:v>
      </x:c>
      <x:c r="P1222" s="16" t="n">
        <x:f>K1222*N1222</x:f>
        <x:v>78.30000000000001</x:v>
      </x:c>
      <x:c r="Q1222" s="16" t="n">
        <x:f>O1222-P1222</x:f>
        <x:v>101.69999999999999</x:v>
      </x:c>
      <x:c r="R1222" s="2" t="n">
        <x:v>140</x:v>
      </x:c>
      <x:c r="S1222" s="2" t="n">
        <x:v>65</x:v>
      </x:c>
      <x:c r="T1222" s="2" t="n">
        <x:f>R1222+S1222+J1222-I1222</x:f>
        <x:v>199</x:v>
      </x:c>
      <x:c r="U1222" s="2" t="n">
        <x:v>0</x:v>
      </x:c>
      <x:c r="V1222" s="2" t="n">
        <x:v>2</x:v>
      </x:c>
      <x:c r="W1222" s="2" t="n">
        <x:v>8</x:v>
      </x:c>
      <x:c r="X1222" s="14" t="b">
        <x:v>0</x:v>
      </x:c>
      <x:c r="Y1222" s="14" t="b">
        <x:v>0</x:v>
      </x:c>
      <x:c r="Z1222" s="2" t="n">
        <x:f>ABS(T1222-AA1222)</x:f>
        <x:v>0</x:v>
      </x:c>
      <x:c r="AA1222" s="2" t="n">
        <x:v>199</x:v>
      </x:c>
      <x:c r="AB1222" s="2" t="n">
        <x:f>ABS(K1222-W1222)</x:f>
        <x:v>2</x:v>
      </x:c>
      <x:c r="AC1222" s="2" t="n">
        <x:f>COUNTIF($A$2:$A$1921,A1222)-1</x:f>
        <x:v>0</x:v>
      </x:c>
      <x:c r="AD1222" s="2" t="n">
        <x:f>IF(AND(D1222=D1221,H1222=H1221,C1222=C1221+1),ABS(R1222-T1221),0)</x:f>
        <x:v>0</x:v>
      </x:c>
    </x:row>
    <x:row r="1223" ht="23" customHeight="1">
      <x:c r="A1223" s="2" t="str">
        <x:v>DEMO-304-1-2</x:v>
      </x:c>
      <x:c r="B1223" s="15" t="d">
        <x:v>2026-05-11T00:00:00.000Z</x:v>
      </x:c>
      <x:c r="C1223" s="2" t="n">
        <x:v>2</x:v>
      </x:c>
      <x:c r="D1223" s="2" t="str">
        <x:v>DEMO-304</x:v>
      </x:c>
      <x:c r="E1223" s="2" t="str">
        <x:v>Calm Desk Mat</x:v>
      </x:c>
      <x:c r="F1223" s="2" t="str">
        <x:v>Lifestyle</x:v>
      </x:c>
      <x:c r="G1223" s="2" t="str">
        <x:v>Stores</x:v>
      </x:c>
      <x:c r="H1223" s="2" t="str">
        <x:v>Riverside</x:v>
      </x:c>
      <x:c r="I1223" s="2" t="n">
        <x:v>7</x:v>
      </x:c>
      <x:c r="J1223" s="2" t="n">
        <x:v>0</x:v>
      </x:c>
      <x:c r="K1223" s="2" t="n">
        <x:f>I1223-J1223</x:f>
        <x:v>7</x:v>
      </x:c>
      <x:c r="L1223" s="16" t="n">
        <x:v>30</x:v>
      </x:c>
      <x:c r="M1223" s="16" t="n">
        <x:v>30</x:v>
      </x:c>
      <x:c r="N1223" s="16" t="n">
        <x:v>13.05</x:v>
      </x:c>
      <x:c r="O1223" s="16" t="n">
        <x:f>K1223*M1223</x:f>
        <x:v>210</x:v>
      </x:c>
      <x:c r="P1223" s="16" t="n">
        <x:f>K1223*N1223</x:f>
        <x:v>91.35000000000001</x:v>
      </x:c>
      <x:c r="Q1223" s="16" t="n">
        <x:f>O1223-P1223</x:f>
        <x:v>118.64999999999999</x:v>
      </x:c>
      <x:c r="R1223" s="2" t="n">
        <x:v>199</x:v>
      </x:c>
      <x:c r="S1223" s="2" t="n">
        <x:v>0</x:v>
      </x:c>
      <x:c r="T1223" s="2" t="n">
        <x:f>R1223+S1223+J1223-I1223</x:f>
        <x:v>192</x:v>
      </x:c>
      <x:c r="U1223" s="2" t="n">
        <x:v>0</x:v>
      </x:c>
      <x:c r="V1223" s="2" t="n">
        <x:v>2</x:v>
      </x:c>
      <x:c r="W1223" s="2" t="n">
        <x:v>6</x:v>
      </x:c>
      <x:c r="X1223" s="14" t="b">
        <x:v>0</x:v>
      </x:c>
      <x:c r="Y1223" s="14" t="b">
        <x:v>0</x:v>
      </x:c>
      <x:c r="Z1223" s="2" t="n">
        <x:f>ABS(T1223-AA1223)</x:f>
        <x:v>0</x:v>
      </x:c>
      <x:c r="AA1223" s="2" t="n">
        <x:v>192</x:v>
      </x:c>
      <x:c r="AB1223" s="2" t="n">
        <x:f>ABS(K1223-W1223)</x:f>
        <x:v>1</x:v>
      </x:c>
      <x:c r="AC1223" s="2" t="n">
        <x:f>COUNTIF($A$2:$A$1921,A1223)-1</x:f>
        <x:v>0</x:v>
      </x:c>
      <x:c r="AD1223" s="2" t="n">
        <x:f>IF(AND(D1223=D1222,H1223=H1222,C1223=C1222+1),ABS(R1223-T1222),0)</x:f>
        <x:v>0</x:v>
      </x:c>
    </x:row>
    <x:row r="1224" ht="23" customHeight="1">
      <x:c r="A1224" s="2" t="str">
        <x:v>DEMO-304-1-3</x:v>
      </x:c>
      <x:c r="B1224" s="15" t="d">
        <x:v>2026-05-18T00:00:00.000Z</x:v>
      </x:c>
      <x:c r="C1224" s="2" t="n">
        <x:v>3</x:v>
      </x:c>
      <x:c r="D1224" s="2" t="str">
        <x:v>DEMO-304</x:v>
      </x:c>
      <x:c r="E1224" s="2" t="str">
        <x:v>Calm Desk Mat</x:v>
      </x:c>
      <x:c r="F1224" s="2" t="str">
        <x:v>Lifestyle</x:v>
      </x:c>
      <x:c r="G1224" s="2" t="str">
        <x:v>Stores</x:v>
      </x:c>
      <x:c r="H1224" s="2" t="str">
        <x:v>Riverside</x:v>
      </x:c>
      <x:c r="I1224" s="2" t="n">
        <x:v>7</x:v>
      </x:c>
      <x:c r="J1224" s="2" t="n">
        <x:v>0</x:v>
      </x:c>
      <x:c r="K1224" s="2" t="n">
        <x:f>I1224-J1224</x:f>
        <x:v>7</x:v>
      </x:c>
      <x:c r="L1224" s="16" t="n">
        <x:v>30</x:v>
      </x:c>
      <x:c r="M1224" s="16" t="n">
        <x:v>30</x:v>
      </x:c>
      <x:c r="N1224" s="16" t="n">
        <x:v>13.05</x:v>
      </x:c>
      <x:c r="O1224" s="16" t="n">
        <x:f>K1224*M1224</x:f>
        <x:v>210</x:v>
      </x:c>
      <x:c r="P1224" s="16" t="n">
        <x:f>K1224*N1224</x:f>
        <x:v>91.35000000000001</x:v>
      </x:c>
      <x:c r="Q1224" s="16" t="n">
        <x:f>O1224-P1224</x:f>
        <x:v>118.64999999999999</x:v>
      </x:c>
      <x:c r="R1224" s="2" t="n">
        <x:v>192</x:v>
      </x:c>
      <x:c r="S1224" s="2" t="n">
        <x:v>0</x:v>
      </x:c>
      <x:c r="T1224" s="2" t="n">
        <x:f>R1224+S1224+J1224-I1224</x:f>
        <x:v>185</x:v>
      </x:c>
      <x:c r="U1224" s="2" t="n">
        <x:v>0</x:v>
      </x:c>
      <x:c r="V1224" s="2" t="n">
        <x:v>2</x:v>
      </x:c>
      <x:c r="W1224" s="2" t="n">
        <x:v>7</x:v>
      </x:c>
      <x:c r="X1224" s="14" t="b">
        <x:v>0</x:v>
      </x:c>
      <x:c r="Y1224" s="14" t="b">
        <x:v>0</x:v>
      </x:c>
      <x:c r="Z1224" s="2" t="n">
        <x:f>ABS(T1224-AA1224)</x:f>
        <x:v>0</x:v>
      </x:c>
      <x:c r="AA1224" s="2" t="n">
        <x:v>185</x:v>
      </x:c>
      <x:c r="AB1224" s="2" t="n">
        <x:f>ABS(K1224-W1224)</x:f>
        <x:v>0</x:v>
      </x:c>
      <x:c r="AC1224" s="2" t="n">
        <x:f>COUNTIF($A$2:$A$1921,A1224)-1</x:f>
        <x:v>0</x:v>
      </x:c>
      <x:c r="AD1224" s="2" t="n">
        <x:f>IF(AND(D1224=D1223,H1224=H1223,C1224=C1223+1),ABS(R1224-T1223),0)</x:f>
        <x:v>0</x:v>
      </x:c>
    </x:row>
    <x:row r="1225" ht="23" customHeight="1">
      <x:c r="A1225" s="2" t="str">
        <x:v>DEMO-304-1-4</x:v>
      </x:c>
      <x:c r="B1225" s="15" t="d">
        <x:v>2026-05-25T00:00:00.000Z</x:v>
      </x:c>
      <x:c r="C1225" s="2" t="n">
        <x:v>4</x:v>
      </x:c>
      <x:c r="D1225" s="2" t="str">
        <x:v>DEMO-304</x:v>
      </x:c>
      <x:c r="E1225" s="2" t="str">
        <x:v>Calm Desk Mat</x:v>
      </x:c>
      <x:c r="F1225" s="2" t="str">
        <x:v>Lifestyle</x:v>
      </x:c>
      <x:c r="G1225" s="2" t="str">
        <x:v>Stores</x:v>
      </x:c>
      <x:c r="H1225" s="2" t="str">
        <x:v>Riverside</x:v>
      </x:c>
      <x:c r="I1225" s="2" t="n">
        <x:v>7</x:v>
      </x:c>
      <x:c r="J1225" s="2" t="n">
        <x:v>0</x:v>
      </x:c>
      <x:c r="K1225" s="2" t="n">
        <x:f>I1225-J1225</x:f>
        <x:v>7</x:v>
      </x:c>
      <x:c r="L1225" s="16" t="n">
        <x:v>30</x:v>
      </x:c>
      <x:c r="M1225" s="16" t="n">
        <x:v>30</x:v>
      </x:c>
      <x:c r="N1225" s="16" t="n">
        <x:v>13.05</x:v>
      </x:c>
      <x:c r="O1225" s="16" t="n">
        <x:f>K1225*M1225</x:f>
        <x:v>210</x:v>
      </x:c>
      <x:c r="P1225" s="16" t="n">
        <x:f>K1225*N1225</x:f>
        <x:v>91.35000000000001</x:v>
      </x:c>
      <x:c r="Q1225" s="16" t="n">
        <x:f>O1225-P1225</x:f>
        <x:v>118.64999999999999</x:v>
      </x:c>
      <x:c r="R1225" s="2" t="n">
        <x:v>185</x:v>
      </x:c>
      <x:c r="S1225" s="2" t="n">
        <x:v>0</x:v>
      </x:c>
      <x:c r="T1225" s="2" t="n">
        <x:f>R1225+S1225+J1225-I1225</x:f>
        <x:v>178</x:v>
      </x:c>
      <x:c r="U1225" s="2" t="n">
        <x:v>0</x:v>
      </x:c>
      <x:c r="V1225" s="2" t="n">
        <x:v>2</x:v>
      </x:c>
      <x:c r="W1225" s="2" t="n">
        <x:v>7</x:v>
      </x:c>
      <x:c r="X1225" s="14" t="b">
        <x:v>0</x:v>
      </x:c>
      <x:c r="Y1225" s="14" t="b">
        <x:v>0</x:v>
      </x:c>
      <x:c r="Z1225" s="2" t="n">
        <x:f>ABS(T1225-AA1225)</x:f>
        <x:v>0</x:v>
      </x:c>
      <x:c r="AA1225" s="2" t="n">
        <x:v>178</x:v>
      </x:c>
      <x:c r="AB1225" s="2" t="n">
        <x:f>ABS(K1225-W1225)</x:f>
        <x:v>0</x:v>
      </x:c>
      <x:c r="AC1225" s="2" t="n">
        <x:f>COUNTIF($A$2:$A$1921,A1225)-1</x:f>
        <x:v>0</x:v>
      </x:c>
      <x:c r="AD1225" s="2" t="n">
        <x:f>IF(AND(D1225=D1224,H1225=H1224,C1225=C1224+1),ABS(R1225-T1224),0)</x:f>
        <x:v>0</x:v>
      </x:c>
    </x:row>
    <x:row r="1226" ht="23" customHeight="1">
      <x:c r="A1226" s="2" t="str">
        <x:v>DEMO-304-1-5</x:v>
      </x:c>
      <x:c r="B1226" s="15" t="d">
        <x:v>2026-06-01T00:00:00.000Z</x:v>
      </x:c>
      <x:c r="C1226" s="2" t="n">
        <x:v>5</x:v>
      </x:c>
      <x:c r="D1226" s="2" t="str">
        <x:v>DEMO-304</x:v>
      </x:c>
      <x:c r="E1226" s="2" t="str">
        <x:v>Calm Desk Mat</x:v>
      </x:c>
      <x:c r="F1226" s="2" t="str">
        <x:v>Lifestyle</x:v>
      </x:c>
      <x:c r="G1226" s="2" t="str">
        <x:v>Stores</x:v>
      </x:c>
      <x:c r="H1226" s="2" t="str">
        <x:v>Riverside</x:v>
      </x:c>
      <x:c r="I1226" s="2" t="n">
        <x:v>6</x:v>
      </x:c>
      <x:c r="J1226" s="2" t="n">
        <x:v>0</x:v>
      </x:c>
      <x:c r="K1226" s="2" t="n">
        <x:f>I1226-J1226</x:f>
        <x:v>6</x:v>
      </x:c>
      <x:c r="L1226" s="16" t="n">
        <x:v>30</x:v>
      </x:c>
      <x:c r="M1226" s="16" t="n">
        <x:v>30</x:v>
      </x:c>
      <x:c r="N1226" s="16" t="n">
        <x:v>13.05</x:v>
      </x:c>
      <x:c r="O1226" s="16" t="n">
        <x:f>K1226*M1226</x:f>
        <x:v>180</x:v>
      </x:c>
      <x:c r="P1226" s="16" t="n">
        <x:f>K1226*N1226</x:f>
        <x:v>78.30000000000001</x:v>
      </x:c>
      <x:c r="Q1226" s="16" t="n">
        <x:f>O1226-P1226</x:f>
        <x:v>101.69999999999999</x:v>
      </x:c>
      <x:c r="R1226" s="2" t="n">
        <x:v>178</x:v>
      </x:c>
      <x:c r="S1226" s="2" t="n">
        <x:v>65</x:v>
      </x:c>
      <x:c r="T1226" s="2" t="n">
        <x:f>R1226+S1226+J1226-I1226</x:f>
        <x:v>237</x:v>
      </x:c>
      <x:c r="U1226" s="2" t="n">
        <x:v>0</x:v>
      </x:c>
      <x:c r="V1226" s="2" t="n">
        <x:v>2</x:v>
      </x:c>
      <x:c r="W1226" s="2" t="n">
        <x:v>7</x:v>
      </x:c>
      <x:c r="X1226" s="14" t="b">
        <x:v>0</x:v>
      </x:c>
      <x:c r="Y1226" s="14" t="b">
        <x:v>0</x:v>
      </x:c>
      <x:c r="Z1226" s="2" t="n">
        <x:f>ABS(T1226-AA1226)</x:f>
        <x:v>0</x:v>
      </x:c>
      <x:c r="AA1226" s="2" t="n">
        <x:v>237</x:v>
      </x:c>
      <x:c r="AB1226" s="2" t="n">
        <x:f>ABS(K1226-W1226)</x:f>
        <x:v>1</x:v>
      </x:c>
      <x:c r="AC1226" s="2" t="n">
        <x:f>COUNTIF($A$2:$A$1921,A1226)-1</x:f>
        <x:v>0</x:v>
      </x:c>
      <x:c r="AD1226" s="2" t="n">
        <x:f>IF(AND(D1226=D1225,H1226=H1225,C1226=C1225+1),ABS(R1226-T1225),0)</x:f>
        <x:v>0</x:v>
      </x:c>
    </x:row>
    <x:row r="1227" ht="23" customHeight="1">
      <x:c r="A1227" s="2" t="str">
        <x:v>DEMO-304-1-6</x:v>
      </x:c>
      <x:c r="B1227" s="15" t="d">
        <x:v>2026-06-08T00:00:00.000Z</x:v>
      </x:c>
      <x:c r="C1227" s="2" t="n">
        <x:v>6</x:v>
      </x:c>
      <x:c r="D1227" s="2" t="str">
        <x:v>DEMO-304</x:v>
      </x:c>
      <x:c r="E1227" s="2" t="str">
        <x:v>Calm Desk Mat</x:v>
      </x:c>
      <x:c r="F1227" s="2" t="str">
        <x:v>Lifestyle</x:v>
      </x:c>
      <x:c r="G1227" s="2" t="str">
        <x:v>Stores</x:v>
      </x:c>
      <x:c r="H1227" s="2" t="str">
        <x:v>Riverside</x:v>
      </x:c>
      <x:c r="I1227" s="2" t="n">
        <x:v>6</x:v>
      </x:c>
      <x:c r="J1227" s="2" t="n">
        <x:v>1</x:v>
      </x:c>
      <x:c r="K1227" s="2" t="n">
        <x:f>I1227-J1227</x:f>
        <x:v>5</x:v>
      </x:c>
      <x:c r="L1227" s="16" t="n">
        <x:v>30</x:v>
      </x:c>
      <x:c r="M1227" s="16" t="n">
        <x:v>30</x:v>
      </x:c>
      <x:c r="N1227" s="16" t="n">
        <x:v>13.05</x:v>
      </x:c>
      <x:c r="O1227" s="16" t="n">
        <x:f>K1227*M1227</x:f>
        <x:v>150</x:v>
      </x:c>
      <x:c r="P1227" s="16" t="n">
        <x:f>K1227*N1227</x:f>
        <x:v>65.25</x:v>
      </x:c>
      <x:c r="Q1227" s="16" t="n">
        <x:f>O1227-P1227</x:f>
        <x:v>84.75</x:v>
      </x:c>
      <x:c r="R1227" s="2" t="n">
        <x:v>237</x:v>
      </x:c>
      <x:c r="S1227" s="2" t="n">
        <x:v>0</x:v>
      </x:c>
      <x:c r="T1227" s="2" t="n">
        <x:f>R1227+S1227+J1227-I1227</x:f>
        <x:v>232</x:v>
      </x:c>
      <x:c r="U1227" s="2" t="n">
        <x:v>0</x:v>
      </x:c>
      <x:c r="V1227" s="2" t="n">
        <x:v>2</x:v>
      </x:c>
      <x:c r="W1227" s="2" t="n">
        <x:v>7</x:v>
      </x:c>
      <x:c r="X1227" s="14" t="b">
        <x:v>0</x:v>
      </x:c>
      <x:c r="Y1227" s="14" t="b">
        <x:v>0</x:v>
      </x:c>
      <x:c r="Z1227" s="2" t="n">
        <x:f>ABS(T1227-AA1227)</x:f>
        <x:v>0</x:v>
      </x:c>
      <x:c r="AA1227" s="2" t="n">
        <x:v>232</x:v>
      </x:c>
      <x:c r="AB1227" s="2" t="n">
        <x:f>ABS(K1227-W1227)</x:f>
        <x:v>2</x:v>
      </x:c>
      <x:c r="AC1227" s="2" t="n">
        <x:f>COUNTIF($A$2:$A$1921,A1227)-1</x:f>
        <x:v>0</x:v>
      </x:c>
      <x:c r="AD1227" s="2" t="n">
        <x:f>IF(AND(D1227=D1226,H1227=H1226,C1227=C1226+1),ABS(R1227-T1226),0)</x:f>
        <x:v>0</x:v>
      </x:c>
    </x:row>
    <x:row r="1228" ht="23" customHeight="1">
      <x:c r="A1228" s="2" t="str">
        <x:v>DEMO-304-1-7</x:v>
      </x:c>
      <x:c r="B1228" s="15" t="d">
        <x:v>2026-06-15T00:00:00.000Z</x:v>
      </x:c>
      <x:c r="C1228" s="2" t="n">
        <x:v>7</x:v>
      </x:c>
      <x:c r="D1228" s="2" t="str">
        <x:v>DEMO-304</x:v>
      </x:c>
      <x:c r="E1228" s="2" t="str">
        <x:v>Calm Desk Mat</x:v>
      </x:c>
      <x:c r="F1228" s="2" t="str">
        <x:v>Lifestyle</x:v>
      </x:c>
      <x:c r="G1228" s="2" t="str">
        <x:v>Stores</x:v>
      </x:c>
      <x:c r="H1228" s="2" t="str">
        <x:v>Riverside</x:v>
      </x:c>
      <x:c r="I1228" s="2" t="n">
        <x:v>8</x:v>
      </x:c>
      <x:c r="J1228" s="2" t="n">
        <x:v>0</x:v>
      </x:c>
      <x:c r="K1228" s="2" t="n">
        <x:f>I1228-J1228</x:f>
        <x:v>8</x:v>
      </x:c>
      <x:c r="L1228" s="16" t="n">
        <x:v>30</x:v>
      </x:c>
      <x:c r="M1228" s="16" t="n">
        <x:v>30</x:v>
      </x:c>
      <x:c r="N1228" s="16" t="n">
        <x:v>13.05</x:v>
      </x:c>
      <x:c r="O1228" s="16" t="n">
        <x:f>K1228*M1228</x:f>
        <x:v>240</x:v>
      </x:c>
      <x:c r="P1228" s="16" t="n">
        <x:f>K1228*N1228</x:f>
        <x:v>104.4</x:v>
      </x:c>
      <x:c r="Q1228" s="16" t="n">
        <x:f>O1228-P1228</x:f>
        <x:v>135.6</x:v>
      </x:c>
      <x:c r="R1228" s="2" t="n">
        <x:v>232</x:v>
      </x:c>
      <x:c r="S1228" s="2" t="n">
        <x:v>0</x:v>
      </x:c>
      <x:c r="T1228" s="2" t="n">
        <x:f>R1228+S1228+J1228-I1228</x:f>
        <x:v>224</x:v>
      </x:c>
      <x:c r="U1228" s="2" t="n">
        <x:v>0</x:v>
      </x:c>
      <x:c r="V1228" s="2" t="n">
        <x:v>2</x:v>
      </x:c>
      <x:c r="W1228" s="2" t="n">
        <x:v>6</x:v>
      </x:c>
      <x:c r="X1228" s="14" t="b">
        <x:v>0</x:v>
      </x:c>
      <x:c r="Y1228" s="14" t="b">
        <x:v>0</x:v>
      </x:c>
      <x:c r="Z1228" s="2" t="n">
        <x:f>ABS(T1228-AA1228)</x:f>
        <x:v>0</x:v>
      </x:c>
      <x:c r="AA1228" s="2" t="n">
        <x:v>224</x:v>
      </x:c>
      <x:c r="AB1228" s="2" t="n">
        <x:f>ABS(K1228-W1228)</x:f>
        <x:v>2</x:v>
      </x:c>
      <x:c r="AC1228" s="2" t="n">
        <x:f>COUNTIF($A$2:$A$1921,A1228)-1</x:f>
        <x:v>0</x:v>
      </x:c>
      <x:c r="AD1228" s="2" t="n">
        <x:f>IF(AND(D1228=D1227,H1228=H1227,C1228=C1227+1),ABS(R1228-T1227),0)</x:f>
        <x:v>0</x:v>
      </x:c>
    </x:row>
    <x:row r="1229" ht="23" customHeight="1">
      <x:c r="A1229" s="2" t="str">
        <x:v>DEMO-304-1-8</x:v>
      </x:c>
      <x:c r="B1229" s="15" t="d">
        <x:v>2026-06-22T00:00:00.000Z</x:v>
      </x:c>
      <x:c r="C1229" s="2" t="n">
        <x:v>8</x:v>
      </x:c>
      <x:c r="D1229" s="2" t="str">
        <x:v>DEMO-304</x:v>
      </x:c>
      <x:c r="E1229" s="2" t="str">
        <x:v>Calm Desk Mat</x:v>
      </x:c>
      <x:c r="F1229" s="2" t="str">
        <x:v>Lifestyle</x:v>
      </x:c>
      <x:c r="G1229" s="2" t="str">
        <x:v>Stores</x:v>
      </x:c>
      <x:c r="H1229" s="2" t="str">
        <x:v>Riverside</x:v>
      </x:c>
      <x:c r="I1229" s="2" t="n">
        <x:v>6</x:v>
      </x:c>
      <x:c r="J1229" s="2" t="n">
        <x:v>0</x:v>
      </x:c>
      <x:c r="K1229" s="2" t="n">
        <x:f>I1229-J1229</x:f>
        <x:v>6</x:v>
      </x:c>
      <x:c r="L1229" s="16" t="n">
        <x:v>30</x:v>
      </x:c>
      <x:c r="M1229" s="16" t="n">
        <x:v>30</x:v>
      </x:c>
      <x:c r="N1229" s="16" t="n">
        <x:v>13.05</x:v>
      </x:c>
      <x:c r="O1229" s="16" t="n">
        <x:f>K1229*M1229</x:f>
        <x:v>180</x:v>
      </x:c>
      <x:c r="P1229" s="16" t="n">
        <x:f>K1229*N1229</x:f>
        <x:v>78.30000000000001</x:v>
      </x:c>
      <x:c r="Q1229" s="16" t="n">
        <x:f>O1229-P1229</x:f>
        <x:v>101.69999999999999</x:v>
      </x:c>
      <x:c r="R1229" s="2" t="n">
        <x:v>224</x:v>
      </x:c>
      <x:c r="S1229" s="2" t="n">
        <x:v>0</x:v>
      </x:c>
      <x:c r="T1229" s="2" t="n">
        <x:f>R1229+S1229+J1229-I1229</x:f>
        <x:v>218</x:v>
      </x:c>
      <x:c r="U1229" s="2" t="n">
        <x:v>0</x:v>
      </x:c>
      <x:c r="V1229" s="2" t="n">
        <x:v>2</x:v>
      </x:c>
      <x:c r="W1229" s="2" t="n">
        <x:v>7</x:v>
      </x:c>
      <x:c r="X1229" s="14" t="b">
        <x:v>0</x:v>
      </x:c>
      <x:c r="Y1229" s="14" t="b">
        <x:v>0</x:v>
      </x:c>
      <x:c r="Z1229" s="2" t="n">
        <x:f>ABS(T1229-AA1229)</x:f>
        <x:v>0</x:v>
      </x:c>
      <x:c r="AA1229" s="2" t="n">
        <x:v>218</x:v>
      </x:c>
      <x:c r="AB1229" s="2" t="n">
        <x:f>ABS(K1229-W1229)</x:f>
        <x:v>1</x:v>
      </x:c>
      <x:c r="AC1229" s="2" t="n">
        <x:f>COUNTIF($A$2:$A$1921,A1229)-1</x:f>
        <x:v>0</x:v>
      </x:c>
      <x:c r="AD1229" s="2" t="n">
        <x:f>IF(AND(D1229=D1228,H1229=H1228,C1229=C1228+1),ABS(R1229-T1228),0)</x:f>
        <x:v>0</x:v>
      </x:c>
    </x:row>
    <x:row r="1230" ht="23" customHeight="1">
      <x:c r="A1230" s="2" t="str">
        <x:v>DEMO-304-1-9</x:v>
      </x:c>
      <x:c r="B1230" s="15" t="d">
        <x:v>2026-06-29T00:00:00.000Z</x:v>
      </x:c>
      <x:c r="C1230" s="2" t="n">
        <x:v>9</x:v>
      </x:c>
      <x:c r="D1230" s="2" t="str">
        <x:v>DEMO-304</x:v>
      </x:c>
      <x:c r="E1230" s="2" t="str">
        <x:v>Calm Desk Mat</x:v>
      </x:c>
      <x:c r="F1230" s="2" t="str">
        <x:v>Lifestyle</x:v>
      </x:c>
      <x:c r="G1230" s="2" t="str">
        <x:v>Stores</x:v>
      </x:c>
      <x:c r="H1230" s="2" t="str">
        <x:v>Riverside</x:v>
      </x:c>
      <x:c r="I1230" s="2" t="n">
        <x:v>7</x:v>
      </x:c>
      <x:c r="J1230" s="2" t="n">
        <x:v>0</x:v>
      </x:c>
      <x:c r="K1230" s="2" t="n">
        <x:f>I1230-J1230</x:f>
        <x:v>7</x:v>
      </x:c>
      <x:c r="L1230" s="16" t="n">
        <x:v>30</x:v>
      </x:c>
      <x:c r="M1230" s="16" t="n">
        <x:v>30</x:v>
      </x:c>
      <x:c r="N1230" s="16" t="n">
        <x:v>13.05</x:v>
      </x:c>
      <x:c r="O1230" s="16" t="n">
        <x:f>K1230*M1230</x:f>
        <x:v>210</x:v>
      </x:c>
      <x:c r="P1230" s="16" t="n">
        <x:f>K1230*N1230</x:f>
        <x:v>91.35000000000001</x:v>
      </x:c>
      <x:c r="Q1230" s="16" t="n">
        <x:f>O1230-P1230</x:f>
        <x:v>118.64999999999999</x:v>
      </x:c>
      <x:c r="R1230" s="2" t="n">
        <x:v>218</x:v>
      </x:c>
      <x:c r="S1230" s="2" t="n">
        <x:v>65</x:v>
      </x:c>
      <x:c r="T1230" s="2" t="n">
        <x:f>R1230+S1230+J1230-I1230</x:f>
        <x:v>276</x:v>
      </x:c>
      <x:c r="U1230" s="2" t="n">
        <x:v>0</x:v>
      </x:c>
      <x:c r="V1230" s="2" t="n">
        <x:v>2</x:v>
      </x:c>
      <x:c r="W1230" s="2" t="n">
        <x:v>6</x:v>
      </x:c>
      <x:c r="X1230" s="14" t="b">
        <x:v>0</x:v>
      </x:c>
      <x:c r="Y1230" s="14" t="b">
        <x:v>0</x:v>
      </x:c>
      <x:c r="Z1230" s="2" t="n">
        <x:f>ABS(T1230-AA1230)</x:f>
        <x:v>0</x:v>
      </x:c>
      <x:c r="AA1230" s="2" t="n">
        <x:v>276</x:v>
      </x:c>
      <x:c r="AB1230" s="2" t="n">
        <x:f>ABS(K1230-W1230)</x:f>
        <x:v>1</x:v>
      </x:c>
      <x:c r="AC1230" s="2" t="n">
        <x:f>COUNTIF($A$2:$A$1921,A1230)-1</x:f>
        <x:v>0</x:v>
      </x:c>
      <x:c r="AD1230" s="2" t="n">
        <x:f>IF(AND(D1230=D1229,H1230=H1229,C1230=C1229+1),ABS(R1230-T1229),0)</x:f>
        <x:v>0</x:v>
      </x:c>
    </x:row>
    <x:row r="1231" ht="23" customHeight="1">
      <x:c r="A1231" s="2" t="str">
        <x:v>DEMO-304-1-10</x:v>
      </x:c>
      <x:c r="B1231" s="15" t="d">
        <x:v>2026-07-06T00:00:00.000Z</x:v>
      </x:c>
      <x:c r="C1231" s="2" t="n">
        <x:v>10</x:v>
      </x:c>
      <x:c r="D1231" s="2" t="str">
        <x:v>DEMO-304</x:v>
      </x:c>
      <x:c r="E1231" s="2" t="str">
        <x:v>Calm Desk Mat</x:v>
      </x:c>
      <x:c r="F1231" s="2" t="str">
        <x:v>Lifestyle</x:v>
      </x:c>
      <x:c r="G1231" s="2" t="str">
        <x:v>Stores</x:v>
      </x:c>
      <x:c r="H1231" s="2" t="str">
        <x:v>Riverside</x:v>
      </x:c>
      <x:c r="I1231" s="2" t="n">
        <x:v>6</x:v>
      </x:c>
      <x:c r="J1231" s="2" t="n">
        <x:v>0</x:v>
      </x:c>
      <x:c r="K1231" s="2" t="n">
        <x:f>I1231-J1231</x:f>
        <x:v>6</x:v>
      </x:c>
      <x:c r="L1231" s="16" t="n">
        <x:v>30</x:v>
      </x:c>
      <x:c r="M1231" s="16" t="n">
        <x:v>30</x:v>
      </x:c>
      <x:c r="N1231" s="16" t="n">
        <x:v>13.05</x:v>
      </x:c>
      <x:c r="O1231" s="16" t="n">
        <x:f>K1231*M1231</x:f>
        <x:v>180</x:v>
      </x:c>
      <x:c r="P1231" s="16" t="n">
        <x:f>K1231*N1231</x:f>
        <x:v>78.30000000000001</x:v>
      </x:c>
      <x:c r="Q1231" s="16" t="n">
        <x:f>O1231-P1231</x:f>
        <x:v>101.69999999999999</x:v>
      </x:c>
      <x:c r="R1231" s="2" t="n">
        <x:v>276</x:v>
      </x:c>
      <x:c r="S1231" s="2" t="n">
        <x:v>0</x:v>
      </x:c>
      <x:c r="T1231" s="2" t="n">
        <x:f>R1231+S1231+J1231-I1231</x:f>
        <x:v>270</x:v>
      </x:c>
      <x:c r="U1231" s="2" t="n">
        <x:v>0</x:v>
      </x:c>
      <x:c r="V1231" s="2" t="n">
        <x:v>2</x:v>
      </x:c>
      <x:c r="W1231" s="2" t="n">
        <x:v>7</x:v>
      </x:c>
      <x:c r="X1231" s="14" t="b">
        <x:v>0</x:v>
      </x:c>
      <x:c r="Y1231" s="14" t="b">
        <x:v>0</x:v>
      </x:c>
      <x:c r="Z1231" s="2" t="n">
        <x:f>ABS(T1231-AA1231)</x:f>
        <x:v>0</x:v>
      </x:c>
      <x:c r="AA1231" s="2" t="n">
        <x:v>270</x:v>
      </x:c>
      <x:c r="AB1231" s="2" t="n">
        <x:f>ABS(K1231-W1231)</x:f>
        <x:v>1</x:v>
      </x:c>
      <x:c r="AC1231" s="2" t="n">
        <x:f>COUNTIF($A$2:$A$1921,A1231)-1</x:f>
        <x:v>0</x:v>
      </x:c>
      <x:c r="AD1231" s="2" t="n">
        <x:f>IF(AND(D1231=D1230,H1231=H1230,C1231=C1230+1),ABS(R1231-T1230),0)</x:f>
        <x:v>0</x:v>
      </x:c>
    </x:row>
    <x:row r="1232" ht="23" customHeight="1">
      <x:c r="A1232" s="2" t="str">
        <x:v>DEMO-304-1-11</x:v>
      </x:c>
      <x:c r="B1232" s="15" t="d">
        <x:v>2026-07-13T00:00:00.000Z</x:v>
      </x:c>
      <x:c r="C1232" s="2" t="n">
        <x:v>11</x:v>
      </x:c>
      <x:c r="D1232" s="2" t="str">
        <x:v>DEMO-304</x:v>
      </x:c>
      <x:c r="E1232" s="2" t="str">
        <x:v>Calm Desk Mat</x:v>
      </x:c>
      <x:c r="F1232" s="2" t="str">
        <x:v>Lifestyle</x:v>
      </x:c>
      <x:c r="G1232" s="2" t="str">
        <x:v>Stores</x:v>
      </x:c>
      <x:c r="H1232" s="2" t="str">
        <x:v>Riverside</x:v>
      </x:c>
      <x:c r="I1232" s="2" t="n">
        <x:v>5</x:v>
      </x:c>
      <x:c r="J1232" s="2" t="n">
        <x:v>0</x:v>
      </x:c>
      <x:c r="K1232" s="2" t="n">
        <x:f>I1232-J1232</x:f>
        <x:v>5</x:v>
      </x:c>
      <x:c r="L1232" s="16" t="n">
        <x:v>30</x:v>
      </x:c>
      <x:c r="M1232" s="16" t="n">
        <x:v>30</x:v>
      </x:c>
      <x:c r="N1232" s="16" t="n">
        <x:v>13.05</x:v>
      </x:c>
      <x:c r="O1232" s="16" t="n">
        <x:f>K1232*M1232</x:f>
        <x:v>150</x:v>
      </x:c>
      <x:c r="P1232" s="16" t="n">
        <x:f>K1232*N1232</x:f>
        <x:v>65.25</x:v>
      </x:c>
      <x:c r="Q1232" s="16" t="n">
        <x:f>O1232-P1232</x:f>
        <x:v>84.75</x:v>
      </x:c>
      <x:c r="R1232" s="2" t="n">
        <x:v>270</x:v>
      </x:c>
      <x:c r="S1232" s="2" t="n">
        <x:v>0</x:v>
      </x:c>
      <x:c r="T1232" s="2" t="n">
        <x:f>R1232+S1232+J1232-I1232</x:f>
        <x:v>265</x:v>
      </x:c>
      <x:c r="U1232" s="2" t="n">
        <x:v>0</x:v>
      </x:c>
      <x:c r="V1232" s="2" t="n">
        <x:v>2</x:v>
      </x:c>
      <x:c r="W1232" s="2" t="n">
        <x:v>7</x:v>
      </x:c>
      <x:c r="X1232" s="14" t="b">
        <x:v>0</x:v>
      </x:c>
      <x:c r="Y1232" s="14" t="b">
        <x:v>0</x:v>
      </x:c>
      <x:c r="Z1232" s="2" t="n">
        <x:f>ABS(T1232-AA1232)</x:f>
        <x:v>0</x:v>
      </x:c>
      <x:c r="AA1232" s="2" t="n">
        <x:v>265</x:v>
      </x:c>
      <x:c r="AB1232" s="2" t="n">
        <x:f>ABS(K1232-W1232)</x:f>
        <x:v>2</x:v>
      </x:c>
      <x:c r="AC1232" s="2" t="n">
        <x:f>COUNTIF($A$2:$A$1921,A1232)-1</x:f>
        <x:v>0</x:v>
      </x:c>
      <x:c r="AD1232" s="2" t="n">
        <x:f>IF(AND(D1232=D1231,H1232=H1231,C1232=C1231+1),ABS(R1232-T1231),0)</x:f>
        <x:v>0</x:v>
      </x:c>
    </x:row>
    <x:row r="1233" ht="23" customHeight="1">
      <x:c r="A1233" s="2" t="str">
        <x:v>DEMO-304-1-12</x:v>
      </x:c>
      <x:c r="B1233" s="15" t="d">
        <x:v>2026-07-20T00:00:00.000Z</x:v>
      </x:c>
      <x:c r="C1233" s="2" t="n">
        <x:v>12</x:v>
      </x:c>
      <x:c r="D1233" s="2" t="str">
        <x:v>DEMO-304</x:v>
      </x:c>
      <x:c r="E1233" s="2" t="str">
        <x:v>Calm Desk Mat</x:v>
      </x:c>
      <x:c r="F1233" s="2" t="str">
        <x:v>Lifestyle</x:v>
      </x:c>
      <x:c r="G1233" s="2" t="str">
        <x:v>Stores</x:v>
      </x:c>
      <x:c r="H1233" s="2" t="str">
        <x:v>Riverside</x:v>
      </x:c>
      <x:c r="I1233" s="2" t="n">
        <x:v>5</x:v>
      </x:c>
      <x:c r="J1233" s="2" t="n">
        <x:v>0</x:v>
      </x:c>
      <x:c r="K1233" s="2" t="n">
        <x:f>I1233-J1233</x:f>
        <x:v>5</x:v>
      </x:c>
      <x:c r="L1233" s="16" t="n">
        <x:v>30</x:v>
      </x:c>
      <x:c r="M1233" s="16" t="n">
        <x:v>30</x:v>
      </x:c>
      <x:c r="N1233" s="16" t="n">
        <x:v>13.05</x:v>
      </x:c>
      <x:c r="O1233" s="16" t="n">
        <x:f>K1233*M1233</x:f>
        <x:v>150</x:v>
      </x:c>
      <x:c r="P1233" s="16" t="n">
        <x:f>K1233*N1233</x:f>
        <x:v>65.25</x:v>
      </x:c>
      <x:c r="Q1233" s="16" t="n">
        <x:f>O1233-P1233</x:f>
        <x:v>84.75</x:v>
      </x:c>
      <x:c r="R1233" s="2" t="n">
        <x:v>265</x:v>
      </x:c>
      <x:c r="S1233" s="2" t="n">
        <x:v>0</x:v>
      </x:c>
      <x:c r="T1233" s="2" t="n">
        <x:f>R1233+S1233+J1233-I1233</x:f>
        <x:v>260</x:v>
      </x:c>
      <x:c r="U1233" s="2" t="n">
        <x:v>0</x:v>
      </x:c>
      <x:c r="V1233" s="2" t="n">
        <x:v>2</x:v>
      </x:c>
      <x:c r="W1233" s="2" t="n">
        <x:v>6</x:v>
      </x:c>
      <x:c r="X1233" s="14" t="b">
        <x:v>0</x:v>
      </x:c>
      <x:c r="Y1233" s="14" t="b">
        <x:v>0</x:v>
      </x:c>
      <x:c r="Z1233" s="2" t="n">
        <x:f>ABS(T1233-AA1233)</x:f>
        <x:v>0</x:v>
      </x:c>
      <x:c r="AA1233" s="2" t="n">
        <x:v>260</x:v>
      </x:c>
      <x:c r="AB1233" s="2" t="n">
        <x:f>ABS(K1233-W1233)</x:f>
        <x:v>1</x:v>
      </x:c>
      <x:c r="AC1233" s="2" t="n">
        <x:f>COUNTIF($A$2:$A$1921,A1233)-1</x:f>
        <x:v>0</x:v>
      </x:c>
      <x:c r="AD1233" s="2" t="n">
        <x:f>IF(AND(D1233=D1232,H1233=H1232,C1233=C1232+1),ABS(R1233-T1232),0)</x:f>
        <x:v>0</x:v>
      </x:c>
    </x:row>
    <x:row r="1234" ht="23" customHeight="1">
      <x:c r="A1234" s="2" t="str">
        <x:v>DEMO-304-1-13</x:v>
      </x:c>
      <x:c r="B1234" s="15" t="d">
        <x:v>2026-07-27T00:00:00.000Z</x:v>
      </x:c>
      <x:c r="C1234" s="2" t="n">
        <x:v>13</x:v>
      </x:c>
      <x:c r="D1234" s="2" t="str">
        <x:v>DEMO-304</x:v>
      </x:c>
      <x:c r="E1234" s="2" t="str">
        <x:v>Calm Desk Mat</x:v>
      </x:c>
      <x:c r="F1234" s="2" t="str">
        <x:v>Lifestyle</x:v>
      </x:c>
      <x:c r="G1234" s="2" t="str">
        <x:v>Stores</x:v>
      </x:c>
      <x:c r="H1234" s="2" t="str">
        <x:v>Riverside</x:v>
      </x:c>
      <x:c r="I1234" s="2" t="n">
        <x:v>5</x:v>
      </x:c>
      <x:c r="J1234" s="2" t="n">
        <x:v>0</x:v>
      </x:c>
      <x:c r="K1234" s="2" t="n">
        <x:f>I1234-J1234</x:f>
        <x:v>5</x:v>
      </x:c>
      <x:c r="L1234" s="16" t="n">
        <x:v>30</x:v>
      </x:c>
      <x:c r="M1234" s="16" t="n">
        <x:v>30</x:v>
      </x:c>
      <x:c r="N1234" s="16" t="n">
        <x:v>13.05</x:v>
      </x:c>
      <x:c r="O1234" s="16" t="n">
        <x:f>K1234*M1234</x:f>
        <x:v>150</x:v>
      </x:c>
      <x:c r="P1234" s="16" t="n">
        <x:f>K1234*N1234</x:f>
        <x:v>65.25</x:v>
      </x:c>
      <x:c r="Q1234" s="16" t="n">
        <x:f>O1234-P1234</x:f>
        <x:v>84.75</x:v>
      </x:c>
      <x:c r="R1234" s="2" t="n">
        <x:v>260</x:v>
      </x:c>
      <x:c r="S1234" s="2" t="n">
        <x:v>65</x:v>
      </x:c>
      <x:c r="T1234" s="2" t="n">
        <x:f>R1234+S1234+J1234-I1234</x:f>
        <x:v>320</x:v>
      </x:c>
      <x:c r="U1234" s="2" t="n">
        <x:v>0</x:v>
      </x:c>
      <x:c r="V1234" s="2" t="n">
        <x:v>2</x:v>
      </x:c>
      <x:c r="W1234" s="2" t="n">
        <x:v>6</x:v>
      </x:c>
      <x:c r="X1234" s="14" t="b">
        <x:v>0</x:v>
      </x:c>
      <x:c r="Y1234" s="14" t="b">
        <x:v>0</x:v>
      </x:c>
      <x:c r="Z1234" s="2" t="n">
        <x:f>ABS(T1234-AA1234)</x:f>
        <x:v>0</x:v>
      </x:c>
      <x:c r="AA1234" s="2" t="n">
        <x:v>320</x:v>
      </x:c>
      <x:c r="AB1234" s="2" t="n">
        <x:f>ABS(K1234-W1234)</x:f>
        <x:v>1</x:v>
      </x:c>
      <x:c r="AC1234" s="2" t="n">
        <x:f>COUNTIF($A$2:$A$1921,A1234)-1</x:f>
        <x:v>0</x:v>
      </x:c>
      <x:c r="AD1234" s="2" t="n">
        <x:f>IF(AND(D1234=D1233,H1234=H1233,C1234=C1233+1),ABS(R1234-T1233),0)</x:f>
        <x:v>0</x:v>
      </x:c>
    </x:row>
    <x:row r="1235" ht="23" customHeight="1">
      <x:c r="A1235" s="2" t="str">
        <x:v>DEMO-304-1-14</x:v>
      </x:c>
      <x:c r="B1235" s="15" t="d">
        <x:v>2026-08-03T00:00:00.000Z</x:v>
      </x:c>
      <x:c r="C1235" s="2" t="n">
        <x:v>14</x:v>
      </x:c>
      <x:c r="D1235" s="2" t="str">
        <x:v>DEMO-304</x:v>
      </x:c>
      <x:c r="E1235" s="2" t="str">
        <x:v>Calm Desk Mat</x:v>
      </x:c>
      <x:c r="F1235" s="2" t="str">
        <x:v>Lifestyle</x:v>
      </x:c>
      <x:c r="G1235" s="2" t="str">
        <x:v>Stores</x:v>
      </x:c>
      <x:c r="H1235" s="2" t="str">
        <x:v>Riverside</x:v>
      </x:c>
      <x:c r="I1235" s="2" t="n">
        <x:v>4</x:v>
      </x:c>
      <x:c r="J1235" s="2" t="n">
        <x:v>0</x:v>
      </x:c>
      <x:c r="K1235" s="2" t="n">
        <x:f>I1235-J1235</x:f>
        <x:v>4</x:v>
      </x:c>
      <x:c r="L1235" s="16" t="n">
        <x:v>30</x:v>
      </x:c>
      <x:c r="M1235" s="16" t="n">
        <x:v>30</x:v>
      </x:c>
      <x:c r="N1235" s="16" t="n">
        <x:v>13.05</x:v>
      </x:c>
      <x:c r="O1235" s="16" t="n">
        <x:f>K1235*M1235</x:f>
        <x:v>120</x:v>
      </x:c>
      <x:c r="P1235" s="16" t="n">
        <x:f>K1235*N1235</x:f>
        <x:v>52.2</x:v>
      </x:c>
      <x:c r="Q1235" s="16" t="n">
        <x:f>O1235-P1235</x:f>
        <x:v>67.8</x:v>
      </x:c>
      <x:c r="R1235" s="2" t="n">
        <x:v>320</x:v>
      </x:c>
      <x:c r="S1235" s="2" t="n">
        <x:v>0</x:v>
      </x:c>
      <x:c r="T1235" s="2" t="n">
        <x:f>R1235+S1235+J1235-I1235</x:f>
        <x:v>316</x:v>
      </x:c>
      <x:c r="U1235" s="2" t="n">
        <x:v>0</x:v>
      </x:c>
      <x:c r="V1235" s="2" t="n">
        <x:v>2</x:v>
      </x:c>
      <x:c r="W1235" s="2" t="n">
        <x:v>5</x:v>
      </x:c>
      <x:c r="X1235" s="14" t="b">
        <x:v>0</x:v>
      </x:c>
      <x:c r="Y1235" s="14" t="b">
        <x:v>0</x:v>
      </x:c>
      <x:c r="Z1235" s="2" t="n">
        <x:f>ABS(T1235-AA1235)</x:f>
        <x:v>0</x:v>
      </x:c>
      <x:c r="AA1235" s="2" t="n">
        <x:v>316</x:v>
      </x:c>
      <x:c r="AB1235" s="2" t="n">
        <x:f>ABS(K1235-W1235)</x:f>
        <x:v>1</x:v>
      </x:c>
      <x:c r="AC1235" s="2" t="n">
        <x:f>COUNTIF($A$2:$A$1921,A1235)-1</x:f>
        <x:v>0</x:v>
      </x:c>
      <x:c r="AD1235" s="2" t="n">
        <x:f>IF(AND(D1235=D1234,H1235=H1234,C1235=C1234+1),ABS(R1235-T1234),0)</x:f>
        <x:v>0</x:v>
      </x:c>
    </x:row>
    <x:row r="1236" ht="23" customHeight="1">
      <x:c r="A1236" s="2" t="str">
        <x:v>DEMO-304-1-15</x:v>
      </x:c>
      <x:c r="B1236" s="15" t="d">
        <x:v>2026-08-10T00:00:00.000Z</x:v>
      </x:c>
      <x:c r="C1236" s="2" t="n">
        <x:v>15</x:v>
      </x:c>
      <x:c r="D1236" s="2" t="str">
        <x:v>DEMO-304</x:v>
      </x:c>
      <x:c r="E1236" s="2" t="str">
        <x:v>Calm Desk Mat</x:v>
      </x:c>
      <x:c r="F1236" s="2" t="str">
        <x:v>Lifestyle</x:v>
      </x:c>
      <x:c r="G1236" s="2" t="str">
        <x:v>Stores</x:v>
      </x:c>
      <x:c r="H1236" s="2" t="str">
        <x:v>Riverside</x:v>
      </x:c>
      <x:c r="I1236" s="2" t="n">
        <x:v>5</x:v>
      </x:c>
      <x:c r="J1236" s="2" t="n">
        <x:v>0</x:v>
      </x:c>
      <x:c r="K1236" s="2" t="n">
        <x:f>I1236-J1236</x:f>
        <x:v>5</x:v>
      </x:c>
      <x:c r="L1236" s="16" t="n">
        <x:v>30</x:v>
      </x:c>
      <x:c r="M1236" s="16" t="n">
        <x:v>30</x:v>
      </x:c>
      <x:c r="N1236" s="16" t="n">
        <x:v>13.05</x:v>
      </x:c>
      <x:c r="O1236" s="16" t="n">
        <x:f>K1236*M1236</x:f>
        <x:v>150</x:v>
      </x:c>
      <x:c r="P1236" s="16" t="n">
        <x:f>K1236*N1236</x:f>
        <x:v>65.25</x:v>
      </x:c>
      <x:c r="Q1236" s="16" t="n">
        <x:f>O1236-P1236</x:f>
        <x:v>84.75</x:v>
      </x:c>
      <x:c r="R1236" s="2" t="n">
        <x:v>316</x:v>
      </x:c>
      <x:c r="S1236" s="2" t="n">
        <x:v>0</x:v>
      </x:c>
      <x:c r="T1236" s="2" t="n">
        <x:f>R1236+S1236+J1236-I1236</x:f>
        <x:v>311</x:v>
      </x:c>
      <x:c r="U1236" s="2" t="n">
        <x:v>0</x:v>
      </x:c>
      <x:c r="V1236" s="2" t="n">
        <x:v>2</x:v>
      </x:c>
      <x:c r="W1236" s="2" t="n">
        <x:v>5</x:v>
      </x:c>
      <x:c r="X1236" s="14" t="b">
        <x:v>0</x:v>
      </x:c>
      <x:c r="Y1236" s="14" t="b">
        <x:v>0</x:v>
      </x:c>
      <x:c r="Z1236" s="2" t="n">
        <x:f>ABS(T1236-AA1236)</x:f>
        <x:v>0</x:v>
      </x:c>
      <x:c r="AA1236" s="2" t="n">
        <x:v>311</x:v>
      </x:c>
      <x:c r="AB1236" s="2" t="n">
        <x:f>ABS(K1236-W1236)</x:f>
        <x:v>0</x:v>
      </x:c>
      <x:c r="AC1236" s="2" t="n">
        <x:f>COUNTIF($A$2:$A$1921,A1236)-1</x:f>
        <x:v>0</x:v>
      </x:c>
      <x:c r="AD1236" s="2" t="n">
        <x:f>IF(AND(D1236=D1235,H1236=H1235,C1236=C1235+1),ABS(R1236-T1235),0)</x:f>
        <x:v>0</x:v>
      </x:c>
    </x:row>
    <x:row r="1237" ht="23" customHeight="1">
      <x:c r="A1237" s="2" t="str">
        <x:v>DEMO-304-1-16</x:v>
      </x:c>
      <x:c r="B1237" s="15" t="d">
        <x:v>2026-08-17T00:00:00.000Z</x:v>
      </x:c>
      <x:c r="C1237" s="2" t="n">
        <x:v>16</x:v>
      </x:c>
      <x:c r="D1237" s="2" t="str">
        <x:v>DEMO-304</x:v>
      </x:c>
      <x:c r="E1237" s="2" t="str">
        <x:v>Calm Desk Mat</x:v>
      </x:c>
      <x:c r="F1237" s="2" t="str">
        <x:v>Lifestyle</x:v>
      </x:c>
      <x:c r="G1237" s="2" t="str">
        <x:v>Stores</x:v>
      </x:c>
      <x:c r="H1237" s="2" t="str">
        <x:v>Riverside</x:v>
      </x:c>
      <x:c r="I1237" s="2" t="n">
        <x:v>4</x:v>
      </x:c>
      <x:c r="J1237" s="2" t="n">
        <x:v>0</x:v>
      </x:c>
      <x:c r="K1237" s="2" t="n">
        <x:f>I1237-J1237</x:f>
        <x:v>4</x:v>
      </x:c>
      <x:c r="L1237" s="16" t="n">
        <x:v>30</x:v>
      </x:c>
      <x:c r="M1237" s="16" t="n">
        <x:v>30</x:v>
      </x:c>
      <x:c r="N1237" s="16" t="n">
        <x:v>13.05</x:v>
      </x:c>
      <x:c r="O1237" s="16" t="n">
        <x:f>K1237*M1237</x:f>
        <x:v>120</x:v>
      </x:c>
      <x:c r="P1237" s="16" t="n">
        <x:f>K1237*N1237</x:f>
        <x:v>52.2</x:v>
      </x:c>
      <x:c r="Q1237" s="16" t="n">
        <x:f>O1237-P1237</x:f>
        <x:v>67.8</x:v>
      </x:c>
      <x:c r="R1237" s="2" t="n">
        <x:v>311</x:v>
      </x:c>
      <x:c r="S1237" s="2" t="n">
        <x:v>0</x:v>
      </x:c>
      <x:c r="T1237" s="2" t="n">
        <x:f>R1237+S1237+J1237-I1237</x:f>
        <x:v>307</x:v>
      </x:c>
      <x:c r="U1237" s="2" t="n">
        <x:v>0</x:v>
      </x:c>
      <x:c r="V1237" s="2" t="n">
        <x:v>2</x:v>
      </x:c>
      <x:c r="W1237" s="2" t="n">
        <x:v>5</x:v>
      </x:c>
      <x:c r="X1237" s="14" t="b">
        <x:v>0</x:v>
      </x:c>
      <x:c r="Y1237" s="14" t="b">
        <x:v>0</x:v>
      </x:c>
      <x:c r="Z1237" s="2" t="n">
        <x:f>ABS(T1237-AA1237)</x:f>
        <x:v>0</x:v>
      </x:c>
      <x:c r="AA1237" s="2" t="n">
        <x:v>307</x:v>
      </x:c>
      <x:c r="AB1237" s="2" t="n">
        <x:f>ABS(K1237-W1237)</x:f>
        <x:v>1</x:v>
      </x:c>
      <x:c r="AC1237" s="2" t="n">
        <x:f>COUNTIF($A$2:$A$1921,A1237)-1</x:f>
        <x:v>0</x:v>
      </x:c>
      <x:c r="AD1237" s="2" t="n">
        <x:f>IF(AND(D1237=D1236,H1237=H1236,C1237=C1236+1),ABS(R1237-T1236),0)</x:f>
        <x:v>0</x:v>
      </x:c>
    </x:row>
    <x:row r="1238" ht="23" customHeight="1">
      <x:c r="A1238" s="2" t="str">
        <x:v>DEMO-304-1-17</x:v>
      </x:c>
      <x:c r="B1238" s="15" t="d">
        <x:v>2026-08-24T00:00:00.000Z</x:v>
      </x:c>
      <x:c r="C1238" s="2" t="n">
        <x:v>17</x:v>
      </x:c>
      <x:c r="D1238" s="2" t="str">
        <x:v>DEMO-304</x:v>
      </x:c>
      <x:c r="E1238" s="2" t="str">
        <x:v>Calm Desk Mat</x:v>
      </x:c>
      <x:c r="F1238" s="2" t="str">
        <x:v>Lifestyle</x:v>
      </x:c>
      <x:c r="G1238" s="2" t="str">
        <x:v>Stores</x:v>
      </x:c>
      <x:c r="H1238" s="2" t="str">
        <x:v>Riverside</x:v>
      </x:c>
      <x:c r="I1238" s="2" t="n">
        <x:v>4</x:v>
      </x:c>
      <x:c r="J1238" s="2" t="n">
        <x:v>0</x:v>
      </x:c>
      <x:c r="K1238" s="2" t="n">
        <x:f>I1238-J1238</x:f>
        <x:v>4</x:v>
      </x:c>
      <x:c r="L1238" s="16" t="n">
        <x:v>30</x:v>
      </x:c>
      <x:c r="M1238" s="16" t="n">
        <x:v>24</x:v>
      </x:c>
      <x:c r="N1238" s="16" t="n">
        <x:v>13.05</x:v>
      </x:c>
      <x:c r="O1238" s="16" t="n">
        <x:f>K1238*M1238</x:f>
        <x:v>96</x:v>
      </x:c>
      <x:c r="P1238" s="16" t="n">
        <x:f>K1238*N1238</x:f>
        <x:v>52.2</x:v>
      </x:c>
      <x:c r="Q1238" s="16" t="n">
        <x:f>O1238-P1238</x:f>
        <x:v>43.8</x:v>
      </x:c>
      <x:c r="R1238" s="2" t="n">
        <x:v>307</x:v>
      </x:c>
      <x:c r="S1238" s="2" t="n">
        <x:v>65</x:v>
      </x:c>
      <x:c r="T1238" s="2" t="n">
        <x:f>R1238+S1238+J1238-I1238</x:f>
        <x:v>368</x:v>
      </x:c>
      <x:c r="U1238" s="2" t="n">
        <x:v>0</x:v>
      </x:c>
      <x:c r="V1238" s="2" t="n">
        <x:v>2</x:v>
      </x:c>
      <x:c r="W1238" s="2" t="n">
        <x:v>5</x:v>
      </x:c>
      <x:c r="X1238" s="14" t="b">
        <x:v>0</x:v>
      </x:c>
      <x:c r="Y1238" s="14" t="b">
        <x:v>1</x:v>
      </x:c>
      <x:c r="Z1238" s="2" t="n">
        <x:f>ABS(T1238-AA1238)</x:f>
        <x:v>0</x:v>
      </x:c>
      <x:c r="AA1238" s="2" t="n">
        <x:v>368</x:v>
      </x:c>
      <x:c r="AB1238" s="2" t="n">
        <x:f>ABS(K1238-W1238)</x:f>
        <x:v>1</x:v>
      </x:c>
      <x:c r="AC1238" s="2" t="n">
        <x:f>COUNTIF($A$2:$A$1921,A1238)-1</x:f>
        <x:v>0</x:v>
      </x:c>
      <x:c r="AD1238" s="2" t="n">
        <x:f>IF(AND(D1238=D1237,H1238=H1237,C1238=C1237+1),ABS(R1238-T1237),0)</x:f>
        <x:v>0</x:v>
      </x:c>
    </x:row>
    <x:row r="1239" ht="23" customHeight="1">
      <x:c r="A1239" s="2" t="str">
        <x:v>DEMO-304-1-18</x:v>
      </x:c>
      <x:c r="B1239" s="15" t="d">
        <x:v>2026-08-31T00:00:00.000Z</x:v>
      </x:c>
      <x:c r="C1239" s="2" t="n">
        <x:v>18</x:v>
      </x:c>
      <x:c r="D1239" s="2" t="str">
        <x:v>DEMO-304</x:v>
      </x:c>
      <x:c r="E1239" s="2" t="str">
        <x:v>Calm Desk Mat</x:v>
      </x:c>
      <x:c r="F1239" s="2" t="str">
        <x:v>Lifestyle</x:v>
      </x:c>
      <x:c r="G1239" s="2" t="str">
        <x:v>Stores</x:v>
      </x:c>
      <x:c r="H1239" s="2" t="str">
        <x:v>Riverside</x:v>
      </x:c>
      <x:c r="I1239" s="2" t="n">
        <x:v>6</x:v>
      </x:c>
      <x:c r="J1239" s="2" t="n">
        <x:v>0</x:v>
      </x:c>
      <x:c r="K1239" s="2" t="n">
        <x:f>I1239-J1239</x:f>
        <x:v>6</x:v>
      </x:c>
      <x:c r="L1239" s="16" t="n">
        <x:v>30</x:v>
      </x:c>
      <x:c r="M1239" s="16" t="n">
        <x:v>24</x:v>
      </x:c>
      <x:c r="N1239" s="16" t="n">
        <x:v>13.05</x:v>
      </x:c>
      <x:c r="O1239" s="16" t="n">
        <x:f>K1239*M1239</x:f>
        <x:v>144</x:v>
      </x:c>
      <x:c r="P1239" s="16" t="n">
        <x:f>K1239*N1239</x:f>
        <x:v>78.30000000000001</x:v>
      </x:c>
      <x:c r="Q1239" s="16" t="n">
        <x:f>O1239-P1239</x:f>
        <x:v>65.69999999999999</x:v>
      </x:c>
      <x:c r="R1239" s="2" t="n">
        <x:v>368</x:v>
      </x:c>
      <x:c r="S1239" s="2" t="n">
        <x:v>0</x:v>
      </x:c>
      <x:c r="T1239" s="2" t="n">
        <x:f>R1239+S1239+J1239-I1239</x:f>
        <x:v>362</x:v>
      </x:c>
      <x:c r="U1239" s="2" t="n">
        <x:v>0</x:v>
      </x:c>
      <x:c r="V1239" s="2" t="n">
        <x:v>2</x:v>
      </x:c>
      <x:c r="W1239" s="2" t="n">
        <x:v>4</x:v>
      </x:c>
      <x:c r="X1239" s="14" t="b">
        <x:v>0</x:v>
      </x:c>
      <x:c r="Y1239" s="14" t="b">
        <x:v>1</x:v>
      </x:c>
      <x:c r="Z1239" s="2" t="n">
        <x:f>ABS(T1239-AA1239)</x:f>
        <x:v>0</x:v>
      </x:c>
      <x:c r="AA1239" s="2" t="n">
        <x:v>362</x:v>
      </x:c>
      <x:c r="AB1239" s="2" t="n">
        <x:f>ABS(K1239-W1239)</x:f>
        <x:v>2</x:v>
      </x:c>
      <x:c r="AC1239" s="2" t="n">
        <x:f>COUNTIF($A$2:$A$1921,A1239)-1</x:f>
        <x:v>0</x:v>
      </x:c>
      <x:c r="AD1239" s="2" t="n">
        <x:f>IF(AND(D1239=D1238,H1239=H1238,C1239=C1238+1),ABS(R1239-T1238),0)</x:f>
        <x:v>0</x:v>
      </x:c>
    </x:row>
    <x:row r="1240" ht="23" customHeight="1">
      <x:c r="A1240" s="2" t="str">
        <x:v>DEMO-304-1-19</x:v>
      </x:c>
      <x:c r="B1240" s="15" t="d">
        <x:v>2026-09-07T00:00:00.000Z</x:v>
      </x:c>
      <x:c r="C1240" s="2" t="n">
        <x:v>19</x:v>
      </x:c>
      <x:c r="D1240" s="2" t="str">
        <x:v>DEMO-304</x:v>
      </x:c>
      <x:c r="E1240" s="2" t="str">
        <x:v>Calm Desk Mat</x:v>
      </x:c>
      <x:c r="F1240" s="2" t="str">
        <x:v>Lifestyle</x:v>
      </x:c>
      <x:c r="G1240" s="2" t="str">
        <x:v>Stores</x:v>
      </x:c>
      <x:c r="H1240" s="2" t="str">
        <x:v>Riverside</x:v>
      </x:c>
      <x:c r="I1240" s="2" t="n">
        <x:v>5</x:v>
      </x:c>
      <x:c r="J1240" s="2" t="n">
        <x:v>0</x:v>
      </x:c>
      <x:c r="K1240" s="2" t="n">
        <x:f>I1240-J1240</x:f>
        <x:v>5</x:v>
      </x:c>
      <x:c r="L1240" s="16" t="n">
        <x:v>30</x:v>
      </x:c>
      <x:c r="M1240" s="16" t="n">
        <x:v>24</x:v>
      </x:c>
      <x:c r="N1240" s="16" t="n">
        <x:v>13.05</x:v>
      </x:c>
      <x:c r="O1240" s="16" t="n">
        <x:f>K1240*M1240</x:f>
        <x:v>120</x:v>
      </x:c>
      <x:c r="P1240" s="16" t="n">
        <x:f>K1240*N1240</x:f>
        <x:v>65.25</x:v>
      </x:c>
      <x:c r="Q1240" s="16" t="n">
        <x:f>O1240-P1240</x:f>
        <x:v>54.75</x:v>
      </x:c>
      <x:c r="R1240" s="2" t="n">
        <x:v>362</x:v>
      </x:c>
      <x:c r="S1240" s="2" t="n">
        <x:v>0</x:v>
      </x:c>
      <x:c r="T1240" s="2" t="n">
        <x:f>R1240+S1240+J1240-I1240</x:f>
        <x:v>357</x:v>
      </x:c>
      <x:c r="U1240" s="2" t="n">
        <x:v>0</x:v>
      </x:c>
      <x:c r="V1240" s="2" t="n">
        <x:v>2</x:v>
      </x:c>
      <x:c r="W1240" s="2" t="n">
        <x:v>5</x:v>
      </x:c>
      <x:c r="X1240" s="14" t="b">
        <x:v>0</x:v>
      </x:c>
      <x:c r="Y1240" s="14" t="b">
        <x:v>1</x:v>
      </x:c>
      <x:c r="Z1240" s="2" t="n">
        <x:f>ABS(T1240-AA1240)</x:f>
        <x:v>0</x:v>
      </x:c>
      <x:c r="AA1240" s="2" t="n">
        <x:v>357</x:v>
      </x:c>
      <x:c r="AB1240" s="2" t="n">
        <x:f>ABS(K1240-W1240)</x:f>
        <x:v>0</x:v>
      </x:c>
      <x:c r="AC1240" s="2" t="n">
        <x:f>COUNTIF($A$2:$A$1921,A1240)-1</x:f>
        <x:v>0</x:v>
      </x:c>
      <x:c r="AD1240" s="2" t="n">
        <x:f>IF(AND(D1240=D1239,H1240=H1239,C1240=C1239+1),ABS(R1240-T1239),0)</x:f>
        <x:v>0</x:v>
      </x:c>
    </x:row>
    <x:row r="1241" ht="23" customHeight="1">
      <x:c r="A1241" s="2" t="str">
        <x:v>DEMO-304-1-20</x:v>
      </x:c>
      <x:c r="B1241" s="15" t="d">
        <x:v>2026-09-14T00:00:00.000Z</x:v>
      </x:c>
      <x:c r="C1241" s="2" t="n">
        <x:v>20</x:v>
      </x:c>
      <x:c r="D1241" s="2" t="str">
        <x:v>DEMO-304</x:v>
      </x:c>
      <x:c r="E1241" s="2" t="str">
        <x:v>Calm Desk Mat</x:v>
      </x:c>
      <x:c r="F1241" s="2" t="str">
        <x:v>Lifestyle</x:v>
      </x:c>
      <x:c r="G1241" s="2" t="str">
        <x:v>Stores</x:v>
      </x:c>
      <x:c r="H1241" s="2" t="str">
        <x:v>Riverside</x:v>
      </x:c>
      <x:c r="I1241" s="2" t="n">
        <x:v>4</x:v>
      </x:c>
      <x:c r="J1241" s="2" t="n">
        <x:v>0</x:v>
      </x:c>
      <x:c r="K1241" s="2" t="n">
        <x:f>I1241-J1241</x:f>
        <x:v>4</x:v>
      </x:c>
      <x:c r="L1241" s="16" t="n">
        <x:v>30</x:v>
      </x:c>
      <x:c r="M1241" s="16" t="n">
        <x:v>24</x:v>
      </x:c>
      <x:c r="N1241" s="16" t="n">
        <x:v>13.05</x:v>
      </x:c>
      <x:c r="O1241" s="16" t="n">
        <x:f>K1241*M1241</x:f>
        <x:v>96</x:v>
      </x:c>
      <x:c r="P1241" s="16" t="n">
        <x:f>K1241*N1241</x:f>
        <x:v>52.2</x:v>
      </x:c>
      <x:c r="Q1241" s="16" t="n">
        <x:f>O1241-P1241</x:f>
        <x:v>43.8</x:v>
      </x:c>
      <x:c r="R1241" s="2" t="n">
        <x:v>357</x:v>
      </x:c>
      <x:c r="S1241" s="2" t="n">
        <x:v>0</x:v>
      </x:c>
      <x:c r="T1241" s="2" t="n">
        <x:f>R1241+S1241+J1241-I1241</x:f>
        <x:v>353</x:v>
      </x:c>
      <x:c r="U1241" s="2" t="n">
        <x:v>24</x:v>
      </x:c>
      <x:c r="V1241" s="2" t="n">
        <x:v>2</x:v>
      </x:c>
      <x:c r="W1241" s="2" t="n">
        <x:v>5</x:v>
      </x:c>
      <x:c r="X1241" s="14" t="b">
        <x:v>0</x:v>
      </x:c>
      <x:c r="Y1241" s="14" t="b">
        <x:v>1</x:v>
      </x:c>
      <x:c r="Z1241" s="2" t="n">
        <x:f>ABS(T1241-AA1241)</x:f>
        <x:v>0</x:v>
      </x:c>
      <x:c r="AA1241" s="2" t="n">
        <x:v>353</x:v>
      </x:c>
      <x:c r="AB1241" s="2" t="n">
        <x:f>ABS(K1241-W1241)</x:f>
        <x:v>1</x:v>
      </x:c>
      <x:c r="AC1241" s="2" t="n">
        <x:f>COUNTIF($A$2:$A$1921,A1241)-1</x:f>
        <x:v>0</x:v>
      </x:c>
      <x:c r="AD1241" s="2" t="n">
        <x:f>IF(AND(D1241=D1240,H1241=H1240,C1241=C1240+1),ABS(R1241-T1240),0)</x:f>
        <x:v>0</x:v>
      </x:c>
    </x:row>
    <x:row r="1242" ht="23" customHeight="1">
      <x:c r="A1242" s="2" t="str">
        <x:v>DEMO-304-2-1</x:v>
      </x:c>
      <x:c r="B1242" s="15" t="d">
        <x:v>2026-05-04T00:00:00.000Z</x:v>
      </x:c>
      <x:c r="C1242" s="2" t="n">
        <x:v>1</x:v>
      </x:c>
      <x:c r="D1242" s="2" t="str">
        <x:v>DEMO-304</x:v>
      </x:c>
      <x:c r="E1242" s="2" t="str">
        <x:v>Calm Desk Mat</x:v>
      </x:c>
      <x:c r="F1242" s="2" t="str">
        <x:v>Lifestyle</x:v>
      </x:c>
      <x:c r="G1242" s="2" t="str">
        <x:v>Stores</x:v>
      </x:c>
      <x:c r="H1242" s="2" t="str">
        <x:v>Central Market</x:v>
      </x:c>
      <x:c r="I1242" s="2" t="n">
        <x:v>8</x:v>
      </x:c>
      <x:c r="J1242" s="2" t="n">
        <x:v>0</x:v>
      </x:c>
      <x:c r="K1242" s="2" t="n">
        <x:f>I1242-J1242</x:f>
        <x:v>8</x:v>
      </x:c>
      <x:c r="L1242" s="16" t="n">
        <x:v>30</x:v>
      </x:c>
      <x:c r="M1242" s="16" t="n">
        <x:v>30</x:v>
      </x:c>
      <x:c r="N1242" s="16" t="n">
        <x:v>13.05</x:v>
      </x:c>
      <x:c r="O1242" s="16" t="n">
        <x:f>K1242*M1242</x:f>
        <x:v>240</x:v>
      </x:c>
      <x:c r="P1242" s="16" t="n">
        <x:f>K1242*N1242</x:f>
        <x:v>104.4</x:v>
      </x:c>
      <x:c r="Q1242" s="16" t="n">
        <x:f>O1242-P1242</x:f>
        <x:v>135.6</x:v>
      </x:c>
      <x:c r="R1242" s="2" t="n">
        <x:v>140</x:v>
      </x:c>
      <x:c r="S1242" s="2" t="n">
        <x:v>65</x:v>
      </x:c>
      <x:c r="T1242" s="2" t="n">
        <x:f>R1242+S1242+J1242-I1242</x:f>
        <x:v>197</x:v>
      </x:c>
      <x:c r="U1242" s="2" t="n">
        <x:v>0</x:v>
      </x:c>
      <x:c r="V1242" s="2" t="n">
        <x:v>2</x:v>
      </x:c>
      <x:c r="W1242" s="2" t="n">
        <x:v>8</x:v>
      </x:c>
      <x:c r="X1242" s="14" t="b">
        <x:v>0</x:v>
      </x:c>
      <x:c r="Y1242" s="14" t="b">
        <x:v>0</x:v>
      </x:c>
      <x:c r="Z1242" s="2" t="n">
        <x:f>ABS(T1242-AA1242)</x:f>
        <x:v>0</x:v>
      </x:c>
      <x:c r="AA1242" s="2" t="n">
        <x:v>197</x:v>
      </x:c>
      <x:c r="AB1242" s="2" t="n">
        <x:f>ABS(K1242-W1242)</x:f>
        <x:v>0</x:v>
      </x:c>
      <x:c r="AC1242" s="2" t="n">
        <x:f>COUNTIF($A$2:$A$1921,A1242)-1</x:f>
        <x:v>0</x:v>
      </x:c>
      <x:c r="AD1242" s="2" t="n">
        <x:f>IF(AND(D1242=D1241,H1242=H1241,C1242=C1241+1),ABS(R1242-T1241),0)</x:f>
        <x:v>0</x:v>
      </x:c>
    </x:row>
    <x:row r="1243" ht="23" customHeight="1">
      <x:c r="A1243" s="2" t="str">
        <x:v>DEMO-304-2-2</x:v>
      </x:c>
      <x:c r="B1243" s="15" t="d">
        <x:v>2026-05-11T00:00:00.000Z</x:v>
      </x:c>
      <x:c r="C1243" s="2" t="n">
        <x:v>2</x:v>
      </x:c>
      <x:c r="D1243" s="2" t="str">
        <x:v>DEMO-304</x:v>
      </x:c>
      <x:c r="E1243" s="2" t="str">
        <x:v>Calm Desk Mat</x:v>
      </x:c>
      <x:c r="F1243" s="2" t="str">
        <x:v>Lifestyle</x:v>
      </x:c>
      <x:c r="G1243" s="2" t="str">
        <x:v>Stores</x:v>
      </x:c>
      <x:c r="H1243" s="2" t="str">
        <x:v>Central Market</x:v>
      </x:c>
      <x:c r="I1243" s="2" t="n">
        <x:v>7</x:v>
      </x:c>
      <x:c r="J1243" s="2" t="n">
        <x:v>0</x:v>
      </x:c>
      <x:c r="K1243" s="2" t="n">
        <x:f>I1243-J1243</x:f>
        <x:v>7</x:v>
      </x:c>
      <x:c r="L1243" s="16" t="n">
        <x:v>30</x:v>
      </x:c>
      <x:c r="M1243" s="16" t="n">
        <x:v>30</x:v>
      </x:c>
      <x:c r="N1243" s="16" t="n">
        <x:v>13.05</x:v>
      </x:c>
      <x:c r="O1243" s="16" t="n">
        <x:f>K1243*M1243</x:f>
        <x:v>210</x:v>
      </x:c>
      <x:c r="P1243" s="16" t="n">
        <x:f>K1243*N1243</x:f>
        <x:v>91.35000000000001</x:v>
      </x:c>
      <x:c r="Q1243" s="16" t="n">
        <x:f>O1243-P1243</x:f>
        <x:v>118.64999999999999</x:v>
      </x:c>
      <x:c r="R1243" s="2" t="n">
        <x:v>197</x:v>
      </x:c>
      <x:c r="S1243" s="2" t="n">
        <x:v>0</x:v>
      </x:c>
      <x:c r="T1243" s="2" t="n">
        <x:f>R1243+S1243+J1243-I1243</x:f>
        <x:v>190</x:v>
      </x:c>
      <x:c r="U1243" s="2" t="n">
        <x:v>0</x:v>
      </x:c>
      <x:c r="V1243" s="2" t="n">
        <x:v>2</x:v>
      </x:c>
      <x:c r="W1243" s="2" t="n">
        <x:v>8</x:v>
      </x:c>
      <x:c r="X1243" s="14" t="b">
        <x:v>0</x:v>
      </x:c>
      <x:c r="Y1243" s="14" t="b">
        <x:v>0</x:v>
      </x:c>
      <x:c r="Z1243" s="2" t="n">
        <x:f>ABS(T1243-AA1243)</x:f>
        <x:v>0</x:v>
      </x:c>
      <x:c r="AA1243" s="2" t="n">
        <x:v>190</x:v>
      </x:c>
      <x:c r="AB1243" s="2" t="n">
        <x:f>ABS(K1243-W1243)</x:f>
        <x:v>1</x:v>
      </x:c>
      <x:c r="AC1243" s="2" t="n">
        <x:f>COUNTIF($A$2:$A$1921,A1243)-1</x:f>
        <x:v>0</x:v>
      </x:c>
      <x:c r="AD1243" s="2" t="n">
        <x:f>IF(AND(D1243=D1242,H1243=H1242,C1243=C1242+1),ABS(R1243-T1242),0)</x:f>
        <x:v>0</x:v>
      </x:c>
    </x:row>
    <x:row r="1244" ht="23" customHeight="1">
      <x:c r="A1244" s="2" t="str">
        <x:v>DEMO-304-2-3</x:v>
      </x:c>
      <x:c r="B1244" s="15" t="d">
        <x:v>2026-05-18T00:00:00.000Z</x:v>
      </x:c>
      <x:c r="C1244" s="2" t="n">
        <x:v>3</x:v>
      </x:c>
      <x:c r="D1244" s="2" t="str">
        <x:v>DEMO-304</x:v>
      </x:c>
      <x:c r="E1244" s="2" t="str">
        <x:v>Calm Desk Mat</x:v>
      </x:c>
      <x:c r="F1244" s="2" t="str">
        <x:v>Lifestyle</x:v>
      </x:c>
      <x:c r="G1244" s="2" t="str">
        <x:v>Stores</x:v>
      </x:c>
      <x:c r="H1244" s="2" t="str">
        <x:v>Central Market</x:v>
      </x:c>
      <x:c r="I1244" s="2" t="n">
        <x:v>8</x:v>
      </x:c>
      <x:c r="J1244" s="2" t="n">
        <x:v>1</x:v>
      </x:c>
      <x:c r="K1244" s="2" t="n">
        <x:f>I1244-J1244</x:f>
        <x:v>7</x:v>
      </x:c>
      <x:c r="L1244" s="16" t="n">
        <x:v>30</x:v>
      </x:c>
      <x:c r="M1244" s="16" t="n">
        <x:v>30</x:v>
      </x:c>
      <x:c r="N1244" s="16" t="n">
        <x:v>13.05</x:v>
      </x:c>
      <x:c r="O1244" s="16" t="n">
        <x:f>K1244*M1244</x:f>
        <x:v>210</x:v>
      </x:c>
      <x:c r="P1244" s="16" t="n">
        <x:f>K1244*N1244</x:f>
        <x:v>91.35000000000001</x:v>
      </x:c>
      <x:c r="Q1244" s="16" t="n">
        <x:f>O1244-P1244</x:f>
        <x:v>118.64999999999999</x:v>
      </x:c>
      <x:c r="R1244" s="2" t="n">
        <x:v>190</x:v>
      </x:c>
      <x:c r="S1244" s="2" t="n">
        <x:v>0</x:v>
      </x:c>
      <x:c r="T1244" s="2" t="n">
        <x:f>R1244+S1244+J1244-I1244</x:f>
        <x:v>183</x:v>
      </x:c>
      <x:c r="U1244" s="2" t="n">
        <x:v>0</x:v>
      </x:c>
      <x:c r="V1244" s="2" t="n">
        <x:v>2</x:v>
      </x:c>
      <x:c r="W1244" s="2" t="n">
        <x:v>8</x:v>
      </x:c>
      <x:c r="X1244" s="14" t="b">
        <x:v>0</x:v>
      </x:c>
      <x:c r="Y1244" s="14" t="b">
        <x:v>0</x:v>
      </x:c>
      <x:c r="Z1244" s="2" t="n">
        <x:f>ABS(T1244-AA1244)</x:f>
        <x:v>0</x:v>
      </x:c>
      <x:c r="AA1244" s="2" t="n">
        <x:v>183</x:v>
      </x:c>
      <x:c r="AB1244" s="2" t="n">
        <x:f>ABS(K1244-W1244)</x:f>
        <x:v>1</x:v>
      </x:c>
      <x:c r="AC1244" s="2" t="n">
        <x:f>COUNTIF($A$2:$A$1921,A1244)-1</x:f>
        <x:v>0</x:v>
      </x:c>
      <x:c r="AD1244" s="2" t="n">
        <x:f>IF(AND(D1244=D1243,H1244=H1243,C1244=C1243+1),ABS(R1244-T1243),0)</x:f>
        <x:v>0</x:v>
      </x:c>
    </x:row>
    <x:row r="1245" ht="23" customHeight="1">
      <x:c r="A1245" s="2" t="str">
        <x:v>DEMO-304-2-4</x:v>
      </x:c>
      <x:c r="B1245" s="15" t="d">
        <x:v>2026-05-25T00:00:00.000Z</x:v>
      </x:c>
      <x:c r="C1245" s="2" t="n">
        <x:v>4</x:v>
      </x:c>
      <x:c r="D1245" s="2" t="str">
        <x:v>DEMO-304</x:v>
      </x:c>
      <x:c r="E1245" s="2" t="str">
        <x:v>Calm Desk Mat</x:v>
      </x:c>
      <x:c r="F1245" s="2" t="str">
        <x:v>Lifestyle</x:v>
      </x:c>
      <x:c r="G1245" s="2" t="str">
        <x:v>Stores</x:v>
      </x:c>
      <x:c r="H1245" s="2" t="str">
        <x:v>Central Market</x:v>
      </x:c>
      <x:c r="I1245" s="2" t="n">
        <x:v>6</x:v>
      </x:c>
      <x:c r="J1245" s="2" t="n">
        <x:v>0</x:v>
      </x:c>
      <x:c r="K1245" s="2" t="n">
        <x:f>I1245-J1245</x:f>
        <x:v>6</x:v>
      </x:c>
      <x:c r="L1245" s="16" t="n">
        <x:v>30</x:v>
      </x:c>
      <x:c r="M1245" s="16" t="n">
        <x:v>30</x:v>
      </x:c>
      <x:c r="N1245" s="16" t="n">
        <x:v>13.05</x:v>
      </x:c>
      <x:c r="O1245" s="16" t="n">
        <x:f>K1245*M1245</x:f>
        <x:v>180</x:v>
      </x:c>
      <x:c r="P1245" s="16" t="n">
        <x:f>K1245*N1245</x:f>
        <x:v>78.30000000000001</x:v>
      </x:c>
      <x:c r="Q1245" s="16" t="n">
        <x:f>O1245-P1245</x:f>
        <x:v>101.69999999999999</x:v>
      </x:c>
      <x:c r="R1245" s="2" t="n">
        <x:v>183</x:v>
      </x:c>
      <x:c r="S1245" s="2" t="n">
        <x:v>0</x:v>
      </x:c>
      <x:c r="T1245" s="2" t="n">
        <x:f>R1245+S1245+J1245-I1245</x:f>
        <x:v>177</x:v>
      </x:c>
      <x:c r="U1245" s="2" t="n">
        <x:v>0</x:v>
      </x:c>
      <x:c r="V1245" s="2" t="n">
        <x:v>2</x:v>
      </x:c>
      <x:c r="W1245" s="2" t="n">
        <x:v>7</x:v>
      </x:c>
      <x:c r="X1245" s="14" t="b">
        <x:v>0</x:v>
      </x:c>
      <x:c r="Y1245" s="14" t="b">
        <x:v>0</x:v>
      </x:c>
      <x:c r="Z1245" s="2" t="n">
        <x:f>ABS(T1245-AA1245)</x:f>
        <x:v>0</x:v>
      </x:c>
      <x:c r="AA1245" s="2" t="n">
        <x:v>177</x:v>
      </x:c>
      <x:c r="AB1245" s="2" t="n">
        <x:f>ABS(K1245-W1245)</x:f>
        <x:v>1</x:v>
      </x:c>
      <x:c r="AC1245" s="2" t="n">
        <x:f>COUNTIF($A$2:$A$1921,A1245)-1</x:f>
        <x:v>0</x:v>
      </x:c>
      <x:c r="AD1245" s="2" t="n">
        <x:f>IF(AND(D1245=D1244,H1245=H1244,C1245=C1244+1),ABS(R1245-T1244),0)</x:f>
        <x:v>0</x:v>
      </x:c>
    </x:row>
    <x:row r="1246" ht="23" customHeight="1">
      <x:c r="A1246" s="2" t="str">
        <x:v>DEMO-304-2-5</x:v>
      </x:c>
      <x:c r="B1246" s="15" t="d">
        <x:v>2026-06-01T00:00:00.000Z</x:v>
      </x:c>
      <x:c r="C1246" s="2" t="n">
        <x:v>5</x:v>
      </x:c>
      <x:c r="D1246" s="2" t="str">
        <x:v>DEMO-304</x:v>
      </x:c>
      <x:c r="E1246" s="2" t="str">
        <x:v>Calm Desk Mat</x:v>
      </x:c>
      <x:c r="F1246" s="2" t="str">
        <x:v>Lifestyle</x:v>
      </x:c>
      <x:c r="G1246" s="2" t="str">
        <x:v>Stores</x:v>
      </x:c>
      <x:c r="H1246" s="2" t="str">
        <x:v>Central Market</x:v>
      </x:c>
      <x:c r="I1246" s="2" t="n">
        <x:v>8</x:v>
      </x:c>
      <x:c r="J1246" s="2" t="n">
        <x:v>0</x:v>
      </x:c>
      <x:c r="K1246" s="2" t="n">
        <x:f>I1246-J1246</x:f>
        <x:v>8</x:v>
      </x:c>
      <x:c r="L1246" s="16" t="n">
        <x:v>30</x:v>
      </x:c>
      <x:c r="M1246" s="16" t="n">
        <x:v>30</x:v>
      </x:c>
      <x:c r="N1246" s="16" t="n">
        <x:v>13.05</x:v>
      </x:c>
      <x:c r="O1246" s="16" t="n">
        <x:f>K1246*M1246</x:f>
        <x:v>240</x:v>
      </x:c>
      <x:c r="P1246" s="16" t="n">
        <x:f>K1246*N1246</x:f>
        <x:v>104.4</x:v>
      </x:c>
      <x:c r="Q1246" s="16" t="n">
        <x:f>O1246-P1246</x:f>
        <x:v>135.6</x:v>
      </x:c>
      <x:c r="R1246" s="2" t="n">
        <x:v>177</x:v>
      </x:c>
      <x:c r="S1246" s="2" t="n">
        <x:v>65</x:v>
      </x:c>
      <x:c r="T1246" s="2" t="n">
        <x:f>R1246+S1246+J1246-I1246</x:f>
        <x:v>234</x:v>
      </x:c>
      <x:c r="U1246" s="2" t="n">
        <x:v>0</x:v>
      </x:c>
      <x:c r="V1246" s="2" t="n">
        <x:v>2</x:v>
      </x:c>
      <x:c r="W1246" s="2" t="n">
        <x:v>7</x:v>
      </x:c>
      <x:c r="X1246" s="14" t="b">
        <x:v>0</x:v>
      </x:c>
      <x:c r="Y1246" s="14" t="b">
        <x:v>0</x:v>
      </x:c>
      <x:c r="Z1246" s="2" t="n">
        <x:f>ABS(T1246-AA1246)</x:f>
        <x:v>0</x:v>
      </x:c>
      <x:c r="AA1246" s="2" t="n">
        <x:v>234</x:v>
      </x:c>
      <x:c r="AB1246" s="2" t="n">
        <x:f>ABS(K1246-W1246)</x:f>
        <x:v>1</x:v>
      </x:c>
      <x:c r="AC1246" s="2" t="n">
        <x:f>COUNTIF($A$2:$A$1921,A1246)-1</x:f>
        <x:v>0</x:v>
      </x:c>
      <x:c r="AD1246" s="2" t="n">
        <x:f>IF(AND(D1246=D1245,H1246=H1245,C1246=C1245+1),ABS(R1246-T1245),0)</x:f>
        <x:v>0</x:v>
      </x:c>
    </x:row>
    <x:row r="1247" ht="23" customHeight="1">
      <x:c r="A1247" s="2" t="str">
        <x:v>DEMO-304-2-6</x:v>
      </x:c>
      <x:c r="B1247" s="15" t="d">
        <x:v>2026-06-08T00:00:00.000Z</x:v>
      </x:c>
      <x:c r="C1247" s="2" t="n">
        <x:v>6</x:v>
      </x:c>
      <x:c r="D1247" s="2" t="str">
        <x:v>DEMO-304</x:v>
      </x:c>
      <x:c r="E1247" s="2" t="str">
        <x:v>Calm Desk Mat</x:v>
      </x:c>
      <x:c r="F1247" s="2" t="str">
        <x:v>Lifestyle</x:v>
      </x:c>
      <x:c r="G1247" s="2" t="str">
        <x:v>Stores</x:v>
      </x:c>
      <x:c r="H1247" s="2" t="str">
        <x:v>Central Market</x:v>
      </x:c>
      <x:c r="I1247" s="2" t="n">
        <x:v>7</x:v>
      </x:c>
      <x:c r="J1247" s="2" t="n">
        <x:v>0</x:v>
      </x:c>
      <x:c r="K1247" s="2" t="n">
        <x:f>I1247-J1247</x:f>
        <x:v>7</x:v>
      </x:c>
      <x:c r="L1247" s="16" t="n">
        <x:v>30</x:v>
      </x:c>
      <x:c r="M1247" s="16" t="n">
        <x:v>30</x:v>
      </x:c>
      <x:c r="N1247" s="16" t="n">
        <x:v>13.05</x:v>
      </x:c>
      <x:c r="O1247" s="16" t="n">
        <x:f>K1247*M1247</x:f>
        <x:v>210</x:v>
      </x:c>
      <x:c r="P1247" s="16" t="n">
        <x:f>K1247*N1247</x:f>
        <x:v>91.35000000000001</x:v>
      </x:c>
      <x:c r="Q1247" s="16" t="n">
        <x:f>O1247-P1247</x:f>
        <x:v>118.64999999999999</x:v>
      </x:c>
      <x:c r="R1247" s="2" t="n">
        <x:v>234</x:v>
      </x:c>
      <x:c r="S1247" s="2" t="n">
        <x:v>0</x:v>
      </x:c>
      <x:c r="T1247" s="2" t="n">
        <x:f>R1247+S1247+J1247-I1247</x:f>
        <x:v>227</x:v>
      </x:c>
      <x:c r="U1247" s="2" t="n">
        <x:v>0</x:v>
      </x:c>
      <x:c r="V1247" s="2" t="n">
        <x:v>2</x:v>
      </x:c>
      <x:c r="W1247" s="2" t="n">
        <x:v>7</x:v>
      </x:c>
      <x:c r="X1247" s="14" t="b">
        <x:v>0</x:v>
      </x:c>
      <x:c r="Y1247" s="14" t="b">
        <x:v>0</x:v>
      </x:c>
      <x:c r="Z1247" s="2" t="n">
        <x:f>ABS(T1247-AA1247)</x:f>
        <x:v>0</x:v>
      </x:c>
      <x:c r="AA1247" s="2" t="n">
        <x:v>227</x:v>
      </x:c>
      <x:c r="AB1247" s="2" t="n">
        <x:f>ABS(K1247-W1247)</x:f>
        <x:v>0</x:v>
      </x:c>
      <x:c r="AC1247" s="2" t="n">
        <x:f>COUNTIF($A$2:$A$1921,A1247)-1</x:f>
        <x:v>0</x:v>
      </x:c>
      <x:c r="AD1247" s="2" t="n">
        <x:f>IF(AND(D1247=D1246,H1247=H1246,C1247=C1246+1),ABS(R1247-T1246),0)</x:f>
        <x:v>0</x:v>
      </x:c>
    </x:row>
    <x:row r="1248" ht="23" customHeight="1">
      <x:c r="A1248" s="2" t="str">
        <x:v>DEMO-304-2-7</x:v>
      </x:c>
      <x:c r="B1248" s="15" t="d">
        <x:v>2026-06-15T00:00:00.000Z</x:v>
      </x:c>
      <x:c r="C1248" s="2" t="n">
        <x:v>7</x:v>
      </x:c>
      <x:c r="D1248" s="2" t="str">
        <x:v>DEMO-304</x:v>
      </x:c>
      <x:c r="E1248" s="2" t="str">
        <x:v>Calm Desk Mat</x:v>
      </x:c>
      <x:c r="F1248" s="2" t="str">
        <x:v>Lifestyle</x:v>
      </x:c>
      <x:c r="G1248" s="2" t="str">
        <x:v>Stores</x:v>
      </x:c>
      <x:c r="H1248" s="2" t="str">
        <x:v>Central Market</x:v>
      </x:c>
      <x:c r="I1248" s="2" t="n">
        <x:v>6</x:v>
      </x:c>
      <x:c r="J1248" s="2" t="n">
        <x:v>0</x:v>
      </x:c>
      <x:c r="K1248" s="2" t="n">
        <x:f>I1248-J1248</x:f>
        <x:v>6</x:v>
      </x:c>
      <x:c r="L1248" s="16" t="n">
        <x:v>30</x:v>
      </x:c>
      <x:c r="M1248" s="16" t="n">
        <x:v>30</x:v>
      </x:c>
      <x:c r="N1248" s="16" t="n">
        <x:v>13.05</x:v>
      </x:c>
      <x:c r="O1248" s="16" t="n">
        <x:f>K1248*M1248</x:f>
        <x:v>180</x:v>
      </x:c>
      <x:c r="P1248" s="16" t="n">
        <x:f>K1248*N1248</x:f>
        <x:v>78.30000000000001</x:v>
      </x:c>
      <x:c r="Q1248" s="16" t="n">
        <x:f>O1248-P1248</x:f>
        <x:v>101.69999999999999</x:v>
      </x:c>
      <x:c r="R1248" s="2" t="n">
        <x:v>227</x:v>
      </x:c>
      <x:c r="S1248" s="2" t="n">
        <x:v>0</x:v>
      </x:c>
      <x:c r="T1248" s="2" t="n">
        <x:f>R1248+S1248+J1248-I1248</x:f>
        <x:v>221</x:v>
      </x:c>
      <x:c r="U1248" s="2" t="n">
        <x:v>0</x:v>
      </x:c>
      <x:c r="V1248" s="2" t="n">
        <x:v>2</x:v>
      </x:c>
      <x:c r="W1248" s="2" t="n">
        <x:v>7</x:v>
      </x:c>
      <x:c r="X1248" s="14" t="b">
        <x:v>0</x:v>
      </x:c>
      <x:c r="Y1248" s="14" t="b">
        <x:v>0</x:v>
      </x:c>
      <x:c r="Z1248" s="2" t="n">
        <x:f>ABS(T1248-AA1248)</x:f>
        <x:v>0</x:v>
      </x:c>
      <x:c r="AA1248" s="2" t="n">
        <x:v>221</x:v>
      </x:c>
      <x:c r="AB1248" s="2" t="n">
        <x:f>ABS(K1248-W1248)</x:f>
        <x:v>1</x:v>
      </x:c>
      <x:c r="AC1248" s="2" t="n">
        <x:f>COUNTIF($A$2:$A$1921,A1248)-1</x:f>
        <x:v>0</x:v>
      </x:c>
      <x:c r="AD1248" s="2" t="n">
        <x:f>IF(AND(D1248=D1247,H1248=H1247,C1248=C1247+1),ABS(R1248-T1247),0)</x:f>
        <x:v>0</x:v>
      </x:c>
    </x:row>
    <x:row r="1249" ht="23" customHeight="1">
      <x:c r="A1249" s="2" t="str">
        <x:v>DEMO-304-2-8</x:v>
      </x:c>
      <x:c r="B1249" s="15" t="d">
        <x:v>2026-06-22T00:00:00.000Z</x:v>
      </x:c>
      <x:c r="C1249" s="2" t="n">
        <x:v>8</x:v>
      </x:c>
      <x:c r="D1249" s="2" t="str">
        <x:v>DEMO-304</x:v>
      </x:c>
      <x:c r="E1249" s="2" t="str">
        <x:v>Calm Desk Mat</x:v>
      </x:c>
      <x:c r="F1249" s="2" t="str">
        <x:v>Lifestyle</x:v>
      </x:c>
      <x:c r="G1249" s="2" t="str">
        <x:v>Stores</x:v>
      </x:c>
      <x:c r="H1249" s="2" t="str">
        <x:v>Central Market</x:v>
      </x:c>
      <x:c r="I1249" s="2" t="n">
        <x:v>5</x:v>
      </x:c>
      <x:c r="J1249" s="2" t="n">
        <x:v>0</x:v>
      </x:c>
      <x:c r="K1249" s="2" t="n">
        <x:f>I1249-J1249</x:f>
        <x:v>5</x:v>
      </x:c>
      <x:c r="L1249" s="16" t="n">
        <x:v>30</x:v>
      </x:c>
      <x:c r="M1249" s="16" t="n">
        <x:v>30</x:v>
      </x:c>
      <x:c r="N1249" s="16" t="n">
        <x:v>13.05</x:v>
      </x:c>
      <x:c r="O1249" s="16" t="n">
        <x:f>K1249*M1249</x:f>
        <x:v>150</x:v>
      </x:c>
      <x:c r="P1249" s="16" t="n">
        <x:f>K1249*N1249</x:f>
        <x:v>65.25</x:v>
      </x:c>
      <x:c r="Q1249" s="16" t="n">
        <x:f>O1249-P1249</x:f>
        <x:v>84.75</x:v>
      </x:c>
      <x:c r="R1249" s="2" t="n">
        <x:v>221</x:v>
      </x:c>
      <x:c r="S1249" s="2" t="n">
        <x:v>0</x:v>
      </x:c>
      <x:c r="T1249" s="2" t="n">
        <x:f>R1249+S1249+J1249-I1249</x:f>
        <x:v>216</x:v>
      </x:c>
      <x:c r="U1249" s="2" t="n">
        <x:v>0</x:v>
      </x:c>
      <x:c r="V1249" s="2" t="n">
        <x:v>2</x:v>
      </x:c>
      <x:c r="W1249" s="2" t="n">
        <x:v>7</x:v>
      </x:c>
      <x:c r="X1249" s="14" t="b">
        <x:v>0</x:v>
      </x:c>
      <x:c r="Y1249" s="14" t="b">
        <x:v>0</x:v>
      </x:c>
      <x:c r="Z1249" s="2" t="n">
        <x:f>ABS(T1249-AA1249)</x:f>
        <x:v>0</x:v>
      </x:c>
      <x:c r="AA1249" s="2" t="n">
        <x:v>216</x:v>
      </x:c>
      <x:c r="AB1249" s="2" t="n">
        <x:f>ABS(K1249-W1249)</x:f>
        <x:v>2</x:v>
      </x:c>
      <x:c r="AC1249" s="2" t="n">
        <x:f>COUNTIF($A$2:$A$1921,A1249)-1</x:f>
        <x:v>0</x:v>
      </x:c>
      <x:c r="AD1249" s="2" t="n">
        <x:f>IF(AND(D1249=D1248,H1249=H1248,C1249=C1248+1),ABS(R1249-T1248),0)</x:f>
        <x:v>0</x:v>
      </x:c>
    </x:row>
    <x:row r="1250" ht="23" customHeight="1">
      <x:c r="A1250" s="2" t="str">
        <x:v>DEMO-304-2-9</x:v>
      </x:c>
      <x:c r="B1250" s="15" t="d">
        <x:v>2026-06-29T00:00:00.000Z</x:v>
      </x:c>
      <x:c r="C1250" s="2" t="n">
        <x:v>9</x:v>
      </x:c>
      <x:c r="D1250" s="2" t="str">
        <x:v>DEMO-304</x:v>
      </x:c>
      <x:c r="E1250" s="2" t="str">
        <x:v>Calm Desk Mat</x:v>
      </x:c>
      <x:c r="F1250" s="2" t="str">
        <x:v>Lifestyle</x:v>
      </x:c>
      <x:c r="G1250" s="2" t="str">
        <x:v>Stores</x:v>
      </x:c>
      <x:c r="H1250" s="2" t="str">
        <x:v>Central Market</x:v>
      </x:c>
      <x:c r="I1250" s="2" t="n">
        <x:v>6</x:v>
      </x:c>
      <x:c r="J1250" s="2" t="n">
        <x:v>1</x:v>
      </x:c>
      <x:c r="K1250" s="2" t="n">
        <x:f>I1250-J1250</x:f>
        <x:v>5</x:v>
      </x:c>
      <x:c r="L1250" s="16" t="n">
        <x:v>30</x:v>
      </x:c>
      <x:c r="M1250" s="16" t="n">
        <x:v>30</x:v>
      </x:c>
      <x:c r="N1250" s="16" t="n">
        <x:v>13.05</x:v>
      </x:c>
      <x:c r="O1250" s="16" t="n">
        <x:f>K1250*M1250</x:f>
        <x:v>150</x:v>
      </x:c>
      <x:c r="P1250" s="16" t="n">
        <x:f>K1250*N1250</x:f>
        <x:v>65.25</x:v>
      </x:c>
      <x:c r="Q1250" s="16" t="n">
        <x:f>O1250-P1250</x:f>
        <x:v>84.75</x:v>
      </x:c>
      <x:c r="R1250" s="2" t="n">
        <x:v>216</x:v>
      </x:c>
      <x:c r="S1250" s="2" t="n">
        <x:v>65</x:v>
      </x:c>
      <x:c r="T1250" s="2" t="n">
        <x:f>R1250+S1250+J1250-I1250</x:f>
        <x:v>276</x:v>
      </x:c>
      <x:c r="U1250" s="2" t="n">
        <x:v>0</x:v>
      </x:c>
      <x:c r="V1250" s="2" t="n">
        <x:v>2</x:v>
      </x:c>
      <x:c r="W1250" s="2" t="n">
        <x:v>7</x:v>
      </x:c>
      <x:c r="X1250" s="14" t="b">
        <x:v>0</x:v>
      </x:c>
      <x:c r="Y1250" s="14" t="b">
        <x:v>0</x:v>
      </x:c>
      <x:c r="Z1250" s="2" t="n">
        <x:f>ABS(T1250-AA1250)</x:f>
        <x:v>0</x:v>
      </x:c>
      <x:c r="AA1250" s="2" t="n">
        <x:v>276</x:v>
      </x:c>
      <x:c r="AB1250" s="2" t="n">
        <x:f>ABS(K1250-W1250)</x:f>
        <x:v>2</x:v>
      </x:c>
      <x:c r="AC1250" s="2" t="n">
        <x:f>COUNTIF($A$2:$A$1921,A1250)-1</x:f>
        <x:v>0</x:v>
      </x:c>
      <x:c r="AD1250" s="2" t="n">
        <x:f>IF(AND(D1250=D1249,H1250=H1249,C1250=C1249+1),ABS(R1250-T1249),0)</x:f>
        <x:v>0</x:v>
      </x:c>
    </x:row>
    <x:row r="1251" ht="23" customHeight="1">
      <x:c r="A1251" s="2" t="str">
        <x:v>DEMO-304-2-10</x:v>
      </x:c>
      <x:c r="B1251" s="15" t="d">
        <x:v>2026-07-06T00:00:00.000Z</x:v>
      </x:c>
      <x:c r="C1251" s="2" t="n">
        <x:v>10</x:v>
      </x:c>
      <x:c r="D1251" s="2" t="str">
        <x:v>DEMO-304</x:v>
      </x:c>
      <x:c r="E1251" s="2" t="str">
        <x:v>Calm Desk Mat</x:v>
      </x:c>
      <x:c r="F1251" s="2" t="str">
        <x:v>Lifestyle</x:v>
      </x:c>
      <x:c r="G1251" s="2" t="str">
        <x:v>Stores</x:v>
      </x:c>
      <x:c r="H1251" s="2" t="str">
        <x:v>Central Market</x:v>
      </x:c>
      <x:c r="I1251" s="2" t="n">
        <x:v>5</x:v>
      </x:c>
      <x:c r="J1251" s="2" t="n">
        <x:v>0</x:v>
      </x:c>
      <x:c r="K1251" s="2" t="n">
        <x:f>I1251-J1251</x:f>
        <x:v>5</x:v>
      </x:c>
      <x:c r="L1251" s="16" t="n">
        <x:v>30</x:v>
      </x:c>
      <x:c r="M1251" s="16" t="n">
        <x:v>30</x:v>
      </x:c>
      <x:c r="N1251" s="16" t="n">
        <x:v>13.05</x:v>
      </x:c>
      <x:c r="O1251" s="16" t="n">
        <x:f>K1251*M1251</x:f>
        <x:v>150</x:v>
      </x:c>
      <x:c r="P1251" s="16" t="n">
        <x:f>K1251*N1251</x:f>
        <x:v>65.25</x:v>
      </x:c>
      <x:c r="Q1251" s="16" t="n">
        <x:f>O1251-P1251</x:f>
        <x:v>84.75</x:v>
      </x:c>
      <x:c r="R1251" s="2" t="n">
        <x:v>276</x:v>
      </x:c>
      <x:c r="S1251" s="2" t="n">
        <x:v>0</x:v>
      </x:c>
      <x:c r="T1251" s="2" t="n">
        <x:f>R1251+S1251+J1251-I1251</x:f>
        <x:v>271</x:v>
      </x:c>
      <x:c r="U1251" s="2" t="n">
        <x:v>0</x:v>
      </x:c>
      <x:c r="V1251" s="2" t="n">
        <x:v>2</x:v>
      </x:c>
      <x:c r="W1251" s="2" t="n">
        <x:v>6</x:v>
      </x:c>
      <x:c r="X1251" s="14" t="b">
        <x:v>0</x:v>
      </x:c>
      <x:c r="Y1251" s="14" t="b">
        <x:v>0</x:v>
      </x:c>
      <x:c r="Z1251" s="2" t="n">
        <x:f>ABS(T1251-AA1251)</x:f>
        <x:v>0</x:v>
      </x:c>
      <x:c r="AA1251" s="2" t="n">
        <x:v>271</x:v>
      </x:c>
      <x:c r="AB1251" s="2" t="n">
        <x:f>ABS(K1251-W1251)</x:f>
        <x:v>1</x:v>
      </x:c>
      <x:c r="AC1251" s="2" t="n">
        <x:f>COUNTIF($A$2:$A$1921,A1251)-1</x:f>
        <x:v>0</x:v>
      </x:c>
      <x:c r="AD1251" s="2" t="n">
        <x:f>IF(AND(D1251=D1250,H1251=H1250,C1251=C1250+1),ABS(R1251-T1250),0)</x:f>
        <x:v>0</x:v>
      </x:c>
    </x:row>
    <x:row r="1252" ht="23" customHeight="1">
      <x:c r="A1252" s="2" t="str">
        <x:v>DEMO-304-2-11</x:v>
      </x:c>
      <x:c r="B1252" s="15" t="d">
        <x:v>2026-07-13T00:00:00.000Z</x:v>
      </x:c>
      <x:c r="C1252" s="2" t="n">
        <x:v>11</x:v>
      </x:c>
      <x:c r="D1252" s="2" t="str">
        <x:v>DEMO-304</x:v>
      </x:c>
      <x:c r="E1252" s="2" t="str">
        <x:v>Calm Desk Mat</x:v>
      </x:c>
      <x:c r="F1252" s="2" t="str">
        <x:v>Lifestyle</x:v>
      </x:c>
      <x:c r="G1252" s="2" t="str">
        <x:v>Stores</x:v>
      </x:c>
      <x:c r="H1252" s="2" t="str">
        <x:v>Central Market</x:v>
      </x:c>
      <x:c r="I1252" s="2" t="n">
        <x:v>5</x:v>
      </x:c>
      <x:c r="J1252" s="2" t="n">
        <x:v>0</x:v>
      </x:c>
      <x:c r="K1252" s="2" t="n">
        <x:f>I1252-J1252</x:f>
        <x:v>5</x:v>
      </x:c>
      <x:c r="L1252" s="16" t="n">
        <x:v>30</x:v>
      </x:c>
      <x:c r="M1252" s="16" t="n">
        <x:v>30</x:v>
      </x:c>
      <x:c r="N1252" s="16" t="n">
        <x:v>13.05</x:v>
      </x:c>
      <x:c r="O1252" s="16" t="n">
        <x:f>K1252*M1252</x:f>
        <x:v>150</x:v>
      </x:c>
      <x:c r="P1252" s="16" t="n">
        <x:f>K1252*N1252</x:f>
        <x:v>65.25</x:v>
      </x:c>
      <x:c r="Q1252" s="16" t="n">
        <x:f>O1252-P1252</x:f>
        <x:v>84.75</x:v>
      </x:c>
      <x:c r="R1252" s="2" t="n">
        <x:v>271</x:v>
      </x:c>
      <x:c r="S1252" s="2" t="n">
        <x:v>0</x:v>
      </x:c>
      <x:c r="T1252" s="2" t="n">
        <x:f>R1252+S1252+J1252-I1252</x:f>
        <x:v>266</x:v>
      </x:c>
      <x:c r="U1252" s="2" t="n">
        <x:v>0</x:v>
      </x:c>
      <x:c r="V1252" s="2" t="n">
        <x:v>2</x:v>
      </x:c>
      <x:c r="W1252" s="2" t="n">
        <x:v>5</x:v>
      </x:c>
      <x:c r="X1252" s="14" t="b">
        <x:v>0</x:v>
      </x:c>
      <x:c r="Y1252" s="14" t="b">
        <x:v>0</x:v>
      </x:c>
      <x:c r="Z1252" s="2" t="n">
        <x:f>ABS(T1252-AA1252)</x:f>
        <x:v>0</x:v>
      </x:c>
      <x:c r="AA1252" s="2" t="n">
        <x:v>266</x:v>
      </x:c>
      <x:c r="AB1252" s="2" t="n">
        <x:f>ABS(K1252-W1252)</x:f>
        <x:v>0</x:v>
      </x:c>
      <x:c r="AC1252" s="2" t="n">
        <x:f>COUNTIF($A$2:$A$1921,A1252)-1</x:f>
        <x:v>0</x:v>
      </x:c>
      <x:c r="AD1252" s="2" t="n">
        <x:f>IF(AND(D1252=D1251,H1252=H1251,C1252=C1251+1),ABS(R1252-T1251),0)</x:f>
        <x:v>0</x:v>
      </x:c>
    </x:row>
    <x:row r="1253" ht="23" customHeight="1">
      <x:c r="A1253" s="2" t="str">
        <x:v>DEMO-304-2-12</x:v>
      </x:c>
      <x:c r="B1253" s="15" t="d">
        <x:v>2026-07-20T00:00:00.000Z</x:v>
      </x:c>
      <x:c r="C1253" s="2" t="n">
        <x:v>12</x:v>
      </x:c>
      <x:c r="D1253" s="2" t="str">
        <x:v>DEMO-304</x:v>
      </x:c>
      <x:c r="E1253" s="2" t="str">
        <x:v>Calm Desk Mat</x:v>
      </x:c>
      <x:c r="F1253" s="2" t="str">
        <x:v>Lifestyle</x:v>
      </x:c>
      <x:c r="G1253" s="2" t="str">
        <x:v>Stores</x:v>
      </x:c>
      <x:c r="H1253" s="2" t="str">
        <x:v>Central Market</x:v>
      </x:c>
      <x:c r="I1253" s="2" t="n">
        <x:v>4</x:v>
      </x:c>
      <x:c r="J1253" s="2" t="n">
        <x:v>1</x:v>
      </x:c>
      <x:c r="K1253" s="2" t="n">
        <x:f>I1253-J1253</x:f>
        <x:v>3</x:v>
      </x:c>
      <x:c r="L1253" s="16" t="n">
        <x:v>30</x:v>
      </x:c>
      <x:c r="M1253" s="16" t="n">
        <x:v>30</x:v>
      </x:c>
      <x:c r="N1253" s="16" t="n">
        <x:v>13.05</x:v>
      </x:c>
      <x:c r="O1253" s="16" t="n">
        <x:f>K1253*M1253</x:f>
        <x:v>90</x:v>
      </x:c>
      <x:c r="P1253" s="16" t="n">
        <x:f>K1253*N1253</x:f>
        <x:v>39.150000000000006</x:v>
      </x:c>
      <x:c r="Q1253" s="16" t="n">
        <x:f>O1253-P1253</x:f>
        <x:v>50.849999999999994</x:v>
      </x:c>
      <x:c r="R1253" s="2" t="n">
        <x:v>266</x:v>
      </x:c>
      <x:c r="S1253" s="2" t="n">
        <x:v>0</x:v>
      </x:c>
      <x:c r="T1253" s="2" t="n">
        <x:f>R1253+S1253+J1253-I1253</x:f>
        <x:v>263</x:v>
      </x:c>
      <x:c r="U1253" s="2" t="n">
        <x:v>0</x:v>
      </x:c>
      <x:c r="V1253" s="2" t="n">
        <x:v>2</x:v>
      </x:c>
      <x:c r="W1253" s="2" t="n">
        <x:v>5</x:v>
      </x:c>
      <x:c r="X1253" s="14" t="b">
        <x:v>0</x:v>
      </x:c>
      <x:c r="Y1253" s="14" t="b">
        <x:v>0</x:v>
      </x:c>
      <x:c r="Z1253" s="2" t="n">
        <x:f>ABS(T1253-AA1253)</x:f>
        <x:v>0</x:v>
      </x:c>
      <x:c r="AA1253" s="2" t="n">
        <x:v>263</x:v>
      </x:c>
      <x:c r="AB1253" s="2" t="n">
        <x:f>ABS(K1253-W1253)</x:f>
        <x:v>2</x:v>
      </x:c>
      <x:c r="AC1253" s="2" t="n">
        <x:f>COUNTIF($A$2:$A$1921,A1253)-1</x:f>
        <x:v>0</x:v>
      </x:c>
      <x:c r="AD1253" s="2" t="n">
        <x:f>IF(AND(D1253=D1252,H1253=H1252,C1253=C1252+1),ABS(R1253-T1252),0)</x:f>
        <x:v>0</x:v>
      </x:c>
    </x:row>
    <x:row r="1254" ht="23" customHeight="1">
      <x:c r="A1254" s="2" t="str">
        <x:v>DEMO-304-2-13</x:v>
      </x:c>
      <x:c r="B1254" s="15" t="d">
        <x:v>2026-07-27T00:00:00.000Z</x:v>
      </x:c>
      <x:c r="C1254" s="2" t="n">
        <x:v>13</x:v>
      </x:c>
      <x:c r="D1254" s="2" t="str">
        <x:v>DEMO-304</x:v>
      </x:c>
      <x:c r="E1254" s="2" t="str">
        <x:v>Calm Desk Mat</x:v>
      </x:c>
      <x:c r="F1254" s="2" t="str">
        <x:v>Lifestyle</x:v>
      </x:c>
      <x:c r="G1254" s="2" t="str">
        <x:v>Stores</x:v>
      </x:c>
      <x:c r="H1254" s="2" t="str">
        <x:v>Central Market</x:v>
      </x:c>
      <x:c r="I1254" s="2" t="n">
        <x:v>6</x:v>
      </x:c>
      <x:c r="J1254" s="2" t="n">
        <x:v>0</x:v>
      </x:c>
      <x:c r="K1254" s="2" t="n">
        <x:f>I1254-J1254</x:f>
        <x:v>6</x:v>
      </x:c>
      <x:c r="L1254" s="16" t="n">
        <x:v>30</x:v>
      </x:c>
      <x:c r="M1254" s="16" t="n">
        <x:v>30</x:v>
      </x:c>
      <x:c r="N1254" s="16" t="n">
        <x:v>13.05</x:v>
      </x:c>
      <x:c r="O1254" s="16" t="n">
        <x:f>K1254*M1254</x:f>
        <x:v>180</x:v>
      </x:c>
      <x:c r="P1254" s="16" t="n">
        <x:f>K1254*N1254</x:f>
        <x:v>78.30000000000001</x:v>
      </x:c>
      <x:c r="Q1254" s="16" t="n">
        <x:f>O1254-P1254</x:f>
        <x:v>101.69999999999999</x:v>
      </x:c>
      <x:c r="R1254" s="2" t="n">
        <x:v>263</x:v>
      </x:c>
      <x:c r="S1254" s="2" t="n">
        <x:v>65</x:v>
      </x:c>
      <x:c r="T1254" s="2" t="n">
        <x:f>R1254+S1254+J1254-I1254</x:f>
        <x:v>322</x:v>
      </x:c>
      <x:c r="U1254" s="2" t="n">
        <x:v>0</x:v>
      </x:c>
      <x:c r="V1254" s="2" t="n">
        <x:v>2</x:v>
      </x:c>
      <x:c r="W1254" s="2" t="n">
        <x:v>5</x:v>
      </x:c>
      <x:c r="X1254" s="14" t="b">
        <x:v>0</x:v>
      </x:c>
      <x:c r="Y1254" s="14" t="b">
        <x:v>0</x:v>
      </x:c>
      <x:c r="Z1254" s="2" t="n">
        <x:f>ABS(T1254-AA1254)</x:f>
        <x:v>0</x:v>
      </x:c>
      <x:c r="AA1254" s="2" t="n">
        <x:v>322</x:v>
      </x:c>
      <x:c r="AB1254" s="2" t="n">
        <x:f>ABS(K1254-W1254)</x:f>
        <x:v>1</x:v>
      </x:c>
      <x:c r="AC1254" s="2" t="n">
        <x:f>COUNTIF($A$2:$A$1921,A1254)-1</x:f>
        <x:v>0</x:v>
      </x:c>
      <x:c r="AD1254" s="2" t="n">
        <x:f>IF(AND(D1254=D1253,H1254=H1253,C1254=C1253+1),ABS(R1254-T1253),0)</x:f>
        <x:v>0</x:v>
      </x:c>
    </x:row>
    <x:row r="1255" ht="23" customHeight="1">
      <x:c r="A1255" s="2" t="str">
        <x:v>DEMO-304-2-14</x:v>
      </x:c>
      <x:c r="B1255" s="15" t="d">
        <x:v>2026-08-03T00:00:00.000Z</x:v>
      </x:c>
      <x:c r="C1255" s="2" t="n">
        <x:v>14</x:v>
      </x:c>
      <x:c r="D1255" s="2" t="str">
        <x:v>DEMO-304</x:v>
      </x:c>
      <x:c r="E1255" s="2" t="str">
        <x:v>Calm Desk Mat</x:v>
      </x:c>
      <x:c r="F1255" s="2" t="str">
        <x:v>Lifestyle</x:v>
      </x:c>
      <x:c r="G1255" s="2" t="str">
        <x:v>Stores</x:v>
      </x:c>
      <x:c r="H1255" s="2" t="str">
        <x:v>Central Market</x:v>
      </x:c>
      <x:c r="I1255" s="2" t="n">
        <x:v>4</x:v>
      </x:c>
      <x:c r="J1255" s="2" t="n">
        <x:v>0</x:v>
      </x:c>
      <x:c r="K1255" s="2" t="n">
        <x:f>I1255-J1255</x:f>
        <x:v>4</x:v>
      </x:c>
      <x:c r="L1255" s="16" t="n">
        <x:v>30</x:v>
      </x:c>
      <x:c r="M1255" s="16" t="n">
        <x:v>30</x:v>
      </x:c>
      <x:c r="N1255" s="16" t="n">
        <x:v>13.05</x:v>
      </x:c>
      <x:c r="O1255" s="16" t="n">
        <x:f>K1255*M1255</x:f>
        <x:v>120</x:v>
      </x:c>
      <x:c r="P1255" s="16" t="n">
        <x:f>K1255*N1255</x:f>
        <x:v>52.2</x:v>
      </x:c>
      <x:c r="Q1255" s="16" t="n">
        <x:f>O1255-P1255</x:f>
        <x:v>67.8</x:v>
      </x:c>
      <x:c r="R1255" s="2" t="n">
        <x:v>322</x:v>
      </x:c>
      <x:c r="S1255" s="2" t="n">
        <x:v>0</x:v>
      </x:c>
      <x:c r="T1255" s="2" t="n">
        <x:f>R1255+S1255+J1255-I1255</x:f>
        <x:v>318</x:v>
      </x:c>
      <x:c r="U1255" s="2" t="n">
        <x:v>0</x:v>
      </x:c>
      <x:c r="V1255" s="2" t="n">
        <x:v>2</x:v>
      </x:c>
      <x:c r="W1255" s="2" t="n">
        <x:v>5</x:v>
      </x:c>
      <x:c r="X1255" s="14" t="b">
        <x:v>0</x:v>
      </x:c>
      <x:c r="Y1255" s="14" t="b">
        <x:v>0</x:v>
      </x:c>
      <x:c r="Z1255" s="2" t="n">
        <x:f>ABS(T1255-AA1255)</x:f>
        <x:v>0</x:v>
      </x:c>
      <x:c r="AA1255" s="2" t="n">
        <x:v>318</x:v>
      </x:c>
      <x:c r="AB1255" s="2" t="n">
        <x:f>ABS(K1255-W1255)</x:f>
        <x:v>1</x:v>
      </x:c>
      <x:c r="AC1255" s="2" t="n">
        <x:f>COUNTIF($A$2:$A$1921,A1255)-1</x:f>
        <x:v>0</x:v>
      </x:c>
      <x:c r="AD1255" s="2" t="n">
        <x:f>IF(AND(D1255=D1254,H1255=H1254,C1255=C1254+1),ABS(R1255-T1254),0)</x:f>
        <x:v>0</x:v>
      </x:c>
    </x:row>
    <x:row r="1256" ht="23" customHeight="1">
      <x:c r="A1256" s="2" t="str">
        <x:v>DEMO-304-2-15</x:v>
      </x:c>
      <x:c r="B1256" s="15" t="d">
        <x:v>2026-08-10T00:00:00.000Z</x:v>
      </x:c>
      <x:c r="C1256" s="2" t="n">
        <x:v>15</x:v>
      </x:c>
      <x:c r="D1256" s="2" t="str">
        <x:v>DEMO-304</x:v>
      </x:c>
      <x:c r="E1256" s="2" t="str">
        <x:v>Calm Desk Mat</x:v>
      </x:c>
      <x:c r="F1256" s="2" t="str">
        <x:v>Lifestyle</x:v>
      </x:c>
      <x:c r="G1256" s="2" t="str">
        <x:v>Stores</x:v>
      </x:c>
      <x:c r="H1256" s="2" t="str">
        <x:v>Central Market</x:v>
      </x:c>
      <x:c r="I1256" s="2" t="n">
        <x:v>5</x:v>
      </x:c>
      <x:c r="J1256" s="2" t="n">
        <x:v>1</x:v>
      </x:c>
      <x:c r="K1256" s="2" t="n">
        <x:f>I1256-J1256</x:f>
        <x:v>4</x:v>
      </x:c>
      <x:c r="L1256" s="16" t="n">
        <x:v>30</x:v>
      </x:c>
      <x:c r="M1256" s="16" t="n">
        <x:v>30</x:v>
      </x:c>
      <x:c r="N1256" s="16" t="n">
        <x:v>13.05</x:v>
      </x:c>
      <x:c r="O1256" s="16" t="n">
        <x:f>K1256*M1256</x:f>
        <x:v>120</x:v>
      </x:c>
      <x:c r="P1256" s="16" t="n">
        <x:f>K1256*N1256</x:f>
        <x:v>52.2</x:v>
      </x:c>
      <x:c r="Q1256" s="16" t="n">
        <x:f>O1256-P1256</x:f>
        <x:v>67.8</x:v>
      </x:c>
      <x:c r="R1256" s="2" t="n">
        <x:v>318</x:v>
      </x:c>
      <x:c r="S1256" s="2" t="n">
        <x:v>0</x:v>
      </x:c>
      <x:c r="T1256" s="2" t="n">
        <x:f>R1256+S1256+J1256-I1256</x:f>
        <x:v>314</x:v>
      </x:c>
      <x:c r="U1256" s="2" t="n">
        <x:v>0</x:v>
      </x:c>
      <x:c r="V1256" s="2" t="n">
        <x:v>2</x:v>
      </x:c>
      <x:c r="W1256" s="2" t="n">
        <x:v>5</x:v>
      </x:c>
      <x:c r="X1256" s="14" t="b">
        <x:v>0</x:v>
      </x:c>
      <x:c r="Y1256" s="14" t="b">
        <x:v>0</x:v>
      </x:c>
      <x:c r="Z1256" s="2" t="n">
        <x:f>ABS(T1256-AA1256)</x:f>
        <x:v>0</x:v>
      </x:c>
      <x:c r="AA1256" s="2" t="n">
        <x:v>314</x:v>
      </x:c>
      <x:c r="AB1256" s="2" t="n">
        <x:f>ABS(K1256-W1256)</x:f>
        <x:v>1</x:v>
      </x:c>
      <x:c r="AC1256" s="2" t="n">
        <x:f>COUNTIF($A$2:$A$1921,A1256)-1</x:f>
        <x:v>0</x:v>
      </x:c>
      <x:c r="AD1256" s="2" t="n">
        <x:f>IF(AND(D1256=D1255,H1256=H1255,C1256=C1255+1),ABS(R1256-T1255),0)</x:f>
        <x:v>0</x:v>
      </x:c>
    </x:row>
    <x:row r="1257" ht="23" customHeight="1">
      <x:c r="A1257" s="2" t="str">
        <x:v>DEMO-304-2-16</x:v>
      </x:c>
      <x:c r="B1257" s="15" t="d">
        <x:v>2026-08-17T00:00:00.000Z</x:v>
      </x:c>
      <x:c r="C1257" s="2" t="n">
        <x:v>16</x:v>
      </x:c>
      <x:c r="D1257" s="2" t="str">
        <x:v>DEMO-304</x:v>
      </x:c>
      <x:c r="E1257" s="2" t="str">
        <x:v>Calm Desk Mat</x:v>
      </x:c>
      <x:c r="F1257" s="2" t="str">
        <x:v>Lifestyle</x:v>
      </x:c>
      <x:c r="G1257" s="2" t="str">
        <x:v>Stores</x:v>
      </x:c>
      <x:c r="H1257" s="2" t="str">
        <x:v>Central Market</x:v>
      </x:c>
      <x:c r="I1257" s="2" t="n">
        <x:v>5</x:v>
      </x:c>
      <x:c r="J1257" s="2" t="n">
        <x:v>0</x:v>
      </x:c>
      <x:c r="K1257" s="2" t="n">
        <x:f>I1257-J1257</x:f>
        <x:v>5</x:v>
      </x:c>
      <x:c r="L1257" s="16" t="n">
        <x:v>30</x:v>
      </x:c>
      <x:c r="M1257" s="16" t="n">
        <x:v>30</x:v>
      </x:c>
      <x:c r="N1257" s="16" t="n">
        <x:v>13.05</x:v>
      </x:c>
      <x:c r="O1257" s="16" t="n">
        <x:f>K1257*M1257</x:f>
        <x:v>150</x:v>
      </x:c>
      <x:c r="P1257" s="16" t="n">
        <x:f>K1257*N1257</x:f>
        <x:v>65.25</x:v>
      </x:c>
      <x:c r="Q1257" s="16" t="n">
        <x:f>O1257-P1257</x:f>
        <x:v>84.75</x:v>
      </x:c>
      <x:c r="R1257" s="2" t="n">
        <x:v>314</x:v>
      </x:c>
      <x:c r="S1257" s="2" t="n">
        <x:v>0</x:v>
      </x:c>
      <x:c r="T1257" s="2" t="n">
        <x:f>R1257+S1257+J1257-I1257</x:f>
        <x:v>309</x:v>
      </x:c>
      <x:c r="U1257" s="2" t="n">
        <x:v>0</x:v>
      </x:c>
      <x:c r="V1257" s="2" t="n">
        <x:v>2</x:v>
      </x:c>
      <x:c r="W1257" s="2" t="n">
        <x:v>4</x:v>
      </x:c>
      <x:c r="X1257" s="14" t="b">
        <x:v>0</x:v>
      </x:c>
      <x:c r="Y1257" s="14" t="b">
        <x:v>0</x:v>
      </x:c>
      <x:c r="Z1257" s="2" t="n">
        <x:f>ABS(T1257-AA1257)</x:f>
        <x:v>0</x:v>
      </x:c>
      <x:c r="AA1257" s="2" t="n">
        <x:v>309</x:v>
      </x:c>
      <x:c r="AB1257" s="2" t="n">
        <x:f>ABS(K1257-W1257)</x:f>
        <x:v>1</x:v>
      </x:c>
      <x:c r="AC1257" s="2" t="n">
        <x:f>COUNTIF($A$2:$A$1921,A1257)-1</x:f>
        <x:v>0</x:v>
      </x:c>
      <x:c r="AD1257" s="2" t="n">
        <x:f>IF(AND(D1257=D1256,H1257=H1256,C1257=C1256+1),ABS(R1257-T1256),0)</x:f>
        <x:v>0</x:v>
      </x:c>
    </x:row>
    <x:row r="1258" ht="23" customHeight="1">
      <x:c r="A1258" s="2" t="str">
        <x:v>DEMO-304-2-17</x:v>
      </x:c>
      <x:c r="B1258" s="15" t="d">
        <x:v>2026-08-24T00:00:00.000Z</x:v>
      </x:c>
      <x:c r="C1258" s="2" t="n">
        <x:v>17</x:v>
      </x:c>
      <x:c r="D1258" s="2" t="str">
        <x:v>DEMO-304</x:v>
      </x:c>
      <x:c r="E1258" s="2" t="str">
        <x:v>Calm Desk Mat</x:v>
      </x:c>
      <x:c r="F1258" s="2" t="str">
        <x:v>Lifestyle</x:v>
      </x:c>
      <x:c r="G1258" s="2" t="str">
        <x:v>Stores</x:v>
      </x:c>
      <x:c r="H1258" s="2" t="str">
        <x:v>Central Market</x:v>
      </x:c>
      <x:c r="I1258" s="2" t="n">
        <x:v>4</x:v>
      </x:c>
      <x:c r="J1258" s="2" t="n">
        <x:v>0</x:v>
      </x:c>
      <x:c r="K1258" s="2" t="n">
        <x:f>I1258-J1258</x:f>
        <x:v>4</x:v>
      </x:c>
      <x:c r="L1258" s="16" t="n">
        <x:v>30</x:v>
      </x:c>
      <x:c r="M1258" s="16" t="n">
        <x:v>24</x:v>
      </x:c>
      <x:c r="N1258" s="16" t="n">
        <x:v>13.05</x:v>
      </x:c>
      <x:c r="O1258" s="16" t="n">
        <x:f>K1258*M1258</x:f>
        <x:v>96</x:v>
      </x:c>
      <x:c r="P1258" s="16" t="n">
        <x:f>K1258*N1258</x:f>
        <x:v>52.2</x:v>
      </x:c>
      <x:c r="Q1258" s="16" t="n">
        <x:f>O1258-P1258</x:f>
        <x:v>43.8</x:v>
      </x:c>
      <x:c r="R1258" s="2" t="n">
        <x:v>309</x:v>
      </x:c>
      <x:c r="S1258" s="2" t="n">
        <x:v>65</x:v>
      </x:c>
      <x:c r="T1258" s="2" t="n">
        <x:f>R1258+S1258+J1258-I1258</x:f>
        <x:v>370</x:v>
      </x:c>
      <x:c r="U1258" s="2" t="n">
        <x:v>0</x:v>
      </x:c>
      <x:c r="V1258" s="2" t="n">
        <x:v>2</x:v>
      </x:c>
      <x:c r="W1258" s="2" t="n">
        <x:v>5</x:v>
      </x:c>
      <x:c r="X1258" s="14" t="b">
        <x:v>0</x:v>
      </x:c>
      <x:c r="Y1258" s="14" t="b">
        <x:v>1</x:v>
      </x:c>
      <x:c r="Z1258" s="2" t="n">
        <x:f>ABS(T1258-AA1258)</x:f>
        <x:v>0</x:v>
      </x:c>
      <x:c r="AA1258" s="2" t="n">
        <x:v>370</x:v>
      </x:c>
      <x:c r="AB1258" s="2" t="n">
        <x:f>ABS(K1258-W1258)</x:f>
        <x:v>1</x:v>
      </x:c>
      <x:c r="AC1258" s="2" t="n">
        <x:f>COUNTIF($A$2:$A$1921,A1258)-1</x:f>
        <x:v>0</x:v>
      </x:c>
      <x:c r="AD1258" s="2" t="n">
        <x:f>IF(AND(D1258=D1257,H1258=H1257,C1258=C1257+1),ABS(R1258-T1257),0)</x:f>
        <x:v>0</x:v>
      </x:c>
    </x:row>
    <x:row r="1259" ht="23" customHeight="1">
      <x:c r="A1259" s="2" t="str">
        <x:v>DEMO-304-2-18</x:v>
      </x:c>
      <x:c r="B1259" s="15" t="d">
        <x:v>2026-08-31T00:00:00.000Z</x:v>
      </x:c>
      <x:c r="C1259" s="2" t="n">
        <x:v>18</x:v>
      </x:c>
      <x:c r="D1259" s="2" t="str">
        <x:v>DEMO-304</x:v>
      </x:c>
      <x:c r="E1259" s="2" t="str">
        <x:v>Calm Desk Mat</x:v>
      </x:c>
      <x:c r="F1259" s="2" t="str">
        <x:v>Lifestyle</x:v>
      </x:c>
      <x:c r="G1259" s="2" t="str">
        <x:v>Stores</x:v>
      </x:c>
      <x:c r="H1259" s="2" t="str">
        <x:v>Central Market</x:v>
      </x:c>
      <x:c r="I1259" s="2" t="n">
        <x:v>5</x:v>
      </x:c>
      <x:c r="J1259" s="2" t="n">
        <x:v>0</x:v>
      </x:c>
      <x:c r="K1259" s="2" t="n">
        <x:f>I1259-J1259</x:f>
        <x:v>5</x:v>
      </x:c>
      <x:c r="L1259" s="16" t="n">
        <x:v>30</x:v>
      </x:c>
      <x:c r="M1259" s="16" t="n">
        <x:v>24</x:v>
      </x:c>
      <x:c r="N1259" s="16" t="n">
        <x:v>13.05</x:v>
      </x:c>
      <x:c r="O1259" s="16" t="n">
        <x:f>K1259*M1259</x:f>
        <x:v>120</x:v>
      </x:c>
      <x:c r="P1259" s="16" t="n">
        <x:f>K1259*N1259</x:f>
        <x:v>65.25</x:v>
      </x:c>
      <x:c r="Q1259" s="16" t="n">
        <x:f>O1259-P1259</x:f>
        <x:v>54.75</x:v>
      </x:c>
      <x:c r="R1259" s="2" t="n">
        <x:v>370</x:v>
      </x:c>
      <x:c r="S1259" s="2" t="n">
        <x:v>0</x:v>
      </x:c>
      <x:c r="T1259" s="2" t="n">
        <x:f>R1259+S1259+J1259-I1259</x:f>
        <x:v>365</x:v>
      </x:c>
      <x:c r="U1259" s="2" t="n">
        <x:v>0</x:v>
      </x:c>
      <x:c r="V1259" s="2" t="n">
        <x:v>2</x:v>
      </x:c>
      <x:c r="W1259" s="2" t="n">
        <x:v>4</x:v>
      </x:c>
      <x:c r="X1259" s="14" t="b">
        <x:v>0</x:v>
      </x:c>
      <x:c r="Y1259" s="14" t="b">
        <x:v>1</x:v>
      </x:c>
      <x:c r="Z1259" s="2" t="n">
        <x:f>ABS(T1259-AA1259)</x:f>
        <x:v>0</x:v>
      </x:c>
      <x:c r="AA1259" s="2" t="n">
        <x:v>365</x:v>
      </x:c>
      <x:c r="AB1259" s="2" t="n">
        <x:f>ABS(K1259-W1259)</x:f>
        <x:v>1</x:v>
      </x:c>
      <x:c r="AC1259" s="2" t="n">
        <x:f>COUNTIF($A$2:$A$1921,A1259)-1</x:f>
        <x:v>0</x:v>
      </x:c>
      <x:c r="AD1259" s="2" t="n">
        <x:f>IF(AND(D1259=D1258,H1259=H1258,C1259=C1258+1),ABS(R1259-T1258),0)</x:f>
        <x:v>0</x:v>
      </x:c>
    </x:row>
    <x:row r="1260" ht="23" customHeight="1">
      <x:c r="A1260" s="2" t="str">
        <x:v>DEMO-304-2-19</x:v>
      </x:c>
      <x:c r="B1260" s="15" t="d">
        <x:v>2026-09-07T00:00:00.000Z</x:v>
      </x:c>
      <x:c r="C1260" s="2" t="n">
        <x:v>19</x:v>
      </x:c>
      <x:c r="D1260" s="2" t="str">
        <x:v>DEMO-304</x:v>
      </x:c>
      <x:c r="E1260" s="2" t="str">
        <x:v>Calm Desk Mat</x:v>
      </x:c>
      <x:c r="F1260" s="2" t="str">
        <x:v>Lifestyle</x:v>
      </x:c>
      <x:c r="G1260" s="2" t="str">
        <x:v>Stores</x:v>
      </x:c>
      <x:c r="H1260" s="2" t="str">
        <x:v>Central Market</x:v>
      </x:c>
      <x:c r="I1260" s="2" t="n">
        <x:v>6</x:v>
      </x:c>
      <x:c r="J1260" s="2" t="n">
        <x:v>0</x:v>
      </x:c>
      <x:c r="K1260" s="2" t="n">
        <x:f>I1260-J1260</x:f>
        <x:v>6</x:v>
      </x:c>
      <x:c r="L1260" s="16" t="n">
        <x:v>30</x:v>
      </x:c>
      <x:c r="M1260" s="16" t="n">
        <x:v>24</x:v>
      </x:c>
      <x:c r="N1260" s="16" t="n">
        <x:v>13.05</x:v>
      </x:c>
      <x:c r="O1260" s="16" t="n">
        <x:f>K1260*M1260</x:f>
        <x:v>144</x:v>
      </x:c>
      <x:c r="P1260" s="16" t="n">
        <x:f>K1260*N1260</x:f>
        <x:v>78.30000000000001</x:v>
      </x:c>
      <x:c r="Q1260" s="16" t="n">
        <x:f>O1260-P1260</x:f>
        <x:v>65.69999999999999</x:v>
      </x:c>
      <x:c r="R1260" s="2" t="n">
        <x:v>365</x:v>
      </x:c>
      <x:c r="S1260" s="2" t="n">
        <x:v>0</x:v>
      </x:c>
      <x:c r="T1260" s="2" t="n">
        <x:f>R1260+S1260+J1260-I1260</x:f>
        <x:v>359</x:v>
      </x:c>
      <x:c r="U1260" s="2" t="n">
        <x:v>0</x:v>
      </x:c>
      <x:c r="V1260" s="2" t="n">
        <x:v>2</x:v>
      </x:c>
      <x:c r="W1260" s="2" t="n">
        <x:v>5</x:v>
      </x:c>
      <x:c r="X1260" s="14" t="b">
        <x:v>0</x:v>
      </x:c>
      <x:c r="Y1260" s="14" t="b">
        <x:v>1</x:v>
      </x:c>
      <x:c r="Z1260" s="2" t="n">
        <x:f>ABS(T1260-AA1260)</x:f>
        <x:v>0</x:v>
      </x:c>
      <x:c r="AA1260" s="2" t="n">
        <x:v>359</x:v>
      </x:c>
      <x:c r="AB1260" s="2" t="n">
        <x:f>ABS(K1260-W1260)</x:f>
        <x:v>1</x:v>
      </x:c>
      <x:c r="AC1260" s="2" t="n">
        <x:f>COUNTIF($A$2:$A$1921,A1260)-1</x:f>
        <x:v>0</x:v>
      </x:c>
      <x:c r="AD1260" s="2" t="n">
        <x:f>IF(AND(D1260=D1259,H1260=H1259,C1260=C1259+1),ABS(R1260-T1259),0)</x:f>
        <x:v>0</x:v>
      </x:c>
    </x:row>
    <x:row r="1261" ht="23" customHeight="1">
      <x:c r="A1261" s="2" t="str">
        <x:v>DEMO-304-2-20</x:v>
      </x:c>
      <x:c r="B1261" s="15" t="d">
        <x:v>2026-09-14T00:00:00.000Z</x:v>
      </x:c>
      <x:c r="C1261" s="2" t="n">
        <x:v>20</x:v>
      </x:c>
      <x:c r="D1261" s="2" t="str">
        <x:v>DEMO-304</x:v>
      </x:c>
      <x:c r="E1261" s="2" t="str">
        <x:v>Calm Desk Mat</x:v>
      </x:c>
      <x:c r="F1261" s="2" t="str">
        <x:v>Lifestyle</x:v>
      </x:c>
      <x:c r="G1261" s="2" t="str">
        <x:v>Stores</x:v>
      </x:c>
      <x:c r="H1261" s="2" t="str">
        <x:v>Central Market</x:v>
      </x:c>
      <x:c r="I1261" s="2" t="n">
        <x:v>4</x:v>
      </x:c>
      <x:c r="J1261" s="2" t="n">
        <x:v>0</x:v>
      </x:c>
      <x:c r="K1261" s="2" t="n">
        <x:f>I1261-J1261</x:f>
        <x:v>4</x:v>
      </x:c>
      <x:c r="L1261" s="16" t="n">
        <x:v>30</x:v>
      </x:c>
      <x:c r="M1261" s="16" t="n">
        <x:v>24</x:v>
      </x:c>
      <x:c r="N1261" s="16" t="n">
        <x:v>13.05</x:v>
      </x:c>
      <x:c r="O1261" s="16" t="n">
        <x:f>K1261*M1261</x:f>
        <x:v>96</x:v>
      </x:c>
      <x:c r="P1261" s="16" t="n">
        <x:f>K1261*N1261</x:f>
        <x:v>52.2</x:v>
      </x:c>
      <x:c r="Q1261" s="16" t="n">
        <x:f>O1261-P1261</x:f>
        <x:v>43.8</x:v>
      </x:c>
      <x:c r="R1261" s="2" t="n">
        <x:v>359</x:v>
      </x:c>
      <x:c r="S1261" s="2" t="n">
        <x:v>0</x:v>
      </x:c>
      <x:c r="T1261" s="2" t="n">
        <x:f>R1261+S1261+J1261-I1261</x:f>
        <x:v>355</x:v>
      </x:c>
      <x:c r="U1261" s="2" t="n">
        <x:v>24</x:v>
      </x:c>
      <x:c r="V1261" s="2" t="n">
        <x:v>2</x:v>
      </x:c>
      <x:c r="W1261" s="2" t="n">
        <x:v>5</x:v>
      </x:c>
      <x:c r="X1261" s="14" t="b">
        <x:v>0</x:v>
      </x:c>
      <x:c r="Y1261" s="14" t="b">
        <x:v>1</x:v>
      </x:c>
      <x:c r="Z1261" s="2" t="n">
        <x:f>ABS(T1261-AA1261)</x:f>
        <x:v>0</x:v>
      </x:c>
      <x:c r="AA1261" s="2" t="n">
        <x:v>355</x:v>
      </x:c>
      <x:c r="AB1261" s="2" t="n">
        <x:f>ABS(K1261-W1261)</x:f>
        <x:v>1</x:v>
      </x:c>
      <x:c r="AC1261" s="2" t="n">
        <x:f>COUNTIF($A$2:$A$1921,A1261)-1</x:f>
        <x:v>0</x:v>
      </x:c>
      <x:c r="AD1261" s="2" t="n">
        <x:f>IF(AND(D1261=D1260,H1261=H1260,C1261=C1260+1),ABS(R1261-T1260),0)</x:f>
        <x:v>0</x:v>
      </x:c>
    </x:row>
    <x:row r="1262" ht="23" customHeight="1">
      <x:c r="A1262" s="2" t="str">
        <x:v>DEMO-304-3-1</x:v>
      </x:c>
      <x:c r="B1262" s="15" t="d">
        <x:v>2026-05-04T00:00:00.000Z</x:v>
      </x:c>
      <x:c r="C1262" s="2" t="n">
        <x:v>1</x:v>
      </x:c>
      <x:c r="D1262" s="2" t="str">
        <x:v>DEMO-304</x:v>
      </x:c>
      <x:c r="E1262" s="2" t="str">
        <x:v>Calm Desk Mat</x:v>
      </x:c>
      <x:c r="F1262" s="2" t="str">
        <x:v>Lifestyle</x:v>
      </x:c>
      <x:c r="G1262" s="2" t="str">
        <x:v>Online</x:v>
      </x:c>
      <x:c r="H1262" s="2" t="str">
        <x:v>Online</x:v>
      </x:c>
      <x:c r="I1262" s="2" t="n">
        <x:v>15</x:v>
      </x:c>
      <x:c r="J1262" s="2" t="n">
        <x:v>1</x:v>
      </x:c>
      <x:c r="K1262" s="2" t="n">
        <x:f>I1262-J1262</x:f>
        <x:v>14</x:v>
      </x:c>
      <x:c r="L1262" s="16" t="n">
        <x:v>30</x:v>
      </x:c>
      <x:c r="M1262" s="16" t="n">
        <x:v>30</x:v>
      </x:c>
      <x:c r="N1262" s="16" t="n">
        <x:v>13.05</x:v>
      </x:c>
      <x:c r="O1262" s="16" t="n">
        <x:f>K1262*M1262</x:f>
        <x:v>420</x:v>
      </x:c>
      <x:c r="P1262" s="16" t="n">
        <x:f>K1262*N1262</x:f>
        <x:v>182.70000000000002</x:v>
      </x:c>
      <x:c r="Q1262" s="16" t="n">
        <x:f>O1262-P1262</x:f>
        <x:v>237.29999999999998</x:v>
      </x:c>
      <x:c r="R1262" s="2" t="n">
        <x:v>140</x:v>
      </x:c>
      <x:c r="S1262" s="2" t="n">
        <x:v>65</x:v>
      </x:c>
      <x:c r="T1262" s="2" t="n">
        <x:f>R1262+S1262+J1262-I1262</x:f>
        <x:v>191</x:v>
      </x:c>
      <x:c r="U1262" s="2" t="n">
        <x:v>0</x:v>
      </x:c>
      <x:c r="V1262" s="2" t="n">
        <x:v>2</x:v>
      </x:c>
      <x:c r="W1262" s="2" t="n">
        <x:v>14</x:v>
      </x:c>
      <x:c r="X1262" s="14" t="b">
        <x:v>0</x:v>
      </x:c>
      <x:c r="Y1262" s="14" t="b">
        <x:v>0</x:v>
      </x:c>
      <x:c r="Z1262" s="2" t="n">
        <x:f>ABS(T1262-AA1262)</x:f>
        <x:v>0</x:v>
      </x:c>
      <x:c r="AA1262" s="2" t="n">
        <x:v>191</x:v>
      </x:c>
      <x:c r="AB1262" s="2" t="n">
        <x:f>ABS(K1262-W1262)</x:f>
        <x:v>0</x:v>
      </x:c>
      <x:c r="AC1262" s="2" t="n">
        <x:f>COUNTIF($A$2:$A$1921,A1262)-1</x:f>
        <x:v>0</x:v>
      </x:c>
      <x:c r="AD1262" s="2" t="n">
        <x:f>IF(AND(D1262=D1261,H1262=H1261,C1262=C1261+1),ABS(R1262-T1261),0)</x:f>
        <x:v>0</x:v>
      </x:c>
    </x:row>
    <x:row r="1263" ht="23" customHeight="1">
      <x:c r="A1263" s="2" t="str">
        <x:v>DEMO-304-3-2</x:v>
      </x:c>
      <x:c r="B1263" s="15" t="d">
        <x:v>2026-05-11T00:00:00.000Z</x:v>
      </x:c>
      <x:c r="C1263" s="2" t="n">
        <x:v>2</x:v>
      </x:c>
      <x:c r="D1263" s="2" t="str">
        <x:v>DEMO-304</x:v>
      </x:c>
      <x:c r="E1263" s="2" t="str">
        <x:v>Calm Desk Mat</x:v>
      </x:c>
      <x:c r="F1263" s="2" t="str">
        <x:v>Lifestyle</x:v>
      </x:c>
      <x:c r="G1263" s="2" t="str">
        <x:v>Online</x:v>
      </x:c>
      <x:c r="H1263" s="2" t="str">
        <x:v>Online</x:v>
      </x:c>
      <x:c r="I1263" s="2" t="n">
        <x:v>12</x:v>
      </x:c>
      <x:c r="J1263" s="2" t="n">
        <x:v>0</x:v>
      </x:c>
      <x:c r="K1263" s="2" t="n">
        <x:f>I1263-J1263</x:f>
        <x:v>12</x:v>
      </x:c>
      <x:c r="L1263" s="16" t="n">
        <x:v>30</x:v>
      </x:c>
      <x:c r="M1263" s="16" t="n">
        <x:v>30</x:v>
      </x:c>
      <x:c r="N1263" s="16" t="n">
        <x:v>13.05</x:v>
      </x:c>
      <x:c r="O1263" s="16" t="n">
        <x:f>K1263*M1263</x:f>
        <x:v>360</x:v>
      </x:c>
      <x:c r="P1263" s="16" t="n">
        <x:f>K1263*N1263</x:f>
        <x:v>156.60000000000002</x:v>
      </x:c>
      <x:c r="Q1263" s="16" t="n">
        <x:f>O1263-P1263</x:f>
        <x:v>203.39999999999998</x:v>
      </x:c>
      <x:c r="R1263" s="2" t="n">
        <x:v>191</x:v>
      </x:c>
      <x:c r="S1263" s="2" t="n">
        <x:v>0</x:v>
      </x:c>
      <x:c r="T1263" s="2" t="n">
        <x:f>R1263+S1263+J1263-I1263</x:f>
        <x:v>179</x:v>
      </x:c>
      <x:c r="U1263" s="2" t="n">
        <x:v>0</x:v>
      </x:c>
      <x:c r="V1263" s="2" t="n">
        <x:v>2</x:v>
      </x:c>
      <x:c r="W1263" s="2" t="n">
        <x:v>14</x:v>
      </x:c>
      <x:c r="X1263" s="14" t="b">
        <x:v>0</x:v>
      </x:c>
      <x:c r="Y1263" s="14" t="b">
        <x:v>0</x:v>
      </x:c>
      <x:c r="Z1263" s="2" t="n">
        <x:f>ABS(T1263-AA1263)</x:f>
        <x:v>0</x:v>
      </x:c>
      <x:c r="AA1263" s="2" t="n">
        <x:v>179</x:v>
      </x:c>
      <x:c r="AB1263" s="2" t="n">
        <x:f>ABS(K1263-W1263)</x:f>
        <x:v>2</x:v>
      </x:c>
      <x:c r="AC1263" s="2" t="n">
        <x:f>COUNTIF($A$2:$A$1921,A1263)-1</x:f>
        <x:v>0</x:v>
      </x:c>
      <x:c r="AD1263" s="2" t="n">
        <x:f>IF(AND(D1263=D1262,H1263=H1262,C1263=C1262+1),ABS(R1263-T1262),0)</x:f>
        <x:v>0</x:v>
      </x:c>
    </x:row>
    <x:row r="1264" ht="23" customHeight="1">
      <x:c r="A1264" s="2" t="str">
        <x:v>DEMO-304-3-3</x:v>
      </x:c>
      <x:c r="B1264" s="15" t="d">
        <x:v>2026-05-18T00:00:00.000Z</x:v>
      </x:c>
      <x:c r="C1264" s="2" t="n">
        <x:v>3</x:v>
      </x:c>
      <x:c r="D1264" s="2" t="str">
        <x:v>DEMO-304</x:v>
      </x:c>
      <x:c r="E1264" s="2" t="str">
        <x:v>Calm Desk Mat</x:v>
      </x:c>
      <x:c r="F1264" s="2" t="str">
        <x:v>Lifestyle</x:v>
      </x:c>
      <x:c r="G1264" s="2" t="str">
        <x:v>Online</x:v>
      </x:c>
      <x:c r="H1264" s="2" t="str">
        <x:v>Online</x:v>
      </x:c>
      <x:c r="I1264" s="2" t="n">
        <x:v>15</x:v>
      </x:c>
      <x:c r="J1264" s="2" t="n">
        <x:v>1</x:v>
      </x:c>
      <x:c r="K1264" s="2" t="n">
        <x:f>I1264-J1264</x:f>
        <x:v>14</x:v>
      </x:c>
      <x:c r="L1264" s="16" t="n">
        <x:v>30</x:v>
      </x:c>
      <x:c r="M1264" s="16" t="n">
        <x:v>30</x:v>
      </x:c>
      <x:c r="N1264" s="16" t="n">
        <x:v>13.05</x:v>
      </x:c>
      <x:c r="O1264" s="16" t="n">
        <x:f>K1264*M1264</x:f>
        <x:v>420</x:v>
      </x:c>
      <x:c r="P1264" s="16" t="n">
        <x:f>K1264*N1264</x:f>
        <x:v>182.70000000000002</x:v>
      </x:c>
      <x:c r="Q1264" s="16" t="n">
        <x:f>O1264-P1264</x:f>
        <x:v>237.29999999999998</x:v>
      </x:c>
      <x:c r="R1264" s="2" t="n">
        <x:v>179</x:v>
      </x:c>
      <x:c r="S1264" s="2" t="n">
        <x:v>0</x:v>
      </x:c>
      <x:c r="T1264" s="2" t="n">
        <x:f>R1264+S1264+J1264-I1264</x:f>
        <x:v>165</x:v>
      </x:c>
      <x:c r="U1264" s="2" t="n">
        <x:v>0</x:v>
      </x:c>
      <x:c r="V1264" s="2" t="n">
        <x:v>2</x:v>
      </x:c>
      <x:c r="W1264" s="2" t="n">
        <x:v>13</x:v>
      </x:c>
      <x:c r="X1264" s="14" t="b">
        <x:v>0</x:v>
      </x:c>
      <x:c r="Y1264" s="14" t="b">
        <x:v>0</x:v>
      </x:c>
      <x:c r="Z1264" s="2" t="n">
        <x:f>ABS(T1264-AA1264)</x:f>
        <x:v>0</x:v>
      </x:c>
      <x:c r="AA1264" s="2" t="n">
        <x:v>165</x:v>
      </x:c>
      <x:c r="AB1264" s="2" t="n">
        <x:f>ABS(K1264-W1264)</x:f>
        <x:v>1</x:v>
      </x:c>
      <x:c r="AC1264" s="2" t="n">
        <x:f>COUNTIF($A$2:$A$1921,A1264)-1</x:f>
        <x:v>0</x:v>
      </x:c>
      <x:c r="AD1264" s="2" t="n">
        <x:f>IF(AND(D1264=D1263,H1264=H1263,C1264=C1263+1),ABS(R1264-T1263),0)</x:f>
        <x:v>0</x:v>
      </x:c>
    </x:row>
    <x:row r="1265" ht="23" customHeight="1">
      <x:c r="A1265" s="2" t="str">
        <x:v>DEMO-304-3-4</x:v>
      </x:c>
      <x:c r="B1265" s="15" t="d">
        <x:v>2026-05-25T00:00:00.000Z</x:v>
      </x:c>
      <x:c r="C1265" s="2" t="n">
        <x:v>4</x:v>
      </x:c>
      <x:c r="D1265" s="2" t="str">
        <x:v>DEMO-304</x:v>
      </x:c>
      <x:c r="E1265" s="2" t="str">
        <x:v>Calm Desk Mat</x:v>
      </x:c>
      <x:c r="F1265" s="2" t="str">
        <x:v>Lifestyle</x:v>
      </x:c>
      <x:c r="G1265" s="2" t="str">
        <x:v>Online</x:v>
      </x:c>
      <x:c r="H1265" s="2" t="str">
        <x:v>Online</x:v>
      </x:c>
      <x:c r="I1265" s="2" t="n">
        <x:v>12</x:v>
      </x:c>
      <x:c r="J1265" s="2" t="n">
        <x:v>0</x:v>
      </x:c>
      <x:c r="K1265" s="2" t="n">
        <x:f>I1265-J1265</x:f>
        <x:v>12</x:v>
      </x:c>
      <x:c r="L1265" s="16" t="n">
        <x:v>30</x:v>
      </x:c>
      <x:c r="M1265" s="16" t="n">
        <x:v>30</x:v>
      </x:c>
      <x:c r="N1265" s="16" t="n">
        <x:v>13.05</x:v>
      </x:c>
      <x:c r="O1265" s="16" t="n">
        <x:f>K1265*M1265</x:f>
        <x:v>360</x:v>
      </x:c>
      <x:c r="P1265" s="16" t="n">
        <x:f>K1265*N1265</x:f>
        <x:v>156.60000000000002</x:v>
      </x:c>
      <x:c r="Q1265" s="16" t="n">
        <x:f>O1265-P1265</x:f>
        <x:v>203.39999999999998</x:v>
      </x:c>
      <x:c r="R1265" s="2" t="n">
        <x:v>165</x:v>
      </x:c>
      <x:c r="S1265" s="2" t="n">
        <x:v>0</x:v>
      </x:c>
      <x:c r="T1265" s="2" t="n">
        <x:f>R1265+S1265+J1265-I1265</x:f>
        <x:v>153</x:v>
      </x:c>
      <x:c r="U1265" s="2" t="n">
        <x:v>0</x:v>
      </x:c>
      <x:c r="V1265" s="2" t="n">
        <x:v>2</x:v>
      </x:c>
      <x:c r="W1265" s="2" t="n">
        <x:v>13</x:v>
      </x:c>
      <x:c r="X1265" s="14" t="b">
        <x:v>0</x:v>
      </x:c>
      <x:c r="Y1265" s="14" t="b">
        <x:v>0</x:v>
      </x:c>
      <x:c r="Z1265" s="2" t="n">
        <x:f>ABS(T1265-AA1265)</x:f>
        <x:v>0</x:v>
      </x:c>
      <x:c r="AA1265" s="2" t="n">
        <x:v>153</x:v>
      </x:c>
      <x:c r="AB1265" s="2" t="n">
        <x:f>ABS(K1265-W1265)</x:f>
        <x:v>1</x:v>
      </x:c>
      <x:c r="AC1265" s="2" t="n">
        <x:f>COUNTIF($A$2:$A$1921,A1265)-1</x:f>
        <x:v>0</x:v>
      </x:c>
      <x:c r="AD1265" s="2" t="n">
        <x:f>IF(AND(D1265=D1264,H1265=H1264,C1265=C1264+1),ABS(R1265-T1264),0)</x:f>
        <x:v>0</x:v>
      </x:c>
    </x:row>
    <x:row r="1266" ht="23" customHeight="1">
      <x:c r="A1266" s="2" t="str">
        <x:v>DEMO-304-3-5</x:v>
      </x:c>
      <x:c r="B1266" s="15" t="d">
        <x:v>2026-06-01T00:00:00.000Z</x:v>
      </x:c>
      <x:c r="C1266" s="2" t="n">
        <x:v>5</x:v>
      </x:c>
      <x:c r="D1266" s="2" t="str">
        <x:v>DEMO-304</x:v>
      </x:c>
      <x:c r="E1266" s="2" t="str">
        <x:v>Calm Desk Mat</x:v>
      </x:c>
      <x:c r="F1266" s="2" t="str">
        <x:v>Lifestyle</x:v>
      </x:c>
      <x:c r="G1266" s="2" t="str">
        <x:v>Online</x:v>
      </x:c>
      <x:c r="H1266" s="2" t="str">
        <x:v>Online</x:v>
      </x:c>
      <x:c r="I1266" s="2" t="n">
        <x:v>12</x:v>
      </x:c>
      <x:c r="J1266" s="2" t="n">
        <x:v>1</x:v>
      </x:c>
      <x:c r="K1266" s="2" t="n">
        <x:f>I1266-J1266</x:f>
        <x:v>11</x:v>
      </x:c>
      <x:c r="L1266" s="16" t="n">
        <x:v>30</x:v>
      </x:c>
      <x:c r="M1266" s="16" t="n">
        <x:v>30</x:v>
      </x:c>
      <x:c r="N1266" s="16" t="n">
        <x:v>13.05</x:v>
      </x:c>
      <x:c r="O1266" s="16" t="n">
        <x:f>K1266*M1266</x:f>
        <x:v>330</x:v>
      </x:c>
      <x:c r="P1266" s="16" t="n">
        <x:f>K1266*N1266</x:f>
        <x:v>143.55</x:v>
      </x:c>
      <x:c r="Q1266" s="16" t="n">
        <x:f>O1266-P1266</x:f>
        <x:v>186.45</x:v>
      </x:c>
      <x:c r="R1266" s="2" t="n">
        <x:v>153</x:v>
      </x:c>
      <x:c r="S1266" s="2" t="n">
        <x:v>65</x:v>
      </x:c>
      <x:c r="T1266" s="2" t="n">
        <x:f>R1266+S1266+J1266-I1266</x:f>
        <x:v>207</x:v>
      </x:c>
      <x:c r="U1266" s="2" t="n">
        <x:v>0</x:v>
      </x:c>
      <x:c r="V1266" s="2" t="n">
        <x:v>2</x:v>
      </x:c>
      <x:c r="W1266" s="2" t="n">
        <x:v>13</x:v>
      </x:c>
      <x:c r="X1266" s="14" t="b">
        <x:v>0</x:v>
      </x:c>
      <x:c r="Y1266" s="14" t="b">
        <x:v>0</x:v>
      </x:c>
      <x:c r="Z1266" s="2" t="n">
        <x:f>ABS(T1266-AA1266)</x:f>
        <x:v>0</x:v>
      </x:c>
      <x:c r="AA1266" s="2" t="n">
        <x:v>207</x:v>
      </x:c>
      <x:c r="AB1266" s="2" t="n">
        <x:f>ABS(K1266-W1266)</x:f>
        <x:v>2</x:v>
      </x:c>
      <x:c r="AC1266" s="2" t="n">
        <x:f>COUNTIF($A$2:$A$1921,A1266)-1</x:f>
        <x:v>0</x:v>
      </x:c>
      <x:c r="AD1266" s="2" t="n">
        <x:f>IF(AND(D1266=D1265,H1266=H1265,C1266=C1265+1),ABS(R1266-T1265),0)</x:f>
        <x:v>0</x:v>
      </x:c>
    </x:row>
    <x:row r="1267" ht="23" customHeight="1">
      <x:c r="A1267" s="2" t="str">
        <x:v>DEMO-304-3-6</x:v>
      </x:c>
      <x:c r="B1267" s="15" t="d">
        <x:v>2026-06-08T00:00:00.000Z</x:v>
      </x:c>
      <x:c r="C1267" s="2" t="n">
        <x:v>6</x:v>
      </x:c>
      <x:c r="D1267" s="2" t="str">
        <x:v>DEMO-304</x:v>
      </x:c>
      <x:c r="E1267" s="2" t="str">
        <x:v>Calm Desk Mat</x:v>
      </x:c>
      <x:c r="F1267" s="2" t="str">
        <x:v>Lifestyle</x:v>
      </x:c>
      <x:c r="G1267" s="2" t="str">
        <x:v>Online</x:v>
      </x:c>
      <x:c r="H1267" s="2" t="str">
        <x:v>Online</x:v>
      </x:c>
      <x:c r="I1267" s="2" t="n">
        <x:v>10</x:v>
      </x:c>
      <x:c r="J1267" s="2" t="n">
        <x:v>1</x:v>
      </x:c>
      <x:c r="K1267" s="2" t="n">
        <x:f>I1267-J1267</x:f>
        <x:v>9</x:v>
      </x:c>
      <x:c r="L1267" s="16" t="n">
        <x:v>30</x:v>
      </x:c>
      <x:c r="M1267" s="16" t="n">
        <x:v>30</x:v>
      </x:c>
      <x:c r="N1267" s="16" t="n">
        <x:v>13.05</x:v>
      </x:c>
      <x:c r="O1267" s="16" t="n">
        <x:f>K1267*M1267</x:f>
        <x:v>270</x:v>
      </x:c>
      <x:c r="P1267" s="16" t="n">
        <x:f>K1267*N1267</x:f>
        <x:v>117.45</x:v>
      </x:c>
      <x:c r="Q1267" s="16" t="n">
        <x:f>O1267-P1267</x:f>
        <x:v>152.55</x:v>
      </x:c>
      <x:c r="R1267" s="2" t="n">
        <x:v>207</x:v>
      </x:c>
      <x:c r="S1267" s="2" t="n">
        <x:v>0</x:v>
      </x:c>
      <x:c r="T1267" s="2" t="n">
        <x:f>R1267+S1267+J1267-I1267</x:f>
        <x:v>198</x:v>
      </x:c>
      <x:c r="U1267" s="2" t="n">
        <x:v>0</x:v>
      </x:c>
      <x:c r="V1267" s="2" t="n">
        <x:v>2</x:v>
      </x:c>
      <x:c r="W1267" s="2" t="n">
        <x:v>12</x:v>
      </x:c>
      <x:c r="X1267" s="14" t="b">
        <x:v>0</x:v>
      </x:c>
      <x:c r="Y1267" s="14" t="b">
        <x:v>0</x:v>
      </x:c>
      <x:c r="Z1267" s="2" t="n">
        <x:f>ABS(T1267-AA1267)</x:f>
        <x:v>0</x:v>
      </x:c>
      <x:c r="AA1267" s="2" t="n">
        <x:v>198</x:v>
      </x:c>
      <x:c r="AB1267" s="2" t="n">
        <x:f>ABS(K1267-W1267)</x:f>
        <x:v>3</x:v>
      </x:c>
      <x:c r="AC1267" s="2" t="n">
        <x:f>COUNTIF($A$2:$A$1921,A1267)-1</x:f>
        <x:v>0</x:v>
      </x:c>
      <x:c r="AD1267" s="2" t="n">
        <x:f>IF(AND(D1267=D1266,H1267=H1266,C1267=C1266+1),ABS(R1267-T1266),0)</x:f>
        <x:v>0</x:v>
      </x:c>
    </x:row>
    <x:row r="1268" ht="23" customHeight="1">
      <x:c r="A1268" s="2" t="str">
        <x:v>DEMO-304-3-7</x:v>
      </x:c>
      <x:c r="B1268" s="15" t="d">
        <x:v>2026-06-15T00:00:00.000Z</x:v>
      </x:c>
      <x:c r="C1268" s="2" t="n">
        <x:v>7</x:v>
      </x:c>
      <x:c r="D1268" s="2" t="str">
        <x:v>DEMO-304</x:v>
      </x:c>
      <x:c r="E1268" s="2" t="str">
        <x:v>Calm Desk Mat</x:v>
      </x:c>
      <x:c r="F1268" s="2" t="str">
        <x:v>Lifestyle</x:v>
      </x:c>
      <x:c r="G1268" s="2" t="str">
        <x:v>Online</x:v>
      </x:c>
      <x:c r="H1268" s="2" t="str">
        <x:v>Online</x:v>
      </x:c>
      <x:c r="I1268" s="2" t="n">
        <x:v>10</x:v>
      </x:c>
      <x:c r="J1268" s="2" t="n">
        <x:v>0</x:v>
      </x:c>
      <x:c r="K1268" s="2" t="n">
        <x:f>I1268-J1268</x:f>
        <x:v>10</x:v>
      </x:c>
      <x:c r="L1268" s="16" t="n">
        <x:v>30</x:v>
      </x:c>
      <x:c r="M1268" s="16" t="n">
        <x:v>30</x:v>
      </x:c>
      <x:c r="N1268" s="16" t="n">
        <x:v>13.05</x:v>
      </x:c>
      <x:c r="O1268" s="16" t="n">
        <x:f>K1268*M1268</x:f>
        <x:v>300</x:v>
      </x:c>
      <x:c r="P1268" s="16" t="n">
        <x:f>K1268*N1268</x:f>
        <x:v>130.5</x:v>
      </x:c>
      <x:c r="Q1268" s="16" t="n">
        <x:f>O1268-P1268</x:f>
        <x:v>169.5</x:v>
      </x:c>
      <x:c r="R1268" s="2" t="n">
        <x:v>198</x:v>
      </x:c>
      <x:c r="S1268" s="2" t="n">
        <x:v>0</x:v>
      </x:c>
      <x:c r="T1268" s="2" t="n">
        <x:f>R1268+S1268+J1268-I1268</x:f>
        <x:v>188</x:v>
      </x:c>
      <x:c r="U1268" s="2" t="n">
        <x:v>0</x:v>
      </x:c>
      <x:c r="V1268" s="2" t="n">
        <x:v>2</x:v>
      </x:c>
      <x:c r="W1268" s="2" t="n">
        <x:v>12</x:v>
      </x:c>
      <x:c r="X1268" s="14" t="b">
        <x:v>0</x:v>
      </x:c>
      <x:c r="Y1268" s="14" t="b">
        <x:v>0</x:v>
      </x:c>
      <x:c r="Z1268" s="2" t="n">
        <x:f>ABS(T1268-AA1268)</x:f>
        <x:v>0</x:v>
      </x:c>
      <x:c r="AA1268" s="2" t="n">
        <x:v>188</x:v>
      </x:c>
      <x:c r="AB1268" s="2" t="n">
        <x:f>ABS(K1268-W1268)</x:f>
        <x:v>2</x:v>
      </x:c>
      <x:c r="AC1268" s="2" t="n">
        <x:f>COUNTIF($A$2:$A$1921,A1268)-1</x:f>
        <x:v>0</x:v>
      </x:c>
      <x:c r="AD1268" s="2" t="n">
        <x:f>IF(AND(D1268=D1267,H1268=H1267,C1268=C1267+1),ABS(R1268-T1267),0)</x:f>
        <x:v>0</x:v>
      </x:c>
    </x:row>
    <x:row r="1269" ht="23" customHeight="1">
      <x:c r="A1269" s="2" t="str">
        <x:v>DEMO-304-3-8</x:v>
      </x:c>
      <x:c r="B1269" s="15" t="d">
        <x:v>2026-06-22T00:00:00.000Z</x:v>
      </x:c>
      <x:c r="C1269" s="2" t="n">
        <x:v>8</x:v>
      </x:c>
      <x:c r="D1269" s="2" t="str">
        <x:v>DEMO-304</x:v>
      </x:c>
      <x:c r="E1269" s="2" t="str">
        <x:v>Calm Desk Mat</x:v>
      </x:c>
      <x:c r="F1269" s="2" t="str">
        <x:v>Lifestyle</x:v>
      </x:c>
      <x:c r="G1269" s="2" t="str">
        <x:v>Online</x:v>
      </x:c>
      <x:c r="H1269" s="2" t="str">
        <x:v>Online</x:v>
      </x:c>
      <x:c r="I1269" s="2" t="n">
        <x:v>12</x:v>
      </x:c>
      <x:c r="J1269" s="2" t="n">
        <x:v>1</x:v>
      </x:c>
      <x:c r="K1269" s="2" t="n">
        <x:f>I1269-J1269</x:f>
        <x:v>11</x:v>
      </x:c>
      <x:c r="L1269" s="16" t="n">
        <x:v>30</x:v>
      </x:c>
      <x:c r="M1269" s="16" t="n">
        <x:v>30</x:v>
      </x:c>
      <x:c r="N1269" s="16" t="n">
        <x:v>13.05</x:v>
      </x:c>
      <x:c r="O1269" s="16" t="n">
        <x:f>K1269*M1269</x:f>
        <x:v>330</x:v>
      </x:c>
      <x:c r="P1269" s="16" t="n">
        <x:f>K1269*N1269</x:f>
        <x:v>143.55</x:v>
      </x:c>
      <x:c r="Q1269" s="16" t="n">
        <x:f>O1269-P1269</x:f>
        <x:v>186.45</x:v>
      </x:c>
      <x:c r="R1269" s="2" t="n">
        <x:v>188</x:v>
      </x:c>
      <x:c r="S1269" s="2" t="n">
        <x:v>0</x:v>
      </x:c>
      <x:c r="T1269" s="2" t="n">
        <x:f>R1269+S1269+J1269-I1269</x:f>
        <x:v>177</x:v>
      </x:c>
      <x:c r="U1269" s="2" t="n">
        <x:v>0</x:v>
      </x:c>
      <x:c r="V1269" s="2" t="n">
        <x:v>2</x:v>
      </x:c>
      <x:c r="W1269" s="2" t="n">
        <x:v>11</x:v>
      </x:c>
      <x:c r="X1269" s="14" t="b">
        <x:v>0</x:v>
      </x:c>
      <x:c r="Y1269" s="14" t="b">
        <x:v>0</x:v>
      </x:c>
      <x:c r="Z1269" s="2" t="n">
        <x:f>ABS(T1269-AA1269)</x:f>
        <x:v>0</x:v>
      </x:c>
      <x:c r="AA1269" s="2" t="n">
        <x:v>177</x:v>
      </x:c>
      <x:c r="AB1269" s="2" t="n">
        <x:f>ABS(K1269-W1269)</x:f>
        <x:v>0</x:v>
      </x:c>
      <x:c r="AC1269" s="2" t="n">
        <x:f>COUNTIF($A$2:$A$1921,A1269)-1</x:f>
        <x:v>0</x:v>
      </x:c>
      <x:c r="AD1269" s="2" t="n">
        <x:f>IF(AND(D1269=D1268,H1269=H1268,C1269=C1268+1),ABS(R1269-T1268),0)</x:f>
        <x:v>0</x:v>
      </x:c>
    </x:row>
    <x:row r="1270" ht="23" customHeight="1">
      <x:c r="A1270" s="2" t="str">
        <x:v>DEMO-304-3-9</x:v>
      </x:c>
      <x:c r="B1270" s="15" t="d">
        <x:v>2026-06-29T00:00:00.000Z</x:v>
      </x:c>
      <x:c r="C1270" s="2" t="n">
        <x:v>9</x:v>
      </x:c>
      <x:c r="D1270" s="2" t="str">
        <x:v>DEMO-304</x:v>
      </x:c>
      <x:c r="E1270" s="2" t="str">
        <x:v>Calm Desk Mat</x:v>
      </x:c>
      <x:c r="F1270" s="2" t="str">
        <x:v>Lifestyle</x:v>
      </x:c>
      <x:c r="G1270" s="2" t="str">
        <x:v>Online</x:v>
      </x:c>
      <x:c r="H1270" s="2" t="str">
        <x:v>Online</x:v>
      </x:c>
      <x:c r="I1270" s="2" t="n">
        <x:v>11</x:v>
      </x:c>
      <x:c r="J1270" s="2" t="n">
        <x:v>0</x:v>
      </x:c>
      <x:c r="K1270" s="2" t="n">
        <x:f>I1270-J1270</x:f>
        <x:v>11</x:v>
      </x:c>
      <x:c r="L1270" s="16" t="n">
        <x:v>30</x:v>
      </x:c>
      <x:c r="M1270" s="16" t="n">
        <x:v>30</x:v>
      </x:c>
      <x:c r="N1270" s="16" t="n">
        <x:v>13.05</x:v>
      </x:c>
      <x:c r="O1270" s="16" t="n">
        <x:f>K1270*M1270</x:f>
        <x:v>330</x:v>
      </x:c>
      <x:c r="P1270" s="16" t="n">
        <x:f>K1270*N1270</x:f>
        <x:v>143.55</x:v>
      </x:c>
      <x:c r="Q1270" s="16" t="n">
        <x:f>O1270-P1270</x:f>
        <x:v>186.45</x:v>
      </x:c>
      <x:c r="R1270" s="2" t="n">
        <x:v>177</x:v>
      </x:c>
      <x:c r="S1270" s="2" t="n">
        <x:v>65</x:v>
      </x:c>
      <x:c r="T1270" s="2" t="n">
        <x:f>R1270+S1270+J1270-I1270</x:f>
        <x:v>231</x:v>
      </x:c>
      <x:c r="U1270" s="2" t="n">
        <x:v>0</x:v>
      </x:c>
      <x:c r="V1270" s="2" t="n">
        <x:v>2</x:v>
      </x:c>
      <x:c r="W1270" s="2" t="n">
        <x:v>10</x:v>
      </x:c>
      <x:c r="X1270" s="14" t="b">
        <x:v>0</x:v>
      </x:c>
      <x:c r="Y1270" s="14" t="b">
        <x:v>0</x:v>
      </x:c>
      <x:c r="Z1270" s="2" t="n">
        <x:f>ABS(T1270-AA1270)</x:f>
        <x:v>0</x:v>
      </x:c>
      <x:c r="AA1270" s="2" t="n">
        <x:v>231</x:v>
      </x:c>
      <x:c r="AB1270" s="2" t="n">
        <x:f>ABS(K1270-W1270)</x:f>
        <x:v>1</x:v>
      </x:c>
      <x:c r="AC1270" s="2" t="n">
        <x:f>COUNTIF($A$2:$A$1921,A1270)-1</x:f>
        <x:v>0</x:v>
      </x:c>
      <x:c r="AD1270" s="2" t="n">
        <x:f>IF(AND(D1270=D1269,H1270=H1269,C1270=C1269+1),ABS(R1270-T1269),0)</x:f>
        <x:v>0</x:v>
      </x:c>
    </x:row>
    <x:row r="1271" ht="23" customHeight="1">
      <x:c r="A1271" s="2" t="str">
        <x:v>DEMO-304-3-10</x:v>
      </x:c>
      <x:c r="B1271" s="15" t="d">
        <x:v>2026-07-06T00:00:00.000Z</x:v>
      </x:c>
      <x:c r="C1271" s="2" t="n">
        <x:v>10</x:v>
      </x:c>
      <x:c r="D1271" s="2" t="str">
        <x:v>DEMO-304</x:v>
      </x:c>
      <x:c r="E1271" s="2" t="str">
        <x:v>Calm Desk Mat</x:v>
      </x:c>
      <x:c r="F1271" s="2" t="str">
        <x:v>Lifestyle</x:v>
      </x:c>
      <x:c r="G1271" s="2" t="str">
        <x:v>Online</x:v>
      </x:c>
      <x:c r="H1271" s="2" t="str">
        <x:v>Online</x:v>
      </x:c>
      <x:c r="I1271" s="2" t="n">
        <x:v>9</x:v>
      </x:c>
      <x:c r="J1271" s="2" t="n">
        <x:v>0</x:v>
      </x:c>
      <x:c r="K1271" s="2" t="n">
        <x:f>I1271-J1271</x:f>
        <x:v>9</x:v>
      </x:c>
      <x:c r="L1271" s="16" t="n">
        <x:v>30</x:v>
      </x:c>
      <x:c r="M1271" s="16" t="n">
        <x:v>30</x:v>
      </x:c>
      <x:c r="N1271" s="16" t="n">
        <x:v>13.05</x:v>
      </x:c>
      <x:c r="O1271" s="16" t="n">
        <x:f>K1271*M1271</x:f>
        <x:v>270</x:v>
      </x:c>
      <x:c r="P1271" s="16" t="n">
        <x:f>K1271*N1271</x:f>
        <x:v>117.45</x:v>
      </x:c>
      <x:c r="Q1271" s="16" t="n">
        <x:f>O1271-P1271</x:f>
        <x:v>152.55</x:v>
      </x:c>
      <x:c r="R1271" s="2" t="n">
        <x:v>231</x:v>
      </x:c>
      <x:c r="S1271" s="2" t="n">
        <x:v>0</x:v>
      </x:c>
      <x:c r="T1271" s="2" t="n">
        <x:f>R1271+S1271+J1271-I1271</x:f>
        <x:v>222</x:v>
      </x:c>
      <x:c r="U1271" s="2" t="n">
        <x:v>0</x:v>
      </x:c>
      <x:c r="V1271" s="2" t="n">
        <x:v>2</x:v>
      </x:c>
      <x:c r="W1271" s="2" t="n">
        <x:v>10</x:v>
      </x:c>
      <x:c r="X1271" s="14" t="b">
        <x:v>0</x:v>
      </x:c>
      <x:c r="Y1271" s="14" t="b">
        <x:v>0</x:v>
      </x:c>
      <x:c r="Z1271" s="2" t="n">
        <x:f>ABS(T1271-AA1271)</x:f>
        <x:v>0</x:v>
      </x:c>
      <x:c r="AA1271" s="2" t="n">
        <x:v>222</x:v>
      </x:c>
      <x:c r="AB1271" s="2" t="n">
        <x:f>ABS(K1271-W1271)</x:f>
        <x:v>1</x:v>
      </x:c>
      <x:c r="AC1271" s="2" t="n">
        <x:f>COUNTIF($A$2:$A$1921,A1271)-1</x:f>
        <x:v>0</x:v>
      </x:c>
      <x:c r="AD1271" s="2" t="n">
        <x:f>IF(AND(D1271=D1270,H1271=H1270,C1271=C1270+1),ABS(R1271-T1270),0)</x:f>
        <x:v>0</x:v>
      </x:c>
    </x:row>
    <x:row r="1272" ht="23" customHeight="1">
      <x:c r="A1272" s="2" t="str">
        <x:v>DEMO-304-3-11</x:v>
      </x:c>
      <x:c r="B1272" s="15" t="d">
        <x:v>2026-07-13T00:00:00.000Z</x:v>
      </x:c>
      <x:c r="C1272" s="2" t="n">
        <x:v>11</x:v>
      </x:c>
      <x:c r="D1272" s="2" t="str">
        <x:v>DEMO-304</x:v>
      </x:c>
      <x:c r="E1272" s="2" t="str">
        <x:v>Calm Desk Mat</x:v>
      </x:c>
      <x:c r="F1272" s="2" t="str">
        <x:v>Lifestyle</x:v>
      </x:c>
      <x:c r="G1272" s="2" t="str">
        <x:v>Online</x:v>
      </x:c>
      <x:c r="H1272" s="2" t="str">
        <x:v>Online</x:v>
      </x:c>
      <x:c r="I1272" s="2" t="n">
        <x:v>9</x:v>
      </x:c>
      <x:c r="J1272" s="2" t="n">
        <x:v>0</x:v>
      </x:c>
      <x:c r="K1272" s="2" t="n">
        <x:f>I1272-J1272</x:f>
        <x:v>9</x:v>
      </x:c>
      <x:c r="L1272" s="16" t="n">
        <x:v>30</x:v>
      </x:c>
      <x:c r="M1272" s="16" t="n">
        <x:v>30</x:v>
      </x:c>
      <x:c r="N1272" s="16" t="n">
        <x:v>13.05</x:v>
      </x:c>
      <x:c r="O1272" s="16" t="n">
        <x:f>K1272*M1272</x:f>
        <x:v>270</x:v>
      </x:c>
      <x:c r="P1272" s="16" t="n">
        <x:f>K1272*N1272</x:f>
        <x:v>117.45</x:v>
      </x:c>
      <x:c r="Q1272" s="16" t="n">
        <x:f>O1272-P1272</x:f>
        <x:v>152.55</x:v>
      </x:c>
      <x:c r="R1272" s="2" t="n">
        <x:v>222</x:v>
      </x:c>
      <x:c r="S1272" s="2" t="n">
        <x:v>0</x:v>
      </x:c>
      <x:c r="T1272" s="2" t="n">
        <x:f>R1272+S1272+J1272-I1272</x:f>
        <x:v>213</x:v>
      </x:c>
      <x:c r="U1272" s="2" t="n">
        <x:v>0</x:v>
      </x:c>
      <x:c r="V1272" s="2" t="n">
        <x:v>2</x:v>
      </x:c>
      <x:c r="W1272" s="2" t="n">
        <x:v>10</x:v>
      </x:c>
      <x:c r="X1272" s="14" t="b">
        <x:v>0</x:v>
      </x:c>
      <x:c r="Y1272" s="14" t="b">
        <x:v>0</x:v>
      </x:c>
      <x:c r="Z1272" s="2" t="n">
        <x:f>ABS(T1272-AA1272)</x:f>
        <x:v>0</x:v>
      </x:c>
      <x:c r="AA1272" s="2" t="n">
        <x:v>213</x:v>
      </x:c>
      <x:c r="AB1272" s="2" t="n">
        <x:f>ABS(K1272-W1272)</x:f>
        <x:v>1</x:v>
      </x:c>
      <x:c r="AC1272" s="2" t="n">
        <x:f>COUNTIF($A$2:$A$1921,A1272)-1</x:f>
        <x:v>0</x:v>
      </x:c>
      <x:c r="AD1272" s="2" t="n">
        <x:f>IF(AND(D1272=D1271,H1272=H1271,C1272=C1271+1),ABS(R1272-T1271),0)</x:f>
        <x:v>0</x:v>
      </x:c>
    </x:row>
    <x:row r="1273" ht="23" customHeight="1">
      <x:c r="A1273" s="2" t="str">
        <x:v>DEMO-304-3-12</x:v>
      </x:c>
      <x:c r="B1273" s="15" t="d">
        <x:v>2026-07-20T00:00:00.000Z</x:v>
      </x:c>
      <x:c r="C1273" s="2" t="n">
        <x:v>12</x:v>
      </x:c>
      <x:c r="D1273" s="2" t="str">
        <x:v>DEMO-304</x:v>
      </x:c>
      <x:c r="E1273" s="2" t="str">
        <x:v>Calm Desk Mat</x:v>
      </x:c>
      <x:c r="F1273" s="2" t="str">
        <x:v>Lifestyle</x:v>
      </x:c>
      <x:c r="G1273" s="2" t="str">
        <x:v>Online</x:v>
      </x:c>
      <x:c r="H1273" s="2" t="str">
        <x:v>Online</x:v>
      </x:c>
      <x:c r="I1273" s="2" t="n">
        <x:v>8</x:v>
      </x:c>
      <x:c r="J1273" s="2" t="n">
        <x:v>1</x:v>
      </x:c>
      <x:c r="K1273" s="2" t="n">
        <x:f>I1273-J1273</x:f>
        <x:v>7</x:v>
      </x:c>
      <x:c r="L1273" s="16" t="n">
        <x:v>30</x:v>
      </x:c>
      <x:c r="M1273" s="16" t="n">
        <x:v>30</x:v>
      </x:c>
      <x:c r="N1273" s="16" t="n">
        <x:v>13.05</x:v>
      </x:c>
      <x:c r="O1273" s="16" t="n">
        <x:f>K1273*M1273</x:f>
        <x:v>210</x:v>
      </x:c>
      <x:c r="P1273" s="16" t="n">
        <x:f>K1273*N1273</x:f>
        <x:v>91.35000000000001</x:v>
      </x:c>
      <x:c r="Q1273" s="16" t="n">
        <x:f>O1273-P1273</x:f>
        <x:v>118.64999999999999</x:v>
      </x:c>
      <x:c r="R1273" s="2" t="n">
        <x:v>213</x:v>
      </x:c>
      <x:c r="S1273" s="2" t="n">
        <x:v>0</x:v>
      </x:c>
      <x:c r="T1273" s="2" t="n">
        <x:f>R1273+S1273+J1273-I1273</x:f>
        <x:v>206</x:v>
      </x:c>
      <x:c r="U1273" s="2" t="n">
        <x:v>0</x:v>
      </x:c>
      <x:c r="V1273" s="2" t="n">
        <x:v>2</x:v>
      </x:c>
      <x:c r="W1273" s="2" t="n">
        <x:v>10</x:v>
      </x:c>
      <x:c r="X1273" s="14" t="b">
        <x:v>0</x:v>
      </x:c>
      <x:c r="Y1273" s="14" t="b">
        <x:v>0</x:v>
      </x:c>
      <x:c r="Z1273" s="2" t="n">
        <x:f>ABS(T1273-AA1273)</x:f>
        <x:v>0</x:v>
      </x:c>
      <x:c r="AA1273" s="2" t="n">
        <x:v>206</x:v>
      </x:c>
      <x:c r="AB1273" s="2" t="n">
        <x:f>ABS(K1273-W1273)</x:f>
        <x:v>3</x:v>
      </x:c>
      <x:c r="AC1273" s="2" t="n">
        <x:f>COUNTIF($A$2:$A$1921,A1273)-1</x:f>
        <x:v>0</x:v>
      </x:c>
      <x:c r="AD1273" s="2" t="n">
        <x:f>IF(AND(D1273=D1272,H1273=H1272,C1273=C1272+1),ABS(R1273-T1272),0)</x:f>
        <x:v>0</x:v>
      </x:c>
    </x:row>
    <x:row r="1274" ht="23" customHeight="1">
      <x:c r="A1274" s="2" t="str">
        <x:v>DEMO-304-3-13</x:v>
      </x:c>
      <x:c r="B1274" s="15" t="d">
        <x:v>2026-07-27T00:00:00.000Z</x:v>
      </x:c>
      <x:c r="C1274" s="2" t="n">
        <x:v>13</x:v>
      </x:c>
      <x:c r="D1274" s="2" t="str">
        <x:v>DEMO-304</x:v>
      </x:c>
      <x:c r="E1274" s="2" t="str">
        <x:v>Calm Desk Mat</x:v>
      </x:c>
      <x:c r="F1274" s="2" t="str">
        <x:v>Lifestyle</x:v>
      </x:c>
      <x:c r="G1274" s="2" t="str">
        <x:v>Online</x:v>
      </x:c>
      <x:c r="H1274" s="2" t="str">
        <x:v>Online</x:v>
      </x:c>
      <x:c r="I1274" s="2" t="n">
        <x:v>10</x:v>
      </x:c>
      <x:c r="J1274" s="2" t="n">
        <x:v>1</x:v>
      </x:c>
      <x:c r="K1274" s="2" t="n">
        <x:f>I1274-J1274</x:f>
        <x:v>9</x:v>
      </x:c>
      <x:c r="L1274" s="16" t="n">
        <x:v>30</x:v>
      </x:c>
      <x:c r="M1274" s="16" t="n">
        <x:v>30</x:v>
      </x:c>
      <x:c r="N1274" s="16" t="n">
        <x:v>13.05</x:v>
      </x:c>
      <x:c r="O1274" s="16" t="n">
        <x:f>K1274*M1274</x:f>
        <x:v>270</x:v>
      </x:c>
      <x:c r="P1274" s="16" t="n">
        <x:f>K1274*N1274</x:f>
        <x:v>117.45</x:v>
      </x:c>
      <x:c r="Q1274" s="16" t="n">
        <x:f>O1274-P1274</x:f>
        <x:v>152.55</x:v>
      </x:c>
      <x:c r="R1274" s="2" t="n">
        <x:v>206</x:v>
      </x:c>
      <x:c r="S1274" s="2" t="n">
        <x:v>65</x:v>
      </x:c>
      <x:c r="T1274" s="2" t="n">
        <x:f>R1274+S1274+J1274-I1274</x:f>
        <x:v>262</x:v>
      </x:c>
      <x:c r="U1274" s="2" t="n">
        <x:v>0</x:v>
      </x:c>
      <x:c r="V1274" s="2" t="n">
        <x:v>2</x:v>
      </x:c>
      <x:c r="W1274" s="2" t="n">
        <x:v>9</x:v>
      </x:c>
      <x:c r="X1274" s="14" t="b">
        <x:v>0</x:v>
      </x:c>
      <x:c r="Y1274" s="14" t="b">
        <x:v>0</x:v>
      </x:c>
      <x:c r="Z1274" s="2" t="n">
        <x:f>ABS(T1274-AA1274)</x:f>
        <x:v>0</x:v>
      </x:c>
      <x:c r="AA1274" s="2" t="n">
        <x:v>262</x:v>
      </x:c>
      <x:c r="AB1274" s="2" t="n">
        <x:f>ABS(K1274-W1274)</x:f>
        <x:v>0</x:v>
      </x:c>
      <x:c r="AC1274" s="2" t="n">
        <x:f>COUNTIF($A$2:$A$1921,A1274)-1</x:f>
        <x:v>0</x:v>
      </x:c>
      <x:c r="AD1274" s="2" t="n">
        <x:f>IF(AND(D1274=D1273,H1274=H1273,C1274=C1273+1),ABS(R1274-T1273),0)</x:f>
        <x:v>0</x:v>
      </x:c>
    </x:row>
    <x:row r="1275" ht="23" customHeight="1">
      <x:c r="A1275" s="2" t="str">
        <x:v>DEMO-304-3-14</x:v>
      </x:c>
      <x:c r="B1275" s="15" t="d">
        <x:v>2026-08-03T00:00:00.000Z</x:v>
      </x:c>
      <x:c r="C1275" s="2" t="n">
        <x:v>14</x:v>
      </x:c>
      <x:c r="D1275" s="2" t="str">
        <x:v>DEMO-304</x:v>
      </x:c>
      <x:c r="E1275" s="2" t="str">
        <x:v>Calm Desk Mat</x:v>
      </x:c>
      <x:c r="F1275" s="2" t="str">
        <x:v>Lifestyle</x:v>
      </x:c>
      <x:c r="G1275" s="2" t="str">
        <x:v>Online</x:v>
      </x:c>
      <x:c r="H1275" s="2" t="str">
        <x:v>Online</x:v>
      </x:c>
      <x:c r="I1275" s="2" t="n">
        <x:v>7</x:v>
      </x:c>
      <x:c r="J1275" s="2" t="n">
        <x:v>0</x:v>
      </x:c>
      <x:c r="K1275" s="2" t="n">
        <x:f>I1275-J1275</x:f>
        <x:v>7</x:v>
      </x:c>
      <x:c r="L1275" s="16" t="n">
        <x:v>30</x:v>
      </x:c>
      <x:c r="M1275" s="16" t="n">
        <x:v>30</x:v>
      </x:c>
      <x:c r="N1275" s="16" t="n">
        <x:v>13.05</x:v>
      </x:c>
      <x:c r="O1275" s="16" t="n">
        <x:f>K1275*M1275</x:f>
        <x:v>210</x:v>
      </x:c>
      <x:c r="P1275" s="16" t="n">
        <x:f>K1275*N1275</x:f>
        <x:v>91.35000000000001</x:v>
      </x:c>
      <x:c r="Q1275" s="16" t="n">
        <x:f>O1275-P1275</x:f>
        <x:v>118.64999999999999</x:v>
      </x:c>
      <x:c r="R1275" s="2" t="n">
        <x:v>262</x:v>
      </x:c>
      <x:c r="S1275" s="2" t="n">
        <x:v>0</x:v>
      </x:c>
      <x:c r="T1275" s="2" t="n">
        <x:f>R1275+S1275+J1275-I1275</x:f>
        <x:v>255</x:v>
      </x:c>
      <x:c r="U1275" s="2" t="n">
        <x:v>0</x:v>
      </x:c>
      <x:c r="V1275" s="2" t="n">
        <x:v>2</x:v>
      </x:c>
      <x:c r="W1275" s="2" t="n">
        <x:v>9</x:v>
      </x:c>
      <x:c r="X1275" s="14" t="b">
        <x:v>0</x:v>
      </x:c>
      <x:c r="Y1275" s="14" t="b">
        <x:v>0</x:v>
      </x:c>
      <x:c r="Z1275" s="2" t="n">
        <x:f>ABS(T1275-AA1275)</x:f>
        <x:v>0</x:v>
      </x:c>
      <x:c r="AA1275" s="2" t="n">
        <x:v>255</x:v>
      </x:c>
      <x:c r="AB1275" s="2" t="n">
        <x:f>ABS(K1275-W1275)</x:f>
        <x:v>2</x:v>
      </x:c>
      <x:c r="AC1275" s="2" t="n">
        <x:f>COUNTIF($A$2:$A$1921,A1275)-1</x:f>
        <x:v>0</x:v>
      </x:c>
      <x:c r="AD1275" s="2" t="n">
        <x:f>IF(AND(D1275=D1274,H1275=H1274,C1275=C1274+1),ABS(R1275-T1274),0)</x:f>
        <x:v>0</x:v>
      </x:c>
    </x:row>
    <x:row r="1276" ht="23" customHeight="1">
      <x:c r="A1276" s="2" t="str">
        <x:v>DEMO-304-3-15</x:v>
      </x:c>
      <x:c r="B1276" s="15" t="d">
        <x:v>2026-08-10T00:00:00.000Z</x:v>
      </x:c>
      <x:c r="C1276" s="2" t="n">
        <x:v>15</x:v>
      </x:c>
      <x:c r="D1276" s="2" t="str">
        <x:v>DEMO-304</x:v>
      </x:c>
      <x:c r="E1276" s="2" t="str">
        <x:v>Calm Desk Mat</x:v>
      </x:c>
      <x:c r="F1276" s="2" t="str">
        <x:v>Lifestyle</x:v>
      </x:c>
      <x:c r="G1276" s="2" t="str">
        <x:v>Online</x:v>
      </x:c>
      <x:c r="H1276" s="2" t="str">
        <x:v>Online</x:v>
      </x:c>
      <x:c r="I1276" s="2" t="n">
        <x:v>7</x:v>
      </x:c>
      <x:c r="J1276" s="2" t="n">
        <x:v>0</x:v>
      </x:c>
      <x:c r="K1276" s="2" t="n">
        <x:f>I1276-J1276</x:f>
        <x:v>7</x:v>
      </x:c>
      <x:c r="L1276" s="16" t="n">
        <x:v>30</x:v>
      </x:c>
      <x:c r="M1276" s="16" t="n">
        <x:v>30</x:v>
      </x:c>
      <x:c r="N1276" s="16" t="n">
        <x:v>13.05</x:v>
      </x:c>
      <x:c r="O1276" s="16" t="n">
        <x:f>K1276*M1276</x:f>
        <x:v>210</x:v>
      </x:c>
      <x:c r="P1276" s="16" t="n">
        <x:f>K1276*N1276</x:f>
        <x:v>91.35000000000001</x:v>
      </x:c>
      <x:c r="Q1276" s="16" t="n">
        <x:f>O1276-P1276</x:f>
        <x:v>118.64999999999999</x:v>
      </x:c>
      <x:c r="R1276" s="2" t="n">
        <x:v>255</x:v>
      </x:c>
      <x:c r="S1276" s="2" t="n">
        <x:v>0</x:v>
      </x:c>
      <x:c r="T1276" s="2" t="n">
        <x:f>R1276+S1276+J1276-I1276</x:f>
        <x:v>248</x:v>
      </x:c>
      <x:c r="U1276" s="2" t="n">
        <x:v>0</x:v>
      </x:c>
      <x:c r="V1276" s="2" t="n">
        <x:v>2</x:v>
      </x:c>
      <x:c r="W1276" s="2" t="n">
        <x:v>8</x:v>
      </x:c>
      <x:c r="X1276" s="14" t="b">
        <x:v>0</x:v>
      </x:c>
      <x:c r="Y1276" s="14" t="b">
        <x:v>0</x:v>
      </x:c>
      <x:c r="Z1276" s="2" t="n">
        <x:f>ABS(T1276-AA1276)</x:f>
        <x:v>0</x:v>
      </x:c>
      <x:c r="AA1276" s="2" t="n">
        <x:v>248</x:v>
      </x:c>
      <x:c r="AB1276" s="2" t="n">
        <x:f>ABS(K1276-W1276)</x:f>
        <x:v>1</x:v>
      </x:c>
      <x:c r="AC1276" s="2" t="n">
        <x:f>COUNTIF($A$2:$A$1921,A1276)-1</x:f>
        <x:v>0</x:v>
      </x:c>
      <x:c r="AD1276" s="2" t="n">
        <x:f>IF(AND(D1276=D1275,H1276=H1275,C1276=C1275+1),ABS(R1276-T1275),0)</x:f>
        <x:v>0</x:v>
      </x:c>
    </x:row>
    <x:row r="1277" ht="23" customHeight="1">
      <x:c r="A1277" s="2" t="str">
        <x:v>DEMO-304-3-16</x:v>
      </x:c>
      <x:c r="B1277" s="15" t="d">
        <x:v>2026-08-17T00:00:00.000Z</x:v>
      </x:c>
      <x:c r="C1277" s="2" t="n">
        <x:v>16</x:v>
      </x:c>
      <x:c r="D1277" s="2" t="str">
        <x:v>DEMO-304</x:v>
      </x:c>
      <x:c r="E1277" s="2" t="str">
        <x:v>Calm Desk Mat</x:v>
      </x:c>
      <x:c r="F1277" s="2" t="str">
        <x:v>Lifestyle</x:v>
      </x:c>
      <x:c r="G1277" s="2" t="str">
        <x:v>Online</x:v>
      </x:c>
      <x:c r="H1277" s="2" t="str">
        <x:v>Online</x:v>
      </x:c>
      <x:c r="I1277" s="2" t="n">
        <x:v>6</x:v>
      </x:c>
      <x:c r="J1277" s="2" t="n">
        <x:v>0</x:v>
      </x:c>
      <x:c r="K1277" s="2" t="n">
        <x:f>I1277-J1277</x:f>
        <x:v>6</x:v>
      </x:c>
      <x:c r="L1277" s="16" t="n">
        <x:v>30</x:v>
      </x:c>
      <x:c r="M1277" s="16" t="n">
        <x:v>30</x:v>
      </x:c>
      <x:c r="N1277" s="16" t="n">
        <x:v>13.05</x:v>
      </x:c>
      <x:c r="O1277" s="16" t="n">
        <x:f>K1277*M1277</x:f>
        <x:v>180</x:v>
      </x:c>
      <x:c r="P1277" s="16" t="n">
        <x:f>K1277*N1277</x:f>
        <x:v>78.30000000000001</x:v>
      </x:c>
      <x:c r="Q1277" s="16" t="n">
        <x:f>O1277-P1277</x:f>
        <x:v>101.69999999999999</x:v>
      </x:c>
      <x:c r="R1277" s="2" t="n">
        <x:v>248</x:v>
      </x:c>
      <x:c r="S1277" s="2" t="n">
        <x:v>0</x:v>
      </x:c>
      <x:c r="T1277" s="2" t="n">
        <x:f>R1277+S1277+J1277-I1277</x:f>
        <x:v>242</x:v>
      </x:c>
      <x:c r="U1277" s="2" t="n">
        <x:v>0</x:v>
      </x:c>
      <x:c r="V1277" s="2" t="n">
        <x:v>2</x:v>
      </x:c>
      <x:c r="W1277" s="2" t="n">
        <x:v>8</x:v>
      </x:c>
      <x:c r="X1277" s="14" t="b">
        <x:v>0</x:v>
      </x:c>
      <x:c r="Y1277" s="14" t="b">
        <x:v>0</x:v>
      </x:c>
      <x:c r="Z1277" s="2" t="n">
        <x:f>ABS(T1277-AA1277)</x:f>
        <x:v>0</x:v>
      </x:c>
      <x:c r="AA1277" s="2" t="n">
        <x:v>242</x:v>
      </x:c>
      <x:c r="AB1277" s="2" t="n">
        <x:f>ABS(K1277-W1277)</x:f>
        <x:v>2</x:v>
      </x:c>
      <x:c r="AC1277" s="2" t="n">
        <x:f>COUNTIF($A$2:$A$1921,A1277)-1</x:f>
        <x:v>0</x:v>
      </x:c>
      <x:c r="AD1277" s="2" t="n">
        <x:f>IF(AND(D1277=D1276,H1277=H1276,C1277=C1276+1),ABS(R1277-T1276),0)</x:f>
        <x:v>0</x:v>
      </x:c>
    </x:row>
    <x:row r="1278" ht="23" customHeight="1">
      <x:c r="A1278" s="2" t="str">
        <x:v>DEMO-304-3-17</x:v>
      </x:c>
      <x:c r="B1278" s="15" t="d">
        <x:v>2026-08-24T00:00:00.000Z</x:v>
      </x:c>
      <x:c r="C1278" s="2" t="n">
        <x:v>17</x:v>
      </x:c>
      <x:c r="D1278" s="2" t="str">
        <x:v>DEMO-304</x:v>
      </x:c>
      <x:c r="E1278" s="2" t="str">
        <x:v>Calm Desk Mat</x:v>
      </x:c>
      <x:c r="F1278" s="2" t="str">
        <x:v>Lifestyle</x:v>
      </x:c>
      <x:c r="G1278" s="2" t="str">
        <x:v>Online</x:v>
      </x:c>
      <x:c r="H1278" s="2" t="str">
        <x:v>Online</x:v>
      </x:c>
      <x:c r="I1278" s="2" t="n">
        <x:v>9</x:v>
      </x:c>
      <x:c r="J1278" s="2" t="n">
        <x:v>0</x:v>
      </x:c>
      <x:c r="K1278" s="2" t="n">
        <x:f>I1278-J1278</x:f>
        <x:v>9</x:v>
      </x:c>
      <x:c r="L1278" s="16" t="n">
        <x:v>30</x:v>
      </x:c>
      <x:c r="M1278" s="16" t="n">
        <x:v>24</x:v>
      </x:c>
      <x:c r="N1278" s="16" t="n">
        <x:v>13.05</x:v>
      </x:c>
      <x:c r="O1278" s="16" t="n">
        <x:f>K1278*M1278</x:f>
        <x:v>216</x:v>
      </x:c>
      <x:c r="P1278" s="16" t="n">
        <x:f>K1278*N1278</x:f>
        <x:v>117.45</x:v>
      </x:c>
      <x:c r="Q1278" s="16" t="n">
        <x:f>O1278-P1278</x:f>
        <x:v>98.55</x:v>
      </x:c>
      <x:c r="R1278" s="2" t="n">
        <x:v>242</x:v>
      </x:c>
      <x:c r="S1278" s="2" t="n">
        <x:v>65</x:v>
      </x:c>
      <x:c r="T1278" s="2" t="n">
        <x:f>R1278+S1278+J1278-I1278</x:f>
        <x:v>298</x:v>
      </x:c>
      <x:c r="U1278" s="2" t="n">
        <x:v>0</x:v>
      </x:c>
      <x:c r="V1278" s="2" t="n">
        <x:v>2</x:v>
      </x:c>
      <x:c r="W1278" s="2" t="n">
        <x:v>7</x:v>
      </x:c>
      <x:c r="X1278" s="14" t="b">
        <x:v>0</x:v>
      </x:c>
      <x:c r="Y1278" s="14" t="b">
        <x:v>1</x:v>
      </x:c>
      <x:c r="Z1278" s="2" t="n">
        <x:f>ABS(T1278-AA1278)</x:f>
        <x:v>0</x:v>
      </x:c>
      <x:c r="AA1278" s="2" t="n">
        <x:v>298</x:v>
      </x:c>
      <x:c r="AB1278" s="2" t="n">
        <x:f>ABS(K1278-W1278)</x:f>
        <x:v>2</x:v>
      </x:c>
      <x:c r="AC1278" s="2" t="n">
        <x:f>COUNTIF($A$2:$A$1921,A1278)-1</x:f>
        <x:v>0</x:v>
      </x:c>
      <x:c r="AD1278" s="2" t="n">
        <x:f>IF(AND(D1278=D1277,H1278=H1277,C1278=C1277+1),ABS(R1278-T1277),0)</x:f>
        <x:v>0</x:v>
      </x:c>
    </x:row>
    <x:row r="1279" ht="23" customHeight="1">
      <x:c r="A1279" s="2" t="str">
        <x:v>DEMO-304-3-18</x:v>
      </x:c>
      <x:c r="B1279" s="15" t="d">
        <x:v>2026-08-31T00:00:00.000Z</x:v>
      </x:c>
      <x:c r="C1279" s="2" t="n">
        <x:v>18</x:v>
      </x:c>
      <x:c r="D1279" s="2" t="str">
        <x:v>DEMO-304</x:v>
      </x:c>
      <x:c r="E1279" s="2" t="str">
        <x:v>Calm Desk Mat</x:v>
      </x:c>
      <x:c r="F1279" s="2" t="str">
        <x:v>Lifestyle</x:v>
      </x:c>
      <x:c r="G1279" s="2" t="str">
        <x:v>Online</x:v>
      </x:c>
      <x:c r="H1279" s="2" t="str">
        <x:v>Online</x:v>
      </x:c>
      <x:c r="I1279" s="2" t="n">
        <x:v>8</x:v>
      </x:c>
      <x:c r="J1279" s="2" t="n">
        <x:v>1</x:v>
      </x:c>
      <x:c r="K1279" s="2" t="n">
        <x:f>I1279-J1279</x:f>
        <x:v>7</x:v>
      </x:c>
      <x:c r="L1279" s="16" t="n">
        <x:v>30</x:v>
      </x:c>
      <x:c r="M1279" s="16" t="n">
        <x:v>24</x:v>
      </x:c>
      <x:c r="N1279" s="16" t="n">
        <x:v>13.05</x:v>
      </x:c>
      <x:c r="O1279" s="16" t="n">
        <x:f>K1279*M1279</x:f>
        <x:v>168</x:v>
      </x:c>
      <x:c r="P1279" s="16" t="n">
        <x:f>K1279*N1279</x:f>
        <x:v>91.35000000000001</x:v>
      </x:c>
      <x:c r="Q1279" s="16" t="n">
        <x:f>O1279-P1279</x:f>
        <x:v>76.64999999999999</x:v>
      </x:c>
      <x:c r="R1279" s="2" t="n">
        <x:v>298</x:v>
      </x:c>
      <x:c r="S1279" s="2" t="n">
        <x:v>0</x:v>
      </x:c>
      <x:c r="T1279" s="2" t="n">
        <x:f>R1279+S1279+J1279-I1279</x:f>
        <x:v>291</x:v>
      </x:c>
      <x:c r="U1279" s="2" t="n">
        <x:v>0</x:v>
      </x:c>
      <x:c r="V1279" s="2" t="n">
        <x:v>2</x:v>
      </x:c>
      <x:c r="W1279" s="2" t="n">
        <x:v>7</x:v>
      </x:c>
      <x:c r="X1279" s="14" t="b">
        <x:v>0</x:v>
      </x:c>
      <x:c r="Y1279" s="14" t="b">
        <x:v>1</x:v>
      </x:c>
      <x:c r="Z1279" s="2" t="n">
        <x:f>ABS(T1279-AA1279)</x:f>
        <x:v>0</x:v>
      </x:c>
      <x:c r="AA1279" s="2" t="n">
        <x:v>291</x:v>
      </x:c>
      <x:c r="AB1279" s="2" t="n">
        <x:f>ABS(K1279-W1279)</x:f>
        <x:v>0</x:v>
      </x:c>
      <x:c r="AC1279" s="2" t="n">
        <x:f>COUNTIF($A$2:$A$1921,A1279)-1</x:f>
        <x:v>0</x:v>
      </x:c>
      <x:c r="AD1279" s="2" t="n">
        <x:f>IF(AND(D1279=D1278,H1279=H1278,C1279=C1278+1),ABS(R1279-T1278),0)</x:f>
        <x:v>0</x:v>
      </x:c>
    </x:row>
    <x:row r="1280" ht="23" customHeight="1">
      <x:c r="A1280" s="2" t="str">
        <x:v>DEMO-304-3-19</x:v>
      </x:c>
      <x:c r="B1280" s="15" t="d">
        <x:v>2026-09-07T00:00:00.000Z</x:v>
      </x:c>
      <x:c r="C1280" s="2" t="n">
        <x:v>19</x:v>
      </x:c>
      <x:c r="D1280" s="2" t="str">
        <x:v>DEMO-304</x:v>
      </x:c>
      <x:c r="E1280" s="2" t="str">
        <x:v>Calm Desk Mat</x:v>
      </x:c>
      <x:c r="F1280" s="2" t="str">
        <x:v>Lifestyle</x:v>
      </x:c>
      <x:c r="G1280" s="2" t="str">
        <x:v>Online</x:v>
      </x:c>
      <x:c r="H1280" s="2" t="str">
        <x:v>Online</x:v>
      </x:c>
      <x:c r="I1280" s="2" t="n">
        <x:v>7</x:v>
      </x:c>
      <x:c r="J1280" s="2" t="n">
        <x:v>0</x:v>
      </x:c>
      <x:c r="K1280" s="2" t="n">
        <x:f>I1280-J1280</x:f>
        <x:v>7</x:v>
      </x:c>
      <x:c r="L1280" s="16" t="n">
        <x:v>30</x:v>
      </x:c>
      <x:c r="M1280" s="16" t="n">
        <x:v>24</x:v>
      </x:c>
      <x:c r="N1280" s="16" t="n">
        <x:v>13.05</x:v>
      </x:c>
      <x:c r="O1280" s="16" t="n">
        <x:f>K1280*M1280</x:f>
        <x:v>168</x:v>
      </x:c>
      <x:c r="P1280" s="16" t="n">
        <x:f>K1280*N1280</x:f>
        <x:v>91.35000000000001</x:v>
      </x:c>
      <x:c r="Q1280" s="16" t="n">
        <x:f>O1280-P1280</x:f>
        <x:v>76.64999999999999</x:v>
      </x:c>
      <x:c r="R1280" s="2" t="n">
        <x:v>291</x:v>
      </x:c>
      <x:c r="S1280" s="2" t="n">
        <x:v>0</x:v>
      </x:c>
      <x:c r="T1280" s="2" t="n">
        <x:f>R1280+S1280+J1280-I1280</x:f>
        <x:v>284</x:v>
      </x:c>
      <x:c r="U1280" s="2" t="n">
        <x:v>0</x:v>
      </x:c>
      <x:c r="V1280" s="2" t="n">
        <x:v>2</x:v>
      </x:c>
      <x:c r="W1280" s="2" t="n">
        <x:v>7</x:v>
      </x:c>
      <x:c r="X1280" s="14" t="b">
        <x:v>0</x:v>
      </x:c>
      <x:c r="Y1280" s="14" t="b">
        <x:v>1</x:v>
      </x:c>
      <x:c r="Z1280" s="2" t="n">
        <x:f>ABS(T1280-AA1280)</x:f>
        <x:v>0</x:v>
      </x:c>
      <x:c r="AA1280" s="2" t="n">
        <x:v>284</x:v>
      </x:c>
      <x:c r="AB1280" s="2" t="n">
        <x:f>ABS(K1280-W1280)</x:f>
        <x:v>0</x:v>
      </x:c>
      <x:c r="AC1280" s="2" t="n">
        <x:f>COUNTIF($A$2:$A$1921,A1280)-1</x:f>
        <x:v>0</x:v>
      </x:c>
      <x:c r="AD1280" s="2" t="n">
        <x:f>IF(AND(D1280=D1279,H1280=H1279,C1280=C1279+1),ABS(R1280-T1279),0)</x:f>
        <x:v>0</x:v>
      </x:c>
    </x:row>
    <x:row r="1281" ht="23" customHeight="1">
      <x:c r="A1281" s="2" t="str">
        <x:v>DEMO-304-3-20</x:v>
      </x:c>
      <x:c r="B1281" s="15" t="d">
        <x:v>2026-09-14T00:00:00.000Z</x:v>
      </x:c>
      <x:c r="C1281" s="2" t="n">
        <x:v>20</x:v>
      </x:c>
      <x:c r="D1281" s="2" t="str">
        <x:v>DEMO-304</x:v>
      </x:c>
      <x:c r="E1281" s="2" t="str">
        <x:v>Calm Desk Mat</x:v>
      </x:c>
      <x:c r="F1281" s="2" t="str">
        <x:v>Lifestyle</x:v>
      </x:c>
      <x:c r="G1281" s="2" t="str">
        <x:v>Online</x:v>
      </x:c>
      <x:c r="H1281" s="2" t="str">
        <x:v>Online</x:v>
      </x:c>
      <x:c r="I1281" s="2" t="n">
        <x:v>7</x:v>
      </x:c>
      <x:c r="J1281" s="2" t="n">
        <x:v>1</x:v>
      </x:c>
      <x:c r="K1281" s="2" t="n">
        <x:f>I1281-J1281</x:f>
        <x:v>6</x:v>
      </x:c>
      <x:c r="L1281" s="16" t="n">
        <x:v>30</x:v>
      </x:c>
      <x:c r="M1281" s="16" t="n">
        <x:v>24</x:v>
      </x:c>
      <x:c r="N1281" s="16" t="n">
        <x:v>13.05</x:v>
      </x:c>
      <x:c r="O1281" s="16" t="n">
        <x:f>K1281*M1281</x:f>
        <x:v>144</x:v>
      </x:c>
      <x:c r="P1281" s="16" t="n">
        <x:f>K1281*N1281</x:f>
        <x:v>78.30000000000001</x:v>
      </x:c>
      <x:c r="Q1281" s="16" t="n">
        <x:f>O1281-P1281</x:f>
        <x:v>65.69999999999999</x:v>
      </x:c>
      <x:c r="R1281" s="2" t="n">
        <x:v>284</x:v>
      </x:c>
      <x:c r="S1281" s="2" t="n">
        <x:v>0</x:v>
      </x:c>
      <x:c r="T1281" s="2" t="n">
        <x:f>R1281+S1281+J1281-I1281</x:f>
        <x:v>278</x:v>
      </x:c>
      <x:c r="U1281" s="2" t="n">
        <x:v>24</x:v>
      </x:c>
      <x:c r="V1281" s="2" t="n">
        <x:v>2</x:v>
      </x:c>
      <x:c r="W1281" s="2" t="n">
        <x:v>7</x:v>
      </x:c>
      <x:c r="X1281" s="14" t="b">
        <x:v>0</x:v>
      </x:c>
      <x:c r="Y1281" s="14" t="b">
        <x:v>1</x:v>
      </x:c>
      <x:c r="Z1281" s="2" t="n">
        <x:f>ABS(T1281-AA1281)</x:f>
        <x:v>0</x:v>
      </x:c>
      <x:c r="AA1281" s="2" t="n">
        <x:v>278</x:v>
      </x:c>
      <x:c r="AB1281" s="2" t="n">
        <x:f>ABS(K1281-W1281)</x:f>
        <x:v>1</x:v>
      </x:c>
      <x:c r="AC1281" s="2" t="n">
        <x:f>COUNTIF($A$2:$A$1921,A1281)-1</x:f>
        <x:v>0</x:v>
      </x:c>
      <x:c r="AD1281" s="2" t="n">
        <x:f>IF(AND(D1281=D1280,H1281=H1280,C1281=C1280+1),ABS(R1281-T1280),0)</x:f>
        <x:v>0</x:v>
      </x:c>
    </x:row>
    <x:row r="1282" ht="23" customHeight="1">
      <x:c r="A1282" s="2" t="str">
        <x:v>DEMO-305-0-1</x:v>
      </x:c>
      <x:c r="B1282" s="15" t="d">
        <x:v>2026-05-04T00:00:00.000Z</x:v>
      </x:c>
      <x:c r="C1282" s="2" t="n">
        <x:v>1</x:v>
      </x:c>
      <x:c r="D1282" s="2" t="str">
        <x:v>DEMO-305</x:v>
      </x:c>
      <x:c r="E1282" s="2" t="str">
        <x:v>Everyday Tumbler</x:v>
      </x:c>
      <x:c r="F1282" s="2" t="str">
        <x:v>Lifestyle</x:v>
      </x:c>
      <x:c r="G1282" s="2" t="str">
        <x:v>Stores</x:v>
      </x:c>
      <x:c r="H1282" s="2" t="str">
        <x:v>North Arcade</x:v>
      </x:c>
      <x:c r="I1282" s="2" t="n">
        <x:v>9</x:v>
      </x:c>
      <x:c r="J1282" s="2" t="n">
        <x:v>0</x:v>
      </x:c>
      <x:c r="K1282" s="2" t="n">
        <x:f>I1282-J1282</x:f>
        <x:v>9</x:v>
      </x:c>
      <x:c r="L1282" s="16" t="n">
        <x:v>32</x:v>
      </x:c>
      <x:c r="M1282" s="16" t="n">
        <x:v>32</x:v>
      </x:c>
      <x:c r="N1282" s="16" t="n">
        <x:v>14.72</x:v>
      </x:c>
      <x:c r="O1282" s="16" t="n">
        <x:f>K1282*M1282</x:f>
        <x:v>288</x:v>
      </x:c>
      <x:c r="P1282" s="16" t="n">
        <x:f>K1282*N1282</x:f>
        <x:v>132.48000000000002</x:v>
      </x:c>
      <x:c r="Q1282" s="16" t="n">
        <x:f>O1282-P1282</x:f>
        <x:v>155.51999999999998</x:v>
      </x:c>
      <x:c r="R1282" s="2" t="n">
        <x:v>140</x:v>
      </x:c>
      <x:c r="S1282" s="2" t="n">
        <x:v>65</x:v>
      </x:c>
      <x:c r="T1282" s="2" t="n">
        <x:f>R1282+S1282+J1282-I1282</x:f>
        <x:v>196</x:v>
      </x:c>
      <x:c r="U1282" s="2" t="n">
        <x:v>0</x:v>
      </x:c>
      <x:c r="V1282" s="2" t="n">
        <x:v>3</x:v>
      </x:c>
      <x:c r="W1282" s="2" t="n">
        <x:v>11</x:v>
      </x:c>
      <x:c r="X1282" s="14" t="b">
        <x:v>0</x:v>
      </x:c>
      <x:c r="Y1282" s="14" t="b">
        <x:v>0</x:v>
      </x:c>
      <x:c r="Z1282" s="2" t="n">
        <x:f>ABS(T1282-AA1282)</x:f>
        <x:v>0</x:v>
      </x:c>
      <x:c r="AA1282" s="2" t="n">
        <x:v>196</x:v>
      </x:c>
      <x:c r="AB1282" s="2" t="n">
        <x:f>ABS(K1282-W1282)</x:f>
        <x:v>2</x:v>
      </x:c>
      <x:c r="AC1282" s="2" t="n">
        <x:f>COUNTIF($A$2:$A$1921,A1282)-1</x:f>
        <x:v>0</x:v>
      </x:c>
      <x:c r="AD1282" s="2" t="n">
        <x:f>IF(AND(D1282=D1281,H1282=H1281,C1282=C1281+1),ABS(R1282-T1281),0)</x:f>
        <x:v>0</x:v>
      </x:c>
    </x:row>
    <x:row r="1283" ht="23" customHeight="1">
      <x:c r="A1283" s="2" t="str">
        <x:v>DEMO-305-0-2</x:v>
      </x:c>
      <x:c r="B1283" s="15" t="d">
        <x:v>2026-05-11T00:00:00.000Z</x:v>
      </x:c>
      <x:c r="C1283" s="2" t="n">
        <x:v>2</x:v>
      </x:c>
      <x:c r="D1283" s="2" t="str">
        <x:v>DEMO-305</x:v>
      </x:c>
      <x:c r="E1283" s="2" t="str">
        <x:v>Everyday Tumbler</x:v>
      </x:c>
      <x:c r="F1283" s="2" t="str">
        <x:v>Lifestyle</x:v>
      </x:c>
      <x:c r="G1283" s="2" t="str">
        <x:v>Stores</x:v>
      </x:c>
      <x:c r="H1283" s="2" t="str">
        <x:v>North Arcade</x:v>
      </x:c>
      <x:c r="I1283" s="2" t="n">
        <x:v>9</x:v>
      </x:c>
      <x:c r="J1283" s="2" t="n">
        <x:v>0</x:v>
      </x:c>
      <x:c r="K1283" s="2" t="n">
        <x:f>I1283-J1283</x:f>
        <x:v>9</x:v>
      </x:c>
      <x:c r="L1283" s="16" t="n">
        <x:v>32</x:v>
      </x:c>
      <x:c r="M1283" s="16" t="n">
        <x:v>32</x:v>
      </x:c>
      <x:c r="N1283" s="16" t="n">
        <x:v>14.72</x:v>
      </x:c>
      <x:c r="O1283" s="16" t="n">
        <x:f>K1283*M1283</x:f>
        <x:v>288</x:v>
      </x:c>
      <x:c r="P1283" s="16" t="n">
        <x:f>K1283*N1283</x:f>
        <x:v>132.48000000000002</x:v>
      </x:c>
      <x:c r="Q1283" s="16" t="n">
        <x:f>O1283-P1283</x:f>
        <x:v>155.51999999999998</x:v>
      </x:c>
      <x:c r="R1283" s="2" t="n">
        <x:v>196</x:v>
      </x:c>
      <x:c r="S1283" s="2" t="n">
        <x:v>0</x:v>
      </x:c>
      <x:c r="T1283" s="2" t="n">
        <x:f>R1283+S1283+J1283-I1283</x:f>
        <x:v>187</x:v>
      </x:c>
      <x:c r="U1283" s="2" t="n">
        <x:v>0</x:v>
      </x:c>
      <x:c r="V1283" s="2" t="n">
        <x:v>3</x:v>
      </x:c>
      <x:c r="W1283" s="2" t="n">
        <x:v>9</x:v>
      </x:c>
      <x:c r="X1283" s="14" t="b">
        <x:v>0</x:v>
      </x:c>
      <x:c r="Y1283" s="14" t="b">
        <x:v>0</x:v>
      </x:c>
      <x:c r="Z1283" s="2" t="n">
        <x:f>ABS(T1283-AA1283)</x:f>
        <x:v>0</x:v>
      </x:c>
      <x:c r="AA1283" s="2" t="n">
        <x:v>187</x:v>
      </x:c>
      <x:c r="AB1283" s="2" t="n">
        <x:f>ABS(K1283-W1283)</x:f>
        <x:v>0</x:v>
      </x:c>
      <x:c r="AC1283" s="2" t="n">
        <x:f>COUNTIF($A$2:$A$1921,A1283)-1</x:f>
        <x:v>0</x:v>
      </x:c>
      <x:c r="AD1283" s="2" t="n">
        <x:f>IF(AND(D1283=D1282,H1283=H1282,C1283=C1282+1),ABS(R1283-T1282),0)</x:f>
        <x:v>0</x:v>
      </x:c>
    </x:row>
    <x:row r="1284" ht="23" customHeight="1">
      <x:c r="A1284" s="2" t="str">
        <x:v>DEMO-305-0-3</x:v>
      </x:c>
      <x:c r="B1284" s="15" t="d">
        <x:v>2026-05-18T00:00:00.000Z</x:v>
      </x:c>
      <x:c r="C1284" s="2" t="n">
        <x:v>3</x:v>
      </x:c>
      <x:c r="D1284" s="2" t="str">
        <x:v>DEMO-305</x:v>
      </x:c>
      <x:c r="E1284" s="2" t="str">
        <x:v>Everyday Tumbler</x:v>
      </x:c>
      <x:c r="F1284" s="2" t="str">
        <x:v>Lifestyle</x:v>
      </x:c>
      <x:c r="G1284" s="2" t="str">
        <x:v>Stores</x:v>
      </x:c>
      <x:c r="H1284" s="2" t="str">
        <x:v>North Arcade</x:v>
      </x:c>
      <x:c r="I1284" s="2" t="n">
        <x:v>9</x:v>
      </x:c>
      <x:c r="J1284" s="2" t="n">
        <x:v>0</x:v>
      </x:c>
      <x:c r="K1284" s="2" t="n">
        <x:f>I1284-J1284</x:f>
        <x:v>9</x:v>
      </x:c>
      <x:c r="L1284" s="16" t="n">
        <x:v>32</x:v>
      </x:c>
      <x:c r="M1284" s="16" t="n">
        <x:v>32</x:v>
      </x:c>
      <x:c r="N1284" s="16" t="n">
        <x:v>14.72</x:v>
      </x:c>
      <x:c r="O1284" s="16" t="n">
        <x:f>K1284*M1284</x:f>
        <x:v>288</x:v>
      </x:c>
      <x:c r="P1284" s="16" t="n">
        <x:f>K1284*N1284</x:f>
        <x:v>132.48000000000002</x:v>
      </x:c>
      <x:c r="Q1284" s="16" t="n">
        <x:f>O1284-P1284</x:f>
        <x:v>155.51999999999998</x:v>
      </x:c>
      <x:c r="R1284" s="2" t="n">
        <x:v>187</x:v>
      </x:c>
      <x:c r="S1284" s="2" t="n">
        <x:v>0</x:v>
      </x:c>
      <x:c r="T1284" s="2" t="n">
        <x:f>R1284+S1284+J1284-I1284</x:f>
        <x:v>178</x:v>
      </x:c>
      <x:c r="U1284" s="2" t="n">
        <x:v>0</x:v>
      </x:c>
      <x:c r="V1284" s="2" t="n">
        <x:v>3</x:v>
      </x:c>
      <x:c r="W1284" s="2" t="n">
        <x:v>9</x:v>
      </x:c>
      <x:c r="X1284" s="14" t="b">
        <x:v>0</x:v>
      </x:c>
      <x:c r="Y1284" s="14" t="b">
        <x:v>0</x:v>
      </x:c>
      <x:c r="Z1284" s="2" t="n">
        <x:f>ABS(T1284-AA1284)</x:f>
        <x:v>0</x:v>
      </x:c>
      <x:c r="AA1284" s="2" t="n">
        <x:v>178</x:v>
      </x:c>
      <x:c r="AB1284" s="2" t="n">
        <x:f>ABS(K1284-W1284)</x:f>
        <x:v>0</x:v>
      </x:c>
      <x:c r="AC1284" s="2" t="n">
        <x:f>COUNTIF($A$2:$A$1921,A1284)-1</x:f>
        <x:v>0</x:v>
      </x:c>
      <x:c r="AD1284" s="2" t="n">
        <x:f>IF(AND(D1284=D1283,H1284=H1283,C1284=C1283+1),ABS(R1284-T1283),0)</x:f>
        <x:v>0</x:v>
      </x:c>
    </x:row>
    <x:row r="1285" ht="23" customHeight="1">
      <x:c r="A1285" s="2" t="str">
        <x:v>DEMO-305-0-4</x:v>
      </x:c>
      <x:c r="B1285" s="15" t="d">
        <x:v>2026-05-25T00:00:00.000Z</x:v>
      </x:c>
      <x:c r="C1285" s="2" t="n">
        <x:v>4</x:v>
      </x:c>
      <x:c r="D1285" s="2" t="str">
        <x:v>DEMO-305</x:v>
      </x:c>
      <x:c r="E1285" s="2" t="str">
        <x:v>Everyday Tumbler</x:v>
      </x:c>
      <x:c r="F1285" s="2" t="str">
        <x:v>Lifestyle</x:v>
      </x:c>
      <x:c r="G1285" s="2" t="str">
        <x:v>Stores</x:v>
      </x:c>
      <x:c r="H1285" s="2" t="str">
        <x:v>North Arcade</x:v>
      </x:c>
      <x:c r="I1285" s="2" t="n">
        <x:v>10</x:v>
      </x:c>
      <x:c r="J1285" s="2" t="n">
        <x:v>0</x:v>
      </x:c>
      <x:c r="K1285" s="2" t="n">
        <x:f>I1285-J1285</x:f>
        <x:v>10</x:v>
      </x:c>
      <x:c r="L1285" s="16" t="n">
        <x:v>32</x:v>
      </x:c>
      <x:c r="M1285" s="16" t="n">
        <x:v>32</x:v>
      </x:c>
      <x:c r="N1285" s="16" t="n">
        <x:v>14.72</x:v>
      </x:c>
      <x:c r="O1285" s="16" t="n">
        <x:f>K1285*M1285</x:f>
        <x:v>320</x:v>
      </x:c>
      <x:c r="P1285" s="16" t="n">
        <x:f>K1285*N1285</x:f>
        <x:v>147.20000000000002</x:v>
      </x:c>
      <x:c r="Q1285" s="16" t="n">
        <x:f>O1285-P1285</x:f>
        <x:v>172.79999999999998</x:v>
      </x:c>
      <x:c r="R1285" s="2" t="n">
        <x:v>178</x:v>
      </x:c>
      <x:c r="S1285" s="2" t="n">
        <x:v>0</x:v>
      </x:c>
      <x:c r="T1285" s="2" t="n">
        <x:f>R1285+S1285+J1285-I1285</x:f>
        <x:v>168</x:v>
      </x:c>
      <x:c r="U1285" s="2" t="n">
        <x:v>0</x:v>
      </x:c>
      <x:c r="V1285" s="2" t="n">
        <x:v>3</x:v>
      </x:c>
      <x:c r="W1285" s="2" t="n">
        <x:v>9</x:v>
      </x:c>
      <x:c r="X1285" s="14" t="b">
        <x:v>0</x:v>
      </x:c>
      <x:c r="Y1285" s="14" t="b">
        <x:v>0</x:v>
      </x:c>
      <x:c r="Z1285" s="2" t="n">
        <x:f>ABS(T1285-AA1285)</x:f>
        <x:v>0</x:v>
      </x:c>
      <x:c r="AA1285" s="2" t="n">
        <x:v>168</x:v>
      </x:c>
      <x:c r="AB1285" s="2" t="n">
        <x:f>ABS(K1285-W1285)</x:f>
        <x:v>1</x:v>
      </x:c>
      <x:c r="AC1285" s="2" t="n">
        <x:f>COUNTIF($A$2:$A$1921,A1285)-1</x:f>
        <x:v>0</x:v>
      </x:c>
      <x:c r="AD1285" s="2" t="n">
        <x:f>IF(AND(D1285=D1284,H1285=H1284,C1285=C1284+1),ABS(R1285-T1284),0)</x:f>
        <x:v>0</x:v>
      </x:c>
    </x:row>
    <x:row r="1286" ht="23" customHeight="1">
      <x:c r="A1286" s="2" t="str">
        <x:v>DEMO-305-0-5</x:v>
      </x:c>
      <x:c r="B1286" s="15" t="d">
        <x:v>2026-06-01T00:00:00.000Z</x:v>
      </x:c>
      <x:c r="C1286" s="2" t="n">
        <x:v>5</x:v>
      </x:c>
      <x:c r="D1286" s="2" t="str">
        <x:v>DEMO-305</x:v>
      </x:c>
      <x:c r="E1286" s="2" t="str">
        <x:v>Everyday Tumbler</x:v>
      </x:c>
      <x:c r="F1286" s="2" t="str">
        <x:v>Lifestyle</x:v>
      </x:c>
      <x:c r="G1286" s="2" t="str">
        <x:v>Stores</x:v>
      </x:c>
      <x:c r="H1286" s="2" t="str">
        <x:v>North Arcade</x:v>
      </x:c>
      <x:c r="I1286" s="2" t="n">
        <x:v>11</x:v>
      </x:c>
      <x:c r="J1286" s="2" t="n">
        <x:v>0</x:v>
      </x:c>
      <x:c r="K1286" s="2" t="n">
        <x:f>I1286-J1286</x:f>
        <x:v>11</x:v>
      </x:c>
      <x:c r="L1286" s="16" t="n">
        <x:v>32</x:v>
      </x:c>
      <x:c r="M1286" s="16" t="n">
        <x:v>32</x:v>
      </x:c>
      <x:c r="N1286" s="16" t="n">
        <x:v>14.72</x:v>
      </x:c>
      <x:c r="O1286" s="16" t="n">
        <x:f>K1286*M1286</x:f>
        <x:v>352</x:v>
      </x:c>
      <x:c r="P1286" s="16" t="n">
        <x:f>K1286*N1286</x:f>
        <x:v>161.92000000000002</x:v>
      </x:c>
      <x:c r="Q1286" s="16" t="n">
        <x:f>O1286-P1286</x:f>
        <x:v>190.07999999999998</x:v>
      </x:c>
      <x:c r="R1286" s="2" t="n">
        <x:v>168</x:v>
      </x:c>
      <x:c r="S1286" s="2" t="n">
        <x:v>65</x:v>
      </x:c>
      <x:c r="T1286" s="2" t="n">
        <x:f>R1286+S1286+J1286-I1286</x:f>
        <x:v>222</x:v>
      </x:c>
      <x:c r="U1286" s="2" t="n">
        <x:v>0</x:v>
      </x:c>
      <x:c r="V1286" s="2" t="n">
        <x:v>3</x:v>
      </x:c>
      <x:c r="W1286" s="2" t="n">
        <x:v>9</x:v>
      </x:c>
      <x:c r="X1286" s="14" t="b">
        <x:v>0</x:v>
      </x:c>
      <x:c r="Y1286" s="14" t="b">
        <x:v>0</x:v>
      </x:c>
      <x:c r="Z1286" s="2" t="n">
        <x:f>ABS(T1286-AA1286)</x:f>
        <x:v>0</x:v>
      </x:c>
      <x:c r="AA1286" s="2" t="n">
        <x:v>222</x:v>
      </x:c>
      <x:c r="AB1286" s="2" t="n">
        <x:f>ABS(K1286-W1286)</x:f>
        <x:v>2</x:v>
      </x:c>
      <x:c r="AC1286" s="2" t="n">
        <x:f>COUNTIF($A$2:$A$1921,A1286)-1</x:f>
        <x:v>0</x:v>
      </x:c>
      <x:c r="AD1286" s="2" t="n">
        <x:f>IF(AND(D1286=D1285,H1286=H1285,C1286=C1285+1),ABS(R1286-T1285),0)</x:f>
        <x:v>0</x:v>
      </x:c>
    </x:row>
    <x:row r="1287" ht="23" customHeight="1">
      <x:c r="A1287" s="2" t="str">
        <x:v>DEMO-305-0-6</x:v>
      </x:c>
      <x:c r="B1287" s="15" t="d">
        <x:v>2026-06-08T00:00:00.000Z</x:v>
      </x:c>
      <x:c r="C1287" s="2" t="n">
        <x:v>6</x:v>
      </x:c>
      <x:c r="D1287" s="2" t="str">
        <x:v>DEMO-305</x:v>
      </x:c>
      <x:c r="E1287" s="2" t="str">
        <x:v>Everyday Tumbler</x:v>
      </x:c>
      <x:c r="F1287" s="2" t="str">
        <x:v>Lifestyle</x:v>
      </x:c>
      <x:c r="G1287" s="2" t="str">
        <x:v>Stores</x:v>
      </x:c>
      <x:c r="H1287" s="2" t="str">
        <x:v>North Arcade</x:v>
      </x:c>
      <x:c r="I1287" s="2" t="n">
        <x:v>11</x:v>
      </x:c>
      <x:c r="J1287" s="2" t="n">
        <x:v>1</x:v>
      </x:c>
      <x:c r="K1287" s="2" t="n">
        <x:f>I1287-J1287</x:f>
        <x:v>10</x:v>
      </x:c>
      <x:c r="L1287" s="16" t="n">
        <x:v>32</x:v>
      </x:c>
      <x:c r="M1287" s="16" t="n">
        <x:v>32</x:v>
      </x:c>
      <x:c r="N1287" s="16" t="n">
        <x:v>14.72</x:v>
      </x:c>
      <x:c r="O1287" s="16" t="n">
        <x:f>K1287*M1287</x:f>
        <x:v>320</x:v>
      </x:c>
      <x:c r="P1287" s="16" t="n">
        <x:f>K1287*N1287</x:f>
        <x:v>147.20000000000002</x:v>
      </x:c>
      <x:c r="Q1287" s="16" t="n">
        <x:f>O1287-P1287</x:f>
        <x:v>172.79999999999998</x:v>
      </x:c>
      <x:c r="R1287" s="2" t="n">
        <x:v>222</x:v>
      </x:c>
      <x:c r="S1287" s="2" t="n">
        <x:v>0</x:v>
      </x:c>
      <x:c r="T1287" s="2" t="n">
        <x:f>R1287+S1287+J1287-I1287</x:f>
        <x:v>212</x:v>
      </x:c>
      <x:c r="U1287" s="2" t="n">
        <x:v>0</x:v>
      </x:c>
      <x:c r="V1287" s="2" t="n">
        <x:v>3</x:v>
      </x:c>
      <x:c r="W1287" s="2" t="n">
        <x:v>10</x:v>
      </x:c>
      <x:c r="X1287" s="14" t="b">
        <x:v>0</x:v>
      </x:c>
      <x:c r="Y1287" s="14" t="b">
        <x:v>0</x:v>
      </x:c>
      <x:c r="Z1287" s="2" t="n">
        <x:f>ABS(T1287-AA1287)</x:f>
        <x:v>0</x:v>
      </x:c>
      <x:c r="AA1287" s="2" t="n">
        <x:v>212</x:v>
      </x:c>
      <x:c r="AB1287" s="2" t="n">
        <x:f>ABS(K1287-W1287)</x:f>
        <x:v>0</x:v>
      </x:c>
      <x:c r="AC1287" s="2" t="n">
        <x:f>COUNTIF($A$2:$A$1921,A1287)-1</x:f>
        <x:v>0</x:v>
      </x:c>
      <x:c r="AD1287" s="2" t="n">
        <x:f>IF(AND(D1287=D1286,H1287=H1286,C1287=C1286+1),ABS(R1287-T1286),0)</x:f>
        <x:v>0</x:v>
      </x:c>
    </x:row>
    <x:row r="1288" ht="23" customHeight="1">
      <x:c r="A1288" s="2" t="str">
        <x:v>DEMO-305-0-7</x:v>
      </x:c>
      <x:c r="B1288" s="15" t="d">
        <x:v>2026-06-15T00:00:00.000Z</x:v>
      </x:c>
      <x:c r="C1288" s="2" t="n">
        <x:v>7</x:v>
      </x:c>
      <x:c r="D1288" s="2" t="str">
        <x:v>DEMO-305</x:v>
      </x:c>
      <x:c r="E1288" s="2" t="str">
        <x:v>Everyday Tumbler</x:v>
      </x:c>
      <x:c r="F1288" s="2" t="str">
        <x:v>Lifestyle</x:v>
      </x:c>
      <x:c r="G1288" s="2" t="str">
        <x:v>Stores</x:v>
      </x:c>
      <x:c r="H1288" s="2" t="str">
        <x:v>North Arcade</x:v>
      </x:c>
      <x:c r="I1288" s="2" t="n">
        <x:v>8</x:v>
      </x:c>
      <x:c r="J1288" s="2" t="n">
        <x:v>0</x:v>
      </x:c>
      <x:c r="K1288" s="2" t="n">
        <x:f>I1288-J1288</x:f>
        <x:v>8</x:v>
      </x:c>
      <x:c r="L1288" s="16" t="n">
        <x:v>32</x:v>
      </x:c>
      <x:c r="M1288" s="16" t="n">
        <x:v>32</x:v>
      </x:c>
      <x:c r="N1288" s="16" t="n">
        <x:v>14.72</x:v>
      </x:c>
      <x:c r="O1288" s="16" t="n">
        <x:f>K1288*M1288</x:f>
        <x:v>256</x:v>
      </x:c>
      <x:c r="P1288" s="16" t="n">
        <x:f>K1288*N1288</x:f>
        <x:v>117.76</x:v>
      </x:c>
      <x:c r="Q1288" s="16" t="n">
        <x:f>O1288-P1288</x:f>
        <x:v>138.24</x:v>
      </x:c>
      <x:c r="R1288" s="2" t="n">
        <x:v>212</x:v>
      </x:c>
      <x:c r="S1288" s="2" t="n">
        <x:v>0</x:v>
      </x:c>
      <x:c r="T1288" s="2" t="n">
        <x:f>R1288+S1288+J1288-I1288</x:f>
        <x:v>204</x:v>
      </x:c>
      <x:c r="U1288" s="2" t="n">
        <x:v>0</x:v>
      </x:c>
      <x:c r="V1288" s="2" t="n">
        <x:v>3</x:v>
      </x:c>
      <x:c r="W1288" s="2" t="n">
        <x:v>10</x:v>
      </x:c>
      <x:c r="X1288" s="14" t="b">
        <x:v>0</x:v>
      </x:c>
      <x:c r="Y1288" s="14" t="b">
        <x:v>0</x:v>
      </x:c>
      <x:c r="Z1288" s="2" t="n">
        <x:f>ABS(T1288-AA1288)</x:f>
        <x:v>0</x:v>
      </x:c>
      <x:c r="AA1288" s="2" t="n">
        <x:v>204</x:v>
      </x:c>
      <x:c r="AB1288" s="2" t="n">
        <x:f>ABS(K1288-W1288)</x:f>
        <x:v>2</x:v>
      </x:c>
      <x:c r="AC1288" s="2" t="n">
        <x:f>COUNTIF($A$2:$A$1921,A1288)-1</x:f>
        <x:v>0</x:v>
      </x:c>
      <x:c r="AD1288" s="2" t="n">
        <x:f>IF(AND(D1288=D1287,H1288=H1287,C1288=C1287+1),ABS(R1288-T1287),0)</x:f>
        <x:v>0</x:v>
      </x:c>
    </x:row>
    <x:row r="1289" ht="23" customHeight="1">
      <x:c r="A1289" s="2" t="str">
        <x:v>DEMO-305-0-8</x:v>
      </x:c>
      <x:c r="B1289" s="15" t="d">
        <x:v>2026-06-22T00:00:00.000Z</x:v>
      </x:c>
      <x:c r="C1289" s="2" t="n">
        <x:v>8</x:v>
      </x:c>
      <x:c r="D1289" s="2" t="str">
        <x:v>DEMO-305</x:v>
      </x:c>
      <x:c r="E1289" s="2" t="str">
        <x:v>Everyday Tumbler</x:v>
      </x:c>
      <x:c r="F1289" s="2" t="str">
        <x:v>Lifestyle</x:v>
      </x:c>
      <x:c r="G1289" s="2" t="str">
        <x:v>Stores</x:v>
      </x:c>
      <x:c r="H1289" s="2" t="str">
        <x:v>North Arcade</x:v>
      </x:c>
      <x:c r="I1289" s="2" t="n">
        <x:v>10</x:v>
      </x:c>
      <x:c r="J1289" s="2" t="n">
        <x:v>0</x:v>
      </x:c>
      <x:c r="K1289" s="2" t="n">
        <x:f>I1289-J1289</x:f>
        <x:v>10</x:v>
      </x:c>
      <x:c r="L1289" s="16" t="n">
        <x:v>32</x:v>
      </x:c>
      <x:c r="M1289" s="16" t="n">
        <x:v>32</x:v>
      </x:c>
      <x:c r="N1289" s="16" t="n">
        <x:v>14.72</x:v>
      </x:c>
      <x:c r="O1289" s="16" t="n">
        <x:f>K1289*M1289</x:f>
        <x:v>320</x:v>
      </x:c>
      <x:c r="P1289" s="16" t="n">
        <x:f>K1289*N1289</x:f>
        <x:v>147.20000000000002</x:v>
      </x:c>
      <x:c r="Q1289" s="16" t="n">
        <x:f>O1289-P1289</x:f>
        <x:v>172.79999999999998</x:v>
      </x:c>
      <x:c r="R1289" s="2" t="n">
        <x:v>204</x:v>
      </x:c>
      <x:c r="S1289" s="2" t="n">
        <x:v>0</x:v>
      </x:c>
      <x:c r="T1289" s="2" t="n">
        <x:f>R1289+S1289+J1289-I1289</x:f>
        <x:v>194</x:v>
      </x:c>
      <x:c r="U1289" s="2" t="n">
        <x:v>0</x:v>
      </x:c>
      <x:c r="V1289" s="2" t="n">
        <x:v>3</x:v>
      </x:c>
      <x:c r="W1289" s="2" t="n">
        <x:v>10</x:v>
      </x:c>
      <x:c r="X1289" s="14" t="b">
        <x:v>0</x:v>
      </x:c>
      <x:c r="Y1289" s="14" t="b">
        <x:v>0</x:v>
      </x:c>
      <x:c r="Z1289" s="2" t="n">
        <x:f>ABS(T1289-AA1289)</x:f>
        <x:v>0</x:v>
      </x:c>
      <x:c r="AA1289" s="2" t="n">
        <x:v>194</x:v>
      </x:c>
      <x:c r="AB1289" s="2" t="n">
        <x:f>ABS(K1289-W1289)</x:f>
        <x:v>0</x:v>
      </x:c>
      <x:c r="AC1289" s="2" t="n">
        <x:f>COUNTIF($A$2:$A$1921,A1289)-1</x:f>
        <x:v>0</x:v>
      </x:c>
      <x:c r="AD1289" s="2" t="n">
        <x:f>IF(AND(D1289=D1288,H1289=H1288,C1289=C1288+1),ABS(R1289-T1288),0)</x:f>
        <x:v>0</x:v>
      </x:c>
    </x:row>
    <x:row r="1290" ht="23" customHeight="1">
      <x:c r="A1290" s="2" t="str">
        <x:v>DEMO-305-0-9</x:v>
      </x:c>
      <x:c r="B1290" s="15" t="d">
        <x:v>2026-06-29T00:00:00.000Z</x:v>
      </x:c>
      <x:c r="C1290" s="2" t="n">
        <x:v>9</x:v>
      </x:c>
      <x:c r="D1290" s="2" t="str">
        <x:v>DEMO-305</x:v>
      </x:c>
      <x:c r="E1290" s="2" t="str">
        <x:v>Everyday Tumbler</x:v>
      </x:c>
      <x:c r="F1290" s="2" t="str">
        <x:v>Lifestyle</x:v>
      </x:c>
      <x:c r="G1290" s="2" t="str">
        <x:v>Stores</x:v>
      </x:c>
      <x:c r="H1290" s="2" t="str">
        <x:v>North Arcade</x:v>
      </x:c>
      <x:c r="I1290" s="2" t="n">
        <x:v>9</x:v>
      </x:c>
      <x:c r="J1290" s="2" t="n">
        <x:v>0</x:v>
      </x:c>
      <x:c r="K1290" s="2" t="n">
        <x:f>I1290-J1290</x:f>
        <x:v>9</x:v>
      </x:c>
      <x:c r="L1290" s="16" t="n">
        <x:v>32</x:v>
      </x:c>
      <x:c r="M1290" s="16" t="n">
        <x:v>32</x:v>
      </x:c>
      <x:c r="N1290" s="16" t="n">
        <x:v>14.72</x:v>
      </x:c>
      <x:c r="O1290" s="16" t="n">
        <x:f>K1290*M1290</x:f>
        <x:v>288</x:v>
      </x:c>
      <x:c r="P1290" s="16" t="n">
        <x:f>K1290*N1290</x:f>
        <x:v>132.48000000000002</x:v>
      </x:c>
      <x:c r="Q1290" s="16" t="n">
        <x:f>O1290-P1290</x:f>
        <x:v>155.51999999999998</x:v>
      </x:c>
      <x:c r="R1290" s="2" t="n">
        <x:v>194</x:v>
      </x:c>
      <x:c r="S1290" s="2" t="n">
        <x:v>65</x:v>
      </x:c>
      <x:c r="T1290" s="2" t="n">
        <x:f>R1290+S1290+J1290-I1290</x:f>
        <x:v>250</x:v>
      </x:c>
      <x:c r="U1290" s="2" t="n">
        <x:v>0</x:v>
      </x:c>
      <x:c r="V1290" s="2" t="n">
        <x:v>3</x:v>
      </x:c>
      <x:c r="W1290" s="2" t="n">
        <x:v>10</x:v>
      </x:c>
      <x:c r="X1290" s="14" t="b">
        <x:v>0</x:v>
      </x:c>
      <x:c r="Y1290" s="14" t="b">
        <x:v>0</x:v>
      </x:c>
      <x:c r="Z1290" s="2" t="n">
        <x:f>ABS(T1290-AA1290)</x:f>
        <x:v>0</x:v>
      </x:c>
      <x:c r="AA1290" s="2" t="n">
        <x:v>250</x:v>
      </x:c>
      <x:c r="AB1290" s="2" t="n">
        <x:f>ABS(K1290-W1290)</x:f>
        <x:v>1</x:v>
      </x:c>
      <x:c r="AC1290" s="2" t="n">
        <x:f>COUNTIF($A$2:$A$1921,A1290)-1</x:f>
        <x:v>0</x:v>
      </x:c>
      <x:c r="AD1290" s="2" t="n">
        <x:f>IF(AND(D1290=D1289,H1290=H1289,C1290=C1289+1),ABS(R1290-T1289),0)</x:f>
        <x:v>0</x:v>
      </x:c>
    </x:row>
    <x:row r="1291" ht="23" customHeight="1">
      <x:c r="A1291" s="2" t="str">
        <x:v>DEMO-305-0-10</x:v>
      </x:c>
      <x:c r="B1291" s="15" t="d">
        <x:v>2026-07-06T00:00:00.000Z</x:v>
      </x:c>
      <x:c r="C1291" s="2" t="n">
        <x:v>10</x:v>
      </x:c>
      <x:c r="D1291" s="2" t="str">
        <x:v>DEMO-305</x:v>
      </x:c>
      <x:c r="E1291" s="2" t="str">
        <x:v>Everyday Tumbler</x:v>
      </x:c>
      <x:c r="F1291" s="2" t="str">
        <x:v>Lifestyle</x:v>
      </x:c>
      <x:c r="G1291" s="2" t="str">
        <x:v>Stores</x:v>
      </x:c>
      <x:c r="H1291" s="2" t="str">
        <x:v>North Arcade</x:v>
      </x:c>
      <x:c r="I1291" s="2" t="n">
        <x:v>7</x:v>
      </x:c>
      <x:c r="J1291" s="2" t="n">
        <x:v>0</x:v>
      </x:c>
      <x:c r="K1291" s="2" t="n">
        <x:f>I1291-J1291</x:f>
        <x:v>7</x:v>
      </x:c>
      <x:c r="L1291" s="16" t="n">
        <x:v>32</x:v>
      </x:c>
      <x:c r="M1291" s="16" t="n">
        <x:v>32</x:v>
      </x:c>
      <x:c r="N1291" s="16" t="n">
        <x:v>14.72</x:v>
      </x:c>
      <x:c r="O1291" s="16" t="n">
        <x:f>K1291*M1291</x:f>
        <x:v>224</x:v>
      </x:c>
      <x:c r="P1291" s="16" t="n">
        <x:f>K1291*N1291</x:f>
        <x:v>103.04</x:v>
      </x:c>
      <x:c r="Q1291" s="16" t="n">
        <x:f>O1291-P1291</x:f>
        <x:v>120.96</x:v>
      </x:c>
      <x:c r="R1291" s="2" t="n">
        <x:v>250</x:v>
      </x:c>
      <x:c r="S1291" s="2" t="n">
        <x:v>0</x:v>
      </x:c>
      <x:c r="T1291" s="2" t="n">
        <x:f>R1291+S1291+J1291-I1291</x:f>
        <x:v>243</x:v>
      </x:c>
      <x:c r="U1291" s="2" t="n">
        <x:v>0</x:v>
      </x:c>
      <x:c r="V1291" s="2" t="n">
        <x:v>3</x:v>
      </x:c>
      <x:c r="W1291" s="2" t="n">
        <x:v>9</x:v>
      </x:c>
      <x:c r="X1291" s="14" t="b">
        <x:v>0</x:v>
      </x:c>
      <x:c r="Y1291" s="14" t="b">
        <x:v>0</x:v>
      </x:c>
      <x:c r="Z1291" s="2" t="n">
        <x:f>ABS(T1291-AA1291)</x:f>
        <x:v>0</x:v>
      </x:c>
      <x:c r="AA1291" s="2" t="n">
        <x:v>243</x:v>
      </x:c>
      <x:c r="AB1291" s="2" t="n">
        <x:f>ABS(K1291-W1291)</x:f>
        <x:v>2</x:v>
      </x:c>
      <x:c r="AC1291" s="2" t="n">
        <x:f>COUNTIF($A$2:$A$1921,A1291)-1</x:f>
        <x:v>0</x:v>
      </x:c>
      <x:c r="AD1291" s="2" t="n">
        <x:f>IF(AND(D1291=D1290,H1291=H1290,C1291=C1290+1),ABS(R1291-T1290),0)</x:f>
        <x:v>0</x:v>
      </x:c>
    </x:row>
    <x:row r="1292" ht="23" customHeight="1">
      <x:c r="A1292" s="2" t="str">
        <x:v>DEMO-305-0-11</x:v>
      </x:c>
      <x:c r="B1292" s="15" t="d">
        <x:v>2026-07-13T00:00:00.000Z</x:v>
      </x:c>
      <x:c r="C1292" s="2" t="n">
        <x:v>11</x:v>
      </x:c>
      <x:c r="D1292" s="2" t="str">
        <x:v>DEMO-305</x:v>
      </x:c>
      <x:c r="E1292" s="2" t="str">
        <x:v>Everyday Tumbler</x:v>
      </x:c>
      <x:c r="F1292" s="2" t="str">
        <x:v>Lifestyle</x:v>
      </x:c>
      <x:c r="G1292" s="2" t="str">
        <x:v>Stores</x:v>
      </x:c>
      <x:c r="H1292" s="2" t="str">
        <x:v>North Arcade</x:v>
      </x:c>
      <x:c r="I1292" s="2" t="n">
        <x:v>8</x:v>
      </x:c>
      <x:c r="J1292" s="2" t="n">
        <x:v>0</x:v>
      </x:c>
      <x:c r="K1292" s="2" t="n">
        <x:f>I1292-J1292</x:f>
        <x:v>8</x:v>
      </x:c>
      <x:c r="L1292" s="16" t="n">
        <x:v>32</x:v>
      </x:c>
      <x:c r="M1292" s="16" t="n">
        <x:v>32</x:v>
      </x:c>
      <x:c r="N1292" s="16" t="n">
        <x:v>14.72</x:v>
      </x:c>
      <x:c r="O1292" s="16" t="n">
        <x:f>K1292*M1292</x:f>
        <x:v>256</x:v>
      </x:c>
      <x:c r="P1292" s="16" t="n">
        <x:f>K1292*N1292</x:f>
        <x:v>117.76</x:v>
      </x:c>
      <x:c r="Q1292" s="16" t="n">
        <x:f>O1292-P1292</x:f>
        <x:v>138.24</x:v>
      </x:c>
      <x:c r="R1292" s="2" t="n">
        <x:v>243</x:v>
      </x:c>
      <x:c r="S1292" s="2" t="n">
        <x:v>0</x:v>
      </x:c>
      <x:c r="T1292" s="2" t="n">
        <x:f>R1292+S1292+J1292-I1292</x:f>
        <x:v>235</x:v>
      </x:c>
      <x:c r="U1292" s="2" t="n">
        <x:v>0</x:v>
      </x:c>
      <x:c r="V1292" s="2" t="n">
        <x:v>3</x:v>
      </x:c>
      <x:c r="W1292" s="2" t="n">
        <x:v>9</x:v>
      </x:c>
      <x:c r="X1292" s="14" t="b">
        <x:v>0</x:v>
      </x:c>
      <x:c r="Y1292" s="14" t="b">
        <x:v>0</x:v>
      </x:c>
      <x:c r="Z1292" s="2" t="n">
        <x:f>ABS(T1292-AA1292)</x:f>
        <x:v>0</x:v>
      </x:c>
      <x:c r="AA1292" s="2" t="n">
        <x:v>235</x:v>
      </x:c>
      <x:c r="AB1292" s="2" t="n">
        <x:f>ABS(K1292-W1292)</x:f>
        <x:v>1</x:v>
      </x:c>
      <x:c r="AC1292" s="2" t="n">
        <x:f>COUNTIF($A$2:$A$1921,A1292)-1</x:f>
        <x:v>0</x:v>
      </x:c>
      <x:c r="AD1292" s="2" t="n">
        <x:f>IF(AND(D1292=D1291,H1292=H1291,C1292=C1291+1),ABS(R1292-T1291),0)</x:f>
        <x:v>0</x:v>
      </x:c>
    </x:row>
    <x:row r="1293" ht="23" customHeight="1">
      <x:c r="A1293" s="2" t="str">
        <x:v>DEMO-305-0-12</x:v>
      </x:c>
      <x:c r="B1293" s="15" t="d">
        <x:v>2026-07-20T00:00:00.000Z</x:v>
      </x:c>
      <x:c r="C1293" s="2" t="n">
        <x:v>12</x:v>
      </x:c>
      <x:c r="D1293" s="2" t="str">
        <x:v>DEMO-305</x:v>
      </x:c>
      <x:c r="E1293" s="2" t="str">
        <x:v>Everyday Tumbler</x:v>
      </x:c>
      <x:c r="F1293" s="2" t="str">
        <x:v>Lifestyle</x:v>
      </x:c>
      <x:c r="G1293" s="2" t="str">
        <x:v>Stores</x:v>
      </x:c>
      <x:c r="H1293" s="2" t="str">
        <x:v>North Arcade</x:v>
      </x:c>
      <x:c r="I1293" s="2" t="n">
        <x:v>6</x:v>
      </x:c>
      <x:c r="J1293" s="2" t="n">
        <x:v>0</x:v>
      </x:c>
      <x:c r="K1293" s="2" t="n">
        <x:f>I1293-J1293</x:f>
        <x:v>6</x:v>
      </x:c>
      <x:c r="L1293" s="16" t="n">
        <x:v>32</x:v>
      </x:c>
      <x:c r="M1293" s="16" t="n">
        <x:v>32</x:v>
      </x:c>
      <x:c r="N1293" s="16" t="n">
        <x:v>14.72</x:v>
      </x:c>
      <x:c r="O1293" s="16" t="n">
        <x:f>K1293*M1293</x:f>
        <x:v>192</x:v>
      </x:c>
      <x:c r="P1293" s="16" t="n">
        <x:f>K1293*N1293</x:f>
        <x:v>88.32000000000001</x:v>
      </x:c>
      <x:c r="Q1293" s="16" t="n">
        <x:f>O1293-P1293</x:f>
        <x:v>103.67999999999999</x:v>
      </x:c>
      <x:c r="R1293" s="2" t="n">
        <x:v>235</x:v>
      </x:c>
      <x:c r="S1293" s="2" t="n">
        <x:v>0</x:v>
      </x:c>
      <x:c r="T1293" s="2" t="n">
        <x:f>R1293+S1293+J1293-I1293</x:f>
        <x:v>229</x:v>
      </x:c>
      <x:c r="U1293" s="2" t="n">
        <x:v>0</x:v>
      </x:c>
      <x:c r="V1293" s="2" t="n">
        <x:v>3</x:v>
      </x:c>
      <x:c r="W1293" s="2" t="n">
        <x:v>9</x:v>
      </x:c>
      <x:c r="X1293" s="14" t="b">
        <x:v>0</x:v>
      </x:c>
      <x:c r="Y1293" s="14" t="b">
        <x:v>0</x:v>
      </x:c>
      <x:c r="Z1293" s="2" t="n">
        <x:f>ABS(T1293-AA1293)</x:f>
        <x:v>0</x:v>
      </x:c>
      <x:c r="AA1293" s="2" t="n">
        <x:v>229</x:v>
      </x:c>
      <x:c r="AB1293" s="2" t="n">
        <x:f>ABS(K1293-W1293)</x:f>
        <x:v>3</x:v>
      </x:c>
      <x:c r="AC1293" s="2" t="n">
        <x:f>COUNTIF($A$2:$A$1921,A1293)-1</x:f>
        <x:v>0</x:v>
      </x:c>
      <x:c r="AD1293" s="2" t="n">
        <x:f>IF(AND(D1293=D1292,H1293=H1292,C1293=C1292+1),ABS(R1293-T1292),0)</x:f>
        <x:v>0</x:v>
      </x:c>
    </x:row>
    <x:row r="1294" ht="23" customHeight="1">
      <x:c r="A1294" s="2" t="str">
        <x:v>DEMO-305-0-13</x:v>
      </x:c>
      <x:c r="B1294" s="15" t="d">
        <x:v>2026-07-27T00:00:00.000Z</x:v>
      </x:c>
      <x:c r="C1294" s="2" t="n">
        <x:v>13</x:v>
      </x:c>
      <x:c r="D1294" s="2" t="str">
        <x:v>DEMO-305</x:v>
      </x:c>
      <x:c r="E1294" s="2" t="str">
        <x:v>Everyday Tumbler</x:v>
      </x:c>
      <x:c r="F1294" s="2" t="str">
        <x:v>Lifestyle</x:v>
      </x:c>
      <x:c r="G1294" s="2" t="str">
        <x:v>Stores</x:v>
      </x:c>
      <x:c r="H1294" s="2" t="str">
        <x:v>North Arcade</x:v>
      </x:c>
      <x:c r="I1294" s="2" t="n">
        <x:v>8</x:v>
      </x:c>
      <x:c r="J1294" s="2" t="n">
        <x:v>0</x:v>
      </x:c>
      <x:c r="K1294" s="2" t="n">
        <x:f>I1294-J1294</x:f>
        <x:v>8</x:v>
      </x:c>
      <x:c r="L1294" s="16" t="n">
        <x:v>32</x:v>
      </x:c>
      <x:c r="M1294" s="16" t="n">
        <x:v>32</x:v>
      </x:c>
      <x:c r="N1294" s="16" t="n">
        <x:v>14.72</x:v>
      </x:c>
      <x:c r="O1294" s="16" t="n">
        <x:f>K1294*M1294</x:f>
        <x:v>256</x:v>
      </x:c>
      <x:c r="P1294" s="16" t="n">
        <x:f>K1294*N1294</x:f>
        <x:v>117.76</x:v>
      </x:c>
      <x:c r="Q1294" s="16" t="n">
        <x:f>O1294-P1294</x:f>
        <x:v>138.24</x:v>
      </x:c>
      <x:c r="R1294" s="2" t="n">
        <x:v>229</x:v>
      </x:c>
      <x:c r="S1294" s="2" t="n">
        <x:v>65</x:v>
      </x:c>
      <x:c r="T1294" s="2" t="n">
        <x:f>R1294+S1294+J1294-I1294</x:f>
        <x:v>286</x:v>
      </x:c>
      <x:c r="U1294" s="2" t="n">
        <x:v>0</x:v>
      </x:c>
      <x:c r="V1294" s="2" t="n">
        <x:v>3</x:v>
      </x:c>
      <x:c r="W1294" s="2" t="n">
        <x:v>8</x:v>
      </x:c>
      <x:c r="X1294" s="14" t="b">
        <x:v>0</x:v>
      </x:c>
      <x:c r="Y1294" s="14" t="b">
        <x:v>0</x:v>
      </x:c>
      <x:c r="Z1294" s="2" t="n">
        <x:f>ABS(T1294-AA1294)</x:f>
        <x:v>0</x:v>
      </x:c>
      <x:c r="AA1294" s="2" t="n">
        <x:v>286</x:v>
      </x:c>
      <x:c r="AB1294" s="2" t="n">
        <x:f>ABS(K1294-W1294)</x:f>
        <x:v>0</x:v>
      </x:c>
      <x:c r="AC1294" s="2" t="n">
        <x:f>COUNTIF($A$2:$A$1921,A1294)-1</x:f>
        <x:v>0</x:v>
      </x:c>
      <x:c r="AD1294" s="2" t="n">
        <x:f>IF(AND(D1294=D1293,H1294=H1293,C1294=C1293+1),ABS(R1294-T1293),0)</x:f>
        <x:v>0</x:v>
      </x:c>
    </x:row>
    <x:row r="1295" ht="23" customHeight="1">
      <x:c r="A1295" s="2" t="str">
        <x:v>DEMO-305-0-14</x:v>
      </x:c>
      <x:c r="B1295" s="15" t="d">
        <x:v>2026-08-03T00:00:00.000Z</x:v>
      </x:c>
      <x:c r="C1295" s="2" t="n">
        <x:v>14</x:v>
      </x:c>
      <x:c r="D1295" s="2" t="str">
        <x:v>DEMO-305</x:v>
      </x:c>
      <x:c r="E1295" s="2" t="str">
        <x:v>Everyday Tumbler</x:v>
      </x:c>
      <x:c r="F1295" s="2" t="str">
        <x:v>Lifestyle</x:v>
      </x:c>
      <x:c r="G1295" s="2" t="str">
        <x:v>Stores</x:v>
      </x:c>
      <x:c r="H1295" s="2" t="str">
        <x:v>North Arcade</x:v>
      </x:c>
      <x:c r="I1295" s="2" t="n">
        <x:v>7</x:v>
      </x:c>
      <x:c r="J1295" s="2" t="n">
        <x:v>1</x:v>
      </x:c>
      <x:c r="K1295" s="2" t="n">
        <x:f>I1295-J1295</x:f>
        <x:v>6</x:v>
      </x:c>
      <x:c r="L1295" s="16" t="n">
        <x:v>32</x:v>
      </x:c>
      <x:c r="M1295" s="16" t="n">
        <x:v>32</x:v>
      </x:c>
      <x:c r="N1295" s="16" t="n">
        <x:v>14.72</x:v>
      </x:c>
      <x:c r="O1295" s="16" t="n">
        <x:f>K1295*M1295</x:f>
        <x:v>192</x:v>
      </x:c>
      <x:c r="P1295" s="16" t="n">
        <x:f>K1295*N1295</x:f>
        <x:v>88.32000000000001</x:v>
      </x:c>
      <x:c r="Q1295" s="16" t="n">
        <x:f>O1295-P1295</x:f>
        <x:v>103.67999999999999</x:v>
      </x:c>
      <x:c r="R1295" s="2" t="n">
        <x:v>286</x:v>
      </x:c>
      <x:c r="S1295" s="2" t="n">
        <x:v>0</x:v>
      </x:c>
      <x:c r="T1295" s="2" t="n">
        <x:f>R1295+S1295+J1295-I1295</x:f>
        <x:v>280</x:v>
      </x:c>
      <x:c r="U1295" s="2" t="n">
        <x:v>0</x:v>
      </x:c>
      <x:c r="V1295" s="2" t="n">
        <x:v>3</x:v>
      </x:c>
      <x:c r="W1295" s="2" t="n">
        <x:v>7</x:v>
      </x:c>
      <x:c r="X1295" s="14" t="b">
        <x:v>0</x:v>
      </x:c>
      <x:c r="Y1295" s="14" t="b">
        <x:v>0</x:v>
      </x:c>
      <x:c r="Z1295" s="2" t="n">
        <x:f>ABS(T1295-AA1295)</x:f>
        <x:v>0</x:v>
      </x:c>
      <x:c r="AA1295" s="2" t="n">
        <x:v>280</x:v>
      </x:c>
      <x:c r="AB1295" s="2" t="n">
        <x:f>ABS(K1295-W1295)</x:f>
        <x:v>1</x:v>
      </x:c>
      <x:c r="AC1295" s="2" t="n">
        <x:f>COUNTIF($A$2:$A$1921,A1295)-1</x:f>
        <x:v>0</x:v>
      </x:c>
      <x:c r="AD1295" s="2" t="n">
        <x:f>IF(AND(D1295=D1294,H1295=H1294,C1295=C1294+1),ABS(R1295-T1294),0)</x:f>
        <x:v>0</x:v>
      </x:c>
    </x:row>
    <x:row r="1296" ht="23" customHeight="1">
      <x:c r="A1296" s="2" t="str">
        <x:v>DEMO-305-0-15</x:v>
      </x:c>
      <x:c r="B1296" s="15" t="d">
        <x:v>2026-08-10T00:00:00.000Z</x:v>
      </x:c>
      <x:c r="C1296" s="2" t="n">
        <x:v>15</x:v>
      </x:c>
      <x:c r="D1296" s="2" t="str">
        <x:v>DEMO-305</x:v>
      </x:c>
      <x:c r="E1296" s="2" t="str">
        <x:v>Everyday Tumbler</x:v>
      </x:c>
      <x:c r="F1296" s="2" t="str">
        <x:v>Lifestyle</x:v>
      </x:c>
      <x:c r="G1296" s="2" t="str">
        <x:v>Stores</x:v>
      </x:c>
      <x:c r="H1296" s="2" t="str">
        <x:v>North Arcade</x:v>
      </x:c>
      <x:c r="I1296" s="2" t="n">
        <x:v>7</x:v>
      </x:c>
      <x:c r="J1296" s="2" t="n">
        <x:v>0</x:v>
      </x:c>
      <x:c r="K1296" s="2" t="n">
        <x:f>I1296-J1296</x:f>
        <x:v>7</x:v>
      </x:c>
      <x:c r="L1296" s="16" t="n">
        <x:v>32</x:v>
      </x:c>
      <x:c r="M1296" s="16" t="n">
        <x:v>32</x:v>
      </x:c>
      <x:c r="N1296" s="16" t="n">
        <x:v>14.72</x:v>
      </x:c>
      <x:c r="O1296" s="16" t="n">
        <x:f>K1296*M1296</x:f>
        <x:v>224</x:v>
      </x:c>
      <x:c r="P1296" s="16" t="n">
        <x:f>K1296*N1296</x:f>
        <x:v>103.04</x:v>
      </x:c>
      <x:c r="Q1296" s="16" t="n">
        <x:f>O1296-P1296</x:f>
        <x:v>120.96</x:v>
      </x:c>
      <x:c r="R1296" s="2" t="n">
        <x:v>280</x:v>
      </x:c>
      <x:c r="S1296" s="2" t="n">
        <x:v>0</x:v>
      </x:c>
      <x:c r="T1296" s="2" t="n">
        <x:f>R1296+S1296+J1296-I1296</x:f>
        <x:v>273</x:v>
      </x:c>
      <x:c r="U1296" s="2" t="n">
        <x:v>0</x:v>
      </x:c>
      <x:c r="V1296" s="2" t="n">
        <x:v>3</x:v>
      </x:c>
      <x:c r="W1296" s="2" t="n">
        <x:v>7</x:v>
      </x:c>
      <x:c r="X1296" s="14" t="b">
        <x:v>0</x:v>
      </x:c>
      <x:c r="Y1296" s="14" t="b">
        <x:v>0</x:v>
      </x:c>
      <x:c r="Z1296" s="2" t="n">
        <x:f>ABS(T1296-AA1296)</x:f>
        <x:v>0</x:v>
      </x:c>
      <x:c r="AA1296" s="2" t="n">
        <x:v>273</x:v>
      </x:c>
      <x:c r="AB1296" s="2" t="n">
        <x:f>ABS(K1296-W1296)</x:f>
        <x:v>0</x:v>
      </x:c>
      <x:c r="AC1296" s="2" t="n">
        <x:f>COUNTIF($A$2:$A$1921,A1296)-1</x:f>
        <x:v>0</x:v>
      </x:c>
      <x:c r="AD1296" s="2" t="n">
        <x:f>IF(AND(D1296=D1295,H1296=H1295,C1296=C1295+1),ABS(R1296-T1295),0)</x:f>
        <x:v>0</x:v>
      </x:c>
    </x:row>
    <x:row r="1297" ht="23" customHeight="1">
      <x:c r="A1297" s="2" t="str">
        <x:v>DEMO-305-0-16</x:v>
      </x:c>
      <x:c r="B1297" s="15" t="d">
        <x:v>2026-08-17T00:00:00.000Z</x:v>
      </x:c>
      <x:c r="C1297" s="2" t="n">
        <x:v>16</x:v>
      </x:c>
      <x:c r="D1297" s="2" t="str">
        <x:v>DEMO-305</x:v>
      </x:c>
      <x:c r="E1297" s="2" t="str">
        <x:v>Everyday Tumbler</x:v>
      </x:c>
      <x:c r="F1297" s="2" t="str">
        <x:v>Lifestyle</x:v>
      </x:c>
      <x:c r="G1297" s="2" t="str">
        <x:v>Stores</x:v>
      </x:c>
      <x:c r="H1297" s="2" t="str">
        <x:v>North Arcade</x:v>
      </x:c>
      <x:c r="I1297" s="2" t="n">
        <x:v>6</x:v>
      </x:c>
      <x:c r="J1297" s="2" t="n">
        <x:v>0</x:v>
      </x:c>
      <x:c r="K1297" s="2" t="n">
        <x:f>I1297-J1297</x:f>
        <x:v>6</x:v>
      </x:c>
      <x:c r="L1297" s="16" t="n">
        <x:v>32</x:v>
      </x:c>
      <x:c r="M1297" s="16" t="n">
        <x:v>32</x:v>
      </x:c>
      <x:c r="N1297" s="16" t="n">
        <x:v>14.72</x:v>
      </x:c>
      <x:c r="O1297" s="16" t="n">
        <x:f>K1297*M1297</x:f>
        <x:v>192</x:v>
      </x:c>
      <x:c r="P1297" s="16" t="n">
        <x:f>K1297*N1297</x:f>
        <x:v>88.32000000000001</x:v>
      </x:c>
      <x:c r="Q1297" s="16" t="n">
        <x:f>O1297-P1297</x:f>
        <x:v>103.67999999999999</x:v>
      </x:c>
      <x:c r="R1297" s="2" t="n">
        <x:v>273</x:v>
      </x:c>
      <x:c r="S1297" s="2" t="n">
        <x:v>0</x:v>
      </x:c>
      <x:c r="T1297" s="2" t="n">
        <x:f>R1297+S1297+J1297-I1297</x:f>
        <x:v>267</x:v>
      </x:c>
      <x:c r="U1297" s="2" t="n">
        <x:v>0</x:v>
      </x:c>
      <x:c r="V1297" s="2" t="n">
        <x:v>3</x:v>
      </x:c>
      <x:c r="W1297" s="2" t="n">
        <x:v>7</x:v>
      </x:c>
      <x:c r="X1297" s="14" t="b">
        <x:v>0</x:v>
      </x:c>
      <x:c r="Y1297" s="14" t="b">
        <x:v>0</x:v>
      </x:c>
      <x:c r="Z1297" s="2" t="n">
        <x:f>ABS(T1297-AA1297)</x:f>
        <x:v>0</x:v>
      </x:c>
      <x:c r="AA1297" s="2" t="n">
        <x:v>267</x:v>
      </x:c>
      <x:c r="AB1297" s="2" t="n">
        <x:f>ABS(K1297-W1297)</x:f>
        <x:v>1</x:v>
      </x:c>
      <x:c r="AC1297" s="2" t="n">
        <x:f>COUNTIF($A$2:$A$1921,A1297)-1</x:f>
        <x:v>0</x:v>
      </x:c>
      <x:c r="AD1297" s="2" t="n">
        <x:f>IF(AND(D1297=D1296,H1297=H1296,C1297=C1296+1),ABS(R1297-T1296),0)</x:f>
        <x:v>0</x:v>
      </x:c>
    </x:row>
    <x:row r="1298" ht="23" customHeight="1">
      <x:c r="A1298" s="2" t="str">
        <x:v>DEMO-305-0-17</x:v>
      </x:c>
      <x:c r="B1298" s="15" t="d">
        <x:v>2026-08-24T00:00:00.000Z</x:v>
      </x:c>
      <x:c r="C1298" s="2" t="n">
        <x:v>17</x:v>
      </x:c>
      <x:c r="D1298" s="2" t="str">
        <x:v>DEMO-305</x:v>
      </x:c>
      <x:c r="E1298" s="2" t="str">
        <x:v>Everyday Tumbler</x:v>
      </x:c>
      <x:c r="F1298" s="2" t="str">
        <x:v>Lifestyle</x:v>
      </x:c>
      <x:c r="G1298" s="2" t="str">
        <x:v>Stores</x:v>
      </x:c>
      <x:c r="H1298" s="2" t="str">
        <x:v>North Arcade</x:v>
      </x:c>
      <x:c r="I1298" s="2" t="n">
        <x:v>6</x:v>
      </x:c>
      <x:c r="J1298" s="2" t="n">
        <x:v>1</x:v>
      </x:c>
      <x:c r="K1298" s="2" t="n">
        <x:f>I1298-J1298</x:f>
        <x:v>5</x:v>
      </x:c>
      <x:c r="L1298" s="16" t="n">
        <x:v>32</x:v>
      </x:c>
      <x:c r="M1298" s="16" t="n">
        <x:v>25.6</x:v>
      </x:c>
      <x:c r="N1298" s="16" t="n">
        <x:v>14.72</x:v>
      </x:c>
      <x:c r="O1298" s="16" t="n">
        <x:f>K1298*M1298</x:f>
        <x:v>128</x:v>
      </x:c>
      <x:c r="P1298" s="16" t="n">
        <x:f>K1298*N1298</x:f>
        <x:v>73.60000000000001</x:v>
      </x:c>
      <x:c r="Q1298" s="16" t="n">
        <x:f>O1298-P1298</x:f>
        <x:v>54.39999999999999</x:v>
      </x:c>
      <x:c r="R1298" s="2" t="n">
        <x:v>267</x:v>
      </x:c>
      <x:c r="S1298" s="2" t="n">
        <x:v>65</x:v>
      </x:c>
      <x:c r="T1298" s="2" t="n">
        <x:f>R1298+S1298+J1298-I1298</x:f>
        <x:v>327</x:v>
      </x:c>
      <x:c r="U1298" s="2" t="n">
        <x:v>0</x:v>
      </x:c>
      <x:c r="V1298" s="2" t="n">
        <x:v>3</x:v>
      </x:c>
      <x:c r="W1298" s="2" t="n">
        <x:v>7</x:v>
      </x:c>
      <x:c r="X1298" s="14" t="b">
        <x:v>0</x:v>
      </x:c>
      <x:c r="Y1298" s="14" t="b">
        <x:v>1</x:v>
      </x:c>
      <x:c r="Z1298" s="2" t="n">
        <x:f>ABS(T1298-AA1298)</x:f>
        <x:v>0</x:v>
      </x:c>
      <x:c r="AA1298" s="2" t="n">
        <x:v>327</x:v>
      </x:c>
      <x:c r="AB1298" s="2" t="n">
        <x:f>ABS(K1298-W1298)</x:f>
        <x:v>2</x:v>
      </x:c>
      <x:c r="AC1298" s="2" t="n">
        <x:f>COUNTIF($A$2:$A$1921,A1298)-1</x:f>
        <x:v>0</x:v>
      </x:c>
      <x:c r="AD1298" s="2" t="n">
        <x:f>IF(AND(D1298=D1297,H1298=H1297,C1298=C1297+1),ABS(R1298-T1297),0)</x:f>
        <x:v>0</x:v>
      </x:c>
    </x:row>
    <x:row r="1299" ht="23" customHeight="1">
      <x:c r="A1299" s="2" t="str">
        <x:v>DEMO-305-0-18</x:v>
      </x:c>
      <x:c r="B1299" s="15" t="d">
        <x:v>2026-08-31T00:00:00.000Z</x:v>
      </x:c>
      <x:c r="C1299" s="2" t="n">
        <x:v>18</x:v>
      </x:c>
      <x:c r="D1299" s="2" t="str">
        <x:v>DEMO-305</x:v>
      </x:c>
      <x:c r="E1299" s="2" t="str">
        <x:v>Everyday Tumbler</x:v>
      </x:c>
      <x:c r="F1299" s="2" t="str">
        <x:v>Lifestyle</x:v>
      </x:c>
      <x:c r="G1299" s="2" t="str">
        <x:v>Stores</x:v>
      </x:c>
      <x:c r="H1299" s="2" t="str">
        <x:v>North Arcade</x:v>
      </x:c>
      <x:c r="I1299" s="2" t="n">
        <x:v>8</x:v>
      </x:c>
      <x:c r="J1299" s="2" t="n">
        <x:v>0</x:v>
      </x:c>
      <x:c r="K1299" s="2" t="n">
        <x:f>I1299-J1299</x:f>
        <x:v>8</x:v>
      </x:c>
      <x:c r="L1299" s="16" t="n">
        <x:v>32</x:v>
      </x:c>
      <x:c r="M1299" s="16" t="n">
        <x:v>25.6</x:v>
      </x:c>
      <x:c r="N1299" s="16" t="n">
        <x:v>14.72</x:v>
      </x:c>
      <x:c r="O1299" s="16" t="n">
        <x:f>K1299*M1299</x:f>
        <x:v>204.8</x:v>
      </x:c>
      <x:c r="P1299" s="16" t="n">
        <x:f>K1299*N1299</x:f>
        <x:v>117.76</x:v>
      </x:c>
      <x:c r="Q1299" s="16" t="n">
        <x:f>O1299-P1299</x:f>
        <x:v>87.04</x:v>
      </x:c>
      <x:c r="R1299" s="2" t="n">
        <x:v>327</x:v>
      </x:c>
      <x:c r="S1299" s="2" t="n">
        <x:v>0</x:v>
      </x:c>
      <x:c r="T1299" s="2" t="n">
        <x:f>R1299+S1299+J1299-I1299</x:f>
        <x:v>319</x:v>
      </x:c>
      <x:c r="U1299" s="2" t="n">
        <x:v>0</x:v>
      </x:c>
      <x:c r="V1299" s="2" t="n">
        <x:v>3</x:v>
      </x:c>
      <x:c r="W1299" s="2" t="n">
        <x:v>6</x:v>
      </x:c>
      <x:c r="X1299" s="14" t="b">
        <x:v>0</x:v>
      </x:c>
      <x:c r="Y1299" s="14" t="b">
        <x:v>1</x:v>
      </x:c>
      <x:c r="Z1299" s="2" t="n">
        <x:f>ABS(T1299-AA1299)</x:f>
        <x:v>0</x:v>
      </x:c>
      <x:c r="AA1299" s="2" t="n">
        <x:v>319</x:v>
      </x:c>
      <x:c r="AB1299" s="2" t="n">
        <x:f>ABS(K1299-W1299)</x:f>
        <x:v>2</x:v>
      </x:c>
      <x:c r="AC1299" s="2" t="n">
        <x:f>COUNTIF($A$2:$A$1921,A1299)-1</x:f>
        <x:v>0</x:v>
      </x:c>
      <x:c r="AD1299" s="2" t="n">
        <x:f>IF(AND(D1299=D1298,H1299=H1298,C1299=C1298+1),ABS(R1299-T1298),0)</x:f>
        <x:v>0</x:v>
      </x:c>
    </x:row>
    <x:row r="1300" ht="23" customHeight="1">
      <x:c r="A1300" s="2" t="str">
        <x:v>DEMO-305-0-19</x:v>
      </x:c>
      <x:c r="B1300" s="15" t="d">
        <x:v>2026-09-07T00:00:00.000Z</x:v>
      </x:c>
      <x:c r="C1300" s="2" t="n">
        <x:v>19</x:v>
      </x:c>
      <x:c r="D1300" s="2" t="str">
        <x:v>DEMO-305</x:v>
      </x:c>
      <x:c r="E1300" s="2" t="str">
        <x:v>Everyday Tumbler</x:v>
      </x:c>
      <x:c r="F1300" s="2" t="str">
        <x:v>Lifestyle</x:v>
      </x:c>
      <x:c r="G1300" s="2" t="str">
        <x:v>Stores</x:v>
      </x:c>
      <x:c r="H1300" s="2" t="str">
        <x:v>North Arcade</x:v>
      </x:c>
      <x:c r="I1300" s="2" t="n">
        <x:v>7</x:v>
      </x:c>
      <x:c r="J1300" s="2" t="n">
        <x:v>1</x:v>
      </x:c>
      <x:c r="K1300" s="2" t="n">
        <x:f>I1300-J1300</x:f>
        <x:v>6</x:v>
      </x:c>
      <x:c r="L1300" s="16" t="n">
        <x:v>32</x:v>
      </x:c>
      <x:c r="M1300" s="16" t="n">
        <x:v>25.6</x:v>
      </x:c>
      <x:c r="N1300" s="16" t="n">
        <x:v>14.72</x:v>
      </x:c>
      <x:c r="O1300" s="16" t="n">
        <x:f>K1300*M1300</x:f>
        <x:v>153.60000000000002</x:v>
      </x:c>
      <x:c r="P1300" s="16" t="n">
        <x:f>K1300*N1300</x:f>
        <x:v>88.32000000000001</x:v>
      </x:c>
      <x:c r="Q1300" s="16" t="n">
        <x:f>O1300-P1300</x:f>
        <x:v>65.28000000000002</x:v>
      </x:c>
      <x:c r="R1300" s="2" t="n">
        <x:v>319</x:v>
      </x:c>
      <x:c r="S1300" s="2" t="n">
        <x:v>0</x:v>
      </x:c>
      <x:c r="T1300" s="2" t="n">
        <x:f>R1300+S1300+J1300-I1300</x:f>
        <x:v>313</x:v>
      </x:c>
      <x:c r="U1300" s="2" t="n">
        <x:v>0</x:v>
      </x:c>
      <x:c r="V1300" s="2" t="n">
        <x:v>3</x:v>
      </x:c>
      <x:c r="W1300" s="2" t="n">
        <x:v>7</x:v>
      </x:c>
      <x:c r="X1300" s="14" t="b">
        <x:v>0</x:v>
      </x:c>
      <x:c r="Y1300" s="14" t="b">
        <x:v>1</x:v>
      </x:c>
      <x:c r="Z1300" s="2" t="n">
        <x:f>ABS(T1300-AA1300)</x:f>
        <x:v>0</x:v>
      </x:c>
      <x:c r="AA1300" s="2" t="n">
        <x:v>313</x:v>
      </x:c>
      <x:c r="AB1300" s="2" t="n">
        <x:f>ABS(K1300-W1300)</x:f>
        <x:v>1</x:v>
      </x:c>
      <x:c r="AC1300" s="2" t="n">
        <x:f>COUNTIF($A$2:$A$1921,A1300)-1</x:f>
        <x:v>0</x:v>
      </x:c>
      <x:c r="AD1300" s="2" t="n">
        <x:f>IF(AND(D1300=D1299,H1300=H1299,C1300=C1299+1),ABS(R1300-T1299),0)</x:f>
        <x:v>0</x:v>
      </x:c>
    </x:row>
    <x:row r="1301" ht="23" customHeight="1">
      <x:c r="A1301" s="2" t="str">
        <x:v>DEMO-305-0-20</x:v>
      </x:c>
      <x:c r="B1301" s="15" t="d">
        <x:v>2026-09-14T00:00:00.000Z</x:v>
      </x:c>
      <x:c r="C1301" s="2" t="n">
        <x:v>20</x:v>
      </x:c>
      <x:c r="D1301" s="2" t="str">
        <x:v>DEMO-305</x:v>
      </x:c>
      <x:c r="E1301" s="2" t="str">
        <x:v>Everyday Tumbler</x:v>
      </x:c>
      <x:c r="F1301" s="2" t="str">
        <x:v>Lifestyle</x:v>
      </x:c>
      <x:c r="G1301" s="2" t="str">
        <x:v>Stores</x:v>
      </x:c>
      <x:c r="H1301" s="2" t="str">
        <x:v>North Arcade</x:v>
      </x:c>
      <x:c r="I1301" s="2" t="n">
        <x:v>6</x:v>
      </x:c>
      <x:c r="J1301" s="2" t="n">
        <x:v>1</x:v>
      </x:c>
      <x:c r="K1301" s="2" t="n">
        <x:f>I1301-J1301</x:f>
        <x:v>5</x:v>
      </x:c>
      <x:c r="L1301" s="16" t="n">
        <x:v>32</x:v>
      </x:c>
      <x:c r="M1301" s="16" t="n">
        <x:v>25.6</x:v>
      </x:c>
      <x:c r="N1301" s="16" t="n">
        <x:v>14.72</x:v>
      </x:c>
      <x:c r="O1301" s="16" t="n">
        <x:f>K1301*M1301</x:f>
        <x:v>128</x:v>
      </x:c>
      <x:c r="P1301" s="16" t="n">
        <x:f>K1301*N1301</x:f>
        <x:v>73.60000000000001</x:v>
      </x:c>
      <x:c r="Q1301" s="16" t="n">
        <x:f>O1301-P1301</x:f>
        <x:v>54.39999999999999</x:v>
      </x:c>
      <x:c r="R1301" s="2" t="n">
        <x:v>313</x:v>
      </x:c>
      <x:c r="S1301" s="2" t="n">
        <x:v>0</x:v>
      </x:c>
      <x:c r="T1301" s="2" t="n">
        <x:f>R1301+S1301+J1301-I1301</x:f>
        <x:v>308</x:v>
      </x:c>
      <x:c r="U1301" s="2" t="n">
        <x:v>24</x:v>
      </x:c>
      <x:c r="V1301" s="2" t="n">
        <x:v>3</x:v>
      </x:c>
      <x:c r="W1301" s="2" t="n">
        <x:v>6</x:v>
      </x:c>
      <x:c r="X1301" s="14" t="b">
        <x:v>0</x:v>
      </x:c>
      <x:c r="Y1301" s="14" t="b">
        <x:v>1</x:v>
      </x:c>
      <x:c r="Z1301" s="2" t="n">
        <x:f>ABS(T1301-AA1301)</x:f>
        <x:v>0</x:v>
      </x:c>
      <x:c r="AA1301" s="2" t="n">
        <x:v>308</x:v>
      </x:c>
      <x:c r="AB1301" s="2" t="n">
        <x:f>ABS(K1301-W1301)</x:f>
        <x:v>1</x:v>
      </x:c>
      <x:c r="AC1301" s="2" t="n">
        <x:f>COUNTIF($A$2:$A$1921,A1301)-1</x:f>
        <x:v>0</x:v>
      </x:c>
      <x:c r="AD1301" s="2" t="n">
        <x:f>IF(AND(D1301=D1300,H1301=H1300,C1301=C1300+1),ABS(R1301-T1300),0)</x:f>
        <x:v>0</x:v>
      </x:c>
    </x:row>
    <x:row r="1302" ht="23" customHeight="1">
      <x:c r="A1302" s="2" t="str">
        <x:v>DEMO-305-1-1</x:v>
      </x:c>
      <x:c r="B1302" s="15" t="d">
        <x:v>2026-05-04T00:00:00.000Z</x:v>
      </x:c>
      <x:c r="C1302" s="2" t="n">
        <x:v>1</x:v>
      </x:c>
      <x:c r="D1302" s="2" t="str">
        <x:v>DEMO-305</x:v>
      </x:c>
      <x:c r="E1302" s="2" t="str">
        <x:v>Everyday Tumbler</x:v>
      </x:c>
      <x:c r="F1302" s="2" t="str">
        <x:v>Lifestyle</x:v>
      </x:c>
      <x:c r="G1302" s="2" t="str">
        <x:v>Stores</x:v>
      </x:c>
      <x:c r="H1302" s="2" t="str">
        <x:v>Riverside</x:v>
      </x:c>
      <x:c r="I1302" s="2" t="n">
        <x:v>9</x:v>
      </x:c>
      <x:c r="J1302" s="2" t="n">
        <x:v>0</x:v>
      </x:c>
      <x:c r="K1302" s="2" t="n">
        <x:f>I1302-J1302</x:f>
        <x:v>9</x:v>
      </x:c>
      <x:c r="L1302" s="16" t="n">
        <x:v>32</x:v>
      </x:c>
      <x:c r="M1302" s="16" t="n">
        <x:v>32</x:v>
      </x:c>
      <x:c r="N1302" s="16" t="n">
        <x:v>14.72</x:v>
      </x:c>
      <x:c r="O1302" s="16" t="n">
        <x:f>K1302*M1302</x:f>
        <x:v>288</x:v>
      </x:c>
      <x:c r="P1302" s="16" t="n">
        <x:f>K1302*N1302</x:f>
        <x:v>132.48000000000002</x:v>
      </x:c>
      <x:c r="Q1302" s="16" t="n">
        <x:f>O1302-P1302</x:f>
        <x:v>155.51999999999998</x:v>
      </x:c>
      <x:c r="R1302" s="2" t="n">
        <x:v>140</x:v>
      </x:c>
      <x:c r="S1302" s="2" t="n">
        <x:v>65</x:v>
      </x:c>
      <x:c r="T1302" s="2" t="n">
        <x:f>R1302+S1302+J1302-I1302</x:f>
        <x:v>196</x:v>
      </x:c>
      <x:c r="U1302" s="2" t="n">
        <x:v>0</x:v>
      </x:c>
      <x:c r="V1302" s="2" t="n">
        <x:v>3</x:v>
      </x:c>
      <x:c r="W1302" s="2" t="n">
        <x:v>11</x:v>
      </x:c>
      <x:c r="X1302" s="14" t="b">
        <x:v>0</x:v>
      </x:c>
      <x:c r="Y1302" s="14" t="b">
        <x:v>0</x:v>
      </x:c>
      <x:c r="Z1302" s="2" t="n">
        <x:f>ABS(T1302-AA1302)</x:f>
        <x:v>0</x:v>
      </x:c>
      <x:c r="AA1302" s="2" t="n">
        <x:v>196</x:v>
      </x:c>
      <x:c r="AB1302" s="2" t="n">
        <x:f>ABS(K1302-W1302)</x:f>
        <x:v>2</x:v>
      </x:c>
      <x:c r="AC1302" s="2" t="n">
        <x:f>COUNTIF($A$2:$A$1921,A1302)-1</x:f>
        <x:v>0</x:v>
      </x:c>
      <x:c r="AD1302" s="2" t="n">
        <x:f>IF(AND(D1302=D1301,H1302=H1301,C1302=C1301+1),ABS(R1302-T1301),0)</x:f>
        <x:v>0</x:v>
      </x:c>
    </x:row>
    <x:row r="1303" ht="23" customHeight="1">
      <x:c r="A1303" s="2" t="str">
        <x:v>DEMO-305-1-2</x:v>
      </x:c>
      <x:c r="B1303" s="15" t="d">
        <x:v>2026-05-11T00:00:00.000Z</x:v>
      </x:c>
      <x:c r="C1303" s="2" t="n">
        <x:v>2</x:v>
      </x:c>
      <x:c r="D1303" s="2" t="str">
        <x:v>DEMO-305</x:v>
      </x:c>
      <x:c r="E1303" s="2" t="str">
        <x:v>Everyday Tumbler</x:v>
      </x:c>
      <x:c r="F1303" s="2" t="str">
        <x:v>Lifestyle</x:v>
      </x:c>
      <x:c r="G1303" s="2" t="str">
        <x:v>Stores</x:v>
      </x:c>
      <x:c r="H1303" s="2" t="str">
        <x:v>Riverside</x:v>
      </x:c>
      <x:c r="I1303" s="2" t="n">
        <x:v>11</x:v>
      </x:c>
      <x:c r="J1303" s="2" t="n">
        <x:v>0</x:v>
      </x:c>
      <x:c r="K1303" s="2" t="n">
        <x:f>I1303-J1303</x:f>
        <x:v>11</x:v>
      </x:c>
      <x:c r="L1303" s="16" t="n">
        <x:v>32</x:v>
      </x:c>
      <x:c r="M1303" s="16" t="n">
        <x:v>32</x:v>
      </x:c>
      <x:c r="N1303" s="16" t="n">
        <x:v>14.72</x:v>
      </x:c>
      <x:c r="O1303" s="16" t="n">
        <x:f>K1303*M1303</x:f>
        <x:v>352</x:v>
      </x:c>
      <x:c r="P1303" s="16" t="n">
        <x:f>K1303*N1303</x:f>
        <x:v>161.92000000000002</x:v>
      </x:c>
      <x:c r="Q1303" s="16" t="n">
        <x:f>O1303-P1303</x:f>
        <x:v>190.07999999999998</x:v>
      </x:c>
      <x:c r="R1303" s="2" t="n">
        <x:v>196</x:v>
      </x:c>
      <x:c r="S1303" s="2" t="n">
        <x:v>0</x:v>
      </x:c>
      <x:c r="T1303" s="2" t="n">
        <x:f>R1303+S1303+J1303-I1303</x:f>
        <x:v>185</x:v>
      </x:c>
      <x:c r="U1303" s="2" t="n">
        <x:v>0</x:v>
      </x:c>
      <x:c r="V1303" s="2" t="n">
        <x:v>3</x:v>
      </x:c>
      <x:c r="W1303" s="2" t="n">
        <x:v>9</x:v>
      </x:c>
      <x:c r="X1303" s="14" t="b">
        <x:v>0</x:v>
      </x:c>
      <x:c r="Y1303" s="14" t="b">
        <x:v>0</x:v>
      </x:c>
      <x:c r="Z1303" s="2" t="n">
        <x:f>ABS(T1303-AA1303)</x:f>
        <x:v>0</x:v>
      </x:c>
      <x:c r="AA1303" s="2" t="n">
        <x:v>185</x:v>
      </x:c>
      <x:c r="AB1303" s="2" t="n">
        <x:f>ABS(K1303-W1303)</x:f>
        <x:v>2</x:v>
      </x:c>
      <x:c r="AC1303" s="2" t="n">
        <x:f>COUNTIF($A$2:$A$1921,A1303)-1</x:f>
        <x:v>0</x:v>
      </x:c>
      <x:c r="AD1303" s="2" t="n">
        <x:f>IF(AND(D1303=D1302,H1303=H1302,C1303=C1302+1),ABS(R1303-T1302),0)</x:f>
        <x:v>0</x:v>
      </x:c>
    </x:row>
    <x:row r="1304" ht="23" customHeight="1">
      <x:c r="A1304" s="2" t="str">
        <x:v>DEMO-305-1-3</x:v>
      </x:c>
      <x:c r="B1304" s="15" t="d">
        <x:v>2026-05-18T00:00:00.000Z</x:v>
      </x:c>
      <x:c r="C1304" s="2" t="n">
        <x:v>3</x:v>
      </x:c>
      <x:c r="D1304" s="2" t="str">
        <x:v>DEMO-305</x:v>
      </x:c>
      <x:c r="E1304" s="2" t="str">
        <x:v>Everyday Tumbler</x:v>
      </x:c>
      <x:c r="F1304" s="2" t="str">
        <x:v>Lifestyle</x:v>
      </x:c>
      <x:c r="G1304" s="2" t="str">
        <x:v>Stores</x:v>
      </x:c>
      <x:c r="H1304" s="2" t="str">
        <x:v>Riverside</x:v>
      </x:c>
      <x:c r="I1304" s="2" t="n">
        <x:v>9</x:v>
      </x:c>
      <x:c r="J1304" s="2" t="n">
        <x:v>0</x:v>
      </x:c>
      <x:c r="K1304" s="2" t="n">
        <x:f>I1304-J1304</x:f>
        <x:v>9</x:v>
      </x:c>
      <x:c r="L1304" s="16" t="n">
        <x:v>32</x:v>
      </x:c>
      <x:c r="M1304" s="16" t="n">
        <x:v>32</x:v>
      </x:c>
      <x:c r="N1304" s="16" t="n">
        <x:v>14.72</x:v>
      </x:c>
      <x:c r="O1304" s="16" t="n">
        <x:f>K1304*M1304</x:f>
        <x:v>288</x:v>
      </x:c>
      <x:c r="P1304" s="16" t="n">
        <x:f>K1304*N1304</x:f>
        <x:v>132.48000000000002</x:v>
      </x:c>
      <x:c r="Q1304" s="16" t="n">
        <x:f>O1304-P1304</x:f>
        <x:v>155.51999999999998</x:v>
      </x:c>
      <x:c r="R1304" s="2" t="n">
        <x:v>185</x:v>
      </x:c>
      <x:c r="S1304" s="2" t="n">
        <x:v>0</x:v>
      </x:c>
      <x:c r="T1304" s="2" t="n">
        <x:f>R1304+S1304+J1304-I1304</x:f>
        <x:v>176</x:v>
      </x:c>
      <x:c r="U1304" s="2" t="n">
        <x:v>0</x:v>
      </x:c>
      <x:c r="V1304" s="2" t="n">
        <x:v>3</x:v>
      </x:c>
      <x:c r="W1304" s="2" t="n">
        <x:v>10</x:v>
      </x:c>
      <x:c r="X1304" s="14" t="b">
        <x:v>0</x:v>
      </x:c>
      <x:c r="Y1304" s="14" t="b">
        <x:v>0</x:v>
      </x:c>
      <x:c r="Z1304" s="2" t="n">
        <x:f>ABS(T1304-AA1304)</x:f>
        <x:v>0</x:v>
      </x:c>
      <x:c r="AA1304" s="2" t="n">
        <x:v>176</x:v>
      </x:c>
      <x:c r="AB1304" s="2" t="n">
        <x:f>ABS(K1304-W1304)</x:f>
        <x:v>1</x:v>
      </x:c>
      <x:c r="AC1304" s="2" t="n">
        <x:f>COUNTIF($A$2:$A$1921,A1304)-1</x:f>
        <x:v>0</x:v>
      </x:c>
      <x:c r="AD1304" s="2" t="n">
        <x:f>IF(AND(D1304=D1303,H1304=H1303,C1304=C1303+1),ABS(R1304-T1303),0)</x:f>
        <x:v>0</x:v>
      </x:c>
    </x:row>
    <x:row r="1305" ht="23" customHeight="1">
      <x:c r="A1305" s="2" t="str">
        <x:v>DEMO-305-1-4</x:v>
      </x:c>
      <x:c r="B1305" s="15" t="d">
        <x:v>2026-05-25T00:00:00.000Z</x:v>
      </x:c>
      <x:c r="C1305" s="2" t="n">
        <x:v>4</x:v>
      </x:c>
      <x:c r="D1305" s="2" t="str">
        <x:v>DEMO-305</x:v>
      </x:c>
      <x:c r="E1305" s="2" t="str">
        <x:v>Everyday Tumbler</x:v>
      </x:c>
      <x:c r="F1305" s="2" t="str">
        <x:v>Lifestyle</x:v>
      </x:c>
      <x:c r="G1305" s="2" t="str">
        <x:v>Stores</x:v>
      </x:c>
      <x:c r="H1305" s="2" t="str">
        <x:v>Riverside</x:v>
      </x:c>
      <x:c r="I1305" s="2" t="n">
        <x:v>8</x:v>
      </x:c>
      <x:c r="J1305" s="2" t="n">
        <x:v>0</x:v>
      </x:c>
      <x:c r="K1305" s="2" t="n">
        <x:f>I1305-J1305</x:f>
        <x:v>8</x:v>
      </x:c>
      <x:c r="L1305" s="16" t="n">
        <x:v>32</x:v>
      </x:c>
      <x:c r="M1305" s="16" t="n">
        <x:v>32</x:v>
      </x:c>
      <x:c r="N1305" s="16" t="n">
        <x:v>14.72</x:v>
      </x:c>
      <x:c r="O1305" s="16" t="n">
        <x:f>K1305*M1305</x:f>
        <x:v>256</x:v>
      </x:c>
      <x:c r="P1305" s="16" t="n">
        <x:f>K1305*N1305</x:f>
        <x:v>117.76</x:v>
      </x:c>
      <x:c r="Q1305" s="16" t="n">
        <x:f>O1305-P1305</x:f>
        <x:v>138.24</x:v>
      </x:c>
      <x:c r="R1305" s="2" t="n">
        <x:v>176</x:v>
      </x:c>
      <x:c r="S1305" s="2" t="n">
        <x:v>0</x:v>
      </x:c>
      <x:c r="T1305" s="2" t="n">
        <x:f>R1305+S1305+J1305-I1305</x:f>
        <x:v>168</x:v>
      </x:c>
      <x:c r="U1305" s="2" t="n">
        <x:v>0</x:v>
      </x:c>
      <x:c r="V1305" s="2" t="n">
        <x:v>3</x:v>
      </x:c>
      <x:c r="W1305" s="2" t="n">
        <x:v>10</x:v>
      </x:c>
      <x:c r="X1305" s="14" t="b">
        <x:v>0</x:v>
      </x:c>
      <x:c r="Y1305" s="14" t="b">
        <x:v>0</x:v>
      </x:c>
      <x:c r="Z1305" s="2" t="n">
        <x:f>ABS(T1305-AA1305)</x:f>
        <x:v>0</x:v>
      </x:c>
      <x:c r="AA1305" s="2" t="n">
        <x:v>168</x:v>
      </x:c>
      <x:c r="AB1305" s="2" t="n">
        <x:f>ABS(K1305-W1305)</x:f>
        <x:v>2</x:v>
      </x:c>
      <x:c r="AC1305" s="2" t="n">
        <x:f>COUNTIF($A$2:$A$1921,A1305)-1</x:f>
        <x:v>0</x:v>
      </x:c>
      <x:c r="AD1305" s="2" t="n">
        <x:f>IF(AND(D1305=D1304,H1305=H1304,C1305=C1304+1),ABS(R1305-T1304),0)</x:f>
        <x:v>0</x:v>
      </x:c>
    </x:row>
    <x:row r="1306" ht="23" customHeight="1">
      <x:c r="A1306" s="2" t="str">
        <x:v>DEMO-305-1-5</x:v>
      </x:c>
      <x:c r="B1306" s="15" t="d">
        <x:v>2026-06-01T00:00:00.000Z</x:v>
      </x:c>
      <x:c r="C1306" s="2" t="n">
        <x:v>5</x:v>
      </x:c>
      <x:c r="D1306" s="2" t="str">
        <x:v>DEMO-305</x:v>
      </x:c>
      <x:c r="E1306" s="2" t="str">
        <x:v>Everyday Tumbler</x:v>
      </x:c>
      <x:c r="F1306" s="2" t="str">
        <x:v>Lifestyle</x:v>
      </x:c>
      <x:c r="G1306" s="2" t="str">
        <x:v>Stores</x:v>
      </x:c>
      <x:c r="H1306" s="2" t="str">
        <x:v>Riverside</x:v>
      </x:c>
      <x:c r="I1306" s="2" t="n">
        <x:v>11</x:v>
      </x:c>
      <x:c r="J1306" s="2" t="n">
        <x:v>0</x:v>
      </x:c>
      <x:c r="K1306" s="2" t="n">
        <x:f>I1306-J1306</x:f>
        <x:v>11</x:v>
      </x:c>
      <x:c r="L1306" s="16" t="n">
        <x:v>32</x:v>
      </x:c>
      <x:c r="M1306" s="16" t="n">
        <x:v>32</x:v>
      </x:c>
      <x:c r="N1306" s="16" t="n">
        <x:v>14.72</x:v>
      </x:c>
      <x:c r="O1306" s="16" t="n">
        <x:f>K1306*M1306</x:f>
        <x:v>352</x:v>
      </x:c>
      <x:c r="P1306" s="16" t="n">
        <x:f>K1306*N1306</x:f>
        <x:v>161.92000000000002</x:v>
      </x:c>
      <x:c r="Q1306" s="16" t="n">
        <x:f>O1306-P1306</x:f>
        <x:v>190.07999999999998</x:v>
      </x:c>
      <x:c r="R1306" s="2" t="n">
        <x:v>168</x:v>
      </x:c>
      <x:c r="S1306" s="2" t="n">
        <x:v>65</x:v>
      </x:c>
      <x:c r="T1306" s="2" t="n">
        <x:f>R1306+S1306+J1306-I1306</x:f>
        <x:v>222</x:v>
      </x:c>
      <x:c r="U1306" s="2" t="n">
        <x:v>0</x:v>
      </x:c>
      <x:c r="V1306" s="2" t="n">
        <x:v>3</x:v>
      </x:c>
      <x:c r="W1306" s="2" t="n">
        <x:v>9</x:v>
      </x:c>
      <x:c r="X1306" s="14" t="b">
        <x:v>0</x:v>
      </x:c>
      <x:c r="Y1306" s="14" t="b">
        <x:v>0</x:v>
      </x:c>
      <x:c r="Z1306" s="2" t="n">
        <x:f>ABS(T1306-AA1306)</x:f>
        <x:v>0</x:v>
      </x:c>
      <x:c r="AA1306" s="2" t="n">
        <x:v>222</x:v>
      </x:c>
      <x:c r="AB1306" s="2" t="n">
        <x:f>ABS(K1306-W1306)</x:f>
        <x:v>2</x:v>
      </x:c>
      <x:c r="AC1306" s="2" t="n">
        <x:f>COUNTIF($A$2:$A$1921,A1306)-1</x:f>
        <x:v>0</x:v>
      </x:c>
      <x:c r="AD1306" s="2" t="n">
        <x:f>IF(AND(D1306=D1305,H1306=H1305,C1306=C1305+1),ABS(R1306-T1305),0)</x:f>
        <x:v>0</x:v>
      </x:c>
    </x:row>
    <x:row r="1307" ht="23" customHeight="1">
      <x:c r="A1307" s="2" t="str">
        <x:v>DEMO-305-1-6</x:v>
      </x:c>
      <x:c r="B1307" s="15" t="d">
        <x:v>2026-06-08T00:00:00.000Z</x:v>
      </x:c>
      <x:c r="C1307" s="2" t="n">
        <x:v>6</x:v>
      </x:c>
      <x:c r="D1307" s="2" t="str">
        <x:v>DEMO-305</x:v>
      </x:c>
      <x:c r="E1307" s="2" t="str">
        <x:v>Everyday Tumbler</x:v>
      </x:c>
      <x:c r="F1307" s="2" t="str">
        <x:v>Lifestyle</x:v>
      </x:c>
      <x:c r="G1307" s="2" t="str">
        <x:v>Stores</x:v>
      </x:c>
      <x:c r="H1307" s="2" t="str">
        <x:v>Riverside</x:v>
      </x:c>
      <x:c r="I1307" s="2" t="n">
        <x:v>10</x:v>
      </x:c>
      <x:c r="J1307" s="2" t="n">
        <x:v>0</x:v>
      </x:c>
      <x:c r="K1307" s="2" t="n">
        <x:f>I1307-J1307</x:f>
        <x:v>10</x:v>
      </x:c>
      <x:c r="L1307" s="16" t="n">
        <x:v>32</x:v>
      </x:c>
      <x:c r="M1307" s="16" t="n">
        <x:v>32</x:v>
      </x:c>
      <x:c r="N1307" s="16" t="n">
        <x:v>14.72</x:v>
      </x:c>
      <x:c r="O1307" s="16" t="n">
        <x:f>K1307*M1307</x:f>
        <x:v>320</x:v>
      </x:c>
      <x:c r="P1307" s="16" t="n">
        <x:f>K1307*N1307</x:f>
        <x:v>147.20000000000002</x:v>
      </x:c>
      <x:c r="Q1307" s="16" t="n">
        <x:f>O1307-P1307</x:f>
        <x:v>172.79999999999998</x:v>
      </x:c>
      <x:c r="R1307" s="2" t="n">
        <x:v>222</x:v>
      </x:c>
      <x:c r="S1307" s="2" t="n">
        <x:v>0</x:v>
      </x:c>
      <x:c r="T1307" s="2" t="n">
        <x:f>R1307+S1307+J1307-I1307</x:f>
        <x:v>212</x:v>
      </x:c>
      <x:c r="U1307" s="2" t="n">
        <x:v>0</x:v>
      </x:c>
      <x:c r="V1307" s="2" t="n">
        <x:v>3</x:v>
      </x:c>
      <x:c r="W1307" s="2" t="n">
        <x:v>10</x:v>
      </x:c>
      <x:c r="X1307" s="14" t="b">
        <x:v>0</x:v>
      </x:c>
      <x:c r="Y1307" s="14" t="b">
        <x:v>0</x:v>
      </x:c>
      <x:c r="Z1307" s="2" t="n">
        <x:f>ABS(T1307-AA1307)</x:f>
        <x:v>0</x:v>
      </x:c>
      <x:c r="AA1307" s="2" t="n">
        <x:v>212</x:v>
      </x:c>
      <x:c r="AB1307" s="2" t="n">
        <x:f>ABS(K1307-W1307)</x:f>
        <x:v>0</x:v>
      </x:c>
      <x:c r="AC1307" s="2" t="n">
        <x:f>COUNTIF($A$2:$A$1921,A1307)-1</x:f>
        <x:v>0</x:v>
      </x:c>
      <x:c r="AD1307" s="2" t="n">
        <x:f>IF(AND(D1307=D1306,H1307=H1306,C1307=C1306+1),ABS(R1307-T1306),0)</x:f>
        <x:v>0</x:v>
      </x:c>
    </x:row>
    <x:row r="1308" ht="23" customHeight="1">
      <x:c r="A1308" s="2" t="str">
        <x:v>DEMO-305-1-7</x:v>
      </x:c>
      <x:c r="B1308" s="15" t="d">
        <x:v>2026-06-15T00:00:00.000Z</x:v>
      </x:c>
      <x:c r="C1308" s="2" t="n">
        <x:v>7</x:v>
      </x:c>
      <x:c r="D1308" s="2" t="str">
        <x:v>DEMO-305</x:v>
      </x:c>
      <x:c r="E1308" s="2" t="str">
        <x:v>Everyday Tumbler</x:v>
      </x:c>
      <x:c r="F1308" s="2" t="str">
        <x:v>Lifestyle</x:v>
      </x:c>
      <x:c r="G1308" s="2" t="str">
        <x:v>Stores</x:v>
      </x:c>
      <x:c r="H1308" s="2" t="str">
        <x:v>Riverside</x:v>
      </x:c>
      <x:c r="I1308" s="2" t="n">
        <x:v>9</x:v>
      </x:c>
      <x:c r="J1308" s="2" t="n">
        <x:v>0</x:v>
      </x:c>
      <x:c r="K1308" s="2" t="n">
        <x:f>I1308-J1308</x:f>
        <x:v>9</x:v>
      </x:c>
      <x:c r="L1308" s="16" t="n">
        <x:v>32</x:v>
      </x:c>
      <x:c r="M1308" s="16" t="n">
        <x:v>32</x:v>
      </x:c>
      <x:c r="N1308" s="16" t="n">
        <x:v>14.72</x:v>
      </x:c>
      <x:c r="O1308" s="16" t="n">
        <x:f>K1308*M1308</x:f>
        <x:v>288</x:v>
      </x:c>
      <x:c r="P1308" s="16" t="n">
        <x:f>K1308*N1308</x:f>
        <x:v>132.48000000000002</x:v>
      </x:c>
      <x:c r="Q1308" s="16" t="n">
        <x:f>O1308-P1308</x:f>
        <x:v>155.51999999999998</x:v>
      </x:c>
      <x:c r="R1308" s="2" t="n">
        <x:v>212</x:v>
      </x:c>
      <x:c r="S1308" s="2" t="n">
        <x:v>0</x:v>
      </x:c>
      <x:c r="T1308" s="2" t="n">
        <x:f>R1308+S1308+J1308-I1308</x:f>
        <x:v>203</x:v>
      </x:c>
      <x:c r="U1308" s="2" t="n">
        <x:v>0</x:v>
      </x:c>
      <x:c r="V1308" s="2" t="n">
        <x:v>3</x:v>
      </x:c>
      <x:c r="W1308" s="2" t="n">
        <x:v>10</x:v>
      </x:c>
      <x:c r="X1308" s="14" t="b">
        <x:v>0</x:v>
      </x:c>
      <x:c r="Y1308" s="14" t="b">
        <x:v>0</x:v>
      </x:c>
      <x:c r="Z1308" s="2" t="n">
        <x:f>ABS(T1308-AA1308)</x:f>
        <x:v>0</x:v>
      </x:c>
      <x:c r="AA1308" s="2" t="n">
        <x:v>203</x:v>
      </x:c>
      <x:c r="AB1308" s="2" t="n">
        <x:f>ABS(K1308-W1308)</x:f>
        <x:v>1</x:v>
      </x:c>
      <x:c r="AC1308" s="2" t="n">
        <x:f>COUNTIF($A$2:$A$1921,A1308)-1</x:f>
        <x:v>0</x:v>
      </x:c>
      <x:c r="AD1308" s="2" t="n">
        <x:f>IF(AND(D1308=D1307,H1308=H1307,C1308=C1307+1),ABS(R1308-T1307),0)</x:f>
        <x:v>0</x:v>
      </x:c>
    </x:row>
    <x:row r="1309" ht="23" customHeight="1">
      <x:c r="A1309" s="2" t="str">
        <x:v>DEMO-305-1-8</x:v>
      </x:c>
      <x:c r="B1309" s="15" t="d">
        <x:v>2026-06-22T00:00:00.000Z</x:v>
      </x:c>
      <x:c r="C1309" s="2" t="n">
        <x:v>8</x:v>
      </x:c>
      <x:c r="D1309" s="2" t="str">
        <x:v>DEMO-305</x:v>
      </x:c>
      <x:c r="E1309" s="2" t="str">
        <x:v>Everyday Tumbler</x:v>
      </x:c>
      <x:c r="F1309" s="2" t="str">
        <x:v>Lifestyle</x:v>
      </x:c>
      <x:c r="G1309" s="2" t="str">
        <x:v>Stores</x:v>
      </x:c>
      <x:c r="H1309" s="2" t="str">
        <x:v>Riverside</x:v>
      </x:c>
      <x:c r="I1309" s="2" t="n">
        <x:v>7</x:v>
      </x:c>
      <x:c r="J1309" s="2" t="n">
        <x:v>1</x:v>
      </x:c>
      <x:c r="K1309" s="2" t="n">
        <x:f>I1309-J1309</x:f>
        <x:v>6</x:v>
      </x:c>
      <x:c r="L1309" s="16" t="n">
        <x:v>32</x:v>
      </x:c>
      <x:c r="M1309" s="16" t="n">
        <x:v>32</x:v>
      </x:c>
      <x:c r="N1309" s="16" t="n">
        <x:v>14.72</x:v>
      </x:c>
      <x:c r="O1309" s="16" t="n">
        <x:f>K1309*M1309</x:f>
        <x:v>192</x:v>
      </x:c>
      <x:c r="P1309" s="16" t="n">
        <x:f>K1309*N1309</x:f>
        <x:v>88.32000000000001</x:v>
      </x:c>
      <x:c r="Q1309" s="16" t="n">
        <x:f>O1309-P1309</x:f>
        <x:v>103.67999999999999</x:v>
      </x:c>
      <x:c r="R1309" s="2" t="n">
        <x:v>203</x:v>
      </x:c>
      <x:c r="S1309" s="2" t="n">
        <x:v>0</x:v>
      </x:c>
      <x:c r="T1309" s="2" t="n">
        <x:f>R1309+S1309+J1309-I1309</x:f>
        <x:v>197</x:v>
      </x:c>
      <x:c r="U1309" s="2" t="n">
        <x:v>0</x:v>
      </x:c>
      <x:c r="V1309" s="2" t="n">
        <x:v>3</x:v>
      </x:c>
      <x:c r="W1309" s="2" t="n">
        <x:v>10</x:v>
      </x:c>
      <x:c r="X1309" s="14" t="b">
        <x:v>0</x:v>
      </x:c>
      <x:c r="Y1309" s="14" t="b">
        <x:v>0</x:v>
      </x:c>
      <x:c r="Z1309" s="2" t="n">
        <x:f>ABS(T1309-AA1309)</x:f>
        <x:v>0</x:v>
      </x:c>
      <x:c r="AA1309" s="2" t="n">
        <x:v>197</x:v>
      </x:c>
      <x:c r="AB1309" s="2" t="n">
        <x:f>ABS(K1309-W1309)</x:f>
        <x:v>4</x:v>
      </x:c>
      <x:c r="AC1309" s="2" t="n">
        <x:f>COUNTIF($A$2:$A$1921,A1309)-1</x:f>
        <x:v>0</x:v>
      </x:c>
      <x:c r="AD1309" s="2" t="n">
        <x:f>IF(AND(D1309=D1308,H1309=H1308,C1309=C1308+1),ABS(R1309-T1308),0)</x:f>
        <x:v>0</x:v>
      </x:c>
    </x:row>
    <x:row r="1310" ht="23" customHeight="1">
      <x:c r="A1310" s="2" t="str">
        <x:v>DEMO-305-1-9</x:v>
      </x:c>
      <x:c r="B1310" s="15" t="d">
        <x:v>2026-06-29T00:00:00.000Z</x:v>
      </x:c>
      <x:c r="C1310" s="2" t="n">
        <x:v>9</x:v>
      </x:c>
      <x:c r="D1310" s="2" t="str">
        <x:v>DEMO-305</x:v>
      </x:c>
      <x:c r="E1310" s="2" t="str">
        <x:v>Everyday Tumbler</x:v>
      </x:c>
      <x:c r="F1310" s="2" t="str">
        <x:v>Lifestyle</x:v>
      </x:c>
      <x:c r="G1310" s="2" t="str">
        <x:v>Stores</x:v>
      </x:c>
      <x:c r="H1310" s="2" t="str">
        <x:v>Riverside</x:v>
      </x:c>
      <x:c r="I1310" s="2" t="n">
        <x:v>10</x:v>
      </x:c>
      <x:c r="J1310" s="2" t="n">
        <x:v>0</x:v>
      </x:c>
      <x:c r="K1310" s="2" t="n">
        <x:f>I1310-J1310</x:f>
        <x:v>10</x:v>
      </x:c>
      <x:c r="L1310" s="16" t="n">
        <x:v>32</x:v>
      </x:c>
      <x:c r="M1310" s="16" t="n">
        <x:v>32</x:v>
      </x:c>
      <x:c r="N1310" s="16" t="n">
        <x:v>14.72</x:v>
      </x:c>
      <x:c r="O1310" s="16" t="n">
        <x:f>K1310*M1310</x:f>
        <x:v>320</x:v>
      </x:c>
      <x:c r="P1310" s="16" t="n">
        <x:f>K1310*N1310</x:f>
        <x:v>147.20000000000002</x:v>
      </x:c>
      <x:c r="Q1310" s="16" t="n">
        <x:f>O1310-P1310</x:f>
        <x:v>172.79999999999998</x:v>
      </x:c>
      <x:c r="R1310" s="2" t="n">
        <x:v>197</x:v>
      </x:c>
      <x:c r="S1310" s="2" t="n">
        <x:v>65</x:v>
      </x:c>
      <x:c r="T1310" s="2" t="n">
        <x:f>R1310+S1310+J1310-I1310</x:f>
        <x:v>252</x:v>
      </x:c>
      <x:c r="U1310" s="2" t="n">
        <x:v>0</x:v>
      </x:c>
      <x:c r="V1310" s="2" t="n">
        <x:v>3</x:v>
      </x:c>
      <x:c r="W1310" s="2" t="n">
        <x:v>9</x:v>
      </x:c>
      <x:c r="X1310" s="14" t="b">
        <x:v>0</x:v>
      </x:c>
      <x:c r="Y1310" s="14" t="b">
        <x:v>0</x:v>
      </x:c>
      <x:c r="Z1310" s="2" t="n">
        <x:f>ABS(T1310-AA1310)</x:f>
        <x:v>0</x:v>
      </x:c>
      <x:c r="AA1310" s="2" t="n">
        <x:v>252</x:v>
      </x:c>
      <x:c r="AB1310" s="2" t="n">
        <x:f>ABS(K1310-W1310)</x:f>
        <x:v>1</x:v>
      </x:c>
      <x:c r="AC1310" s="2" t="n">
        <x:f>COUNTIF($A$2:$A$1921,A1310)-1</x:f>
        <x:v>0</x:v>
      </x:c>
      <x:c r="AD1310" s="2" t="n">
        <x:f>IF(AND(D1310=D1309,H1310=H1309,C1310=C1309+1),ABS(R1310-T1309),0)</x:f>
        <x:v>0</x:v>
      </x:c>
    </x:row>
    <x:row r="1311" ht="23" customHeight="1">
      <x:c r="A1311" s="2" t="str">
        <x:v>DEMO-305-1-10</x:v>
      </x:c>
      <x:c r="B1311" s="15" t="d">
        <x:v>2026-07-06T00:00:00.000Z</x:v>
      </x:c>
      <x:c r="C1311" s="2" t="n">
        <x:v>10</x:v>
      </x:c>
      <x:c r="D1311" s="2" t="str">
        <x:v>DEMO-305</x:v>
      </x:c>
      <x:c r="E1311" s="2" t="str">
        <x:v>Everyday Tumbler</x:v>
      </x:c>
      <x:c r="F1311" s="2" t="str">
        <x:v>Lifestyle</x:v>
      </x:c>
      <x:c r="G1311" s="2" t="str">
        <x:v>Stores</x:v>
      </x:c>
      <x:c r="H1311" s="2" t="str">
        <x:v>Riverside</x:v>
      </x:c>
      <x:c r="I1311" s="2" t="n">
        <x:v>9</x:v>
      </x:c>
      <x:c r="J1311" s="2" t="n">
        <x:v>1</x:v>
      </x:c>
      <x:c r="K1311" s="2" t="n">
        <x:f>I1311-J1311</x:f>
        <x:v>8</x:v>
      </x:c>
      <x:c r="L1311" s="16" t="n">
        <x:v>32</x:v>
      </x:c>
      <x:c r="M1311" s="16" t="n">
        <x:v>32</x:v>
      </x:c>
      <x:c r="N1311" s="16" t="n">
        <x:v>14.72</x:v>
      </x:c>
      <x:c r="O1311" s="16" t="n">
        <x:f>K1311*M1311</x:f>
        <x:v>256</x:v>
      </x:c>
      <x:c r="P1311" s="16" t="n">
        <x:f>K1311*N1311</x:f>
        <x:v>117.76</x:v>
      </x:c>
      <x:c r="Q1311" s="16" t="n">
        <x:f>O1311-P1311</x:f>
        <x:v>138.24</x:v>
      </x:c>
      <x:c r="R1311" s="2" t="n">
        <x:v>252</x:v>
      </x:c>
      <x:c r="S1311" s="2" t="n">
        <x:v>0</x:v>
      </x:c>
      <x:c r="T1311" s="2" t="n">
        <x:f>R1311+S1311+J1311-I1311</x:f>
        <x:v>244</x:v>
      </x:c>
      <x:c r="U1311" s="2" t="n">
        <x:v>0</x:v>
      </x:c>
      <x:c r="V1311" s="2" t="n">
        <x:v>3</x:v>
      </x:c>
      <x:c r="W1311" s="2" t="n">
        <x:v>9</x:v>
      </x:c>
      <x:c r="X1311" s="14" t="b">
        <x:v>0</x:v>
      </x:c>
      <x:c r="Y1311" s="14" t="b">
        <x:v>0</x:v>
      </x:c>
      <x:c r="Z1311" s="2" t="n">
        <x:f>ABS(T1311-AA1311)</x:f>
        <x:v>0</x:v>
      </x:c>
      <x:c r="AA1311" s="2" t="n">
        <x:v>244</x:v>
      </x:c>
      <x:c r="AB1311" s="2" t="n">
        <x:f>ABS(K1311-W1311)</x:f>
        <x:v>1</x:v>
      </x:c>
      <x:c r="AC1311" s="2" t="n">
        <x:f>COUNTIF($A$2:$A$1921,A1311)-1</x:f>
        <x:v>0</x:v>
      </x:c>
      <x:c r="AD1311" s="2" t="n">
        <x:f>IF(AND(D1311=D1310,H1311=H1310,C1311=C1310+1),ABS(R1311-T1310),0)</x:f>
        <x:v>0</x:v>
      </x:c>
    </x:row>
    <x:row r="1312" ht="23" customHeight="1">
      <x:c r="A1312" s="2" t="str">
        <x:v>DEMO-305-1-11</x:v>
      </x:c>
      <x:c r="B1312" s="15" t="d">
        <x:v>2026-07-13T00:00:00.000Z</x:v>
      </x:c>
      <x:c r="C1312" s="2" t="n">
        <x:v>11</x:v>
      </x:c>
      <x:c r="D1312" s="2" t="str">
        <x:v>DEMO-305</x:v>
      </x:c>
      <x:c r="E1312" s="2" t="str">
        <x:v>Everyday Tumbler</x:v>
      </x:c>
      <x:c r="F1312" s="2" t="str">
        <x:v>Lifestyle</x:v>
      </x:c>
      <x:c r="G1312" s="2" t="str">
        <x:v>Stores</x:v>
      </x:c>
      <x:c r="H1312" s="2" t="str">
        <x:v>Riverside</x:v>
      </x:c>
      <x:c r="I1312" s="2" t="n">
        <x:v>8</x:v>
      </x:c>
      <x:c r="J1312" s="2" t="n">
        <x:v>0</x:v>
      </x:c>
      <x:c r="K1312" s="2" t="n">
        <x:f>I1312-J1312</x:f>
        <x:v>8</x:v>
      </x:c>
      <x:c r="L1312" s="16" t="n">
        <x:v>32</x:v>
      </x:c>
      <x:c r="M1312" s="16" t="n">
        <x:v>32</x:v>
      </x:c>
      <x:c r="N1312" s="16" t="n">
        <x:v>14.72</x:v>
      </x:c>
      <x:c r="O1312" s="16" t="n">
        <x:f>K1312*M1312</x:f>
        <x:v>256</x:v>
      </x:c>
      <x:c r="P1312" s="16" t="n">
        <x:f>K1312*N1312</x:f>
        <x:v>117.76</x:v>
      </x:c>
      <x:c r="Q1312" s="16" t="n">
        <x:f>O1312-P1312</x:f>
        <x:v>138.24</x:v>
      </x:c>
      <x:c r="R1312" s="2" t="n">
        <x:v>244</x:v>
      </x:c>
      <x:c r="S1312" s="2" t="n">
        <x:v>0</x:v>
      </x:c>
      <x:c r="T1312" s="2" t="n">
        <x:f>R1312+S1312+J1312-I1312</x:f>
        <x:v>236</x:v>
      </x:c>
      <x:c r="U1312" s="2" t="n">
        <x:v>0</x:v>
      </x:c>
      <x:c r="V1312" s="2" t="n">
        <x:v>3</x:v>
      </x:c>
      <x:c r="W1312" s="2" t="n">
        <x:v>8</x:v>
      </x:c>
      <x:c r="X1312" s="14" t="b">
        <x:v>0</x:v>
      </x:c>
      <x:c r="Y1312" s="14" t="b">
        <x:v>0</x:v>
      </x:c>
      <x:c r="Z1312" s="2" t="n">
        <x:f>ABS(T1312-AA1312)</x:f>
        <x:v>0</x:v>
      </x:c>
      <x:c r="AA1312" s="2" t="n">
        <x:v>236</x:v>
      </x:c>
      <x:c r="AB1312" s="2" t="n">
        <x:f>ABS(K1312-W1312)</x:f>
        <x:v>0</x:v>
      </x:c>
      <x:c r="AC1312" s="2" t="n">
        <x:f>COUNTIF($A$2:$A$1921,A1312)-1</x:f>
        <x:v>0</x:v>
      </x:c>
      <x:c r="AD1312" s="2" t="n">
        <x:f>IF(AND(D1312=D1311,H1312=H1311,C1312=C1311+1),ABS(R1312-T1311),0)</x:f>
        <x:v>0</x:v>
      </x:c>
    </x:row>
    <x:row r="1313" ht="23" customHeight="1">
      <x:c r="A1313" s="2" t="str">
        <x:v>DEMO-305-1-12</x:v>
      </x:c>
      <x:c r="B1313" s="15" t="d">
        <x:v>2026-07-20T00:00:00.000Z</x:v>
      </x:c>
      <x:c r="C1313" s="2" t="n">
        <x:v>12</x:v>
      </x:c>
      <x:c r="D1313" s="2" t="str">
        <x:v>DEMO-305</x:v>
      </x:c>
      <x:c r="E1313" s="2" t="str">
        <x:v>Everyday Tumbler</x:v>
      </x:c>
      <x:c r="F1313" s="2" t="str">
        <x:v>Lifestyle</x:v>
      </x:c>
      <x:c r="G1313" s="2" t="str">
        <x:v>Stores</x:v>
      </x:c>
      <x:c r="H1313" s="2" t="str">
        <x:v>Riverside</x:v>
      </x:c>
      <x:c r="I1313" s="2" t="n">
        <x:v>7</x:v>
      </x:c>
      <x:c r="J1313" s="2" t="n">
        <x:v>1</x:v>
      </x:c>
      <x:c r="K1313" s="2" t="n">
        <x:f>I1313-J1313</x:f>
        <x:v>6</x:v>
      </x:c>
      <x:c r="L1313" s="16" t="n">
        <x:v>32</x:v>
      </x:c>
      <x:c r="M1313" s="16" t="n">
        <x:v>32</x:v>
      </x:c>
      <x:c r="N1313" s="16" t="n">
        <x:v>14.72</x:v>
      </x:c>
      <x:c r="O1313" s="16" t="n">
        <x:f>K1313*M1313</x:f>
        <x:v>192</x:v>
      </x:c>
      <x:c r="P1313" s="16" t="n">
        <x:f>K1313*N1313</x:f>
        <x:v>88.32000000000001</x:v>
      </x:c>
      <x:c r="Q1313" s="16" t="n">
        <x:f>O1313-P1313</x:f>
        <x:v>103.67999999999999</x:v>
      </x:c>
      <x:c r="R1313" s="2" t="n">
        <x:v>236</x:v>
      </x:c>
      <x:c r="S1313" s="2" t="n">
        <x:v>0</x:v>
      </x:c>
      <x:c r="T1313" s="2" t="n">
        <x:f>R1313+S1313+J1313-I1313</x:f>
        <x:v>230</x:v>
      </x:c>
      <x:c r="U1313" s="2" t="n">
        <x:v>0</x:v>
      </x:c>
      <x:c r="V1313" s="2" t="n">
        <x:v>3</x:v>
      </x:c>
      <x:c r="W1313" s="2" t="n">
        <x:v>8</x:v>
      </x:c>
      <x:c r="X1313" s="14" t="b">
        <x:v>0</x:v>
      </x:c>
      <x:c r="Y1313" s="14" t="b">
        <x:v>0</x:v>
      </x:c>
      <x:c r="Z1313" s="2" t="n">
        <x:f>ABS(T1313-AA1313)</x:f>
        <x:v>0</x:v>
      </x:c>
      <x:c r="AA1313" s="2" t="n">
        <x:v>230</x:v>
      </x:c>
      <x:c r="AB1313" s="2" t="n">
        <x:f>ABS(K1313-W1313)</x:f>
        <x:v>2</x:v>
      </x:c>
      <x:c r="AC1313" s="2" t="n">
        <x:f>COUNTIF($A$2:$A$1921,A1313)-1</x:f>
        <x:v>0</x:v>
      </x:c>
      <x:c r="AD1313" s="2" t="n">
        <x:f>IF(AND(D1313=D1312,H1313=H1312,C1313=C1312+1),ABS(R1313-T1312),0)</x:f>
        <x:v>0</x:v>
      </x:c>
    </x:row>
    <x:row r="1314" ht="23" customHeight="1">
      <x:c r="A1314" s="2" t="str">
        <x:v>DEMO-305-1-13</x:v>
      </x:c>
      <x:c r="B1314" s="15" t="d">
        <x:v>2026-07-27T00:00:00.000Z</x:v>
      </x:c>
      <x:c r="C1314" s="2" t="n">
        <x:v>13</x:v>
      </x:c>
      <x:c r="D1314" s="2" t="str">
        <x:v>DEMO-305</x:v>
      </x:c>
      <x:c r="E1314" s="2" t="str">
        <x:v>Everyday Tumbler</x:v>
      </x:c>
      <x:c r="F1314" s="2" t="str">
        <x:v>Lifestyle</x:v>
      </x:c>
      <x:c r="G1314" s="2" t="str">
        <x:v>Stores</x:v>
      </x:c>
      <x:c r="H1314" s="2" t="str">
        <x:v>Riverside</x:v>
      </x:c>
      <x:c r="I1314" s="2" t="n">
        <x:v>8</x:v>
      </x:c>
      <x:c r="J1314" s="2" t="n">
        <x:v>1</x:v>
      </x:c>
      <x:c r="K1314" s="2" t="n">
        <x:f>I1314-J1314</x:f>
        <x:v>7</x:v>
      </x:c>
      <x:c r="L1314" s="16" t="n">
        <x:v>32</x:v>
      </x:c>
      <x:c r="M1314" s="16" t="n">
        <x:v>32</x:v>
      </x:c>
      <x:c r="N1314" s="16" t="n">
        <x:v>14.72</x:v>
      </x:c>
      <x:c r="O1314" s="16" t="n">
        <x:f>K1314*M1314</x:f>
        <x:v>224</x:v>
      </x:c>
      <x:c r="P1314" s="16" t="n">
        <x:f>K1314*N1314</x:f>
        <x:v>103.04</x:v>
      </x:c>
      <x:c r="Q1314" s="16" t="n">
        <x:f>O1314-P1314</x:f>
        <x:v>120.96</x:v>
      </x:c>
      <x:c r="R1314" s="2" t="n">
        <x:v>230</x:v>
      </x:c>
      <x:c r="S1314" s="2" t="n">
        <x:v>65</x:v>
      </x:c>
      <x:c r="T1314" s="2" t="n">
        <x:f>R1314+S1314+J1314-I1314</x:f>
        <x:v>288</x:v>
      </x:c>
      <x:c r="U1314" s="2" t="n">
        <x:v>0</x:v>
      </x:c>
      <x:c r="V1314" s="2" t="n">
        <x:v>3</x:v>
      </x:c>
      <x:c r="W1314" s="2" t="n">
        <x:v>8</x:v>
      </x:c>
      <x:c r="X1314" s="14" t="b">
        <x:v>0</x:v>
      </x:c>
      <x:c r="Y1314" s="14" t="b">
        <x:v>0</x:v>
      </x:c>
      <x:c r="Z1314" s="2" t="n">
        <x:f>ABS(T1314-AA1314)</x:f>
        <x:v>0</x:v>
      </x:c>
      <x:c r="AA1314" s="2" t="n">
        <x:v>288</x:v>
      </x:c>
      <x:c r="AB1314" s="2" t="n">
        <x:f>ABS(K1314-W1314)</x:f>
        <x:v>1</x:v>
      </x:c>
      <x:c r="AC1314" s="2" t="n">
        <x:f>COUNTIF($A$2:$A$1921,A1314)-1</x:f>
        <x:v>0</x:v>
      </x:c>
      <x:c r="AD1314" s="2" t="n">
        <x:f>IF(AND(D1314=D1313,H1314=H1313,C1314=C1313+1),ABS(R1314-T1313),0)</x:f>
        <x:v>0</x:v>
      </x:c>
    </x:row>
    <x:row r="1315" ht="23" customHeight="1">
      <x:c r="A1315" s="2" t="str">
        <x:v>DEMO-305-1-14</x:v>
      </x:c>
      <x:c r="B1315" s="15" t="d">
        <x:v>2026-08-03T00:00:00.000Z</x:v>
      </x:c>
      <x:c r="C1315" s="2" t="n">
        <x:v>14</x:v>
      </x:c>
      <x:c r="D1315" s="2" t="str">
        <x:v>DEMO-305</x:v>
      </x:c>
      <x:c r="E1315" s="2" t="str">
        <x:v>Everyday Tumbler</x:v>
      </x:c>
      <x:c r="F1315" s="2" t="str">
        <x:v>Lifestyle</x:v>
      </x:c>
      <x:c r="G1315" s="2" t="str">
        <x:v>Stores</x:v>
      </x:c>
      <x:c r="H1315" s="2" t="str">
        <x:v>Riverside</x:v>
      </x:c>
      <x:c r="I1315" s="2" t="n">
        <x:v>6</x:v>
      </x:c>
      <x:c r="J1315" s="2" t="n">
        <x:v>0</x:v>
      </x:c>
      <x:c r="K1315" s="2" t="n">
        <x:f>I1315-J1315</x:f>
        <x:v>6</x:v>
      </x:c>
      <x:c r="L1315" s="16" t="n">
        <x:v>32</x:v>
      </x:c>
      <x:c r="M1315" s="16" t="n">
        <x:v>32</x:v>
      </x:c>
      <x:c r="N1315" s="16" t="n">
        <x:v>14.72</x:v>
      </x:c>
      <x:c r="O1315" s="16" t="n">
        <x:f>K1315*M1315</x:f>
        <x:v>192</x:v>
      </x:c>
      <x:c r="P1315" s="16" t="n">
        <x:f>K1315*N1315</x:f>
        <x:v>88.32000000000001</x:v>
      </x:c>
      <x:c r="Q1315" s="16" t="n">
        <x:f>O1315-P1315</x:f>
        <x:v>103.67999999999999</x:v>
      </x:c>
      <x:c r="R1315" s="2" t="n">
        <x:v>288</x:v>
      </x:c>
      <x:c r="S1315" s="2" t="n">
        <x:v>0</x:v>
      </x:c>
      <x:c r="T1315" s="2" t="n">
        <x:f>R1315+S1315+J1315-I1315</x:f>
        <x:v>282</x:v>
      </x:c>
      <x:c r="U1315" s="2" t="n">
        <x:v>0</x:v>
      </x:c>
      <x:c r="V1315" s="2" t="n">
        <x:v>3</x:v>
      </x:c>
      <x:c r="W1315" s="2" t="n">
        <x:v>7</x:v>
      </x:c>
      <x:c r="X1315" s="14" t="b">
        <x:v>0</x:v>
      </x:c>
      <x:c r="Y1315" s="14" t="b">
        <x:v>0</x:v>
      </x:c>
      <x:c r="Z1315" s="2" t="n">
        <x:f>ABS(T1315-AA1315)</x:f>
        <x:v>0</x:v>
      </x:c>
      <x:c r="AA1315" s="2" t="n">
        <x:v>282</x:v>
      </x:c>
      <x:c r="AB1315" s="2" t="n">
        <x:f>ABS(K1315-W1315)</x:f>
        <x:v>1</x:v>
      </x:c>
      <x:c r="AC1315" s="2" t="n">
        <x:f>COUNTIF($A$2:$A$1921,A1315)-1</x:f>
        <x:v>0</x:v>
      </x:c>
      <x:c r="AD1315" s="2" t="n">
        <x:f>IF(AND(D1315=D1314,H1315=H1314,C1315=C1314+1),ABS(R1315-T1314),0)</x:f>
        <x:v>0</x:v>
      </x:c>
    </x:row>
    <x:row r="1316" ht="23" customHeight="1">
      <x:c r="A1316" s="2" t="str">
        <x:v>DEMO-305-1-15</x:v>
      </x:c>
      <x:c r="B1316" s="15" t="d">
        <x:v>2026-08-10T00:00:00.000Z</x:v>
      </x:c>
      <x:c r="C1316" s="2" t="n">
        <x:v>15</x:v>
      </x:c>
      <x:c r="D1316" s="2" t="str">
        <x:v>DEMO-305</x:v>
      </x:c>
      <x:c r="E1316" s="2" t="str">
        <x:v>Everyday Tumbler</x:v>
      </x:c>
      <x:c r="F1316" s="2" t="str">
        <x:v>Lifestyle</x:v>
      </x:c>
      <x:c r="G1316" s="2" t="str">
        <x:v>Stores</x:v>
      </x:c>
      <x:c r="H1316" s="2" t="str">
        <x:v>Riverside</x:v>
      </x:c>
      <x:c r="I1316" s="2" t="n">
        <x:v>6</x:v>
      </x:c>
      <x:c r="J1316" s="2" t="n">
        <x:v>1</x:v>
      </x:c>
      <x:c r="K1316" s="2" t="n">
        <x:f>I1316-J1316</x:f>
        <x:v>5</x:v>
      </x:c>
      <x:c r="L1316" s="16" t="n">
        <x:v>32</x:v>
      </x:c>
      <x:c r="M1316" s="16" t="n">
        <x:v>32</x:v>
      </x:c>
      <x:c r="N1316" s="16" t="n">
        <x:v>14.72</x:v>
      </x:c>
      <x:c r="O1316" s="16" t="n">
        <x:f>K1316*M1316</x:f>
        <x:v>160</x:v>
      </x:c>
      <x:c r="P1316" s="16" t="n">
        <x:f>K1316*N1316</x:f>
        <x:v>73.60000000000001</x:v>
      </x:c>
      <x:c r="Q1316" s="16" t="n">
        <x:f>O1316-P1316</x:f>
        <x:v>86.39999999999999</x:v>
      </x:c>
      <x:c r="R1316" s="2" t="n">
        <x:v>282</x:v>
      </x:c>
      <x:c r="S1316" s="2" t="n">
        <x:v>0</x:v>
      </x:c>
      <x:c r="T1316" s="2" t="n">
        <x:f>R1316+S1316+J1316-I1316</x:f>
        <x:v>277</x:v>
      </x:c>
      <x:c r="U1316" s="2" t="n">
        <x:v>0</x:v>
      </x:c>
      <x:c r="V1316" s="2" t="n">
        <x:v>3</x:v>
      </x:c>
      <x:c r="W1316" s="2" t="n">
        <x:v>7</x:v>
      </x:c>
      <x:c r="X1316" s="14" t="b">
        <x:v>0</x:v>
      </x:c>
      <x:c r="Y1316" s="14" t="b">
        <x:v>0</x:v>
      </x:c>
      <x:c r="Z1316" s="2" t="n">
        <x:f>ABS(T1316-AA1316)</x:f>
        <x:v>0</x:v>
      </x:c>
      <x:c r="AA1316" s="2" t="n">
        <x:v>277</x:v>
      </x:c>
      <x:c r="AB1316" s="2" t="n">
        <x:f>ABS(K1316-W1316)</x:f>
        <x:v>2</x:v>
      </x:c>
      <x:c r="AC1316" s="2" t="n">
        <x:f>COUNTIF($A$2:$A$1921,A1316)-1</x:f>
        <x:v>0</x:v>
      </x:c>
      <x:c r="AD1316" s="2" t="n">
        <x:f>IF(AND(D1316=D1315,H1316=H1315,C1316=C1315+1),ABS(R1316-T1315),0)</x:f>
        <x:v>0</x:v>
      </x:c>
    </x:row>
    <x:row r="1317" ht="23" customHeight="1">
      <x:c r="A1317" s="2" t="str">
        <x:v>DEMO-305-1-16</x:v>
      </x:c>
      <x:c r="B1317" s="15" t="d">
        <x:v>2026-08-17T00:00:00.000Z</x:v>
      </x:c>
      <x:c r="C1317" s="2" t="n">
        <x:v>16</x:v>
      </x:c>
      <x:c r="D1317" s="2" t="str">
        <x:v>DEMO-305</x:v>
      </x:c>
      <x:c r="E1317" s="2" t="str">
        <x:v>Everyday Tumbler</x:v>
      </x:c>
      <x:c r="F1317" s="2" t="str">
        <x:v>Lifestyle</x:v>
      </x:c>
      <x:c r="G1317" s="2" t="str">
        <x:v>Stores</x:v>
      </x:c>
      <x:c r="H1317" s="2" t="str">
        <x:v>Riverside</x:v>
      </x:c>
      <x:c r="I1317" s="2" t="n">
        <x:v>6</x:v>
      </x:c>
      <x:c r="J1317" s="2" t="n">
        <x:v>0</x:v>
      </x:c>
      <x:c r="K1317" s="2" t="n">
        <x:f>I1317-J1317</x:f>
        <x:v>6</x:v>
      </x:c>
      <x:c r="L1317" s="16" t="n">
        <x:v>32</x:v>
      </x:c>
      <x:c r="M1317" s="16" t="n">
        <x:v>32</x:v>
      </x:c>
      <x:c r="N1317" s="16" t="n">
        <x:v>14.72</x:v>
      </x:c>
      <x:c r="O1317" s="16" t="n">
        <x:f>K1317*M1317</x:f>
        <x:v>192</x:v>
      </x:c>
      <x:c r="P1317" s="16" t="n">
        <x:f>K1317*N1317</x:f>
        <x:v>88.32000000000001</x:v>
      </x:c>
      <x:c r="Q1317" s="16" t="n">
        <x:f>O1317-P1317</x:f>
        <x:v>103.67999999999999</x:v>
      </x:c>
      <x:c r="R1317" s="2" t="n">
        <x:v>277</x:v>
      </x:c>
      <x:c r="S1317" s="2" t="n">
        <x:v>0</x:v>
      </x:c>
      <x:c r="T1317" s="2" t="n">
        <x:f>R1317+S1317+J1317-I1317</x:f>
        <x:v>271</x:v>
      </x:c>
      <x:c r="U1317" s="2" t="n">
        <x:v>0</x:v>
      </x:c>
      <x:c r="V1317" s="2" t="n">
        <x:v>3</x:v>
      </x:c>
      <x:c r="W1317" s="2" t="n">
        <x:v>6</x:v>
      </x:c>
      <x:c r="X1317" s="14" t="b">
        <x:v>0</x:v>
      </x:c>
      <x:c r="Y1317" s="14" t="b">
        <x:v>0</x:v>
      </x:c>
      <x:c r="Z1317" s="2" t="n">
        <x:f>ABS(T1317-AA1317)</x:f>
        <x:v>0</x:v>
      </x:c>
      <x:c r="AA1317" s="2" t="n">
        <x:v>271</x:v>
      </x:c>
      <x:c r="AB1317" s="2" t="n">
        <x:f>ABS(K1317-W1317)</x:f>
        <x:v>0</x:v>
      </x:c>
      <x:c r="AC1317" s="2" t="n">
        <x:f>COUNTIF($A$2:$A$1921,A1317)-1</x:f>
        <x:v>0</x:v>
      </x:c>
      <x:c r="AD1317" s="2" t="n">
        <x:f>IF(AND(D1317=D1316,H1317=H1316,C1317=C1316+1),ABS(R1317-T1316),0)</x:f>
        <x:v>0</x:v>
      </x:c>
    </x:row>
    <x:row r="1318" ht="23" customHeight="1">
      <x:c r="A1318" s="2" t="str">
        <x:v>DEMO-305-1-17</x:v>
      </x:c>
      <x:c r="B1318" s="15" t="d">
        <x:v>2026-08-24T00:00:00.000Z</x:v>
      </x:c>
      <x:c r="C1318" s="2" t="n">
        <x:v>17</x:v>
      </x:c>
      <x:c r="D1318" s="2" t="str">
        <x:v>DEMO-305</x:v>
      </x:c>
      <x:c r="E1318" s="2" t="str">
        <x:v>Everyday Tumbler</x:v>
      </x:c>
      <x:c r="F1318" s="2" t="str">
        <x:v>Lifestyle</x:v>
      </x:c>
      <x:c r="G1318" s="2" t="str">
        <x:v>Stores</x:v>
      </x:c>
      <x:c r="H1318" s="2" t="str">
        <x:v>Riverside</x:v>
      </x:c>
      <x:c r="I1318" s="2" t="n">
        <x:v>8</x:v>
      </x:c>
      <x:c r="J1318" s="2" t="n">
        <x:v>0</x:v>
      </x:c>
      <x:c r="K1318" s="2" t="n">
        <x:f>I1318-J1318</x:f>
        <x:v>8</x:v>
      </x:c>
      <x:c r="L1318" s="16" t="n">
        <x:v>32</x:v>
      </x:c>
      <x:c r="M1318" s="16" t="n">
        <x:v>25.6</x:v>
      </x:c>
      <x:c r="N1318" s="16" t="n">
        <x:v>14.72</x:v>
      </x:c>
      <x:c r="O1318" s="16" t="n">
        <x:f>K1318*M1318</x:f>
        <x:v>204.8</x:v>
      </x:c>
      <x:c r="P1318" s="16" t="n">
        <x:f>K1318*N1318</x:f>
        <x:v>117.76</x:v>
      </x:c>
      <x:c r="Q1318" s="16" t="n">
        <x:f>O1318-P1318</x:f>
        <x:v>87.04</x:v>
      </x:c>
      <x:c r="R1318" s="2" t="n">
        <x:v>271</x:v>
      </x:c>
      <x:c r="S1318" s="2" t="n">
        <x:v>65</x:v>
      </x:c>
      <x:c r="T1318" s="2" t="n">
        <x:f>R1318+S1318+J1318-I1318</x:f>
        <x:v>328</x:v>
      </x:c>
      <x:c r="U1318" s="2" t="n">
        <x:v>0</x:v>
      </x:c>
      <x:c r="V1318" s="2" t="n">
        <x:v>3</x:v>
      </x:c>
      <x:c r="W1318" s="2" t="n">
        <x:v>6</x:v>
      </x:c>
      <x:c r="X1318" s="14" t="b">
        <x:v>0</x:v>
      </x:c>
      <x:c r="Y1318" s="14" t="b">
        <x:v>1</x:v>
      </x:c>
      <x:c r="Z1318" s="2" t="n">
        <x:f>ABS(T1318-AA1318)</x:f>
        <x:v>0</x:v>
      </x:c>
      <x:c r="AA1318" s="2" t="n">
        <x:v>328</x:v>
      </x:c>
      <x:c r="AB1318" s="2" t="n">
        <x:f>ABS(K1318-W1318)</x:f>
        <x:v>2</x:v>
      </x:c>
      <x:c r="AC1318" s="2" t="n">
        <x:f>COUNTIF($A$2:$A$1921,A1318)-1</x:f>
        <x:v>0</x:v>
      </x:c>
      <x:c r="AD1318" s="2" t="n">
        <x:f>IF(AND(D1318=D1317,H1318=H1317,C1318=C1317+1),ABS(R1318-T1317),0)</x:f>
        <x:v>0</x:v>
      </x:c>
    </x:row>
    <x:row r="1319" ht="23" customHeight="1">
      <x:c r="A1319" s="2" t="str">
        <x:v>DEMO-305-1-18</x:v>
      </x:c>
      <x:c r="B1319" s="15" t="d">
        <x:v>2026-08-31T00:00:00.000Z</x:v>
      </x:c>
      <x:c r="C1319" s="2" t="n">
        <x:v>18</x:v>
      </x:c>
      <x:c r="D1319" s="2" t="str">
        <x:v>DEMO-305</x:v>
      </x:c>
      <x:c r="E1319" s="2" t="str">
        <x:v>Everyday Tumbler</x:v>
      </x:c>
      <x:c r="F1319" s="2" t="str">
        <x:v>Lifestyle</x:v>
      </x:c>
      <x:c r="G1319" s="2" t="str">
        <x:v>Stores</x:v>
      </x:c>
      <x:c r="H1319" s="2" t="str">
        <x:v>Riverside</x:v>
      </x:c>
      <x:c r="I1319" s="2" t="n">
        <x:v>8</x:v>
      </x:c>
      <x:c r="J1319" s="2" t="n">
        <x:v>0</x:v>
      </x:c>
      <x:c r="K1319" s="2" t="n">
        <x:f>I1319-J1319</x:f>
        <x:v>8</x:v>
      </x:c>
      <x:c r="L1319" s="16" t="n">
        <x:v>32</x:v>
      </x:c>
      <x:c r="M1319" s="16" t="n">
        <x:v>25.6</x:v>
      </x:c>
      <x:c r="N1319" s="16" t="n">
        <x:v>14.72</x:v>
      </x:c>
      <x:c r="O1319" s="16" t="n">
        <x:f>K1319*M1319</x:f>
        <x:v>204.8</x:v>
      </x:c>
      <x:c r="P1319" s="16" t="n">
        <x:f>K1319*N1319</x:f>
        <x:v>117.76</x:v>
      </x:c>
      <x:c r="Q1319" s="16" t="n">
        <x:f>O1319-P1319</x:f>
        <x:v>87.04</x:v>
      </x:c>
      <x:c r="R1319" s="2" t="n">
        <x:v>328</x:v>
      </x:c>
      <x:c r="S1319" s="2" t="n">
        <x:v>0</x:v>
      </x:c>
      <x:c r="T1319" s="2" t="n">
        <x:f>R1319+S1319+J1319-I1319</x:f>
        <x:v>320</x:v>
      </x:c>
      <x:c r="U1319" s="2" t="n">
        <x:v>0</x:v>
      </x:c>
      <x:c r="V1319" s="2" t="n">
        <x:v>3</x:v>
      </x:c>
      <x:c r="W1319" s="2" t="n">
        <x:v>6</x:v>
      </x:c>
      <x:c r="X1319" s="14" t="b">
        <x:v>0</x:v>
      </x:c>
      <x:c r="Y1319" s="14" t="b">
        <x:v>1</x:v>
      </x:c>
      <x:c r="Z1319" s="2" t="n">
        <x:f>ABS(T1319-AA1319)</x:f>
        <x:v>0</x:v>
      </x:c>
      <x:c r="AA1319" s="2" t="n">
        <x:v>320</x:v>
      </x:c>
      <x:c r="AB1319" s="2" t="n">
        <x:f>ABS(K1319-W1319)</x:f>
        <x:v>2</x:v>
      </x:c>
      <x:c r="AC1319" s="2" t="n">
        <x:f>COUNTIF($A$2:$A$1921,A1319)-1</x:f>
        <x:v>0</x:v>
      </x:c>
      <x:c r="AD1319" s="2" t="n">
        <x:f>IF(AND(D1319=D1318,H1319=H1318,C1319=C1318+1),ABS(R1319-T1318),0)</x:f>
        <x:v>0</x:v>
      </x:c>
    </x:row>
    <x:row r="1320" ht="23" customHeight="1">
      <x:c r="A1320" s="2" t="str">
        <x:v>DEMO-305-1-19</x:v>
      </x:c>
      <x:c r="B1320" s="15" t="d">
        <x:v>2026-09-07T00:00:00.000Z</x:v>
      </x:c>
      <x:c r="C1320" s="2" t="n">
        <x:v>19</x:v>
      </x:c>
      <x:c r="D1320" s="2" t="str">
        <x:v>DEMO-305</x:v>
      </x:c>
      <x:c r="E1320" s="2" t="str">
        <x:v>Everyday Tumbler</x:v>
      </x:c>
      <x:c r="F1320" s="2" t="str">
        <x:v>Lifestyle</x:v>
      </x:c>
      <x:c r="G1320" s="2" t="str">
        <x:v>Stores</x:v>
      </x:c>
      <x:c r="H1320" s="2" t="str">
        <x:v>Riverside</x:v>
      </x:c>
      <x:c r="I1320" s="2" t="n">
        <x:v>7</x:v>
      </x:c>
      <x:c r="J1320" s="2" t="n">
        <x:v>0</x:v>
      </x:c>
      <x:c r="K1320" s="2" t="n">
        <x:f>I1320-J1320</x:f>
        <x:v>7</x:v>
      </x:c>
      <x:c r="L1320" s="16" t="n">
        <x:v>32</x:v>
      </x:c>
      <x:c r="M1320" s="16" t="n">
        <x:v>25.6</x:v>
      </x:c>
      <x:c r="N1320" s="16" t="n">
        <x:v>14.72</x:v>
      </x:c>
      <x:c r="O1320" s="16" t="n">
        <x:f>K1320*M1320</x:f>
        <x:v>179.20000000000002</x:v>
      </x:c>
      <x:c r="P1320" s="16" t="n">
        <x:f>K1320*N1320</x:f>
        <x:v>103.04</x:v>
      </x:c>
      <x:c r="Q1320" s="16" t="n">
        <x:f>O1320-P1320</x:f>
        <x:v>76.16000000000001</x:v>
      </x:c>
      <x:c r="R1320" s="2" t="n">
        <x:v>320</x:v>
      </x:c>
      <x:c r="S1320" s="2" t="n">
        <x:v>0</x:v>
      </x:c>
      <x:c r="T1320" s="2" t="n">
        <x:f>R1320+S1320+J1320-I1320</x:f>
        <x:v>313</x:v>
      </x:c>
      <x:c r="U1320" s="2" t="n">
        <x:v>0</x:v>
      </x:c>
      <x:c r="V1320" s="2" t="n">
        <x:v>3</x:v>
      </x:c>
      <x:c r="W1320" s="2" t="n">
        <x:v>7</x:v>
      </x:c>
      <x:c r="X1320" s="14" t="b">
        <x:v>0</x:v>
      </x:c>
      <x:c r="Y1320" s="14" t="b">
        <x:v>1</x:v>
      </x:c>
      <x:c r="Z1320" s="2" t="n">
        <x:f>ABS(T1320-AA1320)</x:f>
        <x:v>0</x:v>
      </x:c>
      <x:c r="AA1320" s="2" t="n">
        <x:v>313</x:v>
      </x:c>
      <x:c r="AB1320" s="2" t="n">
        <x:f>ABS(K1320-W1320)</x:f>
        <x:v>0</x:v>
      </x:c>
      <x:c r="AC1320" s="2" t="n">
        <x:f>COUNTIF($A$2:$A$1921,A1320)-1</x:f>
        <x:v>0</x:v>
      </x:c>
      <x:c r="AD1320" s="2" t="n">
        <x:f>IF(AND(D1320=D1319,H1320=H1319,C1320=C1319+1),ABS(R1320-T1319),0)</x:f>
        <x:v>0</x:v>
      </x:c>
    </x:row>
    <x:row r="1321" ht="23" customHeight="1">
      <x:c r="A1321" s="2" t="str">
        <x:v>DEMO-305-1-20</x:v>
      </x:c>
      <x:c r="B1321" s="15" t="d">
        <x:v>2026-09-14T00:00:00.000Z</x:v>
      </x:c>
      <x:c r="C1321" s="2" t="n">
        <x:v>20</x:v>
      </x:c>
      <x:c r="D1321" s="2" t="str">
        <x:v>DEMO-305</x:v>
      </x:c>
      <x:c r="E1321" s="2" t="str">
        <x:v>Everyday Tumbler</x:v>
      </x:c>
      <x:c r="F1321" s="2" t="str">
        <x:v>Lifestyle</x:v>
      </x:c>
      <x:c r="G1321" s="2" t="str">
        <x:v>Stores</x:v>
      </x:c>
      <x:c r="H1321" s="2" t="str">
        <x:v>Riverside</x:v>
      </x:c>
      <x:c r="I1321" s="2" t="n">
        <x:v>7</x:v>
      </x:c>
      <x:c r="J1321" s="2" t="n">
        <x:v>1</x:v>
      </x:c>
      <x:c r="K1321" s="2" t="n">
        <x:f>I1321-J1321</x:f>
        <x:v>6</x:v>
      </x:c>
      <x:c r="L1321" s="16" t="n">
        <x:v>32</x:v>
      </x:c>
      <x:c r="M1321" s="16" t="n">
        <x:v>25.6</x:v>
      </x:c>
      <x:c r="N1321" s="16" t="n">
        <x:v>14.72</x:v>
      </x:c>
      <x:c r="O1321" s="16" t="n">
        <x:f>K1321*M1321</x:f>
        <x:v>153.60000000000002</x:v>
      </x:c>
      <x:c r="P1321" s="16" t="n">
        <x:f>K1321*N1321</x:f>
        <x:v>88.32000000000001</x:v>
      </x:c>
      <x:c r="Q1321" s="16" t="n">
        <x:f>O1321-P1321</x:f>
        <x:v>65.28000000000002</x:v>
      </x:c>
      <x:c r="R1321" s="2" t="n">
        <x:v>313</x:v>
      </x:c>
      <x:c r="S1321" s="2" t="n">
        <x:v>0</x:v>
      </x:c>
      <x:c r="T1321" s="2" t="n">
        <x:f>R1321+S1321+J1321-I1321</x:f>
        <x:v>307</x:v>
      </x:c>
      <x:c r="U1321" s="2" t="n">
        <x:v>24</x:v>
      </x:c>
      <x:c r="V1321" s="2" t="n">
        <x:v>3</x:v>
      </x:c>
      <x:c r="W1321" s="2" t="n">
        <x:v>7</x:v>
      </x:c>
      <x:c r="X1321" s="14" t="b">
        <x:v>0</x:v>
      </x:c>
      <x:c r="Y1321" s="14" t="b">
        <x:v>1</x:v>
      </x:c>
      <x:c r="Z1321" s="2" t="n">
        <x:f>ABS(T1321-AA1321)</x:f>
        <x:v>0</x:v>
      </x:c>
      <x:c r="AA1321" s="2" t="n">
        <x:v>307</x:v>
      </x:c>
      <x:c r="AB1321" s="2" t="n">
        <x:f>ABS(K1321-W1321)</x:f>
        <x:v>1</x:v>
      </x:c>
      <x:c r="AC1321" s="2" t="n">
        <x:f>COUNTIF($A$2:$A$1921,A1321)-1</x:f>
        <x:v>0</x:v>
      </x:c>
      <x:c r="AD1321" s="2" t="n">
        <x:f>IF(AND(D1321=D1320,H1321=H1320,C1321=C1320+1),ABS(R1321-T1320),0)</x:f>
        <x:v>0</x:v>
      </x:c>
    </x:row>
    <x:row r="1322" ht="23" customHeight="1">
      <x:c r="A1322" s="2" t="str">
        <x:v>DEMO-305-2-1</x:v>
      </x:c>
      <x:c r="B1322" s="15" t="d">
        <x:v>2026-05-04T00:00:00.000Z</x:v>
      </x:c>
      <x:c r="C1322" s="2" t="n">
        <x:v>1</x:v>
      </x:c>
      <x:c r="D1322" s="2" t="str">
        <x:v>DEMO-305</x:v>
      </x:c>
      <x:c r="E1322" s="2" t="str">
        <x:v>Everyday Tumbler</x:v>
      </x:c>
      <x:c r="F1322" s="2" t="str">
        <x:v>Lifestyle</x:v>
      </x:c>
      <x:c r="G1322" s="2" t="str">
        <x:v>Stores</x:v>
      </x:c>
      <x:c r="H1322" s="2" t="str">
        <x:v>Central Market</x:v>
      </x:c>
      <x:c r="I1322" s="2" t="n">
        <x:v>9</x:v>
      </x:c>
      <x:c r="J1322" s="2" t="n">
        <x:v>0</x:v>
      </x:c>
      <x:c r="K1322" s="2" t="n">
        <x:f>I1322-J1322</x:f>
        <x:v>9</x:v>
      </x:c>
      <x:c r="L1322" s="16" t="n">
        <x:v>32</x:v>
      </x:c>
      <x:c r="M1322" s="16" t="n">
        <x:v>32</x:v>
      </x:c>
      <x:c r="N1322" s="16" t="n">
        <x:v>14.72</x:v>
      </x:c>
      <x:c r="O1322" s="16" t="n">
        <x:f>K1322*M1322</x:f>
        <x:v>288</x:v>
      </x:c>
      <x:c r="P1322" s="16" t="n">
        <x:f>K1322*N1322</x:f>
        <x:v>132.48000000000002</x:v>
      </x:c>
      <x:c r="Q1322" s="16" t="n">
        <x:f>O1322-P1322</x:f>
        <x:v>155.51999999999998</x:v>
      </x:c>
      <x:c r="R1322" s="2" t="n">
        <x:v>140</x:v>
      </x:c>
      <x:c r="S1322" s="2" t="n">
        <x:v>65</x:v>
      </x:c>
      <x:c r="T1322" s="2" t="n">
        <x:f>R1322+S1322+J1322-I1322</x:f>
        <x:v>196</x:v>
      </x:c>
      <x:c r="U1322" s="2" t="n">
        <x:v>0</x:v>
      </x:c>
      <x:c r="V1322" s="2" t="n">
        <x:v>3</x:v>
      </x:c>
      <x:c r="W1322" s="2" t="n">
        <x:v>11</x:v>
      </x:c>
      <x:c r="X1322" s="14" t="b">
        <x:v>0</x:v>
      </x:c>
      <x:c r="Y1322" s="14" t="b">
        <x:v>0</x:v>
      </x:c>
      <x:c r="Z1322" s="2" t="n">
        <x:f>ABS(T1322-AA1322)</x:f>
        <x:v>0</x:v>
      </x:c>
      <x:c r="AA1322" s="2" t="n">
        <x:v>196</x:v>
      </x:c>
      <x:c r="AB1322" s="2" t="n">
        <x:f>ABS(K1322-W1322)</x:f>
        <x:v>2</x:v>
      </x:c>
      <x:c r="AC1322" s="2" t="n">
        <x:f>COUNTIF($A$2:$A$1921,A1322)-1</x:f>
        <x:v>0</x:v>
      </x:c>
      <x:c r="AD1322" s="2" t="n">
        <x:f>IF(AND(D1322=D1321,H1322=H1321,C1322=C1321+1),ABS(R1322-T1321),0)</x:f>
        <x:v>0</x:v>
      </x:c>
    </x:row>
    <x:row r="1323" ht="23" customHeight="1">
      <x:c r="A1323" s="2" t="str">
        <x:v>DEMO-305-2-2</x:v>
      </x:c>
      <x:c r="B1323" s="15" t="d">
        <x:v>2026-05-11T00:00:00.000Z</x:v>
      </x:c>
      <x:c r="C1323" s="2" t="n">
        <x:v>2</x:v>
      </x:c>
      <x:c r="D1323" s="2" t="str">
        <x:v>DEMO-305</x:v>
      </x:c>
      <x:c r="E1323" s="2" t="str">
        <x:v>Everyday Tumbler</x:v>
      </x:c>
      <x:c r="F1323" s="2" t="str">
        <x:v>Lifestyle</x:v>
      </x:c>
      <x:c r="G1323" s="2" t="str">
        <x:v>Stores</x:v>
      </x:c>
      <x:c r="H1323" s="2" t="str">
        <x:v>Central Market</x:v>
      </x:c>
      <x:c r="I1323" s="2" t="n">
        <x:v>11</x:v>
      </x:c>
      <x:c r="J1323" s="2" t="n">
        <x:v>0</x:v>
      </x:c>
      <x:c r="K1323" s="2" t="n">
        <x:f>I1323-J1323</x:f>
        <x:v>11</x:v>
      </x:c>
      <x:c r="L1323" s="16" t="n">
        <x:v>32</x:v>
      </x:c>
      <x:c r="M1323" s="16" t="n">
        <x:v>32</x:v>
      </x:c>
      <x:c r="N1323" s="16" t="n">
        <x:v>14.72</x:v>
      </x:c>
      <x:c r="O1323" s="16" t="n">
        <x:f>K1323*M1323</x:f>
        <x:v>352</x:v>
      </x:c>
      <x:c r="P1323" s="16" t="n">
        <x:f>K1323*N1323</x:f>
        <x:v>161.92000000000002</x:v>
      </x:c>
      <x:c r="Q1323" s="16" t="n">
        <x:f>O1323-P1323</x:f>
        <x:v>190.07999999999998</x:v>
      </x:c>
      <x:c r="R1323" s="2" t="n">
        <x:v>196</x:v>
      </x:c>
      <x:c r="S1323" s="2" t="n">
        <x:v>0</x:v>
      </x:c>
      <x:c r="T1323" s="2" t="n">
        <x:f>R1323+S1323+J1323-I1323</x:f>
        <x:v>185</x:v>
      </x:c>
      <x:c r="U1323" s="2" t="n">
        <x:v>0</x:v>
      </x:c>
      <x:c r="V1323" s="2" t="n">
        <x:v>3</x:v>
      </x:c>
      <x:c r="W1323" s="2" t="n">
        <x:v>9</x:v>
      </x:c>
      <x:c r="X1323" s="14" t="b">
        <x:v>0</x:v>
      </x:c>
      <x:c r="Y1323" s="14" t="b">
        <x:v>0</x:v>
      </x:c>
      <x:c r="Z1323" s="2" t="n">
        <x:f>ABS(T1323-AA1323)</x:f>
        <x:v>0</x:v>
      </x:c>
      <x:c r="AA1323" s="2" t="n">
        <x:v>185</x:v>
      </x:c>
      <x:c r="AB1323" s="2" t="n">
        <x:f>ABS(K1323-W1323)</x:f>
        <x:v>2</x:v>
      </x:c>
      <x:c r="AC1323" s="2" t="n">
        <x:f>COUNTIF($A$2:$A$1921,A1323)-1</x:f>
        <x:v>0</x:v>
      </x:c>
      <x:c r="AD1323" s="2" t="n">
        <x:f>IF(AND(D1323=D1322,H1323=H1322,C1323=C1322+1),ABS(R1323-T1322),0)</x:f>
        <x:v>0</x:v>
      </x:c>
    </x:row>
    <x:row r="1324" ht="23" customHeight="1">
      <x:c r="A1324" s="2" t="str">
        <x:v>DEMO-305-2-3</x:v>
      </x:c>
      <x:c r="B1324" s="15" t="d">
        <x:v>2026-05-18T00:00:00.000Z</x:v>
      </x:c>
      <x:c r="C1324" s="2" t="n">
        <x:v>3</x:v>
      </x:c>
      <x:c r="D1324" s="2" t="str">
        <x:v>DEMO-305</x:v>
      </x:c>
      <x:c r="E1324" s="2" t="str">
        <x:v>Everyday Tumbler</x:v>
      </x:c>
      <x:c r="F1324" s="2" t="str">
        <x:v>Lifestyle</x:v>
      </x:c>
      <x:c r="G1324" s="2" t="str">
        <x:v>Stores</x:v>
      </x:c>
      <x:c r="H1324" s="2" t="str">
        <x:v>Central Market</x:v>
      </x:c>
      <x:c r="I1324" s="2" t="n">
        <x:v>11</x:v>
      </x:c>
      <x:c r="J1324" s="2" t="n">
        <x:v>0</x:v>
      </x:c>
      <x:c r="K1324" s="2" t="n">
        <x:f>I1324-J1324</x:f>
        <x:v>11</x:v>
      </x:c>
      <x:c r="L1324" s="16" t="n">
        <x:v>32</x:v>
      </x:c>
      <x:c r="M1324" s="16" t="n">
        <x:v>32</x:v>
      </x:c>
      <x:c r="N1324" s="16" t="n">
        <x:v>14.72</x:v>
      </x:c>
      <x:c r="O1324" s="16" t="n">
        <x:f>K1324*M1324</x:f>
        <x:v>352</x:v>
      </x:c>
      <x:c r="P1324" s="16" t="n">
        <x:f>K1324*N1324</x:f>
        <x:v>161.92000000000002</x:v>
      </x:c>
      <x:c r="Q1324" s="16" t="n">
        <x:f>O1324-P1324</x:f>
        <x:v>190.07999999999998</x:v>
      </x:c>
      <x:c r="R1324" s="2" t="n">
        <x:v>185</x:v>
      </x:c>
      <x:c r="S1324" s="2" t="n">
        <x:v>0</x:v>
      </x:c>
      <x:c r="T1324" s="2" t="n">
        <x:f>R1324+S1324+J1324-I1324</x:f>
        <x:v>174</x:v>
      </x:c>
      <x:c r="U1324" s="2" t="n">
        <x:v>0</x:v>
      </x:c>
      <x:c r="V1324" s="2" t="n">
        <x:v>3</x:v>
      </x:c>
      <x:c r="W1324" s="2" t="n">
        <x:v>10</x:v>
      </x:c>
      <x:c r="X1324" s="14" t="b">
        <x:v>0</x:v>
      </x:c>
      <x:c r="Y1324" s="14" t="b">
        <x:v>0</x:v>
      </x:c>
      <x:c r="Z1324" s="2" t="n">
        <x:f>ABS(T1324-AA1324)</x:f>
        <x:v>0</x:v>
      </x:c>
      <x:c r="AA1324" s="2" t="n">
        <x:v>174</x:v>
      </x:c>
      <x:c r="AB1324" s="2" t="n">
        <x:f>ABS(K1324-W1324)</x:f>
        <x:v>1</x:v>
      </x:c>
      <x:c r="AC1324" s="2" t="n">
        <x:f>COUNTIF($A$2:$A$1921,A1324)-1</x:f>
        <x:v>0</x:v>
      </x:c>
      <x:c r="AD1324" s="2" t="n">
        <x:f>IF(AND(D1324=D1323,H1324=H1323,C1324=C1323+1),ABS(R1324-T1323),0)</x:f>
        <x:v>0</x:v>
      </x:c>
    </x:row>
    <x:row r="1325" ht="23" customHeight="1">
      <x:c r="A1325" s="2" t="str">
        <x:v>DEMO-305-2-4</x:v>
      </x:c>
      <x:c r="B1325" s="15" t="d">
        <x:v>2026-05-25T00:00:00.000Z</x:v>
      </x:c>
      <x:c r="C1325" s="2" t="n">
        <x:v>4</x:v>
      </x:c>
      <x:c r="D1325" s="2" t="str">
        <x:v>DEMO-305</x:v>
      </x:c>
      <x:c r="E1325" s="2" t="str">
        <x:v>Everyday Tumbler</x:v>
      </x:c>
      <x:c r="F1325" s="2" t="str">
        <x:v>Lifestyle</x:v>
      </x:c>
      <x:c r="G1325" s="2" t="str">
        <x:v>Stores</x:v>
      </x:c>
      <x:c r="H1325" s="2" t="str">
        <x:v>Central Market</x:v>
      </x:c>
      <x:c r="I1325" s="2" t="n">
        <x:v>8</x:v>
      </x:c>
      <x:c r="J1325" s="2" t="n">
        <x:v>0</x:v>
      </x:c>
      <x:c r="K1325" s="2" t="n">
        <x:f>I1325-J1325</x:f>
        <x:v>8</x:v>
      </x:c>
      <x:c r="L1325" s="16" t="n">
        <x:v>32</x:v>
      </x:c>
      <x:c r="M1325" s="16" t="n">
        <x:v>32</x:v>
      </x:c>
      <x:c r="N1325" s="16" t="n">
        <x:v>14.72</x:v>
      </x:c>
      <x:c r="O1325" s="16" t="n">
        <x:f>K1325*M1325</x:f>
        <x:v>256</x:v>
      </x:c>
      <x:c r="P1325" s="16" t="n">
        <x:f>K1325*N1325</x:f>
        <x:v>117.76</x:v>
      </x:c>
      <x:c r="Q1325" s="16" t="n">
        <x:f>O1325-P1325</x:f>
        <x:v>138.24</x:v>
      </x:c>
      <x:c r="R1325" s="2" t="n">
        <x:v>174</x:v>
      </x:c>
      <x:c r="S1325" s="2" t="n">
        <x:v>0</x:v>
      </x:c>
      <x:c r="T1325" s="2" t="n">
        <x:f>R1325+S1325+J1325-I1325</x:f>
        <x:v>166</x:v>
      </x:c>
      <x:c r="U1325" s="2" t="n">
        <x:v>0</x:v>
      </x:c>
      <x:c r="V1325" s="2" t="n">
        <x:v>3</x:v>
      </x:c>
      <x:c r="W1325" s="2" t="n">
        <x:v>10</x:v>
      </x:c>
      <x:c r="X1325" s="14" t="b">
        <x:v>0</x:v>
      </x:c>
      <x:c r="Y1325" s="14" t="b">
        <x:v>0</x:v>
      </x:c>
      <x:c r="Z1325" s="2" t="n">
        <x:f>ABS(T1325-AA1325)</x:f>
        <x:v>0</x:v>
      </x:c>
      <x:c r="AA1325" s="2" t="n">
        <x:v>166</x:v>
      </x:c>
      <x:c r="AB1325" s="2" t="n">
        <x:f>ABS(K1325-W1325)</x:f>
        <x:v>2</x:v>
      </x:c>
      <x:c r="AC1325" s="2" t="n">
        <x:f>COUNTIF($A$2:$A$1921,A1325)-1</x:f>
        <x:v>0</x:v>
      </x:c>
      <x:c r="AD1325" s="2" t="n">
        <x:f>IF(AND(D1325=D1324,H1325=H1324,C1325=C1324+1),ABS(R1325-T1324),0)</x:f>
        <x:v>0</x:v>
      </x:c>
    </x:row>
    <x:row r="1326" ht="23" customHeight="1">
      <x:c r="A1326" s="2" t="str">
        <x:v>DEMO-305-2-5</x:v>
      </x:c>
      <x:c r="B1326" s="15" t="d">
        <x:v>2026-06-01T00:00:00.000Z</x:v>
      </x:c>
      <x:c r="C1326" s="2" t="n">
        <x:v>5</x:v>
      </x:c>
      <x:c r="D1326" s="2" t="str">
        <x:v>DEMO-305</x:v>
      </x:c>
      <x:c r="E1326" s="2" t="str">
        <x:v>Everyday Tumbler</x:v>
      </x:c>
      <x:c r="F1326" s="2" t="str">
        <x:v>Lifestyle</x:v>
      </x:c>
      <x:c r="G1326" s="2" t="str">
        <x:v>Stores</x:v>
      </x:c>
      <x:c r="H1326" s="2" t="str">
        <x:v>Central Market</x:v>
      </x:c>
      <x:c r="I1326" s="2" t="n">
        <x:v>8</x:v>
      </x:c>
      <x:c r="J1326" s="2" t="n">
        <x:v>0</x:v>
      </x:c>
      <x:c r="K1326" s="2" t="n">
        <x:f>I1326-J1326</x:f>
        <x:v>8</x:v>
      </x:c>
      <x:c r="L1326" s="16" t="n">
        <x:v>32</x:v>
      </x:c>
      <x:c r="M1326" s="16" t="n">
        <x:v>32</x:v>
      </x:c>
      <x:c r="N1326" s="16" t="n">
        <x:v>14.72</x:v>
      </x:c>
      <x:c r="O1326" s="16" t="n">
        <x:f>K1326*M1326</x:f>
        <x:v>256</x:v>
      </x:c>
      <x:c r="P1326" s="16" t="n">
        <x:f>K1326*N1326</x:f>
        <x:v>117.76</x:v>
      </x:c>
      <x:c r="Q1326" s="16" t="n">
        <x:f>O1326-P1326</x:f>
        <x:v>138.24</x:v>
      </x:c>
      <x:c r="R1326" s="2" t="n">
        <x:v>166</x:v>
      </x:c>
      <x:c r="S1326" s="2" t="n">
        <x:v>65</x:v>
      </x:c>
      <x:c r="T1326" s="2" t="n">
        <x:f>R1326+S1326+J1326-I1326</x:f>
        <x:v>223</x:v>
      </x:c>
      <x:c r="U1326" s="2" t="n">
        <x:v>0</x:v>
      </x:c>
      <x:c r="V1326" s="2" t="n">
        <x:v>3</x:v>
      </x:c>
      <x:c r="W1326" s="2" t="n">
        <x:v>10</x:v>
      </x:c>
      <x:c r="X1326" s="14" t="b">
        <x:v>0</x:v>
      </x:c>
      <x:c r="Y1326" s="14" t="b">
        <x:v>0</x:v>
      </x:c>
      <x:c r="Z1326" s="2" t="n">
        <x:f>ABS(T1326-AA1326)</x:f>
        <x:v>0</x:v>
      </x:c>
      <x:c r="AA1326" s="2" t="n">
        <x:v>223</x:v>
      </x:c>
      <x:c r="AB1326" s="2" t="n">
        <x:f>ABS(K1326-W1326)</x:f>
        <x:v>2</x:v>
      </x:c>
      <x:c r="AC1326" s="2" t="n">
        <x:f>COUNTIF($A$2:$A$1921,A1326)-1</x:f>
        <x:v>0</x:v>
      </x:c>
      <x:c r="AD1326" s="2" t="n">
        <x:f>IF(AND(D1326=D1325,H1326=H1325,C1326=C1325+1),ABS(R1326-T1325),0)</x:f>
        <x:v>0</x:v>
      </x:c>
    </x:row>
    <x:row r="1327" ht="23" customHeight="1">
      <x:c r="A1327" s="2" t="str">
        <x:v>DEMO-305-2-6</x:v>
      </x:c>
      <x:c r="B1327" s="15" t="d">
        <x:v>2026-06-08T00:00:00.000Z</x:v>
      </x:c>
      <x:c r="C1327" s="2" t="n">
        <x:v>6</x:v>
      </x:c>
      <x:c r="D1327" s="2" t="str">
        <x:v>DEMO-305</x:v>
      </x:c>
      <x:c r="E1327" s="2" t="str">
        <x:v>Everyday Tumbler</x:v>
      </x:c>
      <x:c r="F1327" s="2" t="str">
        <x:v>Lifestyle</x:v>
      </x:c>
      <x:c r="G1327" s="2" t="str">
        <x:v>Stores</x:v>
      </x:c>
      <x:c r="H1327" s="2" t="str">
        <x:v>Central Market</x:v>
      </x:c>
      <x:c r="I1327" s="2" t="n">
        <x:v>8</x:v>
      </x:c>
      <x:c r="J1327" s="2" t="n">
        <x:v>1</x:v>
      </x:c>
      <x:c r="K1327" s="2" t="n">
        <x:f>I1327-J1327</x:f>
        <x:v>7</x:v>
      </x:c>
      <x:c r="L1327" s="16" t="n">
        <x:v>32</x:v>
      </x:c>
      <x:c r="M1327" s="16" t="n">
        <x:v>32</x:v>
      </x:c>
      <x:c r="N1327" s="16" t="n">
        <x:v>14.72</x:v>
      </x:c>
      <x:c r="O1327" s="16" t="n">
        <x:f>K1327*M1327</x:f>
        <x:v>224</x:v>
      </x:c>
      <x:c r="P1327" s="16" t="n">
        <x:f>K1327*N1327</x:f>
        <x:v>103.04</x:v>
      </x:c>
      <x:c r="Q1327" s="16" t="n">
        <x:f>O1327-P1327</x:f>
        <x:v>120.96</x:v>
      </x:c>
      <x:c r="R1327" s="2" t="n">
        <x:v>223</x:v>
      </x:c>
      <x:c r="S1327" s="2" t="n">
        <x:v>0</x:v>
      </x:c>
      <x:c r="T1327" s="2" t="n">
        <x:f>R1327+S1327+J1327-I1327</x:f>
        <x:v>216</x:v>
      </x:c>
      <x:c r="U1327" s="2" t="n">
        <x:v>0</x:v>
      </x:c>
      <x:c r="V1327" s="2" t="n">
        <x:v>3</x:v>
      </x:c>
      <x:c r="W1327" s="2" t="n">
        <x:v>10</x:v>
      </x:c>
      <x:c r="X1327" s="14" t="b">
        <x:v>0</x:v>
      </x:c>
      <x:c r="Y1327" s="14" t="b">
        <x:v>0</x:v>
      </x:c>
      <x:c r="Z1327" s="2" t="n">
        <x:f>ABS(T1327-AA1327)</x:f>
        <x:v>0</x:v>
      </x:c>
      <x:c r="AA1327" s="2" t="n">
        <x:v>216</x:v>
      </x:c>
      <x:c r="AB1327" s="2" t="n">
        <x:f>ABS(K1327-W1327)</x:f>
        <x:v>3</x:v>
      </x:c>
      <x:c r="AC1327" s="2" t="n">
        <x:f>COUNTIF($A$2:$A$1921,A1327)-1</x:f>
        <x:v>0</x:v>
      </x:c>
      <x:c r="AD1327" s="2" t="n">
        <x:f>IF(AND(D1327=D1326,H1327=H1326,C1327=C1326+1),ABS(R1327-T1326),0)</x:f>
        <x:v>0</x:v>
      </x:c>
    </x:row>
    <x:row r="1328" ht="23" customHeight="1">
      <x:c r="A1328" s="2" t="str">
        <x:v>DEMO-305-2-7</x:v>
      </x:c>
      <x:c r="B1328" s="15" t="d">
        <x:v>2026-06-15T00:00:00.000Z</x:v>
      </x:c>
      <x:c r="C1328" s="2" t="n">
        <x:v>7</x:v>
      </x:c>
      <x:c r="D1328" s="2" t="str">
        <x:v>DEMO-305</x:v>
      </x:c>
      <x:c r="E1328" s="2" t="str">
        <x:v>Everyday Tumbler</x:v>
      </x:c>
      <x:c r="F1328" s="2" t="str">
        <x:v>Lifestyle</x:v>
      </x:c>
      <x:c r="G1328" s="2" t="str">
        <x:v>Stores</x:v>
      </x:c>
      <x:c r="H1328" s="2" t="str">
        <x:v>Central Market</x:v>
      </x:c>
      <x:c r="I1328" s="2" t="n">
        <x:v>10</x:v>
      </x:c>
      <x:c r="J1328" s="2" t="n">
        <x:v>0</x:v>
      </x:c>
      <x:c r="K1328" s="2" t="n">
        <x:f>I1328-J1328</x:f>
        <x:v>10</x:v>
      </x:c>
      <x:c r="L1328" s="16" t="n">
        <x:v>32</x:v>
      </x:c>
      <x:c r="M1328" s="16" t="n">
        <x:v>32</x:v>
      </x:c>
      <x:c r="N1328" s="16" t="n">
        <x:v>14.72</x:v>
      </x:c>
      <x:c r="O1328" s="16" t="n">
        <x:f>K1328*M1328</x:f>
        <x:v>320</x:v>
      </x:c>
      <x:c r="P1328" s="16" t="n">
        <x:f>K1328*N1328</x:f>
        <x:v>147.20000000000002</x:v>
      </x:c>
      <x:c r="Q1328" s="16" t="n">
        <x:f>O1328-P1328</x:f>
        <x:v>172.79999999999998</x:v>
      </x:c>
      <x:c r="R1328" s="2" t="n">
        <x:v>216</x:v>
      </x:c>
      <x:c r="S1328" s="2" t="n">
        <x:v>0</x:v>
      </x:c>
      <x:c r="T1328" s="2" t="n">
        <x:f>R1328+S1328+J1328-I1328</x:f>
        <x:v>206</x:v>
      </x:c>
      <x:c r="U1328" s="2" t="n">
        <x:v>0</x:v>
      </x:c>
      <x:c r="V1328" s="2" t="n">
        <x:v>3</x:v>
      </x:c>
      <x:c r="W1328" s="2" t="n">
        <x:v>9</x:v>
      </x:c>
      <x:c r="X1328" s="14" t="b">
        <x:v>0</x:v>
      </x:c>
      <x:c r="Y1328" s="14" t="b">
        <x:v>0</x:v>
      </x:c>
      <x:c r="Z1328" s="2" t="n">
        <x:f>ABS(T1328-AA1328)</x:f>
        <x:v>0</x:v>
      </x:c>
      <x:c r="AA1328" s="2" t="n">
        <x:v>206</x:v>
      </x:c>
      <x:c r="AB1328" s="2" t="n">
        <x:f>ABS(K1328-W1328)</x:f>
        <x:v>1</x:v>
      </x:c>
      <x:c r="AC1328" s="2" t="n">
        <x:f>COUNTIF($A$2:$A$1921,A1328)-1</x:f>
        <x:v>0</x:v>
      </x:c>
      <x:c r="AD1328" s="2" t="n">
        <x:f>IF(AND(D1328=D1327,H1328=H1327,C1328=C1327+1),ABS(R1328-T1327),0)</x:f>
        <x:v>0</x:v>
      </x:c>
    </x:row>
    <x:row r="1329" ht="23" customHeight="1">
      <x:c r="A1329" s="2" t="str">
        <x:v>DEMO-305-2-8</x:v>
      </x:c>
      <x:c r="B1329" s="15" t="d">
        <x:v>2026-06-22T00:00:00.000Z</x:v>
      </x:c>
      <x:c r="C1329" s="2" t="n">
        <x:v>8</x:v>
      </x:c>
      <x:c r="D1329" s="2" t="str">
        <x:v>DEMO-305</x:v>
      </x:c>
      <x:c r="E1329" s="2" t="str">
        <x:v>Everyday Tumbler</x:v>
      </x:c>
      <x:c r="F1329" s="2" t="str">
        <x:v>Lifestyle</x:v>
      </x:c>
      <x:c r="G1329" s="2" t="str">
        <x:v>Stores</x:v>
      </x:c>
      <x:c r="H1329" s="2" t="str">
        <x:v>Central Market</x:v>
      </x:c>
      <x:c r="I1329" s="2" t="n">
        <x:v>9</x:v>
      </x:c>
      <x:c r="J1329" s="2" t="n">
        <x:v>0</x:v>
      </x:c>
      <x:c r="K1329" s="2" t="n">
        <x:f>I1329-J1329</x:f>
        <x:v>9</x:v>
      </x:c>
      <x:c r="L1329" s="16" t="n">
        <x:v>32</x:v>
      </x:c>
      <x:c r="M1329" s="16" t="n">
        <x:v>32</x:v>
      </x:c>
      <x:c r="N1329" s="16" t="n">
        <x:v>14.72</x:v>
      </x:c>
      <x:c r="O1329" s="16" t="n">
        <x:f>K1329*M1329</x:f>
        <x:v>288</x:v>
      </x:c>
      <x:c r="P1329" s="16" t="n">
        <x:f>K1329*N1329</x:f>
        <x:v>132.48000000000002</x:v>
      </x:c>
      <x:c r="Q1329" s="16" t="n">
        <x:f>O1329-P1329</x:f>
        <x:v>155.51999999999998</x:v>
      </x:c>
      <x:c r="R1329" s="2" t="n">
        <x:v>206</x:v>
      </x:c>
      <x:c r="S1329" s="2" t="n">
        <x:v>0</x:v>
      </x:c>
      <x:c r="T1329" s="2" t="n">
        <x:f>R1329+S1329+J1329-I1329</x:f>
        <x:v>197</x:v>
      </x:c>
      <x:c r="U1329" s="2" t="n">
        <x:v>0</x:v>
      </x:c>
      <x:c r="V1329" s="2" t="n">
        <x:v>3</x:v>
      </x:c>
      <x:c r="W1329" s="2" t="n">
        <x:v>8</x:v>
      </x:c>
      <x:c r="X1329" s="14" t="b">
        <x:v>0</x:v>
      </x:c>
      <x:c r="Y1329" s="14" t="b">
        <x:v>0</x:v>
      </x:c>
      <x:c r="Z1329" s="2" t="n">
        <x:f>ABS(T1329-AA1329)</x:f>
        <x:v>0</x:v>
      </x:c>
      <x:c r="AA1329" s="2" t="n">
        <x:v>197</x:v>
      </x:c>
      <x:c r="AB1329" s="2" t="n">
        <x:f>ABS(K1329-W1329)</x:f>
        <x:v>1</x:v>
      </x:c>
      <x:c r="AC1329" s="2" t="n">
        <x:f>COUNTIF($A$2:$A$1921,A1329)-1</x:f>
        <x:v>0</x:v>
      </x:c>
      <x:c r="AD1329" s="2" t="n">
        <x:f>IF(AND(D1329=D1328,H1329=H1328,C1329=C1328+1),ABS(R1329-T1328),0)</x:f>
        <x:v>0</x:v>
      </x:c>
    </x:row>
    <x:row r="1330" ht="23" customHeight="1">
      <x:c r="A1330" s="2" t="str">
        <x:v>DEMO-305-2-9</x:v>
      </x:c>
      <x:c r="B1330" s="15" t="d">
        <x:v>2026-06-29T00:00:00.000Z</x:v>
      </x:c>
      <x:c r="C1330" s="2" t="n">
        <x:v>9</x:v>
      </x:c>
      <x:c r="D1330" s="2" t="str">
        <x:v>DEMO-305</x:v>
      </x:c>
      <x:c r="E1330" s="2" t="str">
        <x:v>Everyday Tumbler</x:v>
      </x:c>
      <x:c r="F1330" s="2" t="str">
        <x:v>Lifestyle</x:v>
      </x:c>
      <x:c r="G1330" s="2" t="str">
        <x:v>Stores</x:v>
      </x:c>
      <x:c r="H1330" s="2" t="str">
        <x:v>Central Market</x:v>
      </x:c>
      <x:c r="I1330" s="2" t="n">
        <x:v>9</x:v>
      </x:c>
      <x:c r="J1330" s="2" t="n">
        <x:v>0</x:v>
      </x:c>
      <x:c r="K1330" s="2" t="n">
        <x:f>I1330-J1330</x:f>
        <x:v>9</x:v>
      </x:c>
      <x:c r="L1330" s="16" t="n">
        <x:v>32</x:v>
      </x:c>
      <x:c r="M1330" s="16" t="n">
        <x:v>32</x:v>
      </x:c>
      <x:c r="N1330" s="16" t="n">
        <x:v>14.72</x:v>
      </x:c>
      <x:c r="O1330" s="16" t="n">
        <x:f>K1330*M1330</x:f>
        <x:v>288</x:v>
      </x:c>
      <x:c r="P1330" s="16" t="n">
        <x:f>K1330*N1330</x:f>
        <x:v>132.48000000000002</x:v>
      </x:c>
      <x:c r="Q1330" s="16" t="n">
        <x:f>O1330-P1330</x:f>
        <x:v>155.51999999999998</x:v>
      </x:c>
      <x:c r="R1330" s="2" t="n">
        <x:v>197</x:v>
      </x:c>
      <x:c r="S1330" s="2" t="n">
        <x:v>65</x:v>
      </x:c>
      <x:c r="T1330" s="2" t="n">
        <x:f>R1330+S1330+J1330-I1330</x:f>
        <x:v>253</x:v>
      </x:c>
      <x:c r="U1330" s="2" t="n">
        <x:v>0</x:v>
      </x:c>
      <x:c r="V1330" s="2" t="n">
        <x:v>3</x:v>
      </x:c>
      <x:c r="W1330" s="2" t="n">
        <x:v>9</x:v>
      </x:c>
      <x:c r="X1330" s="14" t="b">
        <x:v>0</x:v>
      </x:c>
      <x:c r="Y1330" s="14" t="b">
        <x:v>0</x:v>
      </x:c>
      <x:c r="Z1330" s="2" t="n">
        <x:f>ABS(T1330-AA1330)</x:f>
        <x:v>0</x:v>
      </x:c>
      <x:c r="AA1330" s="2" t="n">
        <x:v>253</x:v>
      </x:c>
      <x:c r="AB1330" s="2" t="n">
        <x:f>ABS(K1330-W1330)</x:f>
        <x:v>0</x:v>
      </x:c>
      <x:c r="AC1330" s="2" t="n">
        <x:f>COUNTIF($A$2:$A$1921,A1330)-1</x:f>
        <x:v>0</x:v>
      </x:c>
      <x:c r="AD1330" s="2" t="n">
        <x:f>IF(AND(D1330=D1329,H1330=H1329,C1330=C1329+1),ABS(R1330-T1329),0)</x:f>
        <x:v>0</x:v>
      </x:c>
    </x:row>
    <x:row r="1331" ht="23" customHeight="1">
      <x:c r="A1331" s="2" t="str">
        <x:v>DEMO-305-2-10</x:v>
      </x:c>
      <x:c r="B1331" s="15" t="d">
        <x:v>2026-07-06T00:00:00.000Z</x:v>
      </x:c>
      <x:c r="C1331" s="2" t="n">
        <x:v>10</x:v>
      </x:c>
      <x:c r="D1331" s="2" t="str">
        <x:v>DEMO-305</x:v>
      </x:c>
      <x:c r="E1331" s="2" t="str">
        <x:v>Everyday Tumbler</x:v>
      </x:c>
      <x:c r="F1331" s="2" t="str">
        <x:v>Lifestyle</x:v>
      </x:c>
      <x:c r="G1331" s="2" t="str">
        <x:v>Stores</x:v>
      </x:c>
      <x:c r="H1331" s="2" t="str">
        <x:v>Central Market</x:v>
      </x:c>
      <x:c r="I1331" s="2" t="n">
        <x:v>7</x:v>
      </x:c>
      <x:c r="J1331" s="2" t="n">
        <x:v>1</x:v>
      </x:c>
      <x:c r="K1331" s="2" t="n">
        <x:f>I1331-J1331</x:f>
        <x:v>6</x:v>
      </x:c>
      <x:c r="L1331" s="16" t="n">
        <x:v>32</x:v>
      </x:c>
      <x:c r="M1331" s="16" t="n">
        <x:v>32</x:v>
      </x:c>
      <x:c r="N1331" s="16" t="n">
        <x:v>14.72</x:v>
      </x:c>
      <x:c r="O1331" s="16" t="n">
        <x:f>K1331*M1331</x:f>
        <x:v>192</x:v>
      </x:c>
      <x:c r="P1331" s="16" t="n">
        <x:f>K1331*N1331</x:f>
        <x:v>88.32000000000001</x:v>
      </x:c>
      <x:c r="Q1331" s="16" t="n">
        <x:f>O1331-P1331</x:f>
        <x:v>103.67999999999999</x:v>
      </x:c>
      <x:c r="R1331" s="2" t="n">
        <x:v>253</x:v>
      </x:c>
      <x:c r="S1331" s="2" t="n">
        <x:v>0</x:v>
      </x:c>
      <x:c r="T1331" s="2" t="n">
        <x:f>R1331+S1331+J1331-I1331</x:f>
        <x:v>247</x:v>
      </x:c>
      <x:c r="U1331" s="2" t="n">
        <x:v>0</x:v>
      </x:c>
      <x:c r="V1331" s="2" t="n">
        <x:v>3</x:v>
      </x:c>
      <x:c r="W1331" s="2" t="n">
        <x:v>9</x:v>
      </x:c>
      <x:c r="X1331" s="14" t="b">
        <x:v>0</x:v>
      </x:c>
      <x:c r="Y1331" s="14" t="b">
        <x:v>0</x:v>
      </x:c>
      <x:c r="Z1331" s="2" t="n">
        <x:f>ABS(T1331-AA1331)</x:f>
        <x:v>0</x:v>
      </x:c>
      <x:c r="AA1331" s="2" t="n">
        <x:v>247</x:v>
      </x:c>
      <x:c r="AB1331" s="2" t="n">
        <x:f>ABS(K1331-W1331)</x:f>
        <x:v>3</x:v>
      </x:c>
      <x:c r="AC1331" s="2" t="n">
        <x:f>COUNTIF($A$2:$A$1921,A1331)-1</x:f>
        <x:v>0</x:v>
      </x:c>
      <x:c r="AD1331" s="2" t="n">
        <x:f>IF(AND(D1331=D1330,H1331=H1330,C1331=C1330+1),ABS(R1331-T1330),0)</x:f>
        <x:v>0</x:v>
      </x:c>
    </x:row>
    <x:row r="1332" ht="23" customHeight="1">
      <x:c r="A1332" s="2" t="str">
        <x:v>DEMO-305-2-11</x:v>
      </x:c>
      <x:c r="B1332" s="15" t="d">
        <x:v>2026-07-13T00:00:00.000Z</x:v>
      </x:c>
      <x:c r="C1332" s="2" t="n">
        <x:v>11</x:v>
      </x:c>
      <x:c r="D1332" s="2" t="str">
        <x:v>DEMO-305</x:v>
      </x:c>
      <x:c r="E1332" s="2" t="str">
        <x:v>Everyday Tumbler</x:v>
      </x:c>
      <x:c r="F1332" s="2" t="str">
        <x:v>Lifestyle</x:v>
      </x:c>
      <x:c r="G1332" s="2" t="str">
        <x:v>Stores</x:v>
      </x:c>
      <x:c r="H1332" s="2" t="str">
        <x:v>Central Market</x:v>
      </x:c>
      <x:c r="I1332" s="2" t="n">
        <x:v>6</x:v>
      </x:c>
      <x:c r="J1332" s="2" t="n">
        <x:v>1</x:v>
      </x:c>
      <x:c r="K1332" s="2" t="n">
        <x:f>I1332-J1332</x:f>
        <x:v>5</x:v>
      </x:c>
      <x:c r="L1332" s="16" t="n">
        <x:v>32</x:v>
      </x:c>
      <x:c r="M1332" s="16" t="n">
        <x:v>32</x:v>
      </x:c>
      <x:c r="N1332" s="16" t="n">
        <x:v>14.72</x:v>
      </x:c>
      <x:c r="O1332" s="16" t="n">
        <x:f>K1332*M1332</x:f>
        <x:v>160</x:v>
      </x:c>
      <x:c r="P1332" s="16" t="n">
        <x:f>K1332*N1332</x:f>
        <x:v>73.60000000000001</x:v>
      </x:c>
      <x:c r="Q1332" s="16" t="n">
        <x:f>O1332-P1332</x:f>
        <x:v>86.39999999999999</x:v>
      </x:c>
      <x:c r="R1332" s="2" t="n">
        <x:v>247</x:v>
      </x:c>
      <x:c r="S1332" s="2" t="n">
        <x:v>0</x:v>
      </x:c>
      <x:c r="T1332" s="2" t="n">
        <x:f>R1332+S1332+J1332-I1332</x:f>
        <x:v>242</x:v>
      </x:c>
      <x:c r="U1332" s="2" t="n">
        <x:v>0</x:v>
      </x:c>
      <x:c r="V1332" s="2" t="n">
        <x:v>3</x:v>
      </x:c>
      <x:c r="W1332" s="2" t="n">
        <x:v>9</x:v>
      </x:c>
      <x:c r="X1332" s="14" t="b">
        <x:v>0</x:v>
      </x:c>
      <x:c r="Y1332" s="14" t="b">
        <x:v>0</x:v>
      </x:c>
      <x:c r="Z1332" s="2" t="n">
        <x:f>ABS(T1332-AA1332)</x:f>
        <x:v>0</x:v>
      </x:c>
      <x:c r="AA1332" s="2" t="n">
        <x:v>242</x:v>
      </x:c>
      <x:c r="AB1332" s="2" t="n">
        <x:f>ABS(K1332-W1332)</x:f>
        <x:v>4</x:v>
      </x:c>
      <x:c r="AC1332" s="2" t="n">
        <x:f>COUNTIF($A$2:$A$1921,A1332)-1</x:f>
        <x:v>0</x:v>
      </x:c>
      <x:c r="AD1332" s="2" t="n">
        <x:f>IF(AND(D1332=D1331,H1332=H1331,C1332=C1331+1),ABS(R1332-T1331),0)</x:f>
        <x:v>0</x:v>
      </x:c>
    </x:row>
    <x:row r="1333" ht="23" customHeight="1">
      <x:c r="A1333" s="2" t="str">
        <x:v>DEMO-305-2-12</x:v>
      </x:c>
      <x:c r="B1333" s="15" t="d">
        <x:v>2026-07-20T00:00:00.000Z</x:v>
      </x:c>
      <x:c r="C1333" s="2" t="n">
        <x:v>12</x:v>
      </x:c>
      <x:c r="D1333" s="2" t="str">
        <x:v>DEMO-305</x:v>
      </x:c>
      <x:c r="E1333" s="2" t="str">
        <x:v>Everyday Tumbler</x:v>
      </x:c>
      <x:c r="F1333" s="2" t="str">
        <x:v>Lifestyle</x:v>
      </x:c>
      <x:c r="G1333" s="2" t="str">
        <x:v>Stores</x:v>
      </x:c>
      <x:c r="H1333" s="2" t="str">
        <x:v>Central Market</x:v>
      </x:c>
      <x:c r="I1333" s="2" t="n">
        <x:v>9</x:v>
      </x:c>
      <x:c r="J1333" s="2" t="n">
        <x:v>0</x:v>
      </x:c>
      <x:c r="K1333" s="2" t="n">
        <x:f>I1333-J1333</x:f>
        <x:v>9</x:v>
      </x:c>
      <x:c r="L1333" s="16" t="n">
        <x:v>32</x:v>
      </x:c>
      <x:c r="M1333" s="16" t="n">
        <x:v>32</x:v>
      </x:c>
      <x:c r="N1333" s="16" t="n">
        <x:v>14.72</x:v>
      </x:c>
      <x:c r="O1333" s="16" t="n">
        <x:f>K1333*M1333</x:f>
        <x:v>288</x:v>
      </x:c>
      <x:c r="P1333" s="16" t="n">
        <x:f>K1333*N1333</x:f>
        <x:v>132.48000000000002</x:v>
      </x:c>
      <x:c r="Q1333" s="16" t="n">
        <x:f>O1333-P1333</x:f>
        <x:v>155.51999999999998</x:v>
      </x:c>
      <x:c r="R1333" s="2" t="n">
        <x:v>242</x:v>
      </x:c>
      <x:c r="S1333" s="2" t="n">
        <x:v>0</x:v>
      </x:c>
      <x:c r="T1333" s="2" t="n">
        <x:f>R1333+S1333+J1333-I1333</x:f>
        <x:v>233</x:v>
      </x:c>
      <x:c r="U1333" s="2" t="n">
        <x:v>0</x:v>
      </x:c>
      <x:c r="V1333" s="2" t="n">
        <x:v>3</x:v>
      </x:c>
      <x:c r="W1333" s="2" t="n">
        <x:v>7</x:v>
      </x:c>
      <x:c r="X1333" s="14" t="b">
        <x:v>0</x:v>
      </x:c>
      <x:c r="Y1333" s="14" t="b">
        <x:v>0</x:v>
      </x:c>
      <x:c r="Z1333" s="2" t="n">
        <x:f>ABS(T1333-AA1333)</x:f>
        <x:v>0</x:v>
      </x:c>
      <x:c r="AA1333" s="2" t="n">
        <x:v>233</x:v>
      </x:c>
      <x:c r="AB1333" s="2" t="n">
        <x:f>ABS(K1333-W1333)</x:f>
        <x:v>2</x:v>
      </x:c>
      <x:c r="AC1333" s="2" t="n">
        <x:f>COUNTIF($A$2:$A$1921,A1333)-1</x:f>
        <x:v>0</x:v>
      </x:c>
      <x:c r="AD1333" s="2" t="n">
        <x:f>IF(AND(D1333=D1332,H1333=H1332,C1333=C1332+1),ABS(R1333-T1332),0)</x:f>
        <x:v>0</x:v>
      </x:c>
    </x:row>
    <x:row r="1334" ht="23" customHeight="1">
      <x:c r="A1334" s="2" t="str">
        <x:v>DEMO-305-2-13</x:v>
      </x:c>
      <x:c r="B1334" s="15" t="d">
        <x:v>2026-07-27T00:00:00.000Z</x:v>
      </x:c>
      <x:c r="C1334" s="2" t="n">
        <x:v>13</x:v>
      </x:c>
      <x:c r="D1334" s="2" t="str">
        <x:v>DEMO-305</x:v>
      </x:c>
      <x:c r="E1334" s="2" t="str">
        <x:v>Everyday Tumbler</x:v>
      </x:c>
      <x:c r="F1334" s="2" t="str">
        <x:v>Lifestyle</x:v>
      </x:c>
      <x:c r="G1334" s="2" t="str">
        <x:v>Stores</x:v>
      </x:c>
      <x:c r="H1334" s="2" t="str">
        <x:v>Central Market</x:v>
      </x:c>
      <x:c r="I1334" s="2" t="n">
        <x:v>6</x:v>
      </x:c>
      <x:c r="J1334" s="2" t="n">
        <x:v>0</x:v>
      </x:c>
      <x:c r="K1334" s="2" t="n">
        <x:f>I1334-J1334</x:f>
        <x:v>6</x:v>
      </x:c>
      <x:c r="L1334" s="16" t="n">
        <x:v>32</x:v>
      </x:c>
      <x:c r="M1334" s="16" t="n">
        <x:v>32</x:v>
      </x:c>
      <x:c r="N1334" s="16" t="n">
        <x:v>14.72</x:v>
      </x:c>
      <x:c r="O1334" s="16" t="n">
        <x:f>K1334*M1334</x:f>
        <x:v>192</x:v>
      </x:c>
      <x:c r="P1334" s="16" t="n">
        <x:f>K1334*N1334</x:f>
        <x:v>88.32000000000001</x:v>
      </x:c>
      <x:c r="Q1334" s="16" t="n">
        <x:f>O1334-P1334</x:f>
        <x:v>103.67999999999999</x:v>
      </x:c>
      <x:c r="R1334" s="2" t="n">
        <x:v>233</x:v>
      </x:c>
      <x:c r="S1334" s="2" t="n">
        <x:v>65</x:v>
      </x:c>
      <x:c r="T1334" s="2" t="n">
        <x:f>R1334+S1334+J1334-I1334</x:f>
        <x:v>292</x:v>
      </x:c>
      <x:c r="U1334" s="2" t="n">
        <x:v>0</x:v>
      </x:c>
      <x:c r="V1334" s="2" t="n">
        <x:v>3</x:v>
      </x:c>
      <x:c r="W1334" s="2" t="n">
        <x:v>7</x:v>
      </x:c>
      <x:c r="X1334" s="14" t="b">
        <x:v>0</x:v>
      </x:c>
      <x:c r="Y1334" s="14" t="b">
        <x:v>0</x:v>
      </x:c>
      <x:c r="Z1334" s="2" t="n">
        <x:f>ABS(T1334-AA1334)</x:f>
        <x:v>0</x:v>
      </x:c>
      <x:c r="AA1334" s="2" t="n">
        <x:v>292</x:v>
      </x:c>
      <x:c r="AB1334" s="2" t="n">
        <x:f>ABS(K1334-W1334)</x:f>
        <x:v>1</x:v>
      </x:c>
      <x:c r="AC1334" s="2" t="n">
        <x:f>COUNTIF($A$2:$A$1921,A1334)-1</x:f>
        <x:v>0</x:v>
      </x:c>
      <x:c r="AD1334" s="2" t="n">
        <x:f>IF(AND(D1334=D1333,H1334=H1333,C1334=C1333+1),ABS(R1334-T1333),0)</x:f>
        <x:v>0</x:v>
      </x:c>
    </x:row>
    <x:row r="1335" ht="23" customHeight="1">
      <x:c r="A1335" s="2" t="str">
        <x:v>DEMO-305-2-14</x:v>
      </x:c>
      <x:c r="B1335" s="15" t="d">
        <x:v>2026-08-03T00:00:00.000Z</x:v>
      </x:c>
      <x:c r="C1335" s="2" t="n">
        <x:v>14</x:v>
      </x:c>
      <x:c r="D1335" s="2" t="str">
        <x:v>DEMO-305</x:v>
      </x:c>
      <x:c r="E1335" s="2" t="str">
        <x:v>Everyday Tumbler</x:v>
      </x:c>
      <x:c r="F1335" s="2" t="str">
        <x:v>Lifestyle</x:v>
      </x:c>
      <x:c r="G1335" s="2" t="str">
        <x:v>Stores</x:v>
      </x:c>
      <x:c r="H1335" s="2" t="str">
        <x:v>Central Market</x:v>
      </x:c>
      <x:c r="I1335" s="2" t="n">
        <x:v>7</x:v>
      </x:c>
      <x:c r="J1335" s="2" t="n">
        <x:v>0</x:v>
      </x:c>
      <x:c r="K1335" s="2" t="n">
        <x:f>I1335-J1335</x:f>
        <x:v>7</x:v>
      </x:c>
      <x:c r="L1335" s="16" t="n">
        <x:v>32</x:v>
      </x:c>
      <x:c r="M1335" s="16" t="n">
        <x:v>32</x:v>
      </x:c>
      <x:c r="N1335" s="16" t="n">
        <x:v>14.72</x:v>
      </x:c>
      <x:c r="O1335" s="16" t="n">
        <x:f>K1335*M1335</x:f>
        <x:v>224</x:v>
      </x:c>
      <x:c r="P1335" s="16" t="n">
        <x:f>K1335*N1335</x:f>
        <x:v>103.04</x:v>
      </x:c>
      <x:c r="Q1335" s="16" t="n">
        <x:f>O1335-P1335</x:f>
        <x:v>120.96</x:v>
      </x:c>
      <x:c r="R1335" s="2" t="n">
        <x:v>292</x:v>
      </x:c>
      <x:c r="S1335" s="2" t="n">
        <x:v>0</x:v>
      </x:c>
      <x:c r="T1335" s="2" t="n">
        <x:f>R1335+S1335+J1335-I1335</x:f>
        <x:v>285</x:v>
      </x:c>
      <x:c r="U1335" s="2" t="n">
        <x:v>0</x:v>
      </x:c>
      <x:c r="V1335" s="2" t="n">
        <x:v>3</x:v>
      </x:c>
      <x:c r="W1335" s="2" t="n">
        <x:v>7</x:v>
      </x:c>
      <x:c r="X1335" s="14" t="b">
        <x:v>0</x:v>
      </x:c>
      <x:c r="Y1335" s="14" t="b">
        <x:v>0</x:v>
      </x:c>
      <x:c r="Z1335" s="2" t="n">
        <x:f>ABS(T1335-AA1335)</x:f>
        <x:v>0</x:v>
      </x:c>
      <x:c r="AA1335" s="2" t="n">
        <x:v>285</x:v>
      </x:c>
      <x:c r="AB1335" s="2" t="n">
        <x:f>ABS(K1335-W1335)</x:f>
        <x:v>0</x:v>
      </x:c>
      <x:c r="AC1335" s="2" t="n">
        <x:f>COUNTIF($A$2:$A$1921,A1335)-1</x:f>
        <x:v>0</x:v>
      </x:c>
      <x:c r="AD1335" s="2" t="n">
        <x:f>IF(AND(D1335=D1334,H1335=H1334,C1335=C1334+1),ABS(R1335-T1334),0)</x:f>
        <x:v>0</x:v>
      </x:c>
    </x:row>
    <x:row r="1336" ht="23" customHeight="1">
      <x:c r="A1336" s="2" t="str">
        <x:v>DEMO-305-2-15</x:v>
      </x:c>
      <x:c r="B1336" s="15" t="d">
        <x:v>2026-08-10T00:00:00.000Z</x:v>
      </x:c>
      <x:c r="C1336" s="2" t="n">
        <x:v>15</x:v>
      </x:c>
      <x:c r="D1336" s="2" t="str">
        <x:v>DEMO-305</x:v>
      </x:c>
      <x:c r="E1336" s="2" t="str">
        <x:v>Everyday Tumbler</x:v>
      </x:c>
      <x:c r="F1336" s="2" t="str">
        <x:v>Lifestyle</x:v>
      </x:c>
      <x:c r="G1336" s="2" t="str">
        <x:v>Stores</x:v>
      </x:c>
      <x:c r="H1336" s="2" t="str">
        <x:v>Central Market</x:v>
      </x:c>
      <x:c r="I1336" s="2" t="n">
        <x:v>6</x:v>
      </x:c>
      <x:c r="J1336" s="2" t="n">
        <x:v>1</x:v>
      </x:c>
      <x:c r="K1336" s="2" t="n">
        <x:f>I1336-J1336</x:f>
        <x:v>5</x:v>
      </x:c>
      <x:c r="L1336" s="16" t="n">
        <x:v>32</x:v>
      </x:c>
      <x:c r="M1336" s="16" t="n">
        <x:v>32</x:v>
      </x:c>
      <x:c r="N1336" s="16" t="n">
        <x:v>14.72</x:v>
      </x:c>
      <x:c r="O1336" s="16" t="n">
        <x:f>K1336*M1336</x:f>
        <x:v>160</x:v>
      </x:c>
      <x:c r="P1336" s="16" t="n">
        <x:f>K1336*N1336</x:f>
        <x:v>73.60000000000001</x:v>
      </x:c>
      <x:c r="Q1336" s="16" t="n">
        <x:f>O1336-P1336</x:f>
        <x:v>86.39999999999999</x:v>
      </x:c>
      <x:c r="R1336" s="2" t="n">
        <x:v>285</x:v>
      </x:c>
      <x:c r="S1336" s="2" t="n">
        <x:v>0</x:v>
      </x:c>
      <x:c r="T1336" s="2" t="n">
        <x:f>R1336+S1336+J1336-I1336</x:f>
        <x:v>280</x:v>
      </x:c>
      <x:c r="U1336" s="2" t="n">
        <x:v>0</x:v>
      </x:c>
      <x:c r="V1336" s="2" t="n">
        <x:v>3</x:v>
      </x:c>
      <x:c r="W1336" s="2" t="n">
        <x:v>7</x:v>
      </x:c>
      <x:c r="X1336" s="14" t="b">
        <x:v>0</x:v>
      </x:c>
      <x:c r="Y1336" s="14" t="b">
        <x:v>0</x:v>
      </x:c>
      <x:c r="Z1336" s="2" t="n">
        <x:f>ABS(T1336-AA1336)</x:f>
        <x:v>0</x:v>
      </x:c>
      <x:c r="AA1336" s="2" t="n">
        <x:v>280</x:v>
      </x:c>
      <x:c r="AB1336" s="2" t="n">
        <x:f>ABS(K1336-W1336)</x:f>
        <x:v>2</x:v>
      </x:c>
      <x:c r="AC1336" s="2" t="n">
        <x:f>COUNTIF($A$2:$A$1921,A1336)-1</x:f>
        <x:v>0</x:v>
      </x:c>
      <x:c r="AD1336" s="2" t="n">
        <x:f>IF(AND(D1336=D1335,H1336=H1335,C1336=C1335+1),ABS(R1336-T1335),0)</x:f>
        <x:v>0</x:v>
      </x:c>
    </x:row>
    <x:row r="1337" ht="23" customHeight="1">
      <x:c r="A1337" s="2" t="str">
        <x:v>DEMO-305-2-16</x:v>
      </x:c>
      <x:c r="B1337" s="15" t="d">
        <x:v>2026-08-17T00:00:00.000Z</x:v>
      </x:c>
      <x:c r="C1337" s="2" t="n">
        <x:v>16</x:v>
      </x:c>
      <x:c r="D1337" s="2" t="str">
        <x:v>DEMO-305</x:v>
      </x:c>
      <x:c r="E1337" s="2" t="str">
        <x:v>Everyday Tumbler</x:v>
      </x:c>
      <x:c r="F1337" s="2" t="str">
        <x:v>Lifestyle</x:v>
      </x:c>
      <x:c r="G1337" s="2" t="str">
        <x:v>Stores</x:v>
      </x:c>
      <x:c r="H1337" s="2" t="str">
        <x:v>Central Market</x:v>
      </x:c>
      <x:c r="I1337" s="2" t="n">
        <x:v>6</x:v>
      </x:c>
      <x:c r="J1337" s="2" t="n">
        <x:v>0</x:v>
      </x:c>
      <x:c r="K1337" s="2" t="n">
        <x:f>I1337-J1337</x:f>
        <x:v>6</x:v>
      </x:c>
      <x:c r="L1337" s="16" t="n">
        <x:v>32</x:v>
      </x:c>
      <x:c r="M1337" s="16" t="n">
        <x:v>32</x:v>
      </x:c>
      <x:c r="N1337" s="16" t="n">
        <x:v>14.72</x:v>
      </x:c>
      <x:c r="O1337" s="16" t="n">
        <x:f>K1337*M1337</x:f>
        <x:v>192</x:v>
      </x:c>
      <x:c r="P1337" s="16" t="n">
        <x:f>K1337*N1337</x:f>
        <x:v>88.32000000000001</x:v>
      </x:c>
      <x:c r="Q1337" s="16" t="n">
        <x:f>O1337-P1337</x:f>
        <x:v>103.67999999999999</x:v>
      </x:c>
      <x:c r="R1337" s="2" t="n">
        <x:v>280</x:v>
      </x:c>
      <x:c r="S1337" s="2" t="n">
        <x:v>0</x:v>
      </x:c>
      <x:c r="T1337" s="2" t="n">
        <x:f>R1337+S1337+J1337-I1337</x:f>
        <x:v>274</x:v>
      </x:c>
      <x:c r="U1337" s="2" t="n">
        <x:v>0</x:v>
      </x:c>
      <x:c r="V1337" s="2" t="n">
        <x:v>3</x:v>
      </x:c>
      <x:c r="W1337" s="2" t="n">
        <x:v>7</x:v>
      </x:c>
      <x:c r="X1337" s="14" t="b">
        <x:v>0</x:v>
      </x:c>
      <x:c r="Y1337" s="14" t="b">
        <x:v>0</x:v>
      </x:c>
      <x:c r="Z1337" s="2" t="n">
        <x:f>ABS(T1337-AA1337)</x:f>
        <x:v>0</x:v>
      </x:c>
      <x:c r="AA1337" s="2" t="n">
        <x:v>274</x:v>
      </x:c>
      <x:c r="AB1337" s="2" t="n">
        <x:f>ABS(K1337-W1337)</x:f>
        <x:v>1</x:v>
      </x:c>
      <x:c r="AC1337" s="2" t="n">
        <x:f>COUNTIF($A$2:$A$1921,A1337)-1</x:f>
        <x:v>0</x:v>
      </x:c>
      <x:c r="AD1337" s="2" t="n">
        <x:f>IF(AND(D1337=D1336,H1337=H1336,C1337=C1336+1),ABS(R1337-T1336),0)</x:f>
        <x:v>0</x:v>
      </x:c>
    </x:row>
    <x:row r="1338" ht="23" customHeight="1">
      <x:c r="A1338" s="2" t="str">
        <x:v>DEMO-305-2-17</x:v>
      </x:c>
      <x:c r="B1338" s="15" t="d">
        <x:v>2026-08-24T00:00:00.000Z</x:v>
      </x:c>
      <x:c r="C1338" s="2" t="n">
        <x:v>17</x:v>
      </x:c>
      <x:c r="D1338" s="2" t="str">
        <x:v>DEMO-305</x:v>
      </x:c>
      <x:c r="E1338" s="2" t="str">
        <x:v>Everyday Tumbler</x:v>
      </x:c>
      <x:c r="F1338" s="2" t="str">
        <x:v>Lifestyle</x:v>
      </x:c>
      <x:c r="G1338" s="2" t="str">
        <x:v>Stores</x:v>
      </x:c>
      <x:c r="H1338" s="2" t="str">
        <x:v>Central Market</x:v>
      </x:c>
      <x:c r="I1338" s="2" t="n">
        <x:v>6</x:v>
      </x:c>
      <x:c r="J1338" s="2" t="n">
        <x:v>1</x:v>
      </x:c>
      <x:c r="K1338" s="2" t="n">
        <x:f>I1338-J1338</x:f>
        <x:v>5</x:v>
      </x:c>
      <x:c r="L1338" s="16" t="n">
        <x:v>32</x:v>
      </x:c>
      <x:c r="M1338" s="16" t="n">
        <x:v>25.6</x:v>
      </x:c>
      <x:c r="N1338" s="16" t="n">
        <x:v>14.72</x:v>
      </x:c>
      <x:c r="O1338" s="16" t="n">
        <x:f>K1338*M1338</x:f>
        <x:v>128</x:v>
      </x:c>
      <x:c r="P1338" s="16" t="n">
        <x:f>K1338*N1338</x:f>
        <x:v>73.60000000000001</x:v>
      </x:c>
      <x:c r="Q1338" s="16" t="n">
        <x:f>O1338-P1338</x:f>
        <x:v>54.39999999999999</x:v>
      </x:c>
      <x:c r="R1338" s="2" t="n">
        <x:v>274</x:v>
      </x:c>
      <x:c r="S1338" s="2" t="n">
        <x:v>65</x:v>
      </x:c>
      <x:c r="T1338" s="2" t="n">
        <x:f>R1338+S1338+J1338-I1338</x:f>
        <x:v>334</x:v>
      </x:c>
      <x:c r="U1338" s="2" t="n">
        <x:v>0</x:v>
      </x:c>
      <x:c r="V1338" s="2" t="n">
        <x:v>3</x:v>
      </x:c>
      <x:c r="W1338" s="2" t="n">
        <x:v>6</x:v>
      </x:c>
      <x:c r="X1338" s="14" t="b">
        <x:v>0</x:v>
      </x:c>
      <x:c r="Y1338" s="14" t="b">
        <x:v>1</x:v>
      </x:c>
      <x:c r="Z1338" s="2" t="n">
        <x:f>ABS(T1338-AA1338)</x:f>
        <x:v>0</x:v>
      </x:c>
      <x:c r="AA1338" s="2" t="n">
        <x:v>334</x:v>
      </x:c>
      <x:c r="AB1338" s="2" t="n">
        <x:f>ABS(K1338-W1338)</x:f>
        <x:v>1</x:v>
      </x:c>
      <x:c r="AC1338" s="2" t="n">
        <x:f>COUNTIF($A$2:$A$1921,A1338)-1</x:f>
        <x:v>0</x:v>
      </x:c>
      <x:c r="AD1338" s="2" t="n">
        <x:f>IF(AND(D1338=D1337,H1338=H1337,C1338=C1337+1),ABS(R1338-T1337),0)</x:f>
        <x:v>0</x:v>
      </x:c>
    </x:row>
    <x:row r="1339" ht="23" customHeight="1">
      <x:c r="A1339" s="2" t="str">
        <x:v>DEMO-305-2-18</x:v>
      </x:c>
      <x:c r="B1339" s="15" t="d">
        <x:v>2026-08-31T00:00:00.000Z</x:v>
      </x:c>
      <x:c r="C1339" s="2" t="n">
        <x:v>18</x:v>
      </x:c>
      <x:c r="D1339" s="2" t="str">
        <x:v>DEMO-305</x:v>
      </x:c>
      <x:c r="E1339" s="2" t="str">
        <x:v>Everyday Tumbler</x:v>
      </x:c>
      <x:c r="F1339" s="2" t="str">
        <x:v>Lifestyle</x:v>
      </x:c>
      <x:c r="G1339" s="2" t="str">
        <x:v>Stores</x:v>
      </x:c>
      <x:c r="H1339" s="2" t="str">
        <x:v>Central Market</x:v>
      </x:c>
      <x:c r="I1339" s="2" t="n">
        <x:v>8</x:v>
      </x:c>
      <x:c r="J1339" s="2" t="n">
        <x:v>0</x:v>
      </x:c>
      <x:c r="K1339" s="2" t="n">
        <x:f>I1339-J1339</x:f>
        <x:v>8</x:v>
      </x:c>
      <x:c r="L1339" s="16" t="n">
        <x:v>32</x:v>
      </x:c>
      <x:c r="M1339" s="16" t="n">
        <x:v>25.6</x:v>
      </x:c>
      <x:c r="N1339" s="16" t="n">
        <x:v>14.72</x:v>
      </x:c>
      <x:c r="O1339" s="16" t="n">
        <x:f>K1339*M1339</x:f>
        <x:v>204.8</x:v>
      </x:c>
      <x:c r="P1339" s="16" t="n">
        <x:f>K1339*N1339</x:f>
        <x:v>117.76</x:v>
      </x:c>
      <x:c r="Q1339" s="16" t="n">
        <x:f>O1339-P1339</x:f>
        <x:v>87.04</x:v>
      </x:c>
      <x:c r="R1339" s="2" t="n">
        <x:v>334</x:v>
      </x:c>
      <x:c r="S1339" s="2" t="n">
        <x:v>0</x:v>
      </x:c>
      <x:c r="T1339" s="2" t="n">
        <x:f>R1339+S1339+J1339-I1339</x:f>
        <x:v>326</x:v>
      </x:c>
      <x:c r="U1339" s="2" t="n">
        <x:v>0</x:v>
      </x:c>
      <x:c r="V1339" s="2" t="n">
        <x:v>3</x:v>
      </x:c>
      <x:c r="W1339" s="2" t="n">
        <x:v>6</x:v>
      </x:c>
      <x:c r="X1339" s="14" t="b">
        <x:v>0</x:v>
      </x:c>
      <x:c r="Y1339" s="14" t="b">
        <x:v>1</x:v>
      </x:c>
      <x:c r="Z1339" s="2" t="n">
        <x:f>ABS(T1339-AA1339)</x:f>
        <x:v>0</x:v>
      </x:c>
      <x:c r="AA1339" s="2" t="n">
        <x:v>326</x:v>
      </x:c>
      <x:c r="AB1339" s="2" t="n">
        <x:f>ABS(K1339-W1339)</x:f>
        <x:v>2</x:v>
      </x:c>
      <x:c r="AC1339" s="2" t="n">
        <x:f>COUNTIF($A$2:$A$1921,A1339)-1</x:f>
        <x:v>0</x:v>
      </x:c>
      <x:c r="AD1339" s="2" t="n">
        <x:f>IF(AND(D1339=D1338,H1339=H1338,C1339=C1338+1),ABS(R1339-T1338),0)</x:f>
        <x:v>0</x:v>
      </x:c>
    </x:row>
    <x:row r="1340" ht="23" customHeight="1">
      <x:c r="A1340" s="2" t="str">
        <x:v>DEMO-305-2-19</x:v>
      </x:c>
      <x:c r="B1340" s="15" t="d">
        <x:v>2026-09-07T00:00:00.000Z</x:v>
      </x:c>
      <x:c r="C1340" s="2" t="n">
        <x:v>19</x:v>
      </x:c>
      <x:c r="D1340" s="2" t="str">
        <x:v>DEMO-305</x:v>
      </x:c>
      <x:c r="E1340" s="2" t="str">
        <x:v>Everyday Tumbler</x:v>
      </x:c>
      <x:c r="F1340" s="2" t="str">
        <x:v>Lifestyle</x:v>
      </x:c>
      <x:c r="G1340" s="2" t="str">
        <x:v>Stores</x:v>
      </x:c>
      <x:c r="H1340" s="2" t="str">
        <x:v>Central Market</x:v>
      </x:c>
      <x:c r="I1340" s="2" t="n">
        <x:v>7</x:v>
      </x:c>
      <x:c r="J1340" s="2" t="n">
        <x:v>0</x:v>
      </x:c>
      <x:c r="K1340" s="2" t="n">
        <x:f>I1340-J1340</x:f>
        <x:v>7</x:v>
      </x:c>
      <x:c r="L1340" s="16" t="n">
        <x:v>32</x:v>
      </x:c>
      <x:c r="M1340" s="16" t="n">
        <x:v>25.6</x:v>
      </x:c>
      <x:c r="N1340" s="16" t="n">
        <x:v>14.72</x:v>
      </x:c>
      <x:c r="O1340" s="16" t="n">
        <x:f>K1340*M1340</x:f>
        <x:v>179.20000000000002</x:v>
      </x:c>
      <x:c r="P1340" s="16" t="n">
        <x:f>K1340*N1340</x:f>
        <x:v>103.04</x:v>
      </x:c>
      <x:c r="Q1340" s="16" t="n">
        <x:f>O1340-P1340</x:f>
        <x:v>76.16000000000001</x:v>
      </x:c>
      <x:c r="R1340" s="2" t="n">
        <x:v>326</x:v>
      </x:c>
      <x:c r="S1340" s="2" t="n">
        <x:v>0</x:v>
      </x:c>
      <x:c r="T1340" s="2" t="n">
        <x:f>R1340+S1340+J1340-I1340</x:f>
        <x:v>319</x:v>
      </x:c>
      <x:c r="U1340" s="2" t="n">
        <x:v>0</x:v>
      </x:c>
      <x:c r="V1340" s="2" t="n">
        <x:v>3</x:v>
      </x:c>
      <x:c r="W1340" s="2" t="n">
        <x:v>6</x:v>
      </x:c>
      <x:c r="X1340" s="14" t="b">
        <x:v>0</x:v>
      </x:c>
      <x:c r="Y1340" s="14" t="b">
        <x:v>1</x:v>
      </x:c>
      <x:c r="Z1340" s="2" t="n">
        <x:f>ABS(T1340-AA1340)</x:f>
        <x:v>0</x:v>
      </x:c>
      <x:c r="AA1340" s="2" t="n">
        <x:v>319</x:v>
      </x:c>
      <x:c r="AB1340" s="2" t="n">
        <x:f>ABS(K1340-W1340)</x:f>
        <x:v>1</x:v>
      </x:c>
      <x:c r="AC1340" s="2" t="n">
        <x:f>COUNTIF($A$2:$A$1921,A1340)-1</x:f>
        <x:v>0</x:v>
      </x:c>
      <x:c r="AD1340" s="2" t="n">
        <x:f>IF(AND(D1340=D1339,H1340=H1339,C1340=C1339+1),ABS(R1340-T1339),0)</x:f>
        <x:v>0</x:v>
      </x:c>
    </x:row>
    <x:row r="1341" ht="23" customHeight="1">
      <x:c r="A1341" s="2" t="str">
        <x:v>DEMO-305-2-20</x:v>
      </x:c>
      <x:c r="B1341" s="15" t="d">
        <x:v>2026-09-14T00:00:00.000Z</x:v>
      </x:c>
      <x:c r="C1341" s="2" t="n">
        <x:v>20</x:v>
      </x:c>
      <x:c r="D1341" s="2" t="str">
        <x:v>DEMO-305</x:v>
      </x:c>
      <x:c r="E1341" s="2" t="str">
        <x:v>Everyday Tumbler</x:v>
      </x:c>
      <x:c r="F1341" s="2" t="str">
        <x:v>Lifestyle</x:v>
      </x:c>
      <x:c r="G1341" s="2" t="str">
        <x:v>Stores</x:v>
      </x:c>
      <x:c r="H1341" s="2" t="str">
        <x:v>Central Market</x:v>
      </x:c>
      <x:c r="I1341" s="2" t="n">
        <x:v>6</x:v>
      </x:c>
      <x:c r="J1341" s="2" t="n">
        <x:v>0</x:v>
      </x:c>
      <x:c r="K1341" s="2" t="n">
        <x:f>I1341-J1341</x:f>
        <x:v>6</x:v>
      </x:c>
      <x:c r="L1341" s="16" t="n">
        <x:v>32</x:v>
      </x:c>
      <x:c r="M1341" s="16" t="n">
        <x:v>25.6</x:v>
      </x:c>
      <x:c r="N1341" s="16" t="n">
        <x:v>14.72</x:v>
      </x:c>
      <x:c r="O1341" s="16" t="n">
        <x:f>K1341*M1341</x:f>
        <x:v>153.60000000000002</x:v>
      </x:c>
      <x:c r="P1341" s="16" t="n">
        <x:f>K1341*N1341</x:f>
        <x:v>88.32000000000001</x:v>
      </x:c>
      <x:c r="Q1341" s="16" t="n">
        <x:f>O1341-P1341</x:f>
        <x:v>65.28000000000002</x:v>
      </x:c>
      <x:c r="R1341" s="2" t="n">
        <x:v>319</x:v>
      </x:c>
      <x:c r="S1341" s="2" t="n">
        <x:v>0</x:v>
      </x:c>
      <x:c r="T1341" s="2" t="n">
        <x:f>R1341+S1341+J1341-I1341</x:f>
        <x:v>313</x:v>
      </x:c>
      <x:c r="U1341" s="2" t="n">
        <x:v>24</x:v>
      </x:c>
      <x:c r="V1341" s="2" t="n">
        <x:v>3</x:v>
      </x:c>
      <x:c r="W1341" s="2" t="n">
        <x:v>7</x:v>
      </x:c>
      <x:c r="X1341" s="14" t="b">
        <x:v>0</x:v>
      </x:c>
      <x:c r="Y1341" s="14" t="b">
        <x:v>1</x:v>
      </x:c>
      <x:c r="Z1341" s="2" t="n">
        <x:f>ABS(T1341-AA1341)</x:f>
        <x:v>0</x:v>
      </x:c>
      <x:c r="AA1341" s="2" t="n">
        <x:v>313</x:v>
      </x:c>
      <x:c r="AB1341" s="2" t="n">
        <x:f>ABS(K1341-W1341)</x:f>
        <x:v>1</x:v>
      </x:c>
      <x:c r="AC1341" s="2" t="n">
        <x:f>COUNTIF($A$2:$A$1921,A1341)-1</x:f>
        <x:v>0</x:v>
      </x:c>
      <x:c r="AD1341" s="2" t="n">
        <x:f>IF(AND(D1341=D1340,H1341=H1340,C1341=C1340+1),ABS(R1341-T1340),0)</x:f>
        <x:v>0</x:v>
      </x:c>
    </x:row>
    <x:row r="1342" ht="23" customHeight="1">
      <x:c r="A1342" s="2" t="str">
        <x:v>DEMO-305-3-1</x:v>
      </x:c>
      <x:c r="B1342" s="15" t="d">
        <x:v>2026-05-04T00:00:00.000Z</x:v>
      </x:c>
      <x:c r="C1342" s="2" t="n">
        <x:v>1</x:v>
      </x:c>
      <x:c r="D1342" s="2" t="str">
        <x:v>DEMO-305</x:v>
      </x:c>
      <x:c r="E1342" s="2" t="str">
        <x:v>Everyday Tumbler</x:v>
      </x:c>
      <x:c r="F1342" s="2" t="str">
        <x:v>Lifestyle</x:v>
      </x:c>
      <x:c r="G1342" s="2" t="str">
        <x:v>Online</x:v>
      </x:c>
      <x:c r="H1342" s="2" t="str">
        <x:v>Online</x:v>
      </x:c>
      <x:c r="I1342" s="2" t="n">
        <x:v>15</x:v>
      </x:c>
      <x:c r="J1342" s="2" t="n">
        <x:v>0</x:v>
      </x:c>
      <x:c r="K1342" s="2" t="n">
        <x:f>I1342-J1342</x:f>
        <x:v>15</x:v>
      </x:c>
      <x:c r="L1342" s="16" t="n">
        <x:v>32</x:v>
      </x:c>
      <x:c r="M1342" s="16" t="n">
        <x:v>32</x:v>
      </x:c>
      <x:c r="N1342" s="16" t="n">
        <x:v>14.72</x:v>
      </x:c>
      <x:c r="O1342" s="16" t="n">
        <x:f>K1342*M1342</x:f>
        <x:v>480</x:v>
      </x:c>
      <x:c r="P1342" s="16" t="n">
        <x:f>K1342*N1342</x:f>
        <x:v>220.8</x:v>
      </x:c>
      <x:c r="Q1342" s="16" t="n">
        <x:f>O1342-P1342</x:f>
        <x:v>259.2</x:v>
      </x:c>
      <x:c r="R1342" s="2" t="n">
        <x:v>140</x:v>
      </x:c>
      <x:c r="S1342" s="2" t="n">
        <x:v>65</x:v>
      </x:c>
      <x:c r="T1342" s="2" t="n">
        <x:f>R1342+S1342+J1342-I1342</x:f>
        <x:v>190</x:v>
      </x:c>
      <x:c r="U1342" s="2" t="n">
        <x:v>0</x:v>
      </x:c>
      <x:c r="V1342" s="2" t="n">
        <x:v>3</x:v>
      </x:c>
      <x:c r="W1342" s="2" t="n">
        <x:v>19</x:v>
      </x:c>
      <x:c r="X1342" s="14" t="b">
        <x:v>0</x:v>
      </x:c>
      <x:c r="Y1342" s="14" t="b">
        <x:v>0</x:v>
      </x:c>
      <x:c r="Z1342" s="2" t="n">
        <x:f>ABS(T1342-AA1342)</x:f>
        <x:v>0</x:v>
      </x:c>
      <x:c r="AA1342" s="2" t="n">
        <x:v>190</x:v>
      </x:c>
      <x:c r="AB1342" s="2" t="n">
        <x:f>ABS(K1342-W1342)</x:f>
        <x:v>4</x:v>
      </x:c>
      <x:c r="AC1342" s="2" t="n">
        <x:f>COUNTIF($A$2:$A$1921,A1342)-1</x:f>
        <x:v>0</x:v>
      </x:c>
      <x:c r="AD1342" s="2" t="n">
        <x:f>IF(AND(D1342=D1341,H1342=H1341,C1342=C1341+1),ABS(R1342-T1341),0)</x:f>
        <x:v>0</x:v>
      </x:c>
    </x:row>
    <x:row r="1343" ht="23" customHeight="1">
      <x:c r="A1343" s="2" t="str">
        <x:v>DEMO-305-3-2</x:v>
      </x:c>
      <x:c r="B1343" s="15" t="d">
        <x:v>2026-05-11T00:00:00.000Z</x:v>
      </x:c>
      <x:c r="C1343" s="2" t="n">
        <x:v>2</x:v>
      </x:c>
      <x:c r="D1343" s="2" t="str">
        <x:v>DEMO-305</x:v>
      </x:c>
      <x:c r="E1343" s="2" t="str">
        <x:v>Everyday Tumbler</x:v>
      </x:c>
      <x:c r="F1343" s="2" t="str">
        <x:v>Lifestyle</x:v>
      </x:c>
      <x:c r="G1343" s="2" t="str">
        <x:v>Online</x:v>
      </x:c>
      <x:c r="H1343" s="2" t="str">
        <x:v>Online</x:v>
      </x:c>
      <x:c r="I1343" s="2" t="n">
        <x:v>16</x:v>
      </x:c>
      <x:c r="J1343" s="2" t="n">
        <x:v>0</x:v>
      </x:c>
      <x:c r="K1343" s="2" t="n">
        <x:f>I1343-J1343</x:f>
        <x:v>16</x:v>
      </x:c>
      <x:c r="L1343" s="16" t="n">
        <x:v>32</x:v>
      </x:c>
      <x:c r="M1343" s="16" t="n">
        <x:v>32</x:v>
      </x:c>
      <x:c r="N1343" s="16" t="n">
        <x:v>14.72</x:v>
      </x:c>
      <x:c r="O1343" s="16" t="n">
        <x:f>K1343*M1343</x:f>
        <x:v>512</x:v>
      </x:c>
      <x:c r="P1343" s="16" t="n">
        <x:f>K1343*N1343</x:f>
        <x:v>235.52</x:v>
      </x:c>
      <x:c r="Q1343" s="16" t="n">
        <x:f>O1343-P1343</x:f>
        <x:v>276.48</x:v>
      </x:c>
      <x:c r="R1343" s="2" t="n">
        <x:v>190</x:v>
      </x:c>
      <x:c r="S1343" s="2" t="n">
        <x:v>0</x:v>
      </x:c>
      <x:c r="T1343" s="2" t="n">
        <x:f>R1343+S1343+J1343-I1343</x:f>
        <x:v>174</x:v>
      </x:c>
      <x:c r="U1343" s="2" t="n">
        <x:v>0</x:v>
      </x:c>
      <x:c r="V1343" s="2" t="n">
        <x:v>3</x:v>
      </x:c>
      <x:c r="W1343" s="2" t="n">
        <x:v>15</x:v>
      </x:c>
      <x:c r="X1343" s="14" t="b">
        <x:v>0</x:v>
      </x:c>
      <x:c r="Y1343" s="14" t="b">
        <x:v>0</x:v>
      </x:c>
      <x:c r="Z1343" s="2" t="n">
        <x:f>ABS(T1343-AA1343)</x:f>
        <x:v>0</x:v>
      </x:c>
      <x:c r="AA1343" s="2" t="n">
        <x:v>174</x:v>
      </x:c>
      <x:c r="AB1343" s="2" t="n">
        <x:f>ABS(K1343-W1343)</x:f>
        <x:v>1</x:v>
      </x:c>
      <x:c r="AC1343" s="2" t="n">
        <x:f>COUNTIF($A$2:$A$1921,A1343)-1</x:f>
        <x:v>0</x:v>
      </x:c>
      <x:c r="AD1343" s="2" t="n">
        <x:f>IF(AND(D1343=D1342,H1343=H1342,C1343=C1342+1),ABS(R1343-T1342),0)</x:f>
        <x:v>0</x:v>
      </x:c>
    </x:row>
    <x:row r="1344" ht="23" customHeight="1">
      <x:c r="A1344" s="2" t="str">
        <x:v>DEMO-305-3-3</x:v>
      </x:c>
      <x:c r="B1344" s="15" t="d">
        <x:v>2026-05-18T00:00:00.000Z</x:v>
      </x:c>
      <x:c r="C1344" s="2" t="n">
        <x:v>3</x:v>
      </x:c>
      <x:c r="D1344" s="2" t="str">
        <x:v>DEMO-305</x:v>
      </x:c>
      <x:c r="E1344" s="2" t="str">
        <x:v>Everyday Tumbler</x:v>
      </x:c>
      <x:c r="F1344" s="2" t="str">
        <x:v>Lifestyle</x:v>
      </x:c>
      <x:c r="G1344" s="2" t="str">
        <x:v>Online</x:v>
      </x:c>
      <x:c r="H1344" s="2" t="str">
        <x:v>Online</x:v>
      </x:c>
      <x:c r="I1344" s="2" t="n">
        <x:v>20</x:v>
      </x:c>
      <x:c r="J1344" s="2" t="n">
        <x:v>0</x:v>
      </x:c>
      <x:c r="K1344" s="2" t="n">
        <x:f>I1344-J1344</x:f>
        <x:v>20</x:v>
      </x:c>
      <x:c r="L1344" s="16" t="n">
        <x:v>32</x:v>
      </x:c>
      <x:c r="M1344" s="16" t="n">
        <x:v>32</x:v>
      </x:c>
      <x:c r="N1344" s="16" t="n">
        <x:v>14.72</x:v>
      </x:c>
      <x:c r="O1344" s="16" t="n">
        <x:f>K1344*M1344</x:f>
        <x:v>640</x:v>
      </x:c>
      <x:c r="P1344" s="16" t="n">
        <x:f>K1344*N1344</x:f>
        <x:v>294.40000000000003</x:v>
      </x:c>
      <x:c r="Q1344" s="16" t="n">
        <x:f>O1344-P1344</x:f>
        <x:v>345.59999999999997</x:v>
      </x:c>
      <x:c r="R1344" s="2" t="n">
        <x:v>174</x:v>
      </x:c>
      <x:c r="S1344" s="2" t="n">
        <x:v>0</x:v>
      </x:c>
      <x:c r="T1344" s="2" t="n">
        <x:f>R1344+S1344+J1344-I1344</x:f>
        <x:v>154</x:v>
      </x:c>
      <x:c r="U1344" s="2" t="n">
        <x:v>0</x:v>
      </x:c>
      <x:c r="V1344" s="2" t="n">
        <x:v>3</x:v>
      </x:c>
      <x:c r="W1344" s="2" t="n">
        <x:v>16</x:v>
      </x:c>
      <x:c r="X1344" s="14" t="b">
        <x:v>0</x:v>
      </x:c>
      <x:c r="Y1344" s="14" t="b">
        <x:v>0</x:v>
      </x:c>
      <x:c r="Z1344" s="2" t="n">
        <x:f>ABS(T1344-AA1344)</x:f>
        <x:v>0</x:v>
      </x:c>
      <x:c r="AA1344" s="2" t="n">
        <x:v>154</x:v>
      </x:c>
      <x:c r="AB1344" s="2" t="n">
        <x:f>ABS(K1344-W1344)</x:f>
        <x:v>4</x:v>
      </x:c>
      <x:c r="AC1344" s="2" t="n">
        <x:f>COUNTIF($A$2:$A$1921,A1344)-1</x:f>
        <x:v>0</x:v>
      </x:c>
      <x:c r="AD1344" s="2" t="n">
        <x:f>IF(AND(D1344=D1343,H1344=H1343,C1344=C1343+1),ABS(R1344-T1343),0)</x:f>
        <x:v>0</x:v>
      </x:c>
    </x:row>
    <x:row r="1345" ht="23" customHeight="1">
      <x:c r="A1345" s="2" t="str">
        <x:v>DEMO-305-3-4</x:v>
      </x:c>
      <x:c r="B1345" s="15" t="d">
        <x:v>2026-05-25T00:00:00.000Z</x:v>
      </x:c>
      <x:c r="C1345" s="2" t="n">
        <x:v>4</x:v>
      </x:c>
      <x:c r="D1345" s="2" t="str">
        <x:v>DEMO-305</x:v>
      </x:c>
      <x:c r="E1345" s="2" t="str">
        <x:v>Everyday Tumbler</x:v>
      </x:c>
      <x:c r="F1345" s="2" t="str">
        <x:v>Lifestyle</x:v>
      </x:c>
      <x:c r="G1345" s="2" t="str">
        <x:v>Online</x:v>
      </x:c>
      <x:c r="H1345" s="2" t="str">
        <x:v>Online</x:v>
      </x:c>
      <x:c r="I1345" s="2" t="n">
        <x:v>18</x:v>
      </x:c>
      <x:c r="J1345" s="2" t="n">
        <x:v>0</x:v>
      </x:c>
      <x:c r="K1345" s="2" t="n">
        <x:f>I1345-J1345</x:f>
        <x:v>18</x:v>
      </x:c>
      <x:c r="L1345" s="16" t="n">
        <x:v>32</x:v>
      </x:c>
      <x:c r="M1345" s="16" t="n">
        <x:v>32</x:v>
      </x:c>
      <x:c r="N1345" s="16" t="n">
        <x:v>14.72</x:v>
      </x:c>
      <x:c r="O1345" s="16" t="n">
        <x:f>K1345*M1345</x:f>
        <x:v>576</x:v>
      </x:c>
      <x:c r="P1345" s="16" t="n">
        <x:f>K1345*N1345</x:f>
        <x:v>264.96000000000004</x:v>
      </x:c>
      <x:c r="Q1345" s="16" t="n">
        <x:f>O1345-P1345</x:f>
        <x:v>311.03999999999996</x:v>
      </x:c>
      <x:c r="R1345" s="2" t="n">
        <x:v>154</x:v>
      </x:c>
      <x:c r="S1345" s="2" t="n">
        <x:v>0</x:v>
      </x:c>
      <x:c r="T1345" s="2" t="n">
        <x:f>R1345+S1345+J1345-I1345</x:f>
        <x:v>136</x:v>
      </x:c>
      <x:c r="U1345" s="2" t="n">
        <x:v>0</x:v>
      </x:c>
      <x:c r="V1345" s="2" t="n">
        <x:v>3</x:v>
      </x:c>
      <x:c r="W1345" s="2" t="n">
        <x:v>17</x:v>
      </x:c>
      <x:c r="X1345" s="14" t="b">
        <x:v>0</x:v>
      </x:c>
      <x:c r="Y1345" s="14" t="b">
        <x:v>0</x:v>
      </x:c>
      <x:c r="Z1345" s="2" t="n">
        <x:f>ABS(T1345-AA1345)</x:f>
        <x:v>0</x:v>
      </x:c>
      <x:c r="AA1345" s="2" t="n">
        <x:v>136</x:v>
      </x:c>
      <x:c r="AB1345" s="2" t="n">
        <x:f>ABS(K1345-W1345)</x:f>
        <x:v>1</x:v>
      </x:c>
      <x:c r="AC1345" s="2" t="n">
        <x:f>COUNTIF($A$2:$A$1921,A1345)-1</x:f>
        <x:v>0</x:v>
      </x:c>
      <x:c r="AD1345" s="2" t="n">
        <x:f>IF(AND(D1345=D1344,H1345=H1344,C1345=C1344+1),ABS(R1345-T1344),0)</x:f>
        <x:v>0</x:v>
      </x:c>
    </x:row>
    <x:row r="1346" ht="23" customHeight="1">
      <x:c r="A1346" s="2" t="str">
        <x:v>DEMO-305-3-5</x:v>
      </x:c>
      <x:c r="B1346" s="15" t="d">
        <x:v>2026-06-01T00:00:00.000Z</x:v>
      </x:c>
      <x:c r="C1346" s="2" t="n">
        <x:v>5</x:v>
      </x:c>
      <x:c r="D1346" s="2" t="str">
        <x:v>DEMO-305</x:v>
      </x:c>
      <x:c r="E1346" s="2" t="str">
        <x:v>Everyday Tumbler</x:v>
      </x:c>
      <x:c r="F1346" s="2" t="str">
        <x:v>Lifestyle</x:v>
      </x:c>
      <x:c r="G1346" s="2" t="str">
        <x:v>Online</x:v>
      </x:c>
      <x:c r="H1346" s="2" t="str">
        <x:v>Online</x:v>
      </x:c>
      <x:c r="I1346" s="2" t="n">
        <x:v>19</x:v>
      </x:c>
      <x:c r="J1346" s="2" t="n">
        <x:v>0</x:v>
      </x:c>
      <x:c r="K1346" s="2" t="n">
        <x:f>I1346-J1346</x:f>
        <x:v>19</x:v>
      </x:c>
      <x:c r="L1346" s="16" t="n">
        <x:v>32</x:v>
      </x:c>
      <x:c r="M1346" s="16" t="n">
        <x:v>32</x:v>
      </x:c>
      <x:c r="N1346" s="16" t="n">
        <x:v>14.72</x:v>
      </x:c>
      <x:c r="O1346" s="16" t="n">
        <x:f>K1346*M1346</x:f>
        <x:v>608</x:v>
      </x:c>
      <x:c r="P1346" s="16" t="n">
        <x:f>K1346*N1346</x:f>
        <x:v>279.68</x:v>
      </x:c>
      <x:c r="Q1346" s="16" t="n">
        <x:f>O1346-P1346</x:f>
        <x:v>328.32</x:v>
      </x:c>
      <x:c r="R1346" s="2" t="n">
        <x:v>136</x:v>
      </x:c>
      <x:c r="S1346" s="2" t="n">
        <x:v>65</x:v>
      </x:c>
      <x:c r="T1346" s="2" t="n">
        <x:f>R1346+S1346+J1346-I1346</x:f>
        <x:v>182</x:v>
      </x:c>
      <x:c r="U1346" s="2" t="n">
        <x:v>0</x:v>
      </x:c>
      <x:c r="V1346" s="2" t="n">
        <x:v>3</x:v>
      </x:c>
      <x:c r="W1346" s="2" t="n">
        <x:v>17</x:v>
      </x:c>
      <x:c r="X1346" s="14" t="b">
        <x:v>0</x:v>
      </x:c>
      <x:c r="Y1346" s="14" t="b">
        <x:v>0</x:v>
      </x:c>
      <x:c r="Z1346" s="2" t="n">
        <x:f>ABS(T1346-AA1346)</x:f>
        <x:v>0</x:v>
      </x:c>
      <x:c r="AA1346" s="2" t="n">
        <x:v>182</x:v>
      </x:c>
      <x:c r="AB1346" s="2" t="n">
        <x:f>ABS(K1346-W1346)</x:f>
        <x:v>2</x:v>
      </x:c>
      <x:c r="AC1346" s="2" t="n">
        <x:f>COUNTIF($A$2:$A$1921,A1346)-1</x:f>
        <x:v>0</x:v>
      </x:c>
      <x:c r="AD1346" s="2" t="n">
        <x:f>IF(AND(D1346=D1345,H1346=H1345,C1346=C1345+1),ABS(R1346-T1345),0)</x:f>
        <x:v>0</x:v>
      </x:c>
    </x:row>
    <x:row r="1347" ht="23" customHeight="1">
      <x:c r="A1347" s="2" t="str">
        <x:v>DEMO-305-3-6</x:v>
      </x:c>
      <x:c r="B1347" s="15" t="d">
        <x:v>2026-06-08T00:00:00.000Z</x:v>
      </x:c>
      <x:c r="C1347" s="2" t="n">
        <x:v>6</x:v>
      </x:c>
      <x:c r="D1347" s="2" t="str">
        <x:v>DEMO-305</x:v>
      </x:c>
      <x:c r="E1347" s="2" t="str">
        <x:v>Everyday Tumbler</x:v>
      </x:c>
      <x:c r="F1347" s="2" t="str">
        <x:v>Lifestyle</x:v>
      </x:c>
      <x:c r="G1347" s="2" t="str">
        <x:v>Online</x:v>
      </x:c>
      <x:c r="H1347" s="2" t="str">
        <x:v>Online</x:v>
      </x:c>
      <x:c r="I1347" s="2" t="n">
        <x:v>18</x:v>
      </x:c>
      <x:c r="J1347" s="2" t="n">
        <x:v>0</x:v>
      </x:c>
      <x:c r="K1347" s="2" t="n">
        <x:f>I1347-J1347</x:f>
        <x:v>18</x:v>
      </x:c>
      <x:c r="L1347" s="16" t="n">
        <x:v>32</x:v>
      </x:c>
      <x:c r="M1347" s="16" t="n">
        <x:v>32</x:v>
      </x:c>
      <x:c r="N1347" s="16" t="n">
        <x:v>14.72</x:v>
      </x:c>
      <x:c r="O1347" s="16" t="n">
        <x:f>K1347*M1347</x:f>
        <x:v>576</x:v>
      </x:c>
      <x:c r="P1347" s="16" t="n">
        <x:f>K1347*N1347</x:f>
        <x:v>264.96000000000004</x:v>
      </x:c>
      <x:c r="Q1347" s="16" t="n">
        <x:f>O1347-P1347</x:f>
        <x:v>311.03999999999996</x:v>
      </x:c>
      <x:c r="R1347" s="2" t="n">
        <x:v>182</x:v>
      </x:c>
      <x:c r="S1347" s="2" t="n">
        <x:v>0</x:v>
      </x:c>
      <x:c r="T1347" s="2" t="n">
        <x:f>R1347+S1347+J1347-I1347</x:f>
        <x:v>164</x:v>
      </x:c>
      <x:c r="U1347" s="2" t="n">
        <x:v>0</x:v>
      </x:c>
      <x:c r="V1347" s="2" t="n">
        <x:v>3</x:v>
      </x:c>
      <x:c r="W1347" s="2" t="n">
        <x:v>18</x:v>
      </x:c>
      <x:c r="X1347" s="14" t="b">
        <x:v>0</x:v>
      </x:c>
      <x:c r="Y1347" s="14" t="b">
        <x:v>0</x:v>
      </x:c>
      <x:c r="Z1347" s="2" t="n">
        <x:f>ABS(T1347-AA1347)</x:f>
        <x:v>0</x:v>
      </x:c>
      <x:c r="AA1347" s="2" t="n">
        <x:v>164</x:v>
      </x:c>
      <x:c r="AB1347" s="2" t="n">
        <x:f>ABS(K1347-W1347)</x:f>
        <x:v>0</x:v>
      </x:c>
      <x:c r="AC1347" s="2" t="n">
        <x:f>COUNTIF($A$2:$A$1921,A1347)-1</x:f>
        <x:v>0</x:v>
      </x:c>
      <x:c r="AD1347" s="2" t="n">
        <x:f>IF(AND(D1347=D1346,H1347=H1346,C1347=C1346+1),ABS(R1347-T1346),0)</x:f>
        <x:v>0</x:v>
      </x:c>
    </x:row>
    <x:row r="1348" ht="23" customHeight="1">
      <x:c r="A1348" s="2" t="str">
        <x:v>DEMO-305-3-7</x:v>
      </x:c>
      <x:c r="B1348" s="15" t="d">
        <x:v>2026-06-15T00:00:00.000Z</x:v>
      </x:c>
      <x:c r="C1348" s="2" t="n">
        <x:v>7</x:v>
      </x:c>
      <x:c r="D1348" s="2" t="str">
        <x:v>DEMO-305</x:v>
      </x:c>
      <x:c r="E1348" s="2" t="str">
        <x:v>Everyday Tumbler</x:v>
      </x:c>
      <x:c r="F1348" s="2" t="str">
        <x:v>Lifestyle</x:v>
      </x:c>
      <x:c r="G1348" s="2" t="str">
        <x:v>Online</x:v>
      </x:c>
      <x:c r="H1348" s="2" t="str">
        <x:v>Online</x:v>
      </x:c>
      <x:c r="I1348" s="2" t="n">
        <x:v>17</x:v>
      </x:c>
      <x:c r="J1348" s="2" t="n">
        <x:v>0</x:v>
      </x:c>
      <x:c r="K1348" s="2" t="n">
        <x:f>I1348-J1348</x:f>
        <x:v>17</x:v>
      </x:c>
      <x:c r="L1348" s="16" t="n">
        <x:v>32</x:v>
      </x:c>
      <x:c r="M1348" s="16" t="n">
        <x:v>32</x:v>
      </x:c>
      <x:c r="N1348" s="16" t="n">
        <x:v>14.72</x:v>
      </x:c>
      <x:c r="O1348" s="16" t="n">
        <x:f>K1348*M1348</x:f>
        <x:v>544</x:v>
      </x:c>
      <x:c r="P1348" s="16" t="n">
        <x:f>K1348*N1348</x:f>
        <x:v>250.24</x:v>
      </x:c>
      <x:c r="Q1348" s="16" t="n">
        <x:f>O1348-P1348</x:f>
        <x:v>293.76</x:v>
      </x:c>
      <x:c r="R1348" s="2" t="n">
        <x:v>164</x:v>
      </x:c>
      <x:c r="S1348" s="2" t="n">
        <x:v>0</x:v>
      </x:c>
      <x:c r="T1348" s="2" t="n">
        <x:f>R1348+S1348+J1348-I1348</x:f>
        <x:v>147</x:v>
      </x:c>
      <x:c r="U1348" s="2" t="n">
        <x:v>0</x:v>
      </x:c>
      <x:c r="V1348" s="2" t="n">
        <x:v>3</x:v>
      </x:c>
      <x:c r="W1348" s="2" t="n">
        <x:v>19</x:v>
      </x:c>
      <x:c r="X1348" s="14" t="b">
        <x:v>0</x:v>
      </x:c>
      <x:c r="Y1348" s="14" t="b">
        <x:v>0</x:v>
      </x:c>
      <x:c r="Z1348" s="2" t="n">
        <x:f>ABS(T1348-AA1348)</x:f>
        <x:v>0</x:v>
      </x:c>
      <x:c r="AA1348" s="2" t="n">
        <x:v>147</x:v>
      </x:c>
      <x:c r="AB1348" s="2" t="n">
        <x:f>ABS(K1348-W1348)</x:f>
        <x:v>2</x:v>
      </x:c>
      <x:c r="AC1348" s="2" t="n">
        <x:f>COUNTIF($A$2:$A$1921,A1348)-1</x:f>
        <x:v>0</x:v>
      </x:c>
      <x:c r="AD1348" s="2" t="n">
        <x:f>IF(AND(D1348=D1347,H1348=H1347,C1348=C1347+1),ABS(R1348-T1347),0)</x:f>
        <x:v>0</x:v>
      </x:c>
    </x:row>
    <x:row r="1349" ht="23" customHeight="1">
      <x:c r="A1349" s="2" t="str">
        <x:v>DEMO-305-3-8</x:v>
      </x:c>
      <x:c r="B1349" s="15" t="d">
        <x:v>2026-06-22T00:00:00.000Z</x:v>
      </x:c>
      <x:c r="C1349" s="2" t="n">
        <x:v>8</x:v>
      </x:c>
      <x:c r="D1349" s="2" t="str">
        <x:v>DEMO-305</x:v>
      </x:c>
      <x:c r="E1349" s="2" t="str">
        <x:v>Everyday Tumbler</x:v>
      </x:c>
      <x:c r="F1349" s="2" t="str">
        <x:v>Lifestyle</x:v>
      </x:c>
      <x:c r="G1349" s="2" t="str">
        <x:v>Online</x:v>
      </x:c>
      <x:c r="H1349" s="2" t="str">
        <x:v>Online</x:v>
      </x:c>
      <x:c r="I1349" s="2" t="n">
        <x:v>15</x:v>
      </x:c>
      <x:c r="J1349" s="2" t="n">
        <x:v>0</x:v>
      </x:c>
      <x:c r="K1349" s="2" t="n">
        <x:f>I1349-J1349</x:f>
        <x:v>15</x:v>
      </x:c>
      <x:c r="L1349" s="16" t="n">
        <x:v>32</x:v>
      </x:c>
      <x:c r="M1349" s="16" t="n">
        <x:v>32</x:v>
      </x:c>
      <x:c r="N1349" s="16" t="n">
        <x:v>14.72</x:v>
      </x:c>
      <x:c r="O1349" s="16" t="n">
        <x:f>K1349*M1349</x:f>
        <x:v>480</x:v>
      </x:c>
      <x:c r="P1349" s="16" t="n">
        <x:f>K1349*N1349</x:f>
        <x:v>220.8</x:v>
      </x:c>
      <x:c r="Q1349" s="16" t="n">
        <x:f>O1349-P1349</x:f>
        <x:v>259.2</x:v>
      </x:c>
      <x:c r="R1349" s="2" t="n">
        <x:v>147</x:v>
      </x:c>
      <x:c r="S1349" s="2" t="n">
        <x:v>0</x:v>
      </x:c>
      <x:c r="T1349" s="2" t="n">
        <x:f>R1349+S1349+J1349-I1349</x:f>
        <x:v>132</x:v>
      </x:c>
      <x:c r="U1349" s="2" t="n">
        <x:v>0</x:v>
      </x:c>
      <x:c r="V1349" s="2" t="n">
        <x:v>3</x:v>
      </x:c>
      <x:c r="W1349" s="2" t="n">
        <x:v>18</x:v>
      </x:c>
      <x:c r="X1349" s="14" t="b">
        <x:v>0</x:v>
      </x:c>
      <x:c r="Y1349" s="14" t="b">
        <x:v>0</x:v>
      </x:c>
      <x:c r="Z1349" s="2" t="n">
        <x:f>ABS(T1349-AA1349)</x:f>
        <x:v>0</x:v>
      </x:c>
      <x:c r="AA1349" s="2" t="n">
        <x:v>132</x:v>
      </x:c>
      <x:c r="AB1349" s="2" t="n">
        <x:f>ABS(K1349-W1349)</x:f>
        <x:v>3</x:v>
      </x:c>
      <x:c r="AC1349" s="2" t="n">
        <x:f>COUNTIF($A$2:$A$1921,A1349)-1</x:f>
        <x:v>0</x:v>
      </x:c>
      <x:c r="AD1349" s="2" t="n">
        <x:f>IF(AND(D1349=D1348,H1349=H1348,C1349=C1348+1),ABS(R1349-T1348),0)</x:f>
        <x:v>0</x:v>
      </x:c>
    </x:row>
    <x:row r="1350" ht="23" customHeight="1">
      <x:c r="A1350" s="2" t="str">
        <x:v>DEMO-305-3-9</x:v>
      </x:c>
      <x:c r="B1350" s="15" t="d">
        <x:v>2026-06-29T00:00:00.000Z</x:v>
      </x:c>
      <x:c r="C1350" s="2" t="n">
        <x:v>9</x:v>
      </x:c>
      <x:c r="D1350" s="2" t="str">
        <x:v>DEMO-305</x:v>
      </x:c>
      <x:c r="E1350" s="2" t="str">
        <x:v>Everyday Tumbler</x:v>
      </x:c>
      <x:c r="F1350" s="2" t="str">
        <x:v>Lifestyle</x:v>
      </x:c>
      <x:c r="G1350" s="2" t="str">
        <x:v>Online</x:v>
      </x:c>
      <x:c r="H1350" s="2" t="str">
        <x:v>Online</x:v>
      </x:c>
      <x:c r="I1350" s="2" t="n">
        <x:v>14</x:v>
      </x:c>
      <x:c r="J1350" s="2" t="n">
        <x:v>0</x:v>
      </x:c>
      <x:c r="K1350" s="2" t="n">
        <x:f>I1350-J1350</x:f>
        <x:v>14</x:v>
      </x:c>
      <x:c r="L1350" s="16" t="n">
        <x:v>32</x:v>
      </x:c>
      <x:c r="M1350" s="16" t="n">
        <x:v>32</x:v>
      </x:c>
      <x:c r="N1350" s="16" t="n">
        <x:v>14.72</x:v>
      </x:c>
      <x:c r="O1350" s="16" t="n">
        <x:f>K1350*M1350</x:f>
        <x:v>448</x:v>
      </x:c>
      <x:c r="P1350" s="16" t="n">
        <x:f>K1350*N1350</x:f>
        <x:v>206.08</x:v>
      </x:c>
      <x:c r="Q1350" s="16" t="n">
        <x:f>O1350-P1350</x:f>
        <x:v>241.92</x:v>
      </x:c>
      <x:c r="R1350" s="2" t="n">
        <x:v>132</x:v>
      </x:c>
      <x:c r="S1350" s="2" t="n">
        <x:v>65</x:v>
      </x:c>
      <x:c r="T1350" s="2" t="n">
        <x:f>R1350+S1350+J1350-I1350</x:f>
        <x:v>183</x:v>
      </x:c>
      <x:c r="U1350" s="2" t="n">
        <x:v>0</x:v>
      </x:c>
      <x:c r="V1350" s="2" t="n">
        <x:v>3</x:v>
      </x:c>
      <x:c r="W1350" s="2" t="n">
        <x:v>17</x:v>
      </x:c>
      <x:c r="X1350" s="14" t="b">
        <x:v>0</x:v>
      </x:c>
      <x:c r="Y1350" s="14" t="b">
        <x:v>0</x:v>
      </x:c>
      <x:c r="Z1350" s="2" t="n">
        <x:f>ABS(T1350-AA1350)</x:f>
        <x:v>0</x:v>
      </x:c>
      <x:c r="AA1350" s="2" t="n">
        <x:v>183</x:v>
      </x:c>
      <x:c r="AB1350" s="2" t="n">
        <x:f>ABS(K1350-W1350)</x:f>
        <x:v>3</x:v>
      </x:c>
      <x:c r="AC1350" s="2" t="n">
        <x:f>COUNTIF($A$2:$A$1921,A1350)-1</x:f>
        <x:v>0</x:v>
      </x:c>
      <x:c r="AD1350" s="2" t="n">
        <x:f>IF(AND(D1350=D1349,H1350=H1349,C1350=C1349+1),ABS(R1350-T1349),0)</x:f>
        <x:v>0</x:v>
      </x:c>
    </x:row>
    <x:row r="1351" ht="23" customHeight="1">
      <x:c r="A1351" s="2" t="str">
        <x:v>DEMO-305-3-10</x:v>
      </x:c>
      <x:c r="B1351" s="15" t="d">
        <x:v>2026-07-06T00:00:00.000Z</x:v>
      </x:c>
      <x:c r="C1351" s="2" t="n">
        <x:v>10</x:v>
      </x:c>
      <x:c r="D1351" s="2" t="str">
        <x:v>DEMO-305</x:v>
      </x:c>
      <x:c r="E1351" s="2" t="str">
        <x:v>Everyday Tumbler</x:v>
      </x:c>
      <x:c r="F1351" s="2" t="str">
        <x:v>Lifestyle</x:v>
      </x:c>
      <x:c r="G1351" s="2" t="str">
        <x:v>Online</x:v>
      </x:c>
      <x:c r="H1351" s="2" t="str">
        <x:v>Online</x:v>
      </x:c>
      <x:c r="I1351" s="2" t="n">
        <x:v>16</x:v>
      </x:c>
      <x:c r="J1351" s="2" t="n">
        <x:v>0</x:v>
      </x:c>
      <x:c r="K1351" s="2" t="n">
        <x:f>I1351-J1351</x:f>
        <x:v>16</x:v>
      </x:c>
      <x:c r="L1351" s="16" t="n">
        <x:v>32</x:v>
      </x:c>
      <x:c r="M1351" s="16" t="n">
        <x:v>32</x:v>
      </x:c>
      <x:c r="N1351" s="16" t="n">
        <x:v>14.72</x:v>
      </x:c>
      <x:c r="O1351" s="16" t="n">
        <x:f>K1351*M1351</x:f>
        <x:v>512</x:v>
      </x:c>
      <x:c r="P1351" s="16" t="n">
        <x:f>K1351*N1351</x:f>
        <x:v>235.52</x:v>
      </x:c>
      <x:c r="Q1351" s="16" t="n">
        <x:f>O1351-P1351</x:f>
        <x:v>276.48</x:v>
      </x:c>
      <x:c r="R1351" s="2" t="n">
        <x:v>183</x:v>
      </x:c>
      <x:c r="S1351" s="2" t="n">
        <x:v>0</x:v>
      </x:c>
      <x:c r="T1351" s="2" t="n">
        <x:f>R1351+S1351+J1351-I1351</x:f>
        <x:v>167</x:v>
      </x:c>
      <x:c r="U1351" s="2" t="n">
        <x:v>0</x:v>
      </x:c>
      <x:c r="V1351" s="2" t="n">
        <x:v>3</x:v>
      </x:c>
      <x:c r="W1351" s="2" t="n">
        <x:v>16</x:v>
      </x:c>
      <x:c r="X1351" s="14" t="b">
        <x:v>0</x:v>
      </x:c>
      <x:c r="Y1351" s="14" t="b">
        <x:v>0</x:v>
      </x:c>
      <x:c r="Z1351" s="2" t="n">
        <x:f>ABS(T1351-AA1351)</x:f>
        <x:v>0</x:v>
      </x:c>
      <x:c r="AA1351" s="2" t="n">
        <x:v>167</x:v>
      </x:c>
      <x:c r="AB1351" s="2" t="n">
        <x:f>ABS(K1351-W1351)</x:f>
        <x:v>0</x:v>
      </x:c>
      <x:c r="AC1351" s="2" t="n">
        <x:f>COUNTIF($A$2:$A$1921,A1351)-1</x:f>
        <x:v>0</x:v>
      </x:c>
      <x:c r="AD1351" s="2" t="n">
        <x:f>IF(AND(D1351=D1350,H1351=H1350,C1351=C1350+1),ABS(R1351-T1350),0)</x:f>
        <x:v>0</x:v>
      </x:c>
    </x:row>
    <x:row r="1352" ht="23" customHeight="1">
      <x:c r="A1352" s="2" t="str">
        <x:v>DEMO-305-3-11</x:v>
      </x:c>
      <x:c r="B1352" s="15" t="d">
        <x:v>2026-07-13T00:00:00.000Z</x:v>
      </x:c>
      <x:c r="C1352" s="2" t="n">
        <x:v>11</x:v>
      </x:c>
      <x:c r="D1352" s="2" t="str">
        <x:v>DEMO-305</x:v>
      </x:c>
      <x:c r="E1352" s="2" t="str">
        <x:v>Everyday Tumbler</x:v>
      </x:c>
      <x:c r="F1352" s="2" t="str">
        <x:v>Lifestyle</x:v>
      </x:c>
      <x:c r="G1352" s="2" t="str">
        <x:v>Online</x:v>
      </x:c>
      <x:c r="H1352" s="2" t="str">
        <x:v>Online</x:v>
      </x:c>
      <x:c r="I1352" s="2" t="n">
        <x:v>13</x:v>
      </x:c>
      <x:c r="J1352" s="2" t="n">
        <x:v>1</x:v>
      </x:c>
      <x:c r="K1352" s="2" t="n">
        <x:f>I1352-J1352</x:f>
        <x:v>12</x:v>
      </x:c>
      <x:c r="L1352" s="16" t="n">
        <x:v>32</x:v>
      </x:c>
      <x:c r="M1352" s="16" t="n">
        <x:v>32</x:v>
      </x:c>
      <x:c r="N1352" s="16" t="n">
        <x:v>14.72</x:v>
      </x:c>
      <x:c r="O1352" s="16" t="n">
        <x:f>K1352*M1352</x:f>
        <x:v>384</x:v>
      </x:c>
      <x:c r="P1352" s="16" t="n">
        <x:f>K1352*N1352</x:f>
        <x:v>176.64000000000001</x:v>
      </x:c>
      <x:c r="Q1352" s="16" t="n">
        <x:f>O1352-P1352</x:f>
        <x:v>207.35999999999999</x:v>
      </x:c>
      <x:c r="R1352" s="2" t="n">
        <x:v>167</x:v>
      </x:c>
      <x:c r="S1352" s="2" t="n">
        <x:v>0</x:v>
      </x:c>
      <x:c r="T1352" s="2" t="n">
        <x:f>R1352+S1352+J1352-I1352</x:f>
        <x:v>155</x:v>
      </x:c>
      <x:c r="U1352" s="2" t="n">
        <x:v>0</x:v>
      </x:c>
      <x:c r="V1352" s="2" t="n">
        <x:v>3</x:v>
      </x:c>
      <x:c r="W1352" s="2" t="n">
        <x:v>16</x:v>
      </x:c>
      <x:c r="X1352" s="14" t="b">
        <x:v>0</x:v>
      </x:c>
      <x:c r="Y1352" s="14" t="b">
        <x:v>0</x:v>
      </x:c>
      <x:c r="Z1352" s="2" t="n">
        <x:f>ABS(T1352-AA1352)</x:f>
        <x:v>0</x:v>
      </x:c>
      <x:c r="AA1352" s="2" t="n">
        <x:v>155</x:v>
      </x:c>
      <x:c r="AB1352" s="2" t="n">
        <x:f>ABS(K1352-W1352)</x:f>
        <x:v>4</x:v>
      </x:c>
      <x:c r="AC1352" s="2" t="n">
        <x:f>COUNTIF($A$2:$A$1921,A1352)-1</x:f>
        <x:v>0</x:v>
      </x:c>
      <x:c r="AD1352" s="2" t="n">
        <x:f>IF(AND(D1352=D1351,H1352=H1351,C1352=C1351+1),ABS(R1352-T1351),0)</x:f>
        <x:v>0</x:v>
      </x:c>
    </x:row>
    <x:row r="1353" ht="23" customHeight="1">
      <x:c r="A1353" s="2" t="str">
        <x:v>DEMO-305-3-12</x:v>
      </x:c>
      <x:c r="B1353" s="15" t="d">
        <x:v>2026-07-20T00:00:00.000Z</x:v>
      </x:c>
      <x:c r="C1353" s="2" t="n">
        <x:v>12</x:v>
      </x:c>
      <x:c r="D1353" s="2" t="str">
        <x:v>DEMO-305</x:v>
      </x:c>
      <x:c r="E1353" s="2" t="str">
        <x:v>Everyday Tumbler</x:v>
      </x:c>
      <x:c r="F1353" s="2" t="str">
        <x:v>Lifestyle</x:v>
      </x:c>
      <x:c r="G1353" s="2" t="str">
        <x:v>Online</x:v>
      </x:c>
      <x:c r="H1353" s="2" t="str">
        <x:v>Online</x:v>
      </x:c>
      <x:c r="I1353" s="2" t="n">
        <x:v>14</x:v>
      </x:c>
      <x:c r="J1353" s="2" t="n">
        <x:v>1</x:v>
      </x:c>
      <x:c r="K1353" s="2" t="n">
        <x:f>I1353-J1353</x:f>
        <x:v>13</x:v>
      </x:c>
      <x:c r="L1353" s="16" t="n">
        <x:v>32</x:v>
      </x:c>
      <x:c r="M1353" s="16" t="n">
        <x:v>32</x:v>
      </x:c>
      <x:c r="N1353" s="16" t="n">
        <x:v>14.72</x:v>
      </x:c>
      <x:c r="O1353" s="16" t="n">
        <x:f>K1353*M1353</x:f>
        <x:v>416</x:v>
      </x:c>
      <x:c r="P1353" s="16" t="n">
        <x:f>K1353*N1353</x:f>
        <x:v>191.36</x:v>
      </x:c>
      <x:c r="Q1353" s="16" t="n">
        <x:f>O1353-P1353</x:f>
        <x:v>224.64</x:v>
      </x:c>
      <x:c r="R1353" s="2" t="n">
        <x:v>155</x:v>
      </x:c>
      <x:c r="S1353" s="2" t="n">
        <x:v>0</x:v>
      </x:c>
      <x:c r="T1353" s="2" t="n">
        <x:f>R1353+S1353+J1353-I1353</x:f>
        <x:v>142</x:v>
      </x:c>
      <x:c r="U1353" s="2" t="n">
        <x:v>0</x:v>
      </x:c>
      <x:c r="V1353" s="2" t="n">
        <x:v>3</x:v>
      </x:c>
      <x:c r="W1353" s="2" t="n">
        <x:v>14</x:v>
      </x:c>
      <x:c r="X1353" s="14" t="b">
        <x:v>0</x:v>
      </x:c>
      <x:c r="Y1353" s="14" t="b">
        <x:v>0</x:v>
      </x:c>
      <x:c r="Z1353" s="2" t="n">
        <x:f>ABS(T1353-AA1353)</x:f>
        <x:v>0</x:v>
      </x:c>
      <x:c r="AA1353" s="2" t="n">
        <x:v>142</x:v>
      </x:c>
      <x:c r="AB1353" s="2" t="n">
        <x:f>ABS(K1353-W1353)</x:f>
        <x:v>1</x:v>
      </x:c>
      <x:c r="AC1353" s="2" t="n">
        <x:f>COUNTIF($A$2:$A$1921,A1353)-1</x:f>
        <x:v>0</x:v>
      </x:c>
      <x:c r="AD1353" s="2" t="n">
        <x:f>IF(AND(D1353=D1352,H1353=H1352,C1353=C1352+1),ABS(R1353-T1352),0)</x:f>
        <x:v>0</x:v>
      </x:c>
    </x:row>
    <x:row r="1354" ht="23" customHeight="1">
      <x:c r="A1354" s="2" t="str">
        <x:v>DEMO-305-3-13</x:v>
      </x:c>
      <x:c r="B1354" s="15" t="d">
        <x:v>2026-07-27T00:00:00.000Z</x:v>
      </x:c>
      <x:c r="C1354" s="2" t="n">
        <x:v>13</x:v>
      </x:c>
      <x:c r="D1354" s="2" t="str">
        <x:v>DEMO-305</x:v>
      </x:c>
      <x:c r="E1354" s="2" t="str">
        <x:v>Everyday Tumbler</x:v>
      </x:c>
      <x:c r="F1354" s="2" t="str">
        <x:v>Lifestyle</x:v>
      </x:c>
      <x:c r="G1354" s="2" t="str">
        <x:v>Online</x:v>
      </x:c>
      <x:c r="H1354" s="2" t="str">
        <x:v>Online</x:v>
      </x:c>
      <x:c r="I1354" s="2" t="n">
        <x:v>11</x:v>
      </x:c>
      <x:c r="J1354" s="2" t="n">
        <x:v>0</x:v>
      </x:c>
      <x:c r="K1354" s="2" t="n">
        <x:f>I1354-J1354</x:f>
        <x:v>11</x:v>
      </x:c>
      <x:c r="L1354" s="16" t="n">
        <x:v>32</x:v>
      </x:c>
      <x:c r="M1354" s="16" t="n">
        <x:v>32</x:v>
      </x:c>
      <x:c r="N1354" s="16" t="n">
        <x:v>14.72</x:v>
      </x:c>
      <x:c r="O1354" s="16" t="n">
        <x:f>K1354*M1354</x:f>
        <x:v>352</x:v>
      </x:c>
      <x:c r="P1354" s="16" t="n">
        <x:f>K1354*N1354</x:f>
        <x:v>161.92000000000002</x:v>
      </x:c>
      <x:c r="Q1354" s="16" t="n">
        <x:f>O1354-P1354</x:f>
        <x:v>190.07999999999998</x:v>
      </x:c>
      <x:c r="R1354" s="2" t="n">
        <x:v>142</x:v>
      </x:c>
      <x:c r="S1354" s="2" t="n">
        <x:v>65</x:v>
      </x:c>
      <x:c r="T1354" s="2" t="n">
        <x:f>R1354+S1354+J1354-I1354</x:f>
        <x:v>196</x:v>
      </x:c>
      <x:c r="U1354" s="2" t="n">
        <x:v>0</x:v>
      </x:c>
      <x:c r="V1354" s="2" t="n">
        <x:v>3</x:v>
      </x:c>
      <x:c r="W1354" s="2" t="n">
        <x:v>14</x:v>
      </x:c>
      <x:c r="X1354" s="14" t="b">
        <x:v>0</x:v>
      </x:c>
      <x:c r="Y1354" s="14" t="b">
        <x:v>0</x:v>
      </x:c>
      <x:c r="Z1354" s="2" t="n">
        <x:f>ABS(T1354-AA1354)</x:f>
        <x:v>0</x:v>
      </x:c>
      <x:c r="AA1354" s="2" t="n">
        <x:v>196</x:v>
      </x:c>
      <x:c r="AB1354" s="2" t="n">
        <x:f>ABS(K1354-W1354)</x:f>
        <x:v>3</x:v>
      </x:c>
      <x:c r="AC1354" s="2" t="n">
        <x:f>COUNTIF($A$2:$A$1921,A1354)-1</x:f>
        <x:v>0</x:v>
      </x:c>
      <x:c r="AD1354" s="2" t="n">
        <x:f>IF(AND(D1354=D1353,H1354=H1353,C1354=C1353+1),ABS(R1354-T1353),0)</x:f>
        <x:v>0</x:v>
      </x:c>
    </x:row>
    <x:row r="1355" ht="23" customHeight="1">
      <x:c r="A1355" s="2" t="str">
        <x:v>DEMO-305-3-14</x:v>
      </x:c>
      <x:c r="B1355" s="15" t="d">
        <x:v>2026-08-03T00:00:00.000Z</x:v>
      </x:c>
      <x:c r="C1355" s="2" t="n">
        <x:v>14</x:v>
      </x:c>
      <x:c r="D1355" s="2" t="str">
        <x:v>DEMO-305</x:v>
      </x:c>
      <x:c r="E1355" s="2" t="str">
        <x:v>Everyday Tumbler</x:v>
      </x:c>
      <x:c r="F1355" s="2" t="str">
        <x:v>Lifestyle</x:v>
      </x:c>
      <x:c r="G1355" s="2" t="str">
        <x:v>Online</x:v>
      </x:c>
      <x:c r="H1355" s="2" t="str">
        <x:v>Online</x:v>
      </x:c>
      <x:c r="I1355" s="2" t="n">
        <x:v>12</x:v>
      </x:c>
      <x:c r="J1355" s="2" t="n">
        <x:v>0</x:v>
      </x:c>
      <x:c r="K1355" s="2" t="n">
        <x:f>I1355-J1355</x:f>
        <x:v>12</x:v>
      </x:c>
      <x:c r="L1355" s="16" t="n">
        <x:v>32</x:v>
      </x:c>
      <x:c r="M1355" s="16" t="n">
        <x:v>32</x:v>
      </x:c>
      <x:c r="N1355" s="16" t="n">
        <x:v>14.72</x:v>
      </x:c>
      <x:c r="O1355" s="16" t="n">
        <x:f>K1355*M1355</x:f>
        <x:v>384</x:v>
      </x:c>
      <x:c r="P1355" s="16" t="n">
        <x:f>K1355*N1355</x:f>
        <x:v>176.64000000000001</x:v>
      </x:c>
      <x:c r="Q1355" s="16" t="n">
        <x:f>O1355-P1355</x:f>
        <x:v>207.35999999999999</x:v>
      </x:c>
      <x:c r="R1355" s="2" t="n">
        <x:v>196</x:v>
      </x:c>
      <x:c r="S1355" s="2" t="n">
        <x:v>0</x:v>
      </x:c>
      <x:c r="T1355" s="2" t="n">
        <x:f>R1355+S1355+J1355-I1355</x:f>
        <x:v>184</x:v>
      </x:c>
      <x:c r="U1355" s="2" t="n">
        <x:v>0</x:v>
      </x:c>
      <x:c r="V1355" s="2" t="n">
        <x:v>3</x:v>
      </x:c>
      <x:c r="W1355" s="2" t="n">
        <x:v>13</x:v>
      </x:c>
      <x:c r="X1355" s="14" t="b">
        <x:v>0</x:v>
      </x:c>
      <x:c r="Y1355" s="14" t="b">
        <x:v>0</x:v>
      </x:c>
      <x:c r="Z1355" s="2" t="n">
        <x:f>ABS(T1355-AA1355)</x:f>
        <x:v>0</x:v>
      </x:c>
      <x:c r="AA1355" s="2" t="n">
        <x:v>184</x:v>
      </x:c>
      <x:c r="AB1355" s="2" t="n">
        <x:f>ABS(K1355-W1355)</x:f>
        <x:v>1</x:v>
      </x:c>
      <x:c r="AC1355" s="2" t="n">
        <x:f>COUNTIF($A$2:$A$1921,A1355)-1</x:f>
        <x:v>0</x:v>
      </x:c>
      <x:c r="AD1355" s="2" t="n">
        <x:f>IF(AND(D1355=D1354,H1355=H1354,C1355=C1354+1),ABS(R1355-T1354),0)</x:f>
        <x:v>0</x:v>
      </x:c>
    </x:row>
    <x:row r="1356" ht="23" customHeight="1">
      <x:c r="A1356" s="2" t="str">
        <x:v>DEMO-305-3-15</x:v>
      </x:c>
      <x:c r="B1356" s="15" t="d">
        <x:v>2026-08-10T00:00:00.000Z</x:v>
      </x:c>
      <x:c r="C1356" s="2" t="n">
        <x:v>15</x:v>
      </x:c>
      <x:c r="D1356" s="2" t="str">
        <x:v>DEMO-305</x:v>
      </x:c>
      <x:c r="E1356" s="2" t="str">
        <x:v>Everyday Tumbler</x:v>
      </x:c>
      <x:c r="F1356" s="2" t="str">
        <x:v>Lifestyle</x:v>
      </x:c>
      <x:c r="G1356" s="2" t="str">
        <x:v>Online</x:v>
      </x:c>
      <x:c r="H1356" s="2" t="str">
        <x:v>Online</x:v>
      </x:c>
      <x:c r="I1356" s="2" t="n">
        <x:v>10</x:v>
      </x:c>
      <x:c r="J1356" s="2" t="n">
        <x:v>0</x:v>
      </x:c>
      <x:c r="K1356" s="2" t="n">
        <x:f>I1356-J1356</x:f>
        <x:v>10</x:v>
      </x:c>
      <x:c r="L1356" s="16" t="n">
        <x:v>32</x:v>
      </x:c>
      <x:c r="M1356" s="16" t="n">
        <x:v>32</x:v>
      </x:c>
      <x:c r="N1356" s="16" t="n">
        <x:v>14.72</x:v>
      </x:c>
      <x:c r="O1356" s="16" t="n">
        <x:f>K1356*M1356</x:f>
        <x:v>320</x:v>
      </x:c>
      <x:c r="P1356" s="16" t="n">
        <x:f>K1356*N1356</x:f>
        <x:v>147.20000000000002</x:v>
      </x:c>
      <x:c r="Q1356" s="16" t="n">
        <x:f>O1356-P1356</x:f>
        <x:v>172.79999999999998</x:v>
      </x:c>
      <x:c r="R1356" s="2" t="n">
        <x:v>184</x:v>
      </x:c>
      <x:c r="S1356" s="2" t="n">
        <x:v>0</x:v>
      </x:c>
      <x:c r="T1356" s="2" t="n">
        <x:f>R1356+S1356+J1356-I1356</x:f>
        <x:v>174</x:v>
      </x:c>
      <x:c r="U1356" s="2" t="n">
        <x:v>0</x:v>
      </x:c>
      <x:c r="V1356" s="2" t="n">
        <x:v>3</x:v>
      </x:c>
      <x:c r="W1356" s="2" t="n">
        <x:v>12</x:v>
      </x:c>
      <x:c r="X1356" s="14" t="b">
        <x:v>0</x:v>
      </x:c>
      <x:c r="Y1356" s="14" t="b">
        <x:v>0</x:v>
      </x:c>
      <x:c r="Z1356" s="2" t="n">
        <x:f>ABS(T1356-AA1356)</x:f>
        <x:v>0</x:v>
      </x:c>
      <x:c r="AA1356" s="2" t="n">
        <x:v>174</x:v>
      </x:c>
      <x:c r="AB1356" s="2" t="n">
        <x:f>ABS(K1356-W1356)</x:f>
        <x:v>2</x:v>
      </x:c>
      <x:c r="AC1356" s="2" t="n">
        <x:f>COUNTIF($A$2:$A$1921,A1356)-1</x:f>
        <x:v>0</x:v>
      </x:c>
      <x:c r="AD1356" s="2" t="n">
        <x:f>IF(AND(D1356=D1355,H1356=H1355,C1356=C1355+1),ABS(R1356-T1355),0)</x:f>
        <x:v>0</x:v>
      </x:c>
    </x:row>
    <x:row r="1357" ht="23" customHeight="1">
      <x:c r="A1357" s="2" t="str">
        <x:v>DEMO-305-3-16</x:v>
      </x:c>
      <x:c r="B1357" s="15" t="d">
        <x:v>2026-08-17T00:00:00.000Z</x:v>
      </x:c>
      <x:c r="C1357" s="2" t="n">
        <x:v>16</x:v>
      </x:c>
      <x:c r="D1357" s="2" t="str">
        <x:v>DEMO-305</x:v>
      </x:c>
      <x:c r="E1357" s="2" t="str">
        <x:v>Everyday Tumbler</x:v>
      </x:c>
      <x:c r="F1357" s="2" t="str">
        <x:v>Lifestyle</x:v>
      </x:c>
      <x:c r="G1357" s="2" t="str">
        <x:v>Online</x:v>
      </x:c>
      <x:c r="H1357" s="2" t="str">
        <x:v>Online</x:v>
      </x:c>
      <x:c r="I1357" s="2" t="n">
        <x:v>11</x:v>
      </x:c>
      <x:c r="J1357" s="2" t="n">
        <x:v>1</x:v>
      </x:c>
      <x:c r="K1357" s="2" t="n">
        <x:f>I1357-J1357</x:f>
        <x:v>10</x:v>
      </x:c>
      <x:c r="L1357" s="16" t="n">
        <x:v>32</x:v>
      </x:c>
      <x:c r="M1357" s="16" t="n">
        <x:v>32</x:v>
      </x:c>
      <x:c r="N1357" s="16" t="n">
        <x:v>14.72</x:v>
      </x:c>
      <x:c r="O1357" s="16" t="n">
        <x:f>K1357*M1357</x:f>
        <x:v>320</x:v>
      </x:c>
      <x:c r="P1357" s="16" t="n">
        <x:f>K1357*N1357</x:f>
        <x:v>147.20000000000002</x:v>
      </x:c>
      <x:c r="Q1357" s="16" t="n">
        <x:f>O1357-P1357</x:f>
        <x:v>172.79999999999998</x:v>
      </x:c>
      <x:c r="R1357" s="2" t="n">
        <x:v>174</x:v>
      </x:c>
      <x:c r="S1357" s="2" t="n">
        <x:v>0</x:v>
      </x:c>
      <x:c r="T1357" s="2" t="n">
        <x:f>R1357+S1357+J1357-I1357</x:f>
        <x:v>164</x:v>
      </x:c>
      <x:c r="U1357" s="2" t="n">
        <x:v>0</x:v>
      </x:c>
      <x:c r="V1357" s="2" t="n">
        <x:v>3</x:v>
      </x:c>
      <x:c r="W1357" s="2" t="n">
        <x:v>12</x:v>
      </x:c>
      <x:c r="X1357" s="14" t="b">
        <x:v>0</x:v>
      </x:c>
      <x:c r="Y1357" s="14" t="b">
        <x:v>0</x:v>
      </x:c>
      <x:c r="Z1357" s="2" t="n">
        <x:f>ABS(T1357-AA1357)</x:f>
        <x:v>0</x:v>
      </x:c>
      <x:c r="AA1357" s="2" t="n">
        <x:v>164</x:v>
      </x:c>
      <x:c r="AB1357" s="2" t="n">
        <x:f>ABS(K1357-W1357)</x:f>
        <x:v>2</x:v>
      </x:c>
      <x:c r="AC1357" s="2" t="n">
        <x:f>COUNTIF($A$2:$A$1921,A1357)-1</x:f>
        <x:v>0</x:v>
      </x:c>
      <x:c r="AD1357" s="2" t="n">
        <x:f>IF(AND(D1357=D1356,H1357=H1356,C1357=C1356+1),ABS(R1357-T1356),0)</x:f>
        <x:v>0</x:v>
      </x:c>
    </x:row>
    <x:row r="1358" ht="23" customHeight="1">
      <x:c r="A1358" s="2" t="str">
        <x:v>DEMO-305-3-17</x:v>
      </x:c>
      <x:c r="B1358" s="15" t="d">
        <x:v>2026-08-24T00:00:00.000Z</x:v>
      </x:c>
      <x:c r="C1358" s="2" t="n">
        <x:v>17</x:v>
      </x:c>
      <x:c r="D1358" s="2" t="str">
        <x:v>DEMO-305</x:v>
      </x:c>
      <x:c r="E1358" s="2" t="str">
        <x:v>Everyday Tumbler</x:v>
      </x:c>
      <x:c r="F1358" s="2" t="str">
        <x:v>Lifestyle</x:v>
      </x:c>
      <x:c r="G1358" s="2" t="str">
        <x:v>Online</x:v>
      </x:c>
      <x:c r="H1358" s="2" t="str">
        <x:v>Online</x:v>
      </x:c>
      <x:c r="I1358" s="2" t="n">
        <x:v>13</x:v>
      </x:c>
      <x:c r="J1358" s="2" t="n">
        <x:v>0</x:v>
      </x:c>
      <x:c r="K1358" s="2" t="n">
        <x:f>I1358-J1358</x:f>
        <x:v>13</x:v>
      </x:c>
      <x:c r="L1358" s="16" t="n">
        <x:v>32</x:v>
      </x:c>
      <x:c r="M1358" s="16" t="n">
        <x:v>25.6</x:v>
      </x:c>
      <x:c r="N1358" s="16" t="n">
        <x:v>14.72</x:v>
      </x:c>
      <x:c r="O1358" s="16" t="n">
        <x:f>K1358*M1358</x:f>
        <x:v>332.8</x:v>
      </x:c>
      <x:c r="P1358" s="16" t="n">
        <x:f>K1358*N1358</x:f>
        <x:v>191.36</x:v>
      </x:c>
      <x:c r="Q1358" s="16" t="n">
        <x:f>O1358-P1358</x:f>
        <x:v>141.44</x:v>
      </x:c>
      <x:c r="R1358" s="2" t="n">
        <x:v>164</x:v>
      </x:c>
      <x:c r="S1358" s="2" t="n">
        <x:v>65</x:v>
      </x:c>
      <x:c r="T1358" s="2" t="n">
        <x:f>R1358+S1358+J1358-I1358</x:f>
        <x:v>216</x:v>
      </x:c>
      <x:c r="U1358" s="2" t="n">
        <x:v>0</x:v>
      </x:c>
      <x:c r="V1358" s="2" t="n">
        <x:v>3</x:v>
      </x:c>
      <x:c r="W1358" s="2" t="n">
        <x:v>11</x:v>
      </x:c>
      <x:c r="X1358" s="14" t="b">
        <x:v>0</x:v>
      </x:c>
      <x:c r="Y1358" s="14" t="b">
        <x:v>1</x:v>
      </x:c>
      <x:c r="Z1358" s="2" t="n">
        <x:f>ABS(T1358-AA1358)</x:f>
        <x:v>0</x:v>
      </x:c>
      <x:c r="AA1358" s="2" t="n">
        <x:v>216</x:v>
      </x:c>
      <x:c r="AB1358" s="2" t="n">
        <x:f>ABS(K1358-W1358)</x:f>
        <x:v>2</x:v>
      </x:c>
      <x:c r="AC1358" s="2" t="n">
        <x:f>COUNTIF($A$2:$A$1921,A1358)-1</x:f>
        <x:v>0</x:v>
      </x:c>
      <x:c r="AD1358" s="2" t="n">
        <x:f>IF(AND(D1358=D1357,H1358=H1357,C1358=C1357+1),ABS(R1358-T1357),0)</x:f>
        <x:v>0</x:v>
      </x:c>
    </x:row>
    <x:row r="1359" ht="23" customHeight="1">
      <x:c r="A1359" s="2" t="str">
        <x:v>DEMO-305-3-18</x:v>
      </x:c>
      <x:c r="B1359" s="15" t="d">
        <x:v>2026-08-31T00:00:00.000Z</x:v>
      </x:c>
      <x:c r="C1359" s="2" t="n">
        <x:v>18</x:v>
      </x:c>
      <x:c r="D1359" s="2" t="str">
        <x:v>DEMO-305</x:v>
      </x:c>
      <x:c r="E1359" s="2" t="str">
        <x:v>Everyday Tumbler</x:v>
      </x:c>
      <x:c r="F1359" s="2" t="str">
        <x:v>Lifestyle</x:v>
      </x:c>
      <x:c r="G1359" s="2" t="str">
        <x:v>Online</x:v>
      </x:c>
      <x:c r="H1359" s="2" t="str">
        <x:v>Online</x:v>
      </x:c>
      <x:c r="I1359" s="2" t="n">
        <x:v>11</x:v>
      </x:c>
      <x:c r="J1359" s="2" t="n">
        <x:v>1</x:v>
      </x:c>
      <x:c r="K1359" s="2" t="n">
        <x:f>I1359-J1359</x:f>
        <x:v>10</x:v>
      </x:c>
      <x:c r="L1359" s="16" t="n">
        <x:v>32</x:v>
      </x:c>
      <x:c r="M1359" s="16" t="n">
        <x:v>25.6</x:v>
      </x:c>
      <x:c r="N1359" s="16" t="n">
        <x:v>14.72</x:v>
      </x:c>
      <x:c r="O1359" s="16" t="n">
        <x:f>K1359*M1359</x:f>
        <x:v>256</x:v>
      </x:c>
      <x:c r="P1359" s="16" t="n">
        <x:f>K1359*N1359</x:f>
        <x:v>147.20000000000002</x:v>
      </x:c>
      <x:c r="Q1359" s="16" t="n">
        <x:f>O1359-P1359</x:f>
        <x:v>108.79999999999998</x:v>
      </x:c>
      <x:c r="R1359" s="2" t="n">
        <x:v>216</x:v>
      </x:c>
      <x:c r="S1359" s="2" t="n">
        <x:v>0</x:v>
      </x:c>
      <x:c r="T1359" s="2" t="n">
        <x:f>R1359+S1359+J1359-I1359</x:f>
        <x:v>206</x:v>
      </x:c>
      <x:c r="U1359" s="2" t="n">
        <x:v>0</x:v>
      </x:c>
      <x:c r="V1359" s="2" t="n">
        <x:v>3</x:v>
      </x:c>
      <x:c r="W1359" s="2" t="n">
        <x:v>11</x:v>
      </x:c>
      <x:c r="X1359" s="14" t="b">
        <x:v>0</x:v>
      </x:c>
      <x:c r="Y1359" s="14" t="b">
        <x:v>1</x:v>
      </x:c>
      <x:c r="Z1359" s="2" t="n">
        <x:f>ABS(T1359-AA1359)</x:f>
        <x:v>0</x:v>
      </x:c>
      <x:c r="AA1359" s="2" t="n">
        <x:v>206</x:v>
      </x:c>
      <x:c r="AB1359" s="2" t="n">
        <x:f>ABS(K1359-W1359)</x:f>
        <x:v>1</x:v>
      </x:c>
      <x:c r="AC1359" s="2" t="n">
        <x:f>COUNTIF($A$2:$A$1921,A1359)-1</x:f>
        <x:v>0</x:v>
      </x:c>
      <x:c r="AD1359" s="2" t="n">
        <x:f>IF(AND(D1359=D1358,H1359=H1358,C1359=C1358+1),ABS(R1359-T1358),0)</x:f>
        <x:v>0</x:v>
      </x:c>
    </x:row>
    <x:row r="1360" ht="23" customHeight="1">
      <x:c r="A1360" s="2" t="str">
        <x:v>DEMO-305-3-19</x:v>
      </x:c>
      <x:c r="B1360" s="15" t="d">
        <x:v>2026-09-07T00:00:00.000Z</x:v>
      </x:c>
      <x:c r="C1360" s="2" t="n">
        <x:v>19</x:v>
      </x:c>
      <x:c r="D1360" s="2" t="str">
        <x:v>DEMO-305</x:v>
      </x:c>
      <x:c r="E1360" s="2" t="str">
        <x:v>Everyday Tumbler</x:v>
      </x:c>
      <x:c r="F1360" s="2" t="str">
        <x:v>Lifestyle</x:v>
      </x:c>
      <x:c r="G1360" s="2" t="str">
        <x:v>Online</x:v>
      </x:c>
      <x:c r="H1360" s="2" t="str">
        <x:v>Online</x:v>
      </x:c>
      <x:c r="I1360" s="2" t="n">
        <x:v>10</x:v>
      </x:c>
      <x:c r="J1360" s="2" t="n">
        <x:v>1</x:v>
      </x:c>
      <x:c r="K1360" s="2" t="n">
        <x:f>I1360-J1360</x:f>
        <x:v>9</x:v>
      </x:c>
      <x:c r="L1360" s="16" t="n">
        <x:v>32</x:v>
      </x:c>
      <x:c r="M1360" s="16" t="n">
        <x:v>25.6</x:v>
      </x:c>
      <x:c r="N1360" s="16" t="n">
        <x:v>14.72</x:v>
      </x:c>
      <x:c r="O1360" s="16" t="n">
        <x:f>K1360*M1360</x:f>
        <x:v>230.4</x:v>
      </x:c>
      <x:c r="P1360" s="16" t="n">
        <x:f>K1360*N1360</x:f>
        <x:v>132.48000000000002</x:v>
      </x:c>
      <x:c r="Q1360" s="16" t="n">
        <x:f>O1360-P1360</x:f>
        <x:v>97.91999999999999</x:v>
      </x:c>
      <x:c r="R1360" s="2" t="n">
        <x:v>206</x:v>
      </x:c>
      <x:c r="S1360" s="2" t="n">
        <x:v>0</x:v>
      </x:c>
      <x:c r="T1360" s="2" t="n">
        <x:f>R1360+S1360+J1360-I1360</x:f>
        <x:v>197</x:v>
      </x:c>
      <x:c r="U1360" s="2" t="n">
        <x:v>0</x:v>
      </x:c>
      <x:c r="V1360" s="2" t="n">
        <x:v>3</x:v>
      </x:c>
      <x:c r="W1360" s="2" t="n">
        <x:v>11</x:v>
      </x:c>
      <x:c r="X1360" s="14" t="b">
        <x:v>0</x:v>
      </x:c>
      <x:c r="Y1360" s="14" t="b">
        <x:v>1</x:v>
      </x:c>
      <x:c r="Z1360" s="2" t="n">
        <x:f>ABS(T1360-AA1360)</x:f>
        <x:v>0</x:v>
      </x:c>
      <x:c r="AA1360" s="2" t="n">
        <x:v>197</x:v>
      </x:c>
      <x:c r="AB1360" s="2" t="n">
        <x:f>ABS(K1360-W1360)</x:f>
        <x:v>2</x:v>
      </x:c>
      <x:c r="AC1360" s="2" t="n">
        <x:f>COUNTIF($A$2:$A$1921,A1360)-1</x:f>
        <x:v>0</x:v>
      </x:c>
      <x:c r="AD1360" s="2" t="n">
        <x:f>IF(AND(D1360=D1359,H1360=H1359,C1360=C1359+1),ABS(R1360-T1359),0)</x:f>
        <x:v>0</x:v>
      </x:c>
    </x:row>
    <x:row r="1361" ht="23" customHeight="1">
      <x:c r="A1361" s="2" t="str">
        <x:v>DEMO-305-3-20</x:v>
      </x:c>
      <x:c r="B1361" s="15" t="d">
        <x:v>2026-09-14T00:00:00.000Z</x:v>
      </x:c>
      <x:c r="C1361" s="2" t="n">
        <x:v>20</x:v>
      </x:c>
      <x:c r="D1361" s="2" t="str">
        <x:v>DEMO-305</x:v>
      </x:c>
      <x:c r="E1361" s="2" t="str">
        <x:v>Everyday Tumbler</x:v>
      </x:c>
      <x:c r="F1361" s="2" t="str">
        <x:v>Lifestyle</x:v>
      </x:c>
      <x:c r="G1361" s="2" t="str">
        <x:v>Online</x:v>
      </x:c>
      <x:c r="H1361" s="2" t="str">
        <x:v>Online</x:v>
      </x:c>
      <x:c r="I1361" s="2" t="n">
        <x:v>12</x:v>
      </x:c>
      <x:c r="J1361" s="2" t="n">
        <x:v>0</x:v>
      </x:c>
      <x:c r="K1361" s="2" t="n">
        <x:f>I1361-J1361</x:f>
        <x:v>12</x:v>
      </x:c>
      <x:c r="L1361" s="16" t="n">
        <x:v>32</x:v>
      </x:c>
      <x:c r="M1361" s="16" t="n">
        <x:v>25.6</x:v>
      </x:c>
      <x:c r="N1361" s="16" t="n">
        <x:v>14.72</x:v>
      </x:c>
      <x:c r="O1361" s="16" t="n">
        <x:f>K1361*M1361</x:f>
        <x:v>307.20000000000005</x:v>
      </x:c>
      <x:c r="P1361" s="16" t="n">
        <x:f>K1361*N1361</x:f>
        <x:v>176.64000000000001</x:v>
      </x:c>
      <x:c r="Q1361" s="16" t="n">
        <x:f>O1361-P1361</x:f>
        <x:v>130.56000000000003</x:v>
      </x:c>
      <x:c r="R1361" s="2" t="n">
        <x:v>197</x:v>
      </x:c>
      <x:c r="S1361" s="2" t="n">
        <x:v>0</x:v>
      </x:c>
      <x:c r="T1361" s="2" t="n">
        <x:f>R1361+S1361+J1361-I1361</x:f>
        <x:v>185</x:v>
      </x:c>
      <x:c r="U1361" s="2" t="n">
        <x:v>24</x:v>
      </x:c>
      <x:c r="V1361" s="2" t="n">
        <x:v>3</x:v>
      </x:c>
      <x:c r="W1361" s="2" t="n">
        <x:v>11</x:v>
      </x:c>
      <x:c r="X1361" s="14" t="b">
        <x:v>0</x:v>
      </x:c>
      <x:c r="Y1361" s="14" t="b">
        <x:v>1</x:v>
      </x:c>
      <x:c r="Z1361" s="2" t="n">
        <x:f>ABS(T1361-AA1361)</x:f>
        <x:v>0</x:v>
      </x:c>
      <x:c r="AA1361" s="2" t="n">
        <x:v>185</x:v>
      </x:c>
      <x:c r="AB1361" s="2" t="n">
        <x:f>ABS(K1361-W1361)</x:f>
        <x:v>1</x:v>
      </x:c>
      <x:c r="AC1361" s="2" t="n">
        <x:f>COUNTIF($A$2:$A$1921,A1361)-1</x:f>
        <x:v>0</x:v>
      </x:c>
      <x:c r="AD1361" s="2" t="n">
        <x:f>IF(AND(D1361=D1360,H1361=H1360,C1361=C1360+1),ABS(R1361-T1360),0)</x:f>
        <x:v>0</x:v>
      </x:c>
    </x:row>
    <x:row r="1362" ht="23" customHeight="1">
      <x:c r="A1362" s="2" t="str">
        <x:v>DEMO-306-0-1</x:v>
      </x:c>
      <x:c r="B1362" s="15" t="d">
        <x:v>2026-05-04T00:00:00.000Z</x:v>
      </x:c>
      <x:c r="C1362" s="2" t="n">
        <x:v>1</x:v>
      </x:c>
      <x:c r="D1362" s="2" t="str">
        <x:v>DEMO-306</x:v>
      </x:c>
      <x:c r="E1362" s="2" t="str">
        <x:v>Nest Cushion</x:v>
      </x:c>
      <x:c r="F1362" s="2" t="str">
        <x:v>Lifestyle</x:v>
      </x:c>
      <x:c r="G1362" s="2" t="str">
        <x:v>Stores</x:v>
      </x:c>
      <x:c r="H1362" s="2" t="str">
        <x:v>North Arcade</x:v>
      </x:c>
      <x:c r="I1362" s="2" t="n">
        <x:v>15</x:v>
      </x:c>
      <x:c r="J1362" s="2" t="n">
        <x:v>0</x:v>
      </x:c>
      <x:c r="K1362" s="2" t="n">
        <x:f>I1362-J1362</x:f>
        <x:v>15</x:v>
      </x:c>
      <x:c r="L1362" s="16" t="n">
        <x:v>34</x:v>
      </x:c>
      <x:c r="M1362" s="16" t="n">
        <x:v>34</x:v>
      </x:c>
      <x:c r="N1362" s="16" t="n">
        <x:v>16.49</x:v>
      </x:c>
      <x:c r="O1362" s="16" t="n">
        <x:f>K1362*M1362</x:f>
        <x:v>510</x:v>
      </x:c>
      <x:c r="P1362" s="16" t="n">
        <x:f>K1362*N1362</x:f>
        <x:v>247.34999999999997</x:v>
      </x:c>
      <x:c r="Q1362" s="16" t="n">
        <x:f>O1362-P1362</x:f>
        <x:v>262.65000000000003</x:v>
      </x:c>
      <x:c r="R1362" s="2" t="n">
        <x:v>140</x:v>
      </x:c>
      <x:c r="S1362" s="2" t="n">
        <x:v>65</x:v>
      </x:c>
      <x:c r="T1362" s="2" t="n">
        <x:f>R1362+S1362+J1362-I1362</x:f>
        <x:v>190</x:v>
      </x:c>
      <x:c r="U1362" s="2" t="n">
        <x:v>0</x:v>
      </x:c>
      <x:c r="V1362" s="2" t="n">
        <x:v>4</x:v>
      </x:c>
      <x:c r="W1362" s="2" t="n">
        <x:v>14</x:v>
      </x:c>
      <x:c r="X1362" s="14" t="b">
        <x:v>0</x:v>
      </x:c>
      <x:c r="Y1362" s="14" t="b">
        <x:v>0</x:v>
      </x:c>
      <x:c r="Z1362" s="2" t="n">
        <x:f>ABS(T1362-AA1362)</x:f>
        <x:v>0</x:v>
      </x:c>
      <x:c r="AA1362" s="2" t="n">
        <x:v>190</x:v>
      </x:c>
      <x:c r="AB1362" s="2" t="n">
        <x:f>ABS(K1362-W1362)</x:f>
        <x:v>1</x:v>
      </x:c>
      <x:c r="AC1362" s="2" t="n">
        <x:f>COUNTIF($A$2:$A$1921,A1362)-1</x:f>
        <x:v>0</x:v>
      </x:c>
      <x:c r="AD1362" s="2" t="n">
        <x:f>IF(AND(D1362=D1361,H1362=H1361,C1362=C1361+1),ABS(R1362-T1361),0)</x:f>
        <x:v>0</x:v>
      </x:c>
    </x:row>
    <x:row r="1363" ht="23" customHeight="1">
      <x:c r="A1363" s="2" t="str">
        <x:v>DEMO-306-0-2</x:v>
      </x:c>
      <x:c r="B1363" s="15" t="d">
        <x:v>2026-05-11T00:00:00.000Z</x:v>
      </x:c>
      <x:c r="C1363" s="2" t="n">
        <x:v>2</x:v>
      </x:c>
      <x:c r="D1363" s="2" t="str">
        <x:v>DEMO-306</x:v>
      </x:c>
      <x:c r="E1363" s="2" t="str">
        <x:v>Nest Cushion</x:v>
      </x:c>
      <x:c r="F1363" s="2" t="str">
        <x:v>Lifestyle</x:v>
      </x:c>
      <x:c r="G1363" s="2" t="str">
        <x:v>Stores</x:v>
      </x:c>
      <x:c r="H1363" s="2" t="str">
        <x:v>North Arcade</x:v>
      </x:c>
      <x:c r="I1363" s="2" t="n">
        <x:v>11</x:v>
      </x:c>
      <x:c r="J1363" s="2" t="n">
        <x:v>0</x:v>
      </x:c>
      <x:c r="K1363" s="2" t="n">
        <x:f>I1363-J1363</x:f>
        <x:v>11</x:v>
      </x:c>
      <x:c r="L1363" s="16" t="n">
        <x:v>34</x:v>
      </x:c>
      <x:c r="M1363" s="16" t="n">
        <x:v>34</x:v>
      </x:c>
      <x:c r="N1363" s="16" t="n">
        <x:v>16.49</x:v>
      </x:c>
      <x:c r="O1363" s="16" t="n">
        <x:f>K1363*M1363</x:f>
        <x:v>374</x:v>
      </x:c>
      <x:c r="P1363" s="16" t="n">
        <x:f>K1363*N1363</x:f>
        <x:v>181.39</x:v>
      </x:c>
      <x:c r="Q1363" s="16" t="n">
        <x:f>O1363-P1363</x:f>
        <x:v>192.61</x:v>
      </x:c>
      <x:c r="R1363" s="2" t="n">
        <x:v>190</x:v>
      </x:c>
      <x:c r="S1363" s="2" t="n">
        <x:v>0</x:v>
      </x:c>
      <x:c r="T1363" s="2" t="n">
        <x:f>R1363+S1363+J1363-I1363</x:f>
        <x:v>179</x:v>
      </x:c>
      <x:c r="U1363" s="2" t="n">
        <x:v>0</x:v>
      </x:c>
      <x:c r="V1363" s="2" t="n">
        <x:v>4</x:v>
      </x:c>
      <x:c r="W1363" s="2" t="n">
        <x:v>15</x:v>
      </x:c>
      <x:c r="X1363" s="14" t="b">
        <x:v>0</x:v>
      </x:c>
      <x:c r="Y1363" s="14" t="b">
        <x:v>0</x:v>
      </x:c>
      <x:c r="Z1363" s="2" t="n">
        <x:f>ABS(T1363-AA1363)</x:f>
        <x:v>0</x:v>
      </x:c>
      <x:c r="AA1363" s="2" t="n">
        <x:v>179</x:v>
      </x:c>
      <x:c r="AB1363" s="2" t="n">
        <x:f>ABS(K1363-W1363)</x:f>
        <x:v>4</x:v>
      </x:c>
      <x:c r="AC1363" s="2" t="n">
        <x:f>COUNTIF($A$2:$A$1921,A1363)-1</x:f>
        <x:v>0</x:v>
      </x:c>
      <x:c r="AD1363" s="2" t="n">
        <x:f>IF(AND(D1363=D1362,H1363=H1362,C1363=C1362+1),ABS(R1363-T1362),0)</x:f>
        <x:v>0</x:v>
      </x:c>
    </x:row>
    <x:row r="1364" ht="23" customHeight="1">
      <x:c r="A1364" s="2" t="str">
        <x:v>DEMO-306-0-3</x:v>
      </x:c>
      <x:c r="B1364" s="15" t="d">
        <x:v>2026-05-18T00:00:00.000Z</x:v>
      </x:c>
      <x:c r="C1364" s="2" t="n">
        <x:v>3</x:v>
      </x:c>
      <x:c r="D1364" s="2" t="str">
        <x:v>DEMO-306</x:v>
      </x:c>
      <x:c r="E1364" s="2" t="str">
        <x:v>Nest Cushion</x:v>
      </x:c>
      <x:c r="F1364" s="2" t="str">
        <x:v>Lifestyle</x:v>
      </x:c>
      <x:c r="G1364" s="2" t="str">
        <x:v>Stores</x:v>
      </x:c>
      <x:c r="H1364" s="2" t="str">
        <x:v>North Arcade</x:v>
      </x:c>
      <x:c r="I1364" s="2" t="n">
        <x:v>11</x:v>
      </x:c>
      <x:c r="J1364" s="2" t="n">
        <x:v>1</x:v>
      </x:c>
      <x:c r="K1364" s="2" t="n">
        <x:f>I1364-J1364</x:f>
        <x:v>10</x:v>
      </x:c>
      <x:c r="L1364" s="16" t="n">
        <x:v>34</x:v>
      </x:c>
      <x:c r="M1364" s="16" t="n">
        <x:v>34</x:v>
      </x:c>
      <x:c r="N1364" s="16" t="n">
        <x:v>16.49</x:v>
      </x:c>
      <x:c r="O1364" s="16" t="n">
        <x:f>K1364*M1364</x:f>
        <x:v>340</x:v>
      </x:c>
      <x:c r="P1364" s="16" t="n">
        <x:f>K1364*N1364</x:f>
        <x:v>164.89999999999998</x:v>
      </x:c>
      <x:c r="Q1364" s="16" t="n">
        <x:f>O1364-P1364</x:f>
        <x:v>175.10000000000002</x:v>
      </x:c>
      <x:c r="R1364" s="2" t="n">
        <x:v>179</x:v>
      </x:c>
      <x:c r="S1364" s="2" t="n">
        <x:v>0</x:v>
      </x:c>
      <x:c r="T1364" s="2" t="n">
        <x:f>R1364+S1364+J1364-I1364</x:f>
        <x:v>169</x:v>
      </x:c>
      <x:c r="U1364" s="2" t="n">
        <x:v>0</x:v>
      </x:c>
      <x:c r="V1364" s="2" t="n">
        <x:v>4</x:v>
      </x:c>
      <x:c r="W1364" s="2" t="n">
        <x:v>13</x:v>
      </x:c>
      <x:c r="X1364" s="14" t="b">
        <x:v>0</x:v>
      </x:c>
      <x:c r="Y1364" s="14" t="b">
        <x:v>0</x:v>
      </x:c>
      <x:c r="Z1364" s="2" t="n">
        <x:f>ABS(T1364-AA1364)</x:f>
        <x:v>0</x:v>
      </x:c>
      <x:c r="AA1364" s="2" t="n">
        <x:v>169</x:v>
      </x:c>
      <x:c r="AB1364" s="2" t="n">
        <x:f>ABS(K1364-W1364)</x:f>
        <x:v>3</x:v>
      </x:c>
      <x:c r="AC1364" s="2" t="n">
        <x:f>COUNTIF($A$2:$A$1921,A1364)-1</x:f>
        <x:v>0</x:v>
      </x:c>
      <x:c r="AD1364" s="2" t="n">
        <x:f>IF(AND(D1364=D1363,H1364=H1363,C1364=C1363+1),ABS(R1364-T1363),0)</x:f>
        <x:v>0</x:v>
      </x:c>
    </x:row>
    <x:row r="1365" ht="23" customHeight="1">
      <x:c r="A1365" s="2" t="str">
        <x:v>DEMO-306-0-4</x:v>
      </x:c>
      <x:c r="B1365" s="15" t="d">
        <x:v>2026-05-25T00:00:00.000Z</x:v>
      </x:c>
      <x:c r="C1365" s="2" t="n">
        <x:v>4</x:v>
      </x:c>
      <x:c r="D1365" s="2" t="str">
        <x:v>DEMO-306</x:v>
      </x:c>
      <x:c r="E1365" s="2" t="str">
        <x:v>Nest Cushion</x:v>
      </x:c>
      <x:c r="F1365" s="2" t="str">
        <x:v>Lifestyle</x:v>
      </x:c>
      <x:c r="G1365" s="2" t="str">
        <x:v>Stores</x:v>
      </x:c>
      <x:c r="H1365" s="2" t="str">
        <x:v>North Arcade</x:v>
      </x:c>
      <x:c r="I1365" s="2" t="n">
        <x:v>12</x:v>
      </x:c>
      <x:c r="J1365" s="2" t="n">
        <x:v>1</x:v>
      </x:c>
      <x:c r="K1365" s="2" t="n">
        <x:f>I1365-J1365</x:f>
        <x:v>11</x:v>
      </x:c>
      <x:c r="L1365" s="16" t="n">
        <x:v>34</x:v>
      </x:c>
      <x:c r="M1365" s="16" t="n">
        <x:v>34</x:v>
      </x:c>
      <x:c r="N1365" s="16" t="n">
        <x:v>16.49</x:v>
      </x:c>
      <x:c r="O1365" s="16" t="n">
        <x:f>K1365*M1365</x:f>
        <x:v>374</x:v>
      </x:c>
      <x:c r="P1365" s="16" t="n">
        <x:f>K1365*N1365</x:f>
        <x:v>181.39</x:v>
      </x:c>
      <x:c r="Q1365" s="16" t="n">
        <x:f>O1365-P1365</x:f>
        <x:v>192.61</x:v>
      </x:c>
      <x:c r="R1365" s="2" t="n">
        <x:v>169</x:v>
      </x:c>
      <x:c r="S1365" s="2" t="n">
        <x:v>0</x:v>
      </x:c>
      <x:c r="T1365" s="2" t="n">
        <x:f>R1365+S1365+J1365-I1365</x:f>
        <x:v>158</x:v>
      </x:c>
      <x:c r="U1365" s="2" t="n">
        <x:v>0</x:v>
      </x:c>
      <x:c r="V1365" s="2" t="n">
        <x:v>4</x:v>
      </x:c>
      <x:c r="W1365" s="2" t="n">
        <x:v>12</x:v>
      </x:c>
      <x:c r="X1365" s="14" t="b">
        <x:v>0</x:v>
      </x:c>
      <x:c r="Y1365" s="14" t="b">
        <x:v>0</x:v>
      </x:c>
      <x:c r="Z1365" s="2" t="n">
        <x:f>ABS(T1365-AA1365)</x:f>
        <x:v>0</x:v>
      </x:c>
      <x:c r="AA1365" s="2" t="n">
        <x:v>158</x:v>
      </x:c>
      <x:c r="AB1365" s="2" t="n">
        <x:f>ABS(K1365-W1365)</x:f>
        <x:v>1</x:v>
      </x:c>
      <x:c r="AC1365" s="2" t="n">
        <x:f>COUNTIF($A$2:$A$1921,A1365)-1</x:f>
        <x:v>0</x:v>
      </x:c>
      <x:c r="AD1365" s="2" t="n">
        <x:f>IF(AND(D1365=D1364,H1365=H1364,C1365=C1364+1),ABS(R1365-T1364),0)</x:f>
        <x:v>0</x:v>
      </x:c>
    </x:row>
    <x:row r="1366" ht="23" customHeight="1">
      <x:c r="A1366" s="2" t="str">
        <x:v>DEMO-306-0-5</x:v>
      </x:c>
      <x:c r="B1366" s="15" t="d">
        <x:v>2026-06-01T00:00:00.000Z</x:v>
      </x:c>
      <x:c r="C1366" s="2" t="n">
        <x:v>5</x:v>
      </x:c>
      <x:c r="D1366" s="2" t="str">
        <x:v>DEMO-306</x:v>
      </x:c>
      <x:c r="E1366" s="2" t="str">
        <x:v>Nest Cushion</x:v>
      </x:c>
      <x:c r="F1366" s="2" t="str">
        <x:v>Lifestyle</x:v>
      </x:c>
      <x:c r="G1366" s="2" t="str">
        <x:v>Stores</x:v>
      </x:c>
      <x:c r="H1366" s="2" t="str">
        <x:v>North Arcade</x:v>
      </x:c>
      <x:c r="I1366" s="2" t="n">
        <x:v>14</x:v>
      </x:c>
      <x:c r="J1366" s="2" t="n">
        <x:v>1</x:v>
      </x:c>
      <x:c r="K1366" s="2" t="n">
        <x:f>I1366-J1366</x:f>
        <x:v>13</x:v>
      </x:c>
      <x:c r="L1366" s="16" t="n">
        <x:v>34</x:v>
      </x:c>
      <x:c r="M1366" s="16" t="n">
        <x:v>34</x:v>
      </x:c>
      <x:c r="N1366" s="16" t="n">
        <x:v>16.49</x:v>
      </x:c>
      <x:c r="O1366" s="16" t="n">
        <x:f>K1366*M1366</x:f>
        <x:v>442</x:v>
      </x:c>
      <x:c r="P1366" s="16" t="n">
        <x:f>K1366*N1366</x:f>
        <x:v>214.36999999999998</x:v>
      </x:c>
      <x:c r="Q1366" s="16" t="n">
        <x:f>O1366-P1366</x:f>
        <x:v>227.63000000000002</x:v>
      </x:c>
      <x:c r="R1366" s="2" t="n">
        <x:v>158</x:v>
      </x:c>
      <x:c r="S1366" s="2" t="n">
        <x:v>65</x:v>
      </x:c>
      <x:c r="T1366" s="2" t="n">
        <x:f>R1366+S1366+J1366-I1366</x:f>
        <x:v>210</x:v>
      </x:c>
      <x:c r="U1366" s="2" t="n">
        <x:v>0</x:v>
      </x:c>
      <x:c r="V1366" s="2" t="n">
        <x:v>4</x:v>
      </x:c>
      <x:c r="W1366" s="2" t="n">
        <x:v>12</x:v>
      </x:c>
      <x:c r="X1366" s="14" t="b">
        <x:v>0</x:v>
      </x:c>
      <x:c r="Y1366" s="14" t="b">
        <x:v>0</x:v>
      </x:c>
      <x:c r="Z1366" s="2" t="n">
        <x:f>ABS(T1366-AA1366)</x:f>
        <x:v>0</x:v>
      </x:c>
      <x:c r="AA1366" s="2" t="n">
        <x:v>210</x:v>
      </x:c>
      <x:c r="AB1366" s="2" t="n">
        <x:f>ABS(K1366-W1366)</x:f>
        <x:v>1</x:v>
      </x:c>
      <x:c r="AC1366" s="2" t="n">
        <x:f>COUNTIF($A$2:$A$1921,A1366)-1</x:f>
        <x:v>0</x:v>
      </x:c>
      <x:c r="AD1366" s="2" t="n">
        <x:f>IF(AND(D1366=D1365,H1366=H1365,C1366=C1365+1),ABS(R1366-T1365),0)</x:f>
        <x:v>0</x:v>
      </x:c>
    </x:row>
    <x:row r="1367" ht="23" customHeight="1">
      <x:c r="A1367" s="2" t="str">
        <x:v>DEMO-306-0-6</x:v>
      </x:c>
      <x:c r="B1367" s="15" t="d">
        <x:v>2026-06-08T00:00:00.000Z</x:v>
      </x:c>
      <x:c r="C1367" s="2" t="n">
        <x:v>6</x:v>
      </x:c>
      <x:c r="D1367" s="2" t="str">
        <x:v>DEMO-306</x:v>
      </x:c>
      <x:c r="E1367" s="2" t="str">
        <x:v>Nest Cushion</x:v>
      </x:c>
      <x:c r="F1367" s="2" t="str">
        <x:v>Lifestyle</x:v>
      </x:c>
      <x:c r="G1367" s="2" t="str">
        <x:v>Stores</x:v>
      </x:c>
      <x:c r="H1367" s="2" t="str">
        <x:v>North Arcade</x:v>
      </x:c>
      <x:c r="I1367" s="2" t="n">
        <x:v>10</x:v>
      </x:c>
      <x:c r="J1367" s="2" t="n">
        <x:v>0</x:v>
      </x:c>
      <x:c r="K1367" s="2" t="n">
        <x:f>I1367-J1367</x:f>
        <x:v>10</x:v>
      </x:c>
      <x:c r="L1367" s="16" t="n">
        <x:v>34</x:v>
      </x:c>
      <x:c r="M1367" s="16" t="n">
        <x:v>34</x:v>
      </x:c>
      <x:c r="N1367" s="16" t="n">
        <x:v>16.49</x:v>
      </x:c>
      <x:c r="O1367" s="16" t="n">
        <x:f>K1367*M1367</x:f>
        <x:v>340</x:v>
      </x:c>
      <x:c r="P1367" s="16" t="n">
        <x:f>K1367*N1367</x:f>
        <x:v>164.89999999999998</x:v>
      </x:c>
      <x:c r="Q1367" s="16" t="n">
        <x:f>O1367-P1367</x:f>
        <x:v>175.10000000000002</x:v>
      </x:c>
      <x:c r="R1367" s="2" t="n">
        <x:v>210</x:v>
      </x:c>
      <x:c r="S1367" s="2" t="n">
        <x:v>0</x:v>
      </x:c>
      <x:c r="T1367" s="2" t="n">
        <x:f>R1367+S1367+J1367-I1367</x:f>
        <x:v>200</x:v>
      </x:c>
      <x:c r="U1367" s="2" t="n">
        <x:v>0</x:v>
      </x:c>
      <x:c r="V1367" s="2" t="n">
        <x:v>4</x:v>
      </x:c>
      <x:c r="W1367" s="2" t="n">
        <x:v>11</x:v>
      </x:c>
      <x:c r="X1367" s="14" t="b">
        <x:v>0</x:v>
      </x:c>
      <x:c r="Y1367" s="14" t="b">
        <x:v>0</x:v>
      </x:c>
      <x:c r="Z1367" s="2" t="n">
        <x:f>ABS(T1367-AA1367)</x:f>
        <x:v>0</x:v>
      </x:c>
      <x:c r="AA1367" s="2" t="n">
        <x:v>200</x:v>
      </x:c>
      <x:c r="AB1367" s="2" t="n">
        <x:f>ABS(K1367-W1367)</x:f>
        <x:v>1</x:v>
      </x:c>
      <x:c r="AC1367" s="2" t="n">
        <x:f>COUNTIF($A$2:$A$1921,A1367)-1</x:f>
        <x:v>0</x:v>
      </x:c>
      <x:c r="AD1367" s="2" t="n">
        <x:f>IF(AND(D1367=D1366,H1367=H1366,C1367=C1366+1),ABS(R1367-T1366),0)</x:f>
        <x:v>0</x:v>
      </x:c>
    </x:row>
    <x:row r="1368" ht="23" customHeight="1">
      <x:c r="A1368" s="2" t="str">
        <x:v>DEMO-306-0-7</x:v>
      </x:c>
      <x:c r="B1368" s="15" t="d">
        <x:v>2026-06-15T00:00:00.000Z</x:v>
      </x:c>
      <x:c r="C1368" s="2" t="n">
        <x:v>7</x:v>
      </x:c>
      <x:c r="D1368" s="2" t="str">
        <x:v>DEMO-306</x:v>
      </x:c>
      <x:c r="E1368" s="2" t="str">
        <x:v>Nest Cushion</x:v>
      </x:c>
      <x:c r="F1368" s="2" t="str">
        <x:v>Lifestyle</x:v>
      </x:c>
      <x:c r="G1368" s="2" t="str">
        <x:v>Stores</x:v>
      </x:c>
      <x:c r="H1368" s="2" t="str">
        <x:v>North Arcade</x:v>
      </x:c>
      <x:c r="I1368" s="2" t="n">
        <x:v>13</x:v>
      </x:c>
      <x:c r="J1368" s="2" t="n">
        <x:v>0</x:v>
      </x:c>
      <x:c r="K1368" s="2" t="n">
        <x:f>I1368-J1368</x:f>
        <x:v>13</x:v>
      </x:c>
      <x:c r="L1368" s="16" t="n">
        <x:v>34</x:v>
      </x:c>
      <x:c r="M1368" s="16" t="n">
        <x:v>34</x:v>
      </x:c>
      <x:c r="N1368" s="16" t="n">
        <x:v>16.49</x:v>
      </x:c>
      <x:c r="O1368" s="16" t="n">
        <x:f>K1368*M1368</x:f>
        <x:v>442</x:v>
      </x:c>
      <x:c r="P1368" s="16" t="n">
        <x:f>K1368*N1368</x:f>
        <x:v>214.36999999999998</x:v>
      </x:c>
      <x:c r="Q1368" s="16" t="n">
        <x:f>O1368-P1368</x:f>
        <x:v>227.63000000000002</x:v>
      </x:c>
      <x:c r="R1368" s="2" t="n">
        <x:v>200</x:v>
      </x:c>
      <x:c r="S1368" s="2" t="n">
        <x:v>0</x:v>
      </x:c>
      <x:c r="T1368" s="2" t="n">
        <x:f>R1368+S1368+J1368-I1368</x:f>
        <x:v>187</x:v>
      </x:c>
      <x:c r="U1368" s="2" t="n">
        <x:v>0</x:v>
      </x:c>
      <x:c r="V1368" s="2" t="n">
        <x:v>4</x:v>
      </x:c>
      <x:c r="W1368" s="2" t="n">
        <x:v>11</x:v>
      </x:c>
      <x:c r="X1368" s="14" t="b">
        <x:v>0</x:v>
      </x:c>
      <x:c r="Y1368" s="14" t="b">
        <x:v>0</x:v>
      </x:c>
      <x:c r="Z1368" s="2" t="n">
        <x:f>ABS(T1368-AA1368)</x:f>
        <x:v>0</x:v>
      </x:c>
      <x:c r="AA1368" s="2" t="n">
        <x:v>187</x:v>
      </x:c>
      <x:c r="AB1368" s="2" t="n">
        <x:f>ABS(K1368-W1368)</x:f>
        <x:v>2</x:v>
      </x:c>
      <x:c r="AC1368" s="2" t="n">
        <x:f>COUNTIF($A$2:$A$1921,A1368)-1</x:f>
        <x:v>0</x:v>
      </x:c>
      <x:c r="AD1368" s="2" t="n">
        <x:f>IF(AND(D1368=D1367,H1368=H1367,C1368=C1367+1),ABS(R1368-T1367),0)</x:f>
        <x:v>0</x:v>
      </x:c>
    </x:row>
    <x:row r="1369" ht="23" customHeight="1">
      <x:c r="A1369" s="2" t="str">
        <x:v>DEMO-306-0-8</x:v>
      </x:c>
      <x:c r="B1369" s="15" t="d">
        <x:v>2026-06-22T00:00:00.000Z</x:v>
      </x:c>
      <x:c r="C1369" s="2" t="n">
        <x:v>8</x:v>
      </x:c>
      <x:c r="D1369" s="2" t="str">
        <x:v>DEMO-306</x:v>
      </x:c>
      <x:c r="E1369" s="2" t="str">
        <x:v>Nest Cushion</x:v>
      </x:c>
      <x:c r="F1369" s="2" t="str">
        <x:v>Lifestyle</x:v>
      </x:c>
      <x:c r="G1369" s="2" t="str">
        <x:v>Stores</x:v>
      </x:c>
      <x:c r="H1369" s="2" t="str">
        <x:v>North Arcade</x:v>
      </x:c>
      <x:c r="I1369" s="2" t="n">
        <x:v>11</x:v>
      </x:c>
      <x:c r="J1369" s="2" t="n">
        <x:v>0</x:v>
      </x:c>
      <x:c r="K1369" s="2" t="n">
        <x:f>I1369-J1369</x:f>
        <x:v>11</x:v>
      </x:c>
      <x:c r="L1369" s="16" t="n">
        <x:v>34</x:v>
      </x:c>
      <x:c r="M1369" s="16" t="n">
        <x:v>34</x:v>
      </x:c>
      <x:c r="N1369" s="16" t="n">
        <x:v>16.49</x:v>
      </x:c>
      <x:c r="O1369" s="16" t="n">
        <x:f>K1369*M1369</x:f>
        <x:v>374</x:v>
      </x:c>
      <x:c r="P1369" s="16" t="n">
        <x:f>K1369*N1369</x:f>
        <x:v>181.39</x:v>
      </x:c>
      <x:c r="Q1369" s="16" t="n">
        <x:f>O1369-P1369</x:f>
        <x:v>192.61</x:v>
      </x:c>
      <x:c r="R1369" s="2" t="n">
        <x:v>187</x:v>
      </x:c>
      <x:c r="S1369" s="2" t="n">
        <x:v>0</x:v>
      </x:c>
      <x:c r="T1369" s="2" t="n">
        <x:f>R1369+S1369+J1369-I1369</x:f>
        <x:v>176</x:v>
      </x:c>
      <x:c r="U1369" s="2" t="n">
        <x:v>0</x:v>
      </x:c>
      <x:c r="V1369" s="2" t="n">
        <x:v>4</x:v>
      </x:c>
      <x:c r="W1369" s="2" t="n">
        <x:v>12</x:v>
      </x:c>
      <x:c r="X1369" s="14" t="b">
        <x:v>0</x:v>
      </x:c>
      <x:c r="Y1369" s="14" t="b">
        <x:v>0</x:v>
      </x:c>
      <x:c r="Z1369" s="2" t="n">
        <x:f>ABS(T1369-AA1369)</x:f>
        <x:v>0</x:v>
      </x:c>
      <x:c r="AA1369" s="2" t="n">
        <x:v>176</x:v>
      </x:c>
      <x:c r="AB1369" s="2" t="n">
        <x:f>ABS(K1369-W1369)</x:f>
        <x:v>1</x:v>
      </x:c>
      <x:c r="AC1369" s="2" t="n">
        <x:f>COUNTIF($A$2:$A$1921,A1369)-1</x:f>
        <x:v>0</x:v>
      </x:c>
      <x:c r="AD1369" s="2" t="n">
        <x:f>IF(AND(D1369=D1368,H1369=H1368,C1369=C1368+1),ABS(R1369-T1368),0)</x:f>
        <x:v>0</x:v>
      </x:c>
    </x:row>
    <x:row r="1370" ht="23" customHeight="1">
      <x:c r="A1370" s="2" t="str">
        <x:v>DEMO-306-0-9</x:v>
      </x:c>
      <x:c r="B1370" s="15" t="d">
        <x:v>2026-06-29T00:00:00.000Z</x:v>
      </x:c>
      <x:c r="C1370" s="2" t="n">
        <x:v>9</x:v>
      </x:c>
      <x:c r="D1370" s="2" t="str">
        <x:v>DEMO-306</x:v>
      </x:c>
      <x:c r="E1370" s="2" t="str">
        <x:v>Nest Cushion</x:v>
      </x:c>
      <x:c r="F1370" s="2" t="str">
        <x:v>Lifestyle</x:v>
      </x:c>
      <x:c r="G1370" s="2" t="str">
        <x:v>Stores</x:v>
      </x:c>
      <x:c r="H1370" s="2" t="str">
        <x:v>North Arcade</x:v>
      </x:c>
      <x:c r="I1370" s="2" t="n">
        <x:v>11</x:v>
      </x:c>
      <x:c r="J1370" s="2" t="n">
        <x:v>0</x:v>
      </x:c>
      <x:c r="K1370" s="2" t="n">
        <x:f>I1370-J1370</x:f>
        <x:v>11</x:v>
      </x:c>
      <x:c r="L1370" s="16" t="n">
        <x:v>34</x:v>
      </x:c>
      <x:c r="M1370" s="16" t="n">
        <x:v>34</x:v>
      </x:c>
      <x:c r="N1370" s="16" t="n">
        <x:v>16.49</x:v>
      </x:c>
      <x:c r="O1370" s="16" t="n">
        <x:f>K1370*M1370</x:f>
        <x:v>374</x:v>
      </x:c>
      <x:c r="P1370" s="16" t="n">
        <x:f>K1370*N1370</x:f>
        <x:v>181.39</x:v>
      </x:c>
      <x:c r="Q1370" s="16" t="n">
        <x:f>O1370-P1370</x:f>
        <x:v>192.61</x:v>
      </x:c>
      <x:c r="R1370" s="2" t="n">
        <x:v>176</x:v>
      </x:c>
      <x:c r="S1370" s="2" t="n">
        <x:v>65</x:v>
      </x:c>
      <x:c r="T1370" s="2" t="n">
        <x:f>R1370+S1370+J1370-I1370</x:f>
        <x:v>230</x:v>
      </x:c>
      <x:c r="U1370" s="2" t="n">
        <x:v>0</x:v>
      </x:c>
      <x:c r="V1370" s="2" t="n">
        <x:v>4</x:v>
      </x:c>
      <x:c r="W1370" s="2" t="n">
        <x:v>12</x:v>
      </x:c>
      <x:c r="X1370" s="14" t="b">
        <x:v>0</x:v>
      </x:c>
      <x:c r="Y1370" s="14" t="b">
        <x:v>0</x:v>
      </x:c>
      <x:c r="Z1370" s="2" t="n">
        <x:f>ABS(T1370-AA1370)</x:f>
        <x:v>0</x:v>
      </x:c>
      <x:c r="AA1370" s="2" t="n">
        <x:v>230</x:v>
      </x:c>
      <x:c r="AB1370" s="2" t="n">
        <x:f>ABS(K1370-W1370)</x:f>
        <x:v>1</x:v>
      </x:c>
      <x:c r="AC1370" s="2" t="n">
        <x:f>COUNTIF($A$2:$A$1921,A1370)-1</x:f>
        <x:v>0</x:v>
      </x:c>
      <x:c r="AD1370" s="2" t="n">
        <x:f>IF(AND(D1370=D1369,H1370=H1369,C1370=C1369+1),ABS(R1370-T1369),0)</x:f>
        <x:v>0</x:v>
      </x:c>
    </x:row>
    <x:row r="1371" ht="23" customHeight="1">
      <x:c r="A1371" s="2" t="str">
        <x:v>DEMO-306-0-10</x:v>
      </x:c>
      <x:c r="B1371" s="15" t="d">
        <x:v>2026-07-06T00:00:00.000Z</x:v>
      </x:c>
      <x:c r="C1371" s="2" t="n">
        <x:v>10</x:v>
      </x:c>
      <x:c r="D1371" s="2" t="str">
        <x:v>DEMO-306</x:v>
      </x:c>
      <x:c r="E1371" s="2" t="str">
        <x:v>Nest Cushion</x:v>
      </x:c>
      <x:c r="F1371" s="2" t="str">
        <x:v>Lifestyle</x:v>
      </x:c>
      <x:c r="G1371" s="2" t="str">
        <x:v>Stores</x:v>
      </x:c>
      <x:c r="H1371" s="2" t="str">
        <x:v>North Arcade</x:v>
      </x:c>
      <x:c r="I1371" s="2" t="n">
        <x:v>10</x:v>
      </x:c>
      <x:c r="J1371" s="2" t="n">
        <x:v>0</x:v>
      </x:c>
      <x:c r="K1371" s="2" t="n">
        <x:f>I1371-J1371</x:f>
        <x:v>10</x:v>
      </x:c>
      <x:c r="L1371" s="16" t="n">
        <x:v>34</x:v>
      </x:c>
      <x:c r="M1371" s="16" t="n">
        <x:v>34</x:v>
      </x:c>
      <x:c r="N1371" s="16" t="n">
        <x:v>16.49</x:v>
      </x:c>
      <x:c r="O1371" s="16" t="n">
        <x:f>K1371*M1371</x:f>
        <x:v>340</x:v>
      </x:c>
      <x:c r="P1371" s="16" t="n">
        <x:f>K1371*N1371</x:f>
        <x:v>164.89999999999998</x:v>
      </x:c>
      <x:c r="Q1371" s="16" t="n">
        <x:f>O1371-P1371</x:f>
        <x:v>175.10000000000002</x:v>
      </x:c>
      <x:c r="R1371" s="2" t="n">
        <x:v>230</x:v>
      </x:c>
      <x:c r="S1371" s="2" t="n">
        <x:v>0</x:v>
      </x:c>
      <x:c r="T1371" s="2" t="n">
        <x:f>R1371+S1371+J1371-I1371</x:f>
        <x:v>220</x:v>
      </x:c>
      <x:c r="U1371" s="2" t="n">
        <x:v>0</x:v>
      </x:c>
      <x:c r="V1371" s="2" t="n">
        <x:v>4</x:v>
      </x:c>
      <x:c r="W1371" s="2" t="n">
        <x:v>11</x:v>
      </x:c>
      <x:c r="X1371" s="14" t="b">
        <x:v>0</x:v>
      </x:c>
      <x:c r="Y1371" s="14" t="b">
        <x:v>0</x:v>
      </x:c>
      <x:c r="Z1371" s="2" t="n">
        <x:f>ABS(T1371-AA1371)</x:f>
        <x:v>0</x:v>
      </x:c>
      <x:c r="AA1371" s="2" t="n">
        <x:v>220</x:v>
      </x:c>
      <x:c r="AB1371" s="2" t="n">
        <x:f>ABS(K1371-W1371)</x:f>
        <x:v>1</x:v>
      </x:c>
      <x:c r="AC1371" s="2" t="n">
        <x:f>COUNTIF($A$2:$A$1921,A1371)-1</x:f>
        <x:v>0</x:v>
      </x:c>
      <x:c r="AD1371" s="2" t="n">
        <x:f>IF(AND(D1371=D1370,H1371=H1370,C1371=C1370+1),ABS(R1371-T1370),0)</x:f>
        <x:v>0</x:v>
      </x:c>
    </x:row>
    <x:row r="1372" ht="23" customHeight="1">
      <x:c r="A1372" s="2" t="str">
        <x:v>DEMO-306-0-11</x:v>
      </x:c>
      <x:c r="B1372" s="15" t="d">
        <x:v>2026-07-13T00:00:00.000Z</x:v>
      </x:c>
      <x:c r="C1372" s="2" t="n">
        <x:v>11</x:v>
      </x:c>
      <x:c r="D1372" s="2" t="str">
        <x:v>DEMO-306</x:v>
      </x:c>
      <x:c r="E1372" s="2" t="str">
        <x:v>Nest Cushion</x:v>
      </x:c>
      <x:c r="F1372" s="2" t="str">
        <x:v>Lifestyle</x:v>
      </x:c>
      <x:c r="G1372" s="2" t="str">
        <x:v>Stores</x:v>
      </x:c>
      <x:c r="H1372" s="2" t="str">
        <x:v>North Arcade</x:v>
      </x:c>
      <x:c r="I1372" s="2" t="n">
        <x:v>11</x:v>
      </x:c>
      <x:c r="J1372" s="2" t="n">
        <x:v>0</x:v>
      </x:c>
      <x:c r="K1372" s="2" t="n">
        <x:f>I1372-J1372</x:f>
        <x:v>11</x:v>
      </x:c>
      <x:c r="L1372" s="16" t="n">
        <x:v>34</x:v>
      </x:c>
      <x:c r="M1372" s="16" t="n">
        <x:v>34</x:v>
      </x:c>
      <x:c r="N1372" s="16" t="n">
        <x:v>16.49</x:v>
      </x:c>
      <x:c r="O1372" s="16" t="n">
        <x:f>K1372*M1372</x:f>
        <x:v>374</x:v>
      </x:c>
      <x:c r="P1372" s="16" t="n">
        <x:f>K1372*N1372</x:f>
        <x:v>181.39</x:v>
      </x:c>
      <x:c r="Q1372" s="16" t="n">
        <x:f>O1372-P1372</x:f>
        <x:v>192.61</x:v>
      </x:c>
      <x:c r="R1372" s="2" t="n">
        <x:v>220</x:v>
      </x:c>
      <x:c r="S1372" s="2" t="n">
        <x:v>0</x:v>
      </x:c>
      <x:c r="T1372" s="2" t="n">
        <x:f>R1372+S1372+J1372-I1372</x:f>
        <x:v>209</x:v>
      </x:c>
      <x:c r="U1372" s="2" t="n">
        <x:v>0</x:v>
      </x:c>
      <x:c r="V1372" s="2" t="n">
        <x:v>4</x:v>
      </x:c>
      <x:c r="W1372" s="2" t="n">
        <x:v>11</x:v>
      </x:c>
      <x:c r="X1372" s="14" t="b">
        <x:v>0</x:v>
      </x:c>
      <x:c r="Y1372" s="14" t="b">
        <x:v>0</x:v>
      </x:c>
      <x:c r="Z1372" s="2" t="n">
        <x:f>ABS(T1372-AA1372)</x:f>
        <x:v>0</x:v>
      </x:c>
      <x:c r="AA1372" s="2" t="n">
        <x:v>209</x:v>
      </x:c>
      <x:c r="AB1372" s="2" t="n">
        <x:f>ABS(K1372-W1372)</x:f>
        <x:v>0</x:v>
      </x:c>
      <x:c r="AC1372" s="2" t="n">
        <x:f>COUNTIF($A$2:$A$1921,A1372)-1</x:f>
        <x:v>0</x:v>
      </x:c>
      <x:c r="AD1372" s="2" t="n">
        <x:f>IF(AND(D1372=D1371,H1372=H1371,C1372=C1371+1),ABS(R1372-T1371),0)</x:f>
        <x:v>0</x:v>
      </x:c>
    </x:row>
    <x:row r="1373" ht="23" customHeight="1">
      <x:c r="A1373" s="2" t="str">
        <x:v>DEMO-306-0-12</x:v>
      </x:c>
      <x:c r="B1373" s="15" t="d">
        <x:v>2026-07-20T00:00:00.000Z</x:v>
      </x:c>
      <x:c r="C1373" s="2" t="n">
        <x:v>12</x:v>
      </x:c>
      <x:c r="D1373" s="2" t="str">
        <x:v>DEMO-306</x:v>
      </x:c>
      <x:c r="E1373" s="2" t="str">
        <x:v>Nest Cushion</x:v>
      </x:c>
      <x:c r="F1373" s="2" t="str">
        <x:v>Lifestyle</x:v>
      </x:c>
      <x:c r="G1373" s="2" t="str">
        <x:v>Stores</x:v>
      </x:c>
      <x:c r="H1373" s="2" t="str">
        <x:v>North Arcade</x:v>
      </x:c>
      <x:c r="I1373" s="2" t="n">
        <x:v>9</x:v>
      </x:c>
      <x:c r="J1373" s="2" t="n">
        <x:v>0</x:v>
      </x:c>
      <x:c r="K1373" s="2" t="n">
        <x:f>I1373-J1373</x:f>
        <x:v>9</x:v>
      </x:c>
      <x:c r="L1373" s="16" t="n">
        <x:v>34</x:v>
      </x:c>
      <x:c r="M1373" s="16" t="n">
        <x:v>34</x:v>
      </x:c>
      <x:c r="N1373" s="16" t="n">
        <x:v>16.49</x:v>
      </x:c>
      <x:c r="O1373" s="16" t="n">
        <x:f>K1373*M1373</x:f>
        <x:v>306</x:v>
      </x:c>
      <x:c r="P1373" s="16" t="n">
        <x:f>K1373*N1373</x:f>
        <x:v>148.41</x:v>
      </x:c>
      <x:c r="Q1373" s="16" t="n">
        <x:f>O1373-P1373</x:f>
        <x:v>157.59</x:v>
      </x:c>
      <x:c r="R1373" s="2" t="n">
        <x:v>209</x:v>
      </x:c>
      <x:c r="S1373" s="2" t="n">
        <x:v>0</x:v>
      </x:c>
      <x:c r="T1373" s="2" t="n">
        <x:f>R1373+S1373+J1373-I1373</x:f>
        <x:v>200</x:v>
      </x:c>
      <x:c r="U1373" s="2" t="n">
        <x:v>0</x:v>
      </x:c>
      <x:c r="V1373" s="2" t="n">
        <x:v>4</x:v>
      </x:c>
      <x:c r="W1373" s="2" t="n">
        <x:v>11</x:v>
      </x:c>
      <x:c r="X1373" s="14" t="b">
        <x:v>0</x:v>
      </x:c>
      <x:c r="Y1373" s="14" t="b">
        <x:v>0</x:v>
      </x:c>
      <x:c r="Z1373" s="2" t="n">
        <x:f>ABS(T1373-AA1373)</x:f>
        <x:v>0</x:v>
      </x:c>
      <x:c r="AA1373" s="2" t="n">
        <x:v>200</x:v>
      </x:c>
      <x:c r="AB1373" s="2" t="n">
        <x:f>ABS(K1373-W1373)</x:f>
        <x:v>2</x:v>
      </x:c>
      <x:c r="AC1373" s="2" t="n">
        <x:f>COUNTIF($A$2:$A$1921,A1373)-1</x:f>
        <x:v>0</x:v>
      </x:c>
      <x:c r="AD1373" s="2" t="n">
        <x:f>IF(AND(D1373=D1372,H1373=H1372,C1373=C1372+1),ABS(R1373-T1372),0)</x:f>
        <x:v>0</x:v>
      </x:c>
    </x:row>
    <x:row r="1374" ht="23" customHeight="1">
      <x:c r="A1374" s="2" t="str">
        <x:v>DEMO-306-0-13</x:v>
      </x:c>
      <x:c r="B1374" s="15" t="d">
        <x:v>2026-07-27T00:00:00.000Z</x:v>
      </x:c>
      <x:c r="C1374" s="2" t="n">
        <x:v>13</x:v>
      </x:c>
      <x:c r="D1374" s="2" t="str">
        <x:v>DEMO-306</x:v>
      </x:c>
      <x:c r="E1374" s="2" t="str">
        <x:v>Nest Cushion</x:v>
      </x:c>
      <x:c r="F1374" s="2" t="str">
        <x:v>Lifestyle</x:v>
      </x:c>
      <x:c r="G1374" s="2" t="str">
        <x:v>Stores</x:v>
      </x:c>
      <x:c r="H1374" s="2" t="str">
        <x:v>North Arcade</x:v>
      </x:c>
      <x:c r="I1374" s="2" t="n">
        <x:v>8</x:v>
      </x:c>
      <x:c r="J1374" s="2" t="n">
        <x:v>0</x:v>
      </x:c>
      <x:c r="K1374" s="2" t="n">
        <x:f>I1374-J1374</x:f>
        <x:v>8</x:v>
      </x:c>
      <x:c r="L1374" s="16" t="n">
        <x:v>34</x:v>
      </x:c>
      <x:c r="M1374" s="16" t="n">
        <x:v>34</x:v>
      </x:c>
      <x:c r="N1374" s="16" t="n">
        <x:v>16.49</x:v>
      </x:c>
      <x:c r="O1374" s="16" t="n">
        <x:f>K1374*M1374</x:f>
        <x:v>272</x:v>
      </x:c>
      <x:c r="P1374" s="16" t="n">
        <x:f>K1374*N1374</x:f>
        <x:v>131.92</x:v>
      </x:c>
      <x:c r="Q1374" s="16" t="n">
        <x:f>O1374-P1374</x:f>
        <x:v>140.08</x:v>
      </x:c>
      <x:c r="R1374" s="2" t="n">
        <x:v>200</x:v>
      </x:c>
      <x:c r="S1374" s="2" t="n">
        <x:v>65</x:v>
      </x:c>
      <x:c r="T1374" s="2" t="n">
        <x:f>R1374+S1374+J1374-I1374</x:f>
        <x:v>257</x:v>
      </x:c>
      <x:c r="U1374" s="2" t="n">
        <x:v>0</x:v>
      </x:c>
      <x:c r="V1374" s="2" t="n">
        <x:v>4</x:v>
      </x:c>
      <x:c r="W1374" s="2" t="n">
        <x:v>10</x:v>
      </x:c>
      <x:c r="X1374" s="14" t="b">
        <x:v>0</x:v>
      </x:c>
      <x:c r="Y1374" s="14" t="b">
        <x:v>0</x:v>
      </x:c>
      <x:c r="Z1374" s="2" t="n">
        <x:f>ABS(T1374-AA1374)</x:f>
        <x:v>0</x:v>
      </x:c>
      <x:c r="AA1374" s="2" t="n">
        <x:v>257</x:v>
      </x:c>
      <x:c r="AB1374" s="2" t="n">
        <x:f>ABS(K1374-W1374)</x:f>
        <x:v>2</x:v>
      </x:c>
      <x:c r="AC1374" s="2" t="n">
        <x:f>COUNTIF($A$2:$A$1921,A1374)-1</x:f>
        <x:v>0</x:v>
      </x:c>
      <x:c r="AD1374" s="2" t="n">
        <x:f>IF(AND(D1374=D1373,H1374=H1373,C1374=C1373+1),ABS(R1374-T1373),0)</x:f>
        <x:v>0</x:v>
      </x:c>
    </x:row>
    <x:row r="1375" ht="23" customHeight="1">
      <x:c r="A1375" s="2" t="str">
        <x:v>DEMO-306-0-14</x:v>
      </x:c>
      <x:c r="B1375" s="15" t="d">
        <x:v>2026-08-03T00:00:00.000Z</x:v>
      </x:c>
      <x:c r="C1375" s="2" t="n">
        <x:v>14</x:v>
      </x:c>
      <x:c r="D1375" s="2" t="str">
        <x:v>DEMO-306</x:v>
      </x:c>
      <x:c r="E1375" s="2" t="str">
        <x:v>Nest Cushion</x:v>
      </x:c>
      <x:c r="F1375" s="2" t="str">
        <x:v>Lifestyle</x:v>
      </x:c>
      <x:c r="G1375" s="2" t="str">
        <x:v>Stores</x:v>
      </x:c>
      <x:c r="H1375" s="2" t="str">
        <x:v>North Arcade</x:v>
      </x:c>
      <x:c r="I1375" s="2" t="n">
        <x:v>10</x:v>
      </x:c>
      <x:c r="J1375" s="2" t="n">
        <x:v>0</x:v>
      </x:c>
      <x:c r="K1375" s="2" t="n">
        <x:f>I1375-J1375</x:f>
        <x:v>10</x:v>
      </x:c>
      <x:c r="L1375" s="16" t="n">
        <x:v>34</x:v>
      </x:c>
      <x:c r="M1375" s="16" t="n">
        <x:v>34</x:v>
      </x:c>
      <x:c r="N1375" s="16" t="n">
        <x:v>16.49</x:v>
      </x:c>
      <x:c r="O1375" s="16" t="n">
        <x:f>K1375*M1375</x:f>
        <x:v>340</x:v>
      </x:c>
      <x:c r="P1375" s="16" t="n">
        <x:f>K1375*N1375</x:f>
        <x:v>164.89999999999998</x:v>
      </x:c>
      <x:c r="Q1375" s="16" t="n">
        <x:f>O1375-P1375</x:f>
        <x:v>175.10000000000002</x:v>
      </x:c>
      <x:c r="R1375" s="2" t="n">
        <x:v>257</x:v>
      </x:c>
      <x:c r="S1375" s="2" t="n">
        <x:v>0</x:v>
      </x:c>
      <x:c r="T1375" s="2" t="n">
        <x:f>R1375+S1375+J1375-I1375</x:f>
        <x:v>247</x:v>
      </x:c>
      <x:c r="U1375" s="2" t="n">
        <x:v>0</x:v>
      </x:c>
      <x:c r="V1375" s="2" t="n">
        <x:v>4</x:v>
      </x:c>
      <x:c r="W1375" s="2" t="n">
        <x:v>10</x:v>
      </x:c>
      <x:c r="X1375" s="14" t="b">
        <x:v>0</x:v>
      </x:c>
      <x:c r="Y1375" s="14" t="b">
        <x:v>0</x:v>
      </x:c>
      <x:c r="Z1375" s="2" t="n">
        <x:f>ABS(T1375-AA1375)</x:f>
        <x:v>0</x:v>
      </x:c>
      <x:c r="AA1375" s="2" t="n">
        <x:v>247</x:v>
      </x:c>
      <x:c r="AB1375" s="2" t="n">
        <x:f>ABS(K1375-W1375)</x:f>
        <x:v>0</x:v>
      </x:c>
      <x:c r="AC1375" s="2" t="n">
        <x:f>COUNTIF($A$2:$A$1921,A1375)-1</x:f>
        <x:v>0</x:v>
      </x:c>
      <x:c r="AD1375" s="2" t="n">
        <x:f>IF(AND(D1375=D1374,H1375=H1374,C1375=C1374+1),ABS(R1375-T1374),0)</x:f>
        <x:v>0</x:v>
      </x:c>
    </x:row>
    <x:row r="1376" ht="23" customHeight="1">
      <x:c r="A1376" s="2" t="str">
        <x:v>DEMO-306-0-15</x:v>
      </x:c>
      <x:c r="B1376" s="15" t="d">
        <x:v>2026-08-10T00:00:00.000Z</x:v>
      </x:c>
      <x:c r="C1376" s="2" t="n">
        <x:v>15</x:v>
      </x:c>
      <x:c r="D1376" s="2" t="str">
        <x:v>DEMO-306</x:v>
      </x:c>
      <x:c r="E1376" s="2" t="str">
        <x:v>Nest Cushion</x:v>
      </x:c>
      <x:c r="F1376" s="2" t="str">
        <x:v>Lifestyle</x:v>
      </x:c>
      <x:c r="G1376" s="2" t="str">
        <x:v>Stores</x:v>
      </x:c>
      <x:c r="H1376" s="2" t="str">
        <x:v>North Arcade</x:v>
      </x:c>
      <x:c r="I1376" s="2" t="n">
        <x:v>8</x:v>
      </x:c>
      <x:c r="J1376" s="2" t="n">
        <x:v>0</x:v>
      </x:c>
      <x:c r="K1376" s="2" t="n">
        <x:f>I1376-J1376</x:f>
        <x:v>8</x:v>
      </x:c>
      <x:c r="L1376" s="16" t="n">
        <x:v>34</x:v>
      </x:c>
      <x:c r="M1376" s="16" t="n">
        <x:v>34</x:v>
      </x:c>
      <x:c r="N1376" s="16" t="n">
        <x:v>16.49</x:v>
      </x:c>
      <x:c r="O1376" s="16" t="n">
        <x:f>K1376*M1376</x:f>
        <x:v>272</x:v>
      </x:c>
      <x:c r="P1376" s="16" t="n">
        <x:f>K1376*N1376</x:f>
        <x:v>131.92</x:v>
      </x:c>
      <x:c r="Q1376" s="16" t="n">
        <x:f>O1376-P1376</x:f>
        <x:v>140.08</x:v>
      </x:c>
      <x:c r="R1376" s="2" t="n">
        <x:v>247</x:v>
      </x:c>
      <x:c r="S1376" s="2" t="n">
        <x:v>0</x:v>
      </x:c>
      <x:c r="T1376" s="2" t="n">
        <x:f>R1376+S1376+J1376-I1376</x:f>
        <x:v>239</x:v>
      </x:c>
      <x:c r="U1376" s="2" t="n">
        <x:v>0</x:v>
      </x:c>
      <x:c r="V1376" s="2" t="n">
        <x:v>4</x:v>
      </x:c>
      <x:c r="W1376" s="2" t="n">
        <x:v>10</x:v>
      </x:c>
      <x:c r="X1376" s="14" t="b">
        <x:v>0</x:v>
      </x:c>
      <x:c r="Y1376" s="14" t="b">
        <x:v>0</x:v>
      </x:c>
      <x:c r="Z1376" s="2" t="n">
        <x:f>ABS(T1376-AA1376)</x:f>
        <x:v>0</x:v>
      </x:c>
      <x:c r="AA1376" s="2" t="n">
        <x:v>239</x:v>
      </x:c>
      <x:c r="AB1376" s="2" t="n">
        <x:f>ABS(K1376-W1376)</x:f>
        <x:v>2</x:v>
      </x:c>
      <x:c r="AC1376" s="2" t="n">
        <x:f>COUNTIF($A$2:$A$1921,A1376)-1</x:f>
        <x:v>0</x:v>
      </x:c>
      <x:c r="AD1376" s="2" t="n">
        <x:f>IF(AND(D1376=D1375,H1376=H1375,C1376=C1375+1),ABS(R1376-T1375),0)</x:f>
        <x:v>0</x:v>
      </x:c>
    </x:row>
    <x:row r="1377" ht="23" customHeight="1">
      <x:c r="A1377" s="2" t="str">
        <x:v>DEMO-306-0-16</x:v>
      </x:c>
      <x:c r="B1377" s="15" t="d">
        <x:v>2026-08-17T00:00:00.000Z</x:v>
      </x:c>
      <x:c r="C1377" s="2" t="n">
        <x:v>16</x:v>
      </x:c>
      <x:c r="D1377" s="2" t="str">
        <x:v>DEMO-306</x:v>
      </x:c>
      <x:c r="E1377" s="2" t="str">
        <x:v>Nest Cushion</x:v>
      </x:c>
      <x:c r="F1377" s="2" t="str">
        <x:v>Lifestyle</x:v>
      </x:c>
      <x:c r="G1377" s="2" t="str">
        <x:v>Stores</x:v>
      </x:c>
      <x:c r="H1377" s="2" t="str">
        <x:v>North Arcade</x:v>
      </x:c>
      <x:c r="I1377" s="2" t="n">
        <x:v>7</x:v>
      </x:c>
      <x:c r="J1377" s="2" t="n">
        <x:v>0</x:v>
      </x:c>
      <x:c r="K1377" s="2" t="n">
        <x:f>I1377-J1377</x:f>
        <x:v>7</x:v>
      </x:c>
      <x:c r="L1377" s="16" t="n">
        <x:v>34</x:v>
      </x:c>
      <x:c r="M1377" s="16" t="n">
        <x:v>34</x:v>
      </x:c>
      <x:c r="N1377" s="16" t="n">
        <x:v>16.49</x:v>
      </x:c>
      <x:c r="O1377" s="16" t="n">
        <x:f>K1377*M1377</x:f>
        <x:v>238</x:v>
      </x:c>
      <x:c r="P1377" s="16" t="n">
        <x:f>K1377*N1377</x:f>
        <x:v>115.42999999999999</x:v>
      </x:c>
      <x:c r="Q1377" s="16" t="n">
        <x:f>O1377-P1377</x:f>
        <x:v>122.57000000000001</x:v>
      </x:c>
      <x:c r="R1377" s="2" t="n">
        <x:v>239</x:v>
      </x:c>
      <x:c r="S1377" s="2" t="n">
        <x:v>0</x:v>
      </x:c>
      <x:c r="T1377" s="2" t="n">
        <x:f>R1377+S1377+J1377-I1377</x:f>
        <x:v>232</x:v>
      </x:c>
      <x:c r="U1377" s="2" t="n">
        <x:v>0</x:v>
      </x:c>
      <x:c r="V1377" s="2" t="n">
        <x:v>4</x:v>
      </x:c>
      <x:c r="W1377" s="2" t="n">
        <x:v>9</x:v>
      </x:c>
      <x:c r="X1377" s="14" t="b">
        <x:v>0</x:v>
      </x:c>
      <x:c r="Y1377" s="14" t="b">
        <x:v>0</x:v>
      </x:c>
      <x:c r="Z1377" s="2" t="n">
        <x:f>ABS(T1377-AA1377)</x:f>
        <x:v>0</x:v>
      </x:c>
      <x:c r="AA1377" s="2" t="n">
        <x:v>232</x:v>
      </x:c>
      <x:c r="AB1377" s="2" t="n">
        <x:f>ABS(K1377-W1377)</x:f>
        <x:v>2</x:v>
      </x:c>
      <x:c r="AC1377" s="2" t="n">
        <x:f>COUNTIF($A$2:$A$1921,A1377)-1</x:f>
        <x:v>0</x:v>
      </x:c>
      <x:c r="AD1377" s="2" t="n">
        <x:f>IF(AND(D1377=D1376,H1377=H1376,C1377=C1376+1),ABS(R1377-T1376),0)</x:f>
        <x:v>0</x:v>
      </x:c>
    </x:row>
    <x:row r="1378" ht="23" customHeight="1">
      <x:c r="A1378" s="2" t="str">
        <x:v>DEMO-306-0-17</x:v>
      </x:c>
      <x:c r="B1378" s="15" t="d">
        <x:v>2026-08-24T00:00:00.000Z</x:v>
      </x:c>
      <x:c r="C1378" s="2" t="n">
        <x:v>17</x:v>
      </x:c>
      <x:c r="D1378" s="2" t="str">
        <x:v>DEMO-306</x:v>
      </x:c>
      <x:c r="E1378" s="2" t="str">
        <x:v>Nest Cushion</x:v>
      </x:c>
      <x:c r="F1378" s="2" t="str">
        <x:v>Lifestyle</x:v>
      </x:c>
      <x:c r="G1378" s="2" t="str">
        <x:v>Stores</x:v>
      </x:c>
      <x:c r="H1378" s="2" t="str">
        <x:v>North Arcade</x:v>
      </x:c>
      <x:c r="I1378" s="2" t="n">
        <x:v>10</x:v>
      </x:c>
      <x:c r="J1378" s="2" t="n">
        <x:v>0</x:v>
      </x:c>
      <x:c r="K1378" s="2" t="n">
        <x:f>I1378-J1378</x:f>
        <x:v>10</x:v>
      </x:c>
      <x:c r="L1378" s="16" t="n">
        <x:v>34</x:v>
      </x:c>
      <x:c r="M1378" s="16" t="n">
        <x:v>27.2</x:v>
      </x:c>
      <x:c r="N1378" s="16" t="n">
        <x:v>16.49</x:v>
      </x:c>
      <x:c r="O1378" s="16" t="n">
        <x:f>K1378*M1378</x:f>
        <x:v>272</x:v>
      </x:c>
      <x:c r="P1378" s="16" t="n">
        <x:f>K1378*N1378</x:f>
        <x:v>164.89999999999998</x:v>
      </x:c>
      <x:c r="Q1378" s="16" t="n">
        <x:f>O1378-P1378</x:f>
        <x:v>107.10000000000002</x:v>
      </x:c>
      <x:c r="R1378" s="2" t="n">
        <x:v>232</x:v>
      </x:c>
      <x:c r="S1378" s="2" t="n">
        <x:v>65</x:v>
      </x:c>
      <x:c r="T1378" s="2" t="n">
        <x:f>R1378+S1378+J1378-I1378</x:f>
        <x:v>287</x:v>
      </x:c>
      <x:c r="U1378" s="2" t="n">
        <x:v>0</x:v>
      </x:c>
      <x:c r="V1378" s="2" t="n">
        <x:v>4</x:v>
      </x:c>
      <x:c r="W1378" s="2" t="n">
        <x:v>8</x:v>
      </x:c>
      <x:c r="X1378" s="14" t="b">
        <x:v>0</x:v>
      </x:c>
      <x:c r="Y1378" s="14" t="b">
        <x:v>1</x:v>
      </x:c>
      <x:c r="Z1378" s="2" t="n">
        <x:f>ABS(T1378-AA1378)</x:f>
        <x:v>0</x:v>
      </x:c>
      <x:c r="AA1378" s="2" t="n">
        <x:v>287</x:v>
      </x:c>
      <x:c r="AB1378" s="2" t="n">
        <x:f>ABS(K1378-W1378)</x:f>
        <x:v>2</x:v>
      </x:c>
      <x:c r="AC1378" s="2" t="n">
        <x:f>COUNTIF($A$2:$A$1921,A1378)-1</x:f>
        <x:v>0</x:v>
      </x:c>
      <x:c r="AD1378" s="2" t="n">
        <x:f>IF(AND(D1378=D1377,H1378=H1377,C1378=C1377+1),ABS(R1378-T1377),0)</x:f>
        <x:v>0</x:v>
      </x:c>
    </x:row>
    <x:row r="1379" ht="23" customHeight="1">
      <x:c r="A1379" s="2" t="str">
        <x:v>DEMO-306-0-18</x:v>
      </x:c>
      <x:c r="B1379" s="15" t="d">
        <x:v>2026-08-31T00:00:00.000Z</x:v>
      </x:c>
      <x:c r="C1379" s="2" t="n">
        <x:v>18</x:v>
      </x:c>
      <x:c r="D1379" s="2" t="str">
        <x:v>DEMO-306</x:v>
      </x:c>
      <x:c r="E1379" s="2" t="str">
        <x:v>Nest Cushion</x:v>
      </x:c>
      <x:c r="F1379" s="2" t="str">
        <x:v>Lifestyle</x:v>
      </x:c>
      <x:c r="G1379" s="2" t="str">
        <x:v>Stores</x:v>
      </x:c>
      <x:c r="H1379" s="2" t="str">
        <x:v>North Arcade</x:v>
      </x:c>
      <x:c r="I1379" s="2" t="n">
        <x:v>8</x:v>
      </x:c>
      <x:c r="J1379" s="2" t="n">
        <x:v>0</x:v>
      </x:c>
      <x:c r="K1379" s="2" t="n">
        <x:f>I1379-J1379</x:f>
        <x:v>8</x:v>
      </x:c>
      <x:c r="L1379" s="16" t="n">
        <x:v>34</x:v>
      </x:c>
      <x:c r="M1379" s="16" t="n">
        <x:v>27.2</x:v>
      </x:c>
      <x:c r="N1379" s="16" t="n">
        <x:v>16.49</x:v>
      </x:c>
      <x:c r="O1379" s="16" t="n">
        <x:f>K1379*M1379</x:f>
        <x:v>217.6</x:v>
      </x:c>
      <x:c r="P1379" s="16" t="n">
        <x:f>K1379*N1379</x:f>
        <x:v>131.92</x:v>
      </x:c>
      <x:c r="Q1379" s="16" t="n">
        <x:f>O1379-P1379</x:f>
        <x:v>85.68</x:v>
      </x:c>
      <x:c r="R1379" s="2" t="n">
        <x:v>287</x:v>
      </x:c>
      <x:c r="S1379" s="2" t="n">
        <x:v>0</x:v>
      </x:c>
      <x:c r="T1379" s="2" t="n">
        <x:f>R1379+S1379+J1379-I1379</x:f>
        <x:v>279</x:v>
      </x:c>
      <x:c r="U1379" s="2" t="n">
        <x:v>0</x:v>
      </x:c>
      <x:c r="V1379" s="2" t="n">
        <x:v>4</x:v>
      </x:c>
      <x:c r="W1379" s="2" t="n">
        <x:v>9</x:v>
      </x:c>
      <x:c r="X1379" s="14" t="b">
        <x:v>0</x:v>
      </x:c>
      <x:c r="Y1379" s="14" t="b">
        <x:v>1</x:v>
      </x:c>
      <x:c r="Z1379" s="2" t="n">
        <x:f>ABS(T1379-AA1379)</x:f>
        <x:v>0</x:v>
      </x:c>
      <x:c r="AA1379" s="2" t="n">
        <x:v>279</x:v>
      </x:c>
      <x:c r="AB1379" s="2" t="n">
        <x:f>ABS(K1379-W1379)</x:f>
        <x:v>1</x:v>
      </x:c>
      <x:c r="AC1379" s="2" t="n">
        <x:f>COUNTIF($A$2:$A$1921,A1379)-1</x:f>
        <x:v>0</x:v>
      </x:c>
      <x:c r="AD1379" s="2" t="n">
        <x:f>IF(AND(D1379=D1378,H1379=H1378,C1379=C1378+1),ABS(R1379-T1378),0)</x:f>
        <x:v>0</x:v>
      </x:c>
    </x:row>
    <x:row r="1380" ht="23" customHeight="1">
      <x:c r="A1380" s="2" t="str">
        <x:v>DEMO-306-0-19</x:v>
      </x:c>
      <x:c r="B1380" s="15" t="d">
        <x:v>2026-09-07T00:00:00.000Z</x:v>
      </x:c>
      <x:c r="C1380" s="2" t="n">
        <x:v>19</x:v>
      </x:c>
      <x:c r="D1380" s="2" t="str">
        <x:v>DEMO-306</x:v>
      </x:c>
      <x:c r="E1380" s="2" t="str">
        <x:v>Nest Cushion</x:v>
      </x:c>
      <x:c r="F1380" s="2" t="str">
        <x:v>Lifestyle</x:v>
      </x:c>
      <x:c r="G1380" s="2" t="str">
        <x:v>Stores</x:v>
      </x:c>
      <x:c r="H1380" s="2" t="str">
        <x:v>North Arcade</x:v>
      </x:c>
      <x:c r="I1380" s="2" t="n">
        <x:v>10</x:v>
      </x:c>
      <x:c r="J1380" s="2" t="n">
        <x:v>0</x:v>
      </x:c>
      <x:c r="K1380" s="2" t="n">
        <x:f>I1380-J1380</x:f>
        <x:v>10</x:v>
      </x:c>
      <x:c r="L1380" s="16" t="n">
        <x:v>34</x:v>
      </x:c>
      <x:c r="M1380" s="16" t="n">
        <x:v>27.2</x:v>
      </x:c>
      <x:c r="N1380" s="16" t="n">
        <x:v>16.49</x:v>
      </x:c>
      <x:c r="O1380" s="16" t="n">
        <x:f>K1380*M1380</x:f>
        <x:v>272</x:v>
      </x:c>
      <x:c r="P1380" s="16" t="n">
        <x:f>K1380*N1380</x:f>
        <x:v>164.89999999999998</x:v>
      </x:c>
      <x:c r="Q1380" s="16" t="n">
        <x:f>O1380-P1380</x:f>
        <x:v>107.10000000000002</x:v>
      </x:c>
      <x:c r="R1380" s="2" t="n">
        <x:v>279</x:v>
      </x:c>
      <x:c r="S1380" s="2" t="n">
        <x:v>0</x:v>
      </x:c>
      <x:c r="T1380" s="2" t="n">
        <x:f>R1380+S1380+J1380-I1380</x:f>
        <x:v>269</x:v>
      </x:c>
      <x:c r="U1380" s="2" t="n">
        <x:v>0</x:v>
      </x:c>
      <x:c r="V1380" s="2" t="n">
        <x:v>4</x:v>
      </x:c>
      <x:c r="W1380" s="2" t="n">
        <x:v>8</x:v>
      </x:c>
      <x:c r="X1380" s="14" t="b">
        <x:v>0</x:v>
      </x:c>
      <x:c r="Y1380" s="14" t="b">
        <x:v>1</x:v>
      </x:c>
      <x:c r="Z1380" s="2" t="n">
        <x:f>ABS(T1380-AA1380)</x:f>
        <x:v>0</x:v>
      </x:c>
      <x:c r="AA1380" s="2" t="n">
        <x:v>269</x:v>
      </x:c>
      <x:c r="AB1380" s="2" t="n">
        <x:f>ABS(K1380-W1380)</x:f>
        <x:v>2</x:v>
      </x:c>
      <x:c r="AC1380" s="2" t="n">
        <x:f>COUNTIF($A$2:$A$1921,A1380)-1</x:f>
        <x:v>0</x:v>
      </x:c>
      <x:c r="AD1380" s="2" t="n">
        <x:f>IF(AND(D1380=D1379,H1380=H1379,C1380=C1379+1),ABS(R1380-T1379),0)</x:f>
        <x:v>0</x:v>
      </x:c>
    </x:row>
    <x:row r="1381" ht="23" customHeight="1">
      <x:c r="A1381" s="2" t="str">
        <x:v>DEMO-306-0-20</x:v>
      </x:c>
      <x:c r="B1381" s="15" t="d">
        <x:v>2026-09-14T00:00:00.000Z</x:v>
      </x:c>
      <x:c r="C1381" s="2" t="n">
        <x:v>20</x:v>
      </x:c>
      <x:c r="D1381" s="2" t="str">
        <x:v>DEMO-306</x:v>
      </x:c>
      <x:c r="E1381" s="2" t="str">
        <x:v>Nest Cushion</x:v>
      </x:c>
      <x:c r="F1381" s="2" t="str">
        <x:v>Lifestyle</x:v>
      </x:c>
      <x:c r="G1381" s="2" t="str">
        <x:v>Stores</x:v>
      </x:c>
      <x:c r="H1381" s="2" t="str">
        <x:v>North Arcade</x:v>
      </x:c>
      <x:c r="I1381" s="2" t="n">
        <x:v>6</x:v>
      </x:c>
      <x:c r="J1381" s="2" t="n">
        <x:v>0</x:v>
      </x:c>
      <x:c r="K1381" s="2" t="n">
        <x:f>I1381-J1381</x:f>
        <x:v>6</x:v>
      </x:c>
      <x:c r="L1381" s="16" t="n">
        <x:v>34</x:v>
      </x:c>
      <x:c r="M1381" s="16" t="n">
        <x:v>27.2</x:v>
      </x:c>
      <x:c r="N1381" s="16" t="n">
        <x:v>16.49</x:v>
      </x:c>
      <x:c r="O1381" s="16" t="n">
        <x:f>K1381*M1381</x:f>
        <x:v>163.2</x:v>
      </x:c>
      <x:c r="P1381" s="16" t="n">
        <x:f>K1381*N1381</x:f>
        <x:v>98.94</x:v>
      </x:c>
      <x:c r="Q1381" s="16" t="n">
        <x:f>O1381-P1381</x:f>
        <x:v>64.25999999999999</x:v>
      </x:c>
      <x:c r="R1381" s="2" t="n">
        <x:v>269</x:v>
      </x:c>
      <x:c r="S1381" s="2" t="n">
        <x:v>0</x:v>
      </x:c>
      <x:c r="T1381" s="2" t="n">
        <x:f>R1381+S1381+J1381-I1381</x:f>
        <x:v>263</x:v>
      </x:c>
      <x:c r="U1381" s="2" t="n">
        <x:v>24</x:v>
      </x:c>
      <x:c r="V1381" s="2" t="n">
        <x:v>4</x:v>
      </x:c>
      <x:c r="W1381" s="2" t="n">
        <x:v>9</x:v>
      </x:c>
      <x:c r="X1381" s="14" t="b">
        <x:v>0</x:v>
      </x:c>
      <x:c r="Y1381" s="14" t="b">
        <x:v>1</x:v>
      </x:c>
      <x:c r="Z1381" s="2" t="n">
        <x:f>ABS(T1381-AA1381)</x:f>
        <x:v>0</x:v>
      </x:c>
      <x:c r="AA1381" s="2" t="n">
        <x:v>263</x:v>
      </x:c>
      <x:c r="AB1381" s="2" t="n">
        <x:f>ABS(K1381-W1381)</x:f>
        <x:v>3</x:v>
      </x:c>
      <x:c r="AC1381" s="2" t="n">
        <x:f>COUNTIF($A$2:$A$1921,A1381)-1</x:f>
        <x:v>0</x:v>
      </x:c>
      <x:c r="AD1381" s="2" t="n">
        <x:f>IF(AND(D1381=D1380,H1381=H1380,C1381=C1380+1),ABS(R1381-T1380),0)</x:f>
        <x:v>0</x:v>
      </x:c>
    </x:row>
    <x:row r="1382" ht="23" customHeight="1">
      <x:c r="A1382" s="2" t="str">
        <x:v>DEMO-306-1-1</x:v>
      </x:c>
      <x:c r="B1382" s="15" t="d">
        <x:v>2026-05-04T00:00:00.000Z</x:v>
      </x:c>
      <x:c r="C1382" s="2" t="n">
        <x:v>1</x:v>
      </x:c>
      <x:c r="D1382" s="2" t="str">
        <x:v>DEMO-306</x:v>
      </x:c>
      <x:c r="E1382" s="2" t="str">
        <x:v>Nest Cushion</x:v>
      </x:c>
      <x:c r="F1382" s="2" t="str">
        <x:v>Lifestyle</x:v>
      </x:c>
      <x:c r="G1382" s="2" t="str">
        <x:v>Stores</x:v>
      </x:c>
      <x:c r="H1382" s="2" t="str">
        <x:v>Riverside</x:v>
      </x:c>
      <x:c r="I1382" s="2" t="n">
        <x:v>12</x:v>
      </x:c>
      <x:c r="J1382" s="2" t="n">
        <x:v>0</x:v>
      </x:c>
      <x:c r="K1382" s="2" t="n">
        <x:f>I1382-J1382</x:f>
        <x:v>12</x:v>
      </x:c>
      <x:c r="L1382" s="16" t="n">
        <x:v>34</x:v>
      </x:c>
      <x:c r="M1382" s="16" t="n">
        <x:v>34</x:v>
      </x:c>
      <x:c r="N1382" s="16" t="n">
        <x:v>16.49</x:v>
      </x:c>
      <x:c r="O1382" s="16" t="n">
        <x:f>K1382*M1382</x:f>
        <x:v>408</x:v>
      </x:c>
      <x:c r="P1382" s="16" t="n">
        <x:f>K1382*N1382</x:f>
        <x:v>197.88</x:v>
      </x:c>
      <x:c r="Q1382" s="16" t="n">
        <x:f>O1382-P1382</x:f>
        <x:v>210.12</x:v>
      </x:c>
      <x:c r="R1382" s="2" t="n">
        <x:v>140</x:v>
      </x:c>
      <x:c r="S1382" s="2" t="n">
        <x:v>65</x:v>
      </x:c>
      <x:c r="T1382" s="2" t="n">
        <x:f>R1382+S1382+J1382-I1382</x:f>
        <x:v>193</x:v>
      </x:c>
      <x:c r="U1382" s="2" t="n">
        <x:v>0</x:v>
      </x:c>
      <x:c r="V1382" s="2" t="n">
        <x:v>4</x:v>
      </x:c>
      <x:c r="W1382" s="2" t="n">
        <x:v>14</x:v>
      </x:c>
      <x:c r="X1382" s="14" t="b">
        <x:v>0</x:v>
      </x:c>
      <x:c r="Y1382" s="14" t="b">
        <x:v>0</x:v>
      </x:c>
      <x:c r="Z1382" s="2" t="n">
        <x:f>ABS(T1382-AA1382)</x:f>
        <x:v>0</x:v>
      </x:c>
      <x:c r="AA1382" s="2" t="n">
        <x:v>193</x:v>
      </x:c>
      <x:c r="AB1382" s="2" t="n">
        <x:f>ABS(K1382-W1382)</x:f>
        <x:v>2</x:v>
      </x:c>
      <x:c r="AC1382" s="2" t="n">
        <x:f>COUNTIF($A$2:$A$1921,A1382)-1</x:f>
        <x:v>0</x:v>
      </x:c>
      <x:c r="AD1382" s="2" t="n">
        <x:f>IF(AND(D1382=D1381,H1382=H1381,C1382=C1381+1),ABS(R1382-T1381),0)</x:f>
        <x:v>0</x:v>
      </x:c>
    </x:row>
    <x:row r="1383" ht="23" customHeight="1">
      <x:c r="A1383" s="2" t="str">
        <x:v>DEMO-306-1-2</x:v>
      </x:c>
      <x:c r="B1383" s="15" t="d">
        <x:v>2026-05-11T00:00:00.000Z</x:v>
      </x:c>
      <x:c r="C1383" s="2" t="n">
        <x:v>2</x:v>
      </x:c>
      <x:c r="D1383" s="2" t="str">
        <x:v>DEMO-306</x:v>
      </x:c>
      <x:c r="E1383" s="2" t="str">
        <x:v>Nest Cushion</x:v>
      </x:c>
      <x:c r="F1383" s="2" t="str">
        <x:v>Lifestyle</x:v>
      </x:c>
      <x:c r="G1383" s="2" t="str">
        <x:v>Stores</x:v>
      </x:c>
      <x:c r="H1383" s="2" t="str">
        <x:v>Riverside</x:v>
      </x:c>
      <x:c r="I1383" s="2" t="n">
        <x:v>14</x:v>
      </x:c>
      <x:c r="J1383" s="2" t="n">
        <x:v>0</x:v>
      </x:c>
      <x:c r="K1383" s="2" t="n">
        <x:f>I1383-J1383</x:f>
        <x:v>14</x:v>
      </x:c>
      <x:c r="L1383" s="16" t="n">
        <x:v>34</x:v>
      </x:c>
      <x:c r="M1383" s="16" t="n">
        <x:v>34</x:v>
      </x:c>
      <x:c r="N1383" s="16" t="n">
        <x:v>16.49</x:v>
      </x:c>
      <x:c r="O1383" s="16" t="n">
        <x:f>K1383*M1383</x:f>
        <x:v>476</x:v>
      </x:c>
      <x:c r="P1383" s="16" t="n">
        <x:f>K1383*N1383</x:f>
        <x:v>230.85999999999999</x:v>
      </x:c>
      <x:c r="Q1383" s="16" t="n">
        <x:f>O1383-P1383</x:f>
        <x:v>245.14000000000001</x:v>
      </x:c>
      <x:c r="R1383" s="2" t="n">
        <x:v>193</x:v>
      </x:c>
      <x:c r="S1383" s="2" t="n">
        <x:v>0</x:v>
      </x:c>
      <x:c r="T1383" s="2" t="n">
        <x:f>R1383+S1383+J1383-I1383</x:f>
        <x:v>179</x:v>
      </x:c>
      <x:c r="U1383" s="2" t="n">
        <x:v>0</x:v>
      </x:c>
      <x:c r="V1383" s="2" t="n">
        <x:v>4</x:v>
      </x:c>
      <x:c r="W1383" s="2" t="n">
        <x:v>12</x:v>
      </x:c>
      <x:c r="X1383" s="14" t="b">
        <x:v>0</x:v>
      </x:c>
      <x:c r="Y1383" s="14" t="b">
        <x:v>0</x:v>
      </x:c>
      <x:c r="Z1383" s="2" t="n">
        <x:f>ABS(T1383-AA1383)</x:f>
        <x:v>0</x:v>
      </x:c>
      <x:c r="AA1383" s="2" t="n">
        <x:v>179</x:v>
      </x:c>
      <x:c r="AB1383" s="2" t="n">
        <x:f>ABS(K1383-W1383)</x:f>
        <x:v>2</x:v>
      </x:c>
      <x:c r="AC1383" s="2" t="n">
        <x:f>COUNTIF($A$2:$A$1921,A1383)-1</x:f>
        <x:v>0</x:v>
      </x:c>
      <x:c r="AD1383" s="2" t="n">
        <x:f>IF(AND(D1383=D1382,H1383=H1382,C1383=C1382+1),ABS(R1383-T1382),0)</x:f>
        <x:v>0</x:v>
      </x:c>
    </x:row>
    <x:row r="1384" ht="23" customHeight="1">
      <x:c r="A1384" s="2" t="str">
        <x:v>DEMO-306-1-3</x:v>
      </x:c>
      <x:c r="B1384" s="15" t="d">
        <x:v>2026-05-18T00:00:00.000Z</x:v>
      </x:c>
      <x:c r="C1384" s="2" t="n">
        <x:v>3</x:v>
      </x:c>
      <x:c r="D1384" s="2" t="str">
        <x:v>DEMO-306</x:v>
      </x:c>
      <x:c r="E1384" s="2" t="str">
        <x:v>Nest Cushion</x:v>
      </x:c>
      <x:c r="F1384" s="2" t="str">
        <x:v>Lifestyle</x:v>
      </x:c>
      <x:c r="G1384" s="2" t="str">
        <x:v>Stores</x:v>
      </x:c>
      <x:c r="H1384" s="2" t="str">
        <x:v>Riverside</x:v>
      </x:c>
      <x:c r="I1384" s="2" t="n">
        <x:v>12</x:v>
      </x:c>
      <x:c r="J1384" s="2" t="n">
        <x:v>0</x:v>
      </x:c>
      <x:c r="K1384" s="2" t="n">
        <x:f>I1384-J1384</x:f>
        <x:v>12</x:v>
      </x:c>
      <x:c r="L1384" s="16" t="n">
        <x:v>34</x:v>
      </x:c>
      <x:c r="M1384" s="16" t="n">
        <x:v>34</x:v>
      </x:c>
      <x:c r="N1384" s="16" t="n">
        <x:v>16.49</x:v>
      </x:c>
      <x:c r="O1384" s="16" t="n">
        <x:f>K1384*M1384</x:f>
        <x:v>408</x:v>
      </x:c>
      <x:c r="P1384" s="16" t="n">
        <x:f>K1384*N1384</x:f>
        <x:v>197.88</x:v>
      </x:c>
      <x:c r="Q1384" s="16" t="n">
        <x:f>O1384-P1384</x:f>
        <x:v>210.12</x:v>
      </x:c>
      <x:c r="R1384" s="2" t="n">
        <x:v>179</x:v>
      </x:c>
      <x:c r="S1384" s="2" t="n">
        <x:v>0</x:v>
      </x:c>
      <x:c r="T1384" s="2" t="n">
        <x:f>R1384+S1384+J1384-I1384</x:f>
        <x:v>167</x:v>
      </x:c>
      <x:c r="U1384" s="2" t="n">
        <x:v>0</x:v>
      </x:c>
      <x:c r="V1384" s="2" t="n">
        <x:v>4</x:v>
      </x:c>
      <x:c r="W1384" s="2" t="n">
        <x:v>13</x:v>
      </x:c>
      <x:c r="X1384" s="14" t="b">
        <x:v>0</x:v>
      </x:c>
      <x:c r="Y1384" s="14" t="b">
        <x:v>0</x:v>
      </x:c>
      <x:c r="Z1384" s="2" t="n">
        <x:f>ABS(T1384-AA1384)</x:f>
        <x:v>0</x:v>
      </x:c>
      <x:c r="AA1384" s="2" t="n">
        <x:v>167</x:v>
      </x:c>
      <x:c r="AB1384" s="2" t="n">
        <x:f>ABS(K1384-W1384)</x:f>
        <x:v>1</x:v>
      </x:c>
      <x:c r="AC1384" s="2" t="n">
        <x:f>COUNTIF($A$2:$A$1921,A1384)-1</x:f>
        <x:v>0</x:v>
      </x:c>
      <x:c r="AD1384" s="2" t="n">
        <x:f>IF(AND(D1384=D1383,H1384=H1383,C1384=C1383+1),ABS(R1384-T1383),0)</x:f>
        <x:v>0</x:v>
      </x:c>
    </x:row>
    <x:row r="1385" ht="23" customHeight="1">
      <x:c r="A1385" s="2" t="str">
        <x:v>DEMO-306-1-4</x:v>
      </x:c>
      <x:c r="B1385" s="15" t="d">
        <x:v>2026-05-25T00:00:00.000Z</x:v>
      </x:c>
      <x:c r="C1385" s="2" t="n">
        <x:v>4</x:v>
      </x:c>
      <x:c r="D1385" s="2" t="str">
        <x:v>DEMO-306</x:v>
      </x:c>
      <x:c r="E1385" s="2" t="str">
        <x:v>Nest Cushion</x:v>
      </x:c>
      <x:c r="F1385" s="2" t="str">
        <x:v>Lifestyle</x:v>
      </x:c>
      <x:c r="G1385" s="2" t="str">
        <x:v>Stores</x:v>
      </x:c>
      <x:c r="H1385" s="2" t="str">
        <x:v>Riverside</x:v>
      </x:c>
      <x:c r="I1385" s="2" t="n">
        <x:v>11</x:v>
      </x:c>
      <x:c r="J1385" s="2" t="n">
        <x:v>1</x:v>
      </x:c>
      <x:c r="K1385" s="2" t="n">
        <x:f>I1385-J1385</x:f>
        <x:v>10</x:v>
      </x:c>
      <x:c r="L1385" s="16" t="n">
        <x:v>34</x:v>
      </x:c>
      <x:c r="M1385" s="16" t="n">
        <x:v>34</x:v>
      </x:c>
      <x:c r="N1385" s="16" t="n">
        <x:v>16.49</x:v>
      </x:c>
      <x:c r="O1385" s="16" t="n">
        <x:f>K1385*M1385</x:f>
        <x:v>340</x:v>
      </x:c>
      <x:c r="P1385" s="16" t="n">
        <x:f>K1385*N1385</x:f>
        <x:v>164.89999999999998</x:v>
      </x:c>
      <x:c r="Q1385" s="16" t="n">
        <x:f>O1385-P1385</x:f>
        <x:v>175.10000000000002</x:v>
      </x:c>
      <x:c r="R1385" s="2" t="n">
        <x:v>167</x:v>
      </x:c>
      <x:c r="S1385" s="2" t="n">
        <x:v>0</x:v>
      </x:c>
      <x:c r="T1385" s="2" t="n">
        <x:f>R1385+S1385+J1385-I1385</x:f>
        <x:v>157</x:v>
      </x:c>
      <x:c r="U1385" s="2" t="n">
        <x:v>0</x:v>
      </x:c>
      <x:c r="V1385" s="2" t="n">
        <x:v>4</x:v>
      </x:c>
      <x:c r="W1385" s="2" t="n">
        <x:v>13</x:v>
      </x:c>
      <x:c r="X1385" s="14" t="b">
        <x:v>0</x:v>
      </x:c>
      <x:c r="Y1385" s="14" t="b">
        <x:v>0</x:v>
      </x:c>
      <x:c r="Z1385" s="2" t="n">
        <x:f>ABS(T1385-AA1385)</x:f>
        <x:v>0</x:v>
      </x:c>
      <x:c r="AA1385" s="2" t="n">
        <x:v>157</x:v>
      </x:c>
      <x:c r="AB1385" s="2" t="n">
        <x:f>ABS(K1385-W1385)</x:f>
        <x:v>3</x:v>
      </x:c>
      <x:c r="AC1385" s="2" t="n">
        <x:f>COUNTIF($A$2:$A$1921,A1385)-1</x:f>
        <x:v>0</x:v>
      </x:c>
      <x:c r="AD1385" s="2" t="n">
        <x:f>IF(AND(D1385=D1384,H1385=H1384,C1385=C1384+1),ABS(R1385-T1384),0)</x:f>
        <x:v>0</x:v>
      </x:c>
    </x:row>
    <x:row r="1386" ht="23" customHeight="1">
      <x:c r="A1386" s="2" t="str">
        <x:v>DEMO-306-1-5</x:v>
      </x:c>
      <x:c r="B1386" s="15" t="d">
        <x:v>2026-06-01T00:00:00.000Z</x:v>
      </x:c>
      <x:c r="C1386" s="2" t="n">
        <x:v>5</x:v>
      </x:c>
      <x:c r="D1386" s="2" t="str">
        <x:v>DEMO-306</x:v>
      </x:c>
      <x:c r="E1386" s="2" t="str">
        <x:v>Nest Cushion</x:v>
      </x:c>
      <x:c r="F1386" s="2" t="str">
        <x:v>Lifestyle</x:v>
      </x:c>
      <x:c r="G1386" s="2" t="str">
        <x:v>Stores</x:v>
      </x:c>
      <x:c r="H1386" s="2" t="str">
        <x:v>Riverside</x:v>
      </x:c>
      <x:c r="I1386" s="2" t="n">
        <x:v>14</x:v>
      </x:c>
      <x:c r="J1386" s="2" t="n">
        <x:v>0</x:v>
      </x:c>
      <x:c r="K1386" s="2" t="n">
        <x:f>I1386-J1386</x:f>
        <x:v>14</x:v>
      </x:c>
      <x:c r="L1386" s="16" t="n">
        <x:v>34</x:v>
      </x:c>
      <x:c r="M1386" s="16" t="n">
        <x:v>34</x:v>
      </x:c>
      <x:c r="N1386" s="16" t="n">
        <x:v>16.49</x:v>
      </x:c>
      <x:c r="O1386" s="16" t="n">
        <x:f>K1386*M1386</x:f>
        <x:v>476</x:v>
      </x:c>
      <x:c r="P1386" s="16" t="n">
        <x:f>K1386*N1386</x:f>
        <x:v>230.85999999999999</x:v>
      </x:c>
      <x:c r="Q1386" s="16" t="n">
        <x:f>O1386-P1386</x:f>
        <x:v>245.14000000000001</x:v>
      </x:c>
      <x:c r="R1386" s="2" t="n">
        <x:v>157</x:v>
      </x:c>
      <x:c r="S1386" s="2" t="n">
        <x:v>65</x:v>
      </x:c>
      <x:c r="T1386" s="2" t="n">
        <x:f>R1386+S1386+J1386-I1386</x:f>
        <x:v>208</x:v>
      </x:c>
      <x:c r="U1386" s="2" t="n">
        <x:v>0</x:v>
      </x:c>
      <x:c r="V1386" s="2" t="n">
        <x:v>4</x:v>
      </x:c>
      <x:c r="W1386" s="2" t="n">
        <x:v>12</x:v>
      </x:c>
      <x:c r="X1386" s="14" t="b">
        <x:v>0</x:v>
      </x:c>
      <x:c r="Y1386" s="14" t="b">
        <x:v>0</x:v>
      </x:c>
      <x:c r="Z1386" s="2" t="n">
        <x:f>ABS(T1386-AA1386)</x:f>
        <x:v>0</x:v>
      </x:c>
      <x:c r="AA1386" s="2" t="n">
        <x:v>208</x:v>
      </x:c>
      <x:c r="AB1386" s="2" t="n">
        <x:f>ABS(K1386-W1386)</x:f>
        <x:v>2</x:v>
      </x:c>
      <x:c r="AC1386" s="2" t="n">
        <x:f>COUNTIF($A$2:$A$1921,A1386)-1</x:f>
        <x:v>0</x:v>
      </x:c>
      <x:c r="AD1386" s="2" t="n">
        <x:f>IF(AND(D1386=D1385,H1386=H1385,C1386=C1385+1),ABS(R1386-T1385),0)</x:f>
        <x:v>0</x:v>
      </x:c>
    </x:row>
    <x:row r="1387" ht="23" customHeight="1">
      <x:c r="A1387" s="2" t="str">
        <x:v>DEMO-306-1-6</x:v>
      </x:c>
      <x:c r="B1387" s="15" t="d">
        <x:v>2026-06-08T00:00:00.000Z</x:v>
      </x:c>
      <x:c r="C1387" s="2" t="n">
        <x:v>6</x:v>
      </x:c>
      <x:c r="D1387" s="2" t="str">
        <x:v>DEMO-306</x:v>
      </x:c>
      <x:c r="E1387" s="2" t="str">
        <x:v>Nest Cushion</x:v>
      </x:c>
      <x:c r="F1387" s="2" t="str">
        <x:v>Lifestyle</x:v>
      </x:c>
      <x:c r="G1387" s="2" t="str">
        <x:v>Stores</x:v>
      </x:c>
      <x:c r="H1387" s="2" t="str">
        <x:v>Riverside</x:v>
      </x:c>
      <x:c r="I1387" s="2" t="n">
        <x:v>13</x:v>
      </x:c>
      <x:c r="J1387" s="2" t="n">
        <x:v>0</x:v>
      </x:c>
      <x:c r="K1387" s="2" t="n">
        <x:f>I1387-J1387</x:f>
        <x:v>13</x:v>
      </x:c>
      <x:c r="L1387" s="16" t="n">
        <x:v>34</x:v>
      </x:c>
      <x:c r="M1387" s="16" t="n">
        <x:v>34</x:v>
      </x:c>
      <x:c r="N1387" s="16" t="n">
        <x:v>16.49</x:v>
      </x:c>
      <x:c r="O1387" s="16" t="n">
        <x:f>K1387*M1387</x:f>
        <x:v>442</x:v>
      </x:c>
      <x:c r="P1387" s="16" t="n">
        <x:f>K1387*N1387</x:f>
        <x:v>214.36999999999998</x:v>
      </x:c>
      <x:c r="Q1387" s="16" t="n">
        <x:f>O1387-P1387</x:f>
        <x:v>227.63000000000002</x:v>
      </x:c>
      <x:c r="R1387" s="2" t="n">
        <x:v>208</x:v>
      </x:c>
      <x:c r="S1387" s="2" t="n">
        <x:v>0</x:v>
      </x:c>
      <x:c r="T1387" s="2" t="n">
        <x:f>R1387+S1387+J1387-I1387</x:f>
        <x:v>195</x:v>
      </x:c>
      <x:c r="U1387" s="2" t="n">
        <x:v>0</x:v>
      </x:c>
      <x:c r="V1387" s="2" t="n">
        <x:v>4</x:v>
      </x:c>
      <x:c r="W1387" s="2" t="n">
        <x:v>13</x:v>
      </x:c>
      <x:c r="X1387" s="14" t="b">
        <x:v>0</x:v>
      </x:c>
      <x:c r="Y1387" s="14" t="b">
        <x:v>0</x:v>
      </x:c>
      <x:c r="Z1387" s="2" t="n">
        <x:f>ABS(T1387-AA1387)</x:f>
        <x:v>0</x:v>
      </x:c>
      <x:c r="AA1387" s="2" t="n">
        <x:v>195</x:v>
      </x:c>
      <x:c r="AB1387" s="2" t="n">
        <x:f>ABS(K1387-W1387)</x:f>
        <x:v>0</x:v>
      </x:c>
      <x:c r="AC1387" s="2" t="n">
        <x:f>COUNTIF($A$2:$A$1921,A1387)-1</x:f>
        <x:v>0</x:v>
      </x:c>
      <x:c r="AD1387" s="2" t="n">
        <x:f>IF(AND(D1387=D1386,H1387=H1386,C1387=C1386+1),ABS(R1387-T1386),0)</x:f>
        <x:v>0</x:v>
      </x:c>
    </x:row>
    <x:row r="1388" ht="23" customHeight="1">
      <x:c r="A1388" s="2" t="str">
        <x:v>DEMO-306-1-7</x:v>
      </x:c>
      <x:c r="B1388" s="15" t="d">
        <x:v>2026-06-15T00:00:00.000Z</x:v>
      </x:c>
      <x:c r="C1388" s="2" t="n">
        <x:v>7</x:v>
      </x:c>
      <x:c r="D1388" s="2" t="str">
        <x:v>DEMO-306</x:v>
      </x:c>
      <x:c r="E1388" s="2" t="str">
        <x:v>Nest Cushion</x:v>
      </x:c>
      <x:c r="F1388" s="2" t="str">
        <x:v>Lifestyle</x:v>
      </x:c>
      <x:c r="G1388" s="2" t="str">
        <x:v>Stores</x:v>
      </x:c>
      <x:c r="H1388" s="2" t="str">
        <x:v>Riverside</x:v>
      </x:c>
      <x:c r="I1388" s="2" t="n">
        <x:v>9</x:v>
      </x:c>
      <x:c r="J1388" s="2" t="n">
        <x:v>0</x:v>
      </x:c>
      <x:c r="K1388" s="2" t="n">
        <x:f>I1388-J1388</x:f>
        <x:v>9</x:v>
      </x:c>
      <x:c r="L1388" s="16" t="n">
        <x:v>34</x:v>
      </x:c>
      <x:c r="M1388" s="16" t="n">
        <x:v>34</x:v>
      </x:c>
      <x:c r="N1388" s="16" t="n">
        <x:v>16.49</x:v>
      </x:c>
      <x:c r="O1388" s="16" t="n">
        <x:f>K1388*M1388</x:f>
        <x:v>306</x:v>
      </x:c>
      <x:c r="P1388" s="16" t="n">
        <x:f>K1388*N1388</x:f>
        <x:v>148.41</x:v>
      </x:c>
      <x:c r="Q1388" s="16" t="n">
        <x:f>O1388-P1388</x:f>
        <x:v>157.59</x:v>
      </x:c>
      <x:c r="R1388" s="2" t="n">
        <x:v>195</x:v>
      </x:c>
      <x:c r="S1388" s="2" t="n">
        <x:v>0</x:v>
      </x:c>
      <x:c r="T1388" s="2" t="n">
        <x:f>R1388+S1388+J1388-I1388</x:f>
        <x:v>186</x:v>
      </x:c>
      <x:c r="U1388" s="2" t="n">
        <x:v>0</x:v>
      </x:c>
      <x:c r="V1388" s="2" t="n">
        <x:v>4</x:v>
      </x:c>
      <x:c r="W1388" s="2" t="n">
        <x:v>12</x:v>
      </x:c>
      <x:c r="X1388" s="14" t="b">
        <x:v>0</x:v>
      </x:c>
      <x:c r="Y1388" s="14" t="b">
        <x:v>0</x:v>
      </x:c>
      <x:c r="Z1388" s="2" t="n">
        <x:f>ABS(T1388-AA1388)</x:f>
        <x:v>0</x:v>
      </x:c>
      <x:c r="AA1388" s="2" t="n">
        <x:v>186</x:v>
      </x:c>
      <x:c r="AB1388" s="2" t="n">
        <x:f>ABS(K1388-W1388)</x:f>
        <x:v>3</x:v>
      </x:c>
      <x:c r="AC1388" s="2" t="n">
        <x:f>COUNTIF($A$2:$A$1921,A1388)-1</x:f>
        <x:v>0</x:v>
      </x:c>
      <x:c r="AD1388" s="2" t="n">
        <x:f>IF(AND(D1388=D1387,H1388=H1387,C1388=C1387+1),ABS(R1388-T1387),0)</x:f>
        <x:v>0</x:v>
      </x:c>
    </x:row>
    <x:row r="1389" ht="23" customHeight="1">
      <x:c r="A1389" s="2" t="str">
        <x:v>DEMO-306-1-8</x:v>
      </x:c>
      <x:c r="B1389" s="15" t="d">
        <x:v>2026-06-22T00:00:00.000Z</x:v>
      </x:c>
      <x:c r="C1389" s="2" t="n">
        <x:v>8</x:v>
      </x:c>
      <x:c r="D1389" s="2" t="str">
        <x:v>DEMO-306</x:v>
      </x:c>
      <x:c r="E1389" s="2" t="str">
        <x:v>Nest Cushion</x:v>
      </x:c>
      <x:c r="F1389" s="2" t="str">
        <x:v>Lifestyle</x:v>
      </x:c>
      <x:c r="G1389" s="2" t="str">
        <x:v>Stores</x:v>
      </x:c>
      <x:c r="H1389" s="2" t="str">
        <x:v>Riverside</x:v>
      </x:c>
      <x:c r="I1389" s="2" t="n">
        <x:v>13</x:v>
      </x:c>
      <x:c r="J1389" s="2" t="n">
        <x:v>0</x:v>
      </x:c>
      <x:c r="K1389" s="2" t="n">
        <x:f>I1389-J1389</x:f>
        <x:v>13</x:v>
      </x:c>
      <x:c r="L1389" s="16" t="n">
        <x:v>34</x:v>
      </x:c>
      <x:c r="M1389" s="16" t="n">
        <x:v>34</x:v>
      </x:c>
      <x:c r="N1389" s="16" t="n">
        <x:v>16.49</x:v>
      </x:c>
      <x:c r="O1389" s="16" t="n">
        <x:f>K1389*M1389</x:f>
        <x:v>442</x:v>
      </x:c>
      <x:c r="P1389" s="16" t="n">
        <x:f>K1389*N1389</x:f>
        <x:v>214.36999999999998</x:v>
      </x:c>
      <x:c r="Q1389" s="16" t="n">
        <x:f>O1389-P1389</x:f>
        <x:v>227.63000000000002</x:v>
      </x:c>
      <x:c r="R1389" s="2" t="n">
        <x:v>186</x:v>
      </x:c>
      <x:c r="S1389" s="2" t="n">
        <x:v>0</x:v>
      </x:c>
      <x:c r="T1389" s="2" t="n">
        <x:f>R1389+S1389+J1389-I1389</x:f>
        <x:v>173</x:v>
      </x:c>
      <x:c r="U1389" s="2" t="n">
        <x:v>0</x:v>
      </x:c>
      <x:c r="V1389" s="2" t="n">
        <x:v>4</x:v>
      </x:c>
      <x:c r="W1389" s="2" t="n">
        <x:v>12</x:v>
      </x:c>
      <x:c r="X1389" s="14" t="b">
        <x:v>0</x:v>
      </x:c>
      <x:c r="Y1389" s="14" t="b">
        <x:v>0</x:v>
      </x:c>
      <x:c r="Z1389" s="2" t="n">
        <x:f>ABS(T1389-AA1389)</x:f>
        <x:v>0</x:v>
      </x:c>
      <x:c r="AA1389" s="2" t="n">
        <x:v>173</x:v>
      </x:c>
      <x:c r="AB1389" s="2" t="n">
        <x:f>ABS(K1389-W1389)</x:f>
        <x:v>1</x:v>
      </x:c>
      <x:c r="AC1389" s="2" t="n">
        <x:f>COUNTIF($A$2:$A$1921,A1389)-1</x:f>
        <x:v>0</x:v>
      </x:c>
      <x:c r="AD1389" s="2" t="n">
        <x:f>IF(AND(D1389=D1388,H1389=H1388,C1389=C1388+1),ABS(R1389-T1388),0)</x:f>
        <x:v>0</x:v>
      </x:c>
    </x:row>
    <x:row r="1390" ht="23" customHeight="1">
      <x:c r="A1390" s="2" t="str">
        <x:v>DEMO-306-1-9</x:v>
      </x:c>
      <x:c r="B1390" s="15" t="d">
        <x:v>2026-06-29T00:00:00.000Z</x:v>
      </x:c>
      <x:c r="C1390" s="2" t="n">
        <x:v>9</x:v>
      </x:c>
      <x:c r="D1390" s="2" t="str">
        <x:v>DEMO-306</x:v>
      </x:c>
      <x:c r="E1390" s="2" t="str">
        <x:v>Nest Cushion</x:v>
      </x:c>
      <x:c r="F1390" s="2" t="str">
        <x:v>Lifestyle</x:v>
      </x:c>
      <x:c r="G1390" s="2" t="str">
        <x:v>Stores</x:v>
      </x:c>
      <x:c r="H1390" s="2" t="str">
        <x:v>Riverside</x:v>
      </x:c>
      <x:c r="I1390" s="2" t="n">
        <x:v>10</x:v>
      </x:c>
      <x:c r="J1390" s="2" t="n">
        <x:v>0</x:v>
      </x:c>
      <x:c r="K1390" s="2" t="n">
        <x:f>I1390-J1390</x:f>
        <x:v>10</x:v>
      </x:c>
      <x:c r="L1390" s="16" t="n">
        <x:v>34</x:v>
      </x:c>
      <x:c r="M1390" s="16" t="n">
        <x:v>34</x:v>
      </x:c>
      <x:c r="N1390" s="16" t="n">
        <x:v>16.49</x:v>
      </x:c>
      <x:c r="O1390" s="16" t="n">
        <x:f>K1390*M1390</x:f>
        <x:v>340</x:v>
      </x:c>
      <x:c r="P1390" s="16" t="n">
        <x:f>K1390*N1390</x:f>
        <x:v>164.89999999999998</x:v>
      </x:c>
      <x:c r="Q1390" s="16" t="n">
        <x:f>O1390-P1390</x:f>
        <x:v>175.10000000000002</x:v>
      </x:c>
      <x:c r="R1390" s="2" t="n">
        <x:v>173</x:v>
      </x:c>
      <x:c r="S1390" s="2" t="n">
        <x:v>65</x:v>
      </x:c>
      <x:c r="T1390" s="2" t="n">
        <x:f>R1390+S1390+J1390-I1390</x:f>
        <x:v>228</x:v>
      </x:c>
      <x:c r="U1390" s="2" t="n">
        <x:v>0</x:v>
      </x:c>
      <x:c r="V1390" s="2" t="n">
        <x:v>4</x:v>
      </x:c>
      <x:c r="W1390" s="2" t="n">
        <x:v>12</x:v>
      </x:c>
      <x:c r="X1390" s="14" t="b">
        <x:v>0</x:v>
      </x:c>
      <x:c r="Y1390" s="14" t="b">
        <x:v>0</x:v>
      </x:c>
      <x:c r="Z1390" s="2" t="n">
        <x:f>ABS(T1390-AA1390)</x:f>
        <x:v>0</x:v>
      </x:c>
      <x:c r="AA1390" s="2" t="n">
        <x:v>228</x:v>
      </x:c>
      <x:c r="AB1390" s="2" t="n">
        <x:f>ABS(K1390-W1390)</x:f>
        <x:v>2</x:v>
      </x:c>
      <x:c r="AC1390" s="2" t="n">
        <x:f>COUNTIF($A$2:$A$1921,A1390)-1</x:f>
        <x:v>0</x:v>
      </x:c>
      <x:c r="AD1390" s="2" t="n">
        <x:f>IF(AND(D1390=D1389,H1390=H1389,C1390=C1389+1),ABS(R1390-T1389),0)</x:f>
        <x:v>0</x:v>
      </x:c>
    </x:row>
    <x:row r="1391" ht="23" customHeight="1">
      <x:c r="A1391" s="2" t="str">
        <x:v>DEMO-306-1-10</x:v>
      </x:c>
      <x:c r="B1391" s="15" t="d">
        <x:v>2026-07-06T00:00:00.000Z</x:v>
      </x:c>
      <x:c r="C1391" s="2" t="n">
        <x:v>10</x:v>
      </x:c>
      <x:c r="D1391" s="2" t="str">
        <x:v>DEMO-306</x:v>
      </x:c>
      <x:c r="E1391" s="2" t="str">
        <x:v>Nest Cushion</x:v>
      </x:c>
      <x:c r="F1391" s="2" t="str">
        <x:v>Lifestyle</x:v>
      </x:c>
      <x:c r="G1391" s="2" t="str">
        <x:v>Stores</x:v>
      </x:c>
      <x:c r="H1391" s="2" t="str">
        <x:v>Riverside</x:v>
      </x:c>
      <x:c r="I1391" s="2" t="n">
        <x:v>9</x:v>
      </x:c>
      <x:c r="J1391" s="2" t="n">
        <x:v>0</x:v>
      </x:c>
      <x:c r="K1391" s="2" t="n">
        <x:f>I1391-J1391</x:f>
        <x:v>9</x:v>
      </x:c>
      <x:c r="L1391" s="16" t="n">
        <x:v>34</x:v>
      </x:c>
      <x:c r="M1391" s="16" t="n">
        <x:v>34</x:v>
      </x:c>
      <x:c r="N1391" s="16" t="n">
        <x:v>16.49</x:v>
      </x:c>
      <x:c r="O1391" s="16" t="n">
        <x:f>K1391*M1391</x:f>
        <x:v>306</x:v>
      </x:c>
      <x:c r="P1391" s="16" t="n">
        <x:f>K1391*N1391</x:f>
        <x:v>148.41</x:v>
      </x:c>
      <x:c r="Q1391" s="16" t="n">
        <x:f>O1391-P1391</x:f>
        <x:v>157.59</x:v>
      </x:c>
      <x:c r="R1391" s="2" t="n">
        <x:v>228</x:v>
      </x:c>
      <x:c r="S1391" s="2" t="n">
        <x:v>0</x:v>
      </x:c>
      <x:c r="T1391" s="2" t="n">
        <x:f>R1391+S1391+J1391-I1391</x:f>
        <x:v>219</x:v>
      </x:c>
      <x:c r="U1391" s="2" t="n">
        <x:v>0</x:v>
      </x:c>
      <x:c r="V1391" s="2" t="n">
        <x:v>4</x:v>
      </x:c>
      <x:c r="W1391" s="2" t="n">
        <x:v>11</x:v>
      </x:c>
      <x:c r="X1391" s="14" t="b">
        <x:v>0</x:v>
      </x:c>
      <x:c r="Y1391" s="14" t="b">
        <x:v>0</x:v>
      </x:c>
      <x:c r="Z1391" s="2" t="n">
        <x:f>ABS(T1391-AA1391)</x:f>
        <x:v>0</x:v>
      </x:c>
      <x:c r="AA1391" s="2" t="n">
        <x:v>219</x:v>
      </x:c>
      <x:c r="AB1391" s="2" t="n">
        <x:f>ABS(K1391-W1391)</x:f>
        <x:v>2</x:v>
      </x:c>
      <x:c r="AC1391" s="2" t="n">
        <x:f>COUNTIF($A$2:$A$1921,A1391)-1</x:f>
        <x:v>0</x:v>
      </x:c>
      <x:c r="AD1391" s="2" t="n">
        <x:f>IF(AND(D1391=D1390,H1391=H1390,C1391=C1390+1),ABS(R1391-T1390),0)</x:f>
        <x:v>0</x:v>
      </x:c>
    </x:row>
    <x:row r="1392" ht="23" customHeight="1">
      <x:c r="A1392" s="2" t="str">
        <x:v>DEMO-306-1-11</x:v>
      </x:c>
      <x:c r="B1392" s="15" t="d">
        <x:v>2026-07-13T00:00:00.000Z</x:v>
      </x:c>
      <x:c r="C1392" s="2" t="n">
        <x:v>11</x:v>
      </x:c>
      <x:c r="D1392" s="2" t="str">
        <x:v>DEMO-306</x:v>
      </x:c>
      <x:c r="E1392" s="2" t="str">
        <x:v>Nest Cushion</x:v>
      </x:c>
      <x:c r="F1392" s="2" t="str">
        <x:v>Lifestyle</x:v>
      </x:c>
      <x:c r="G1392" s="2" t="str">
        <x:v>Stores</x:v>
      </x:c>
      <x:c r="H1392" s="2" t="str">
        <x:v>Riverside</x:v>
      </x:c>
      <x:c r="I1392" s="2" t="n">
        <x:v>9</x:v>
      </x:c>
      <x:c r="J1392" s="2" t="n">
        <x:v>0</x:v>
      </x:c>
      <x:c r="K1392" s="2" t="n">
        <x:f>I1392-J1392</x:f>
        <x:v>9</x:v>
      </x:c>
      <x:c r="L1392" s="16" t="n">
        <x:v>34</x:v>
      </x:c>
      <x:c r="M1392" s="16" t="n">
        <x:v>34</x:v>
      </x:c>
      <x:c r="N1392" s="16" t="n">
        <x:v>16.49</x:v>
      </x:c>
      <x:c r="O1392" s="16" t="n">
        <x:f>K1392*M1392</x:f>
        <x:v>306</x:v>
      </x:c>
      <x:c r="P1392" s="16" t="n">
        <x:f>K1392*N1392</x:f>
        <x:v>148.41</x:v>
      </x:c>
      <x:c r="Q1392" s="16" t="n">
        <x:f>O1392-P1392</x:f>
        <x:v>157.59</x:v>
      </x:c>
      <x:c r="R1392" s="2" t="n">
        <x:v>219</x:v>
      </x:c>
      <x:c r="S1392" s="2" t="n">
        <x:v>0</x:v>
      </x:c>
      <x:c r="T1392" s="2" t="n">
        <x:f>R1392+S1392+J1392-I1392</x:f>
        <x:v>210</x:v>
      </x:c>
      <x:c r="U1392" s="2" t="n">
        <x:v>0</x:v>
      </x:c>
      <x:c r="V1392" s="2" t="n">
        <x:v>4</x:v>
      </x:c>
      <x:c r="W1392" s="2" t="n">
        <x:v>10</x:v>
      </x:c>
      <x:c r="X1392" s="14" t="b">
        <x:v>0</x:v>
      </x:c>
      <x:c r="Y1392" s="14" t="b">
        <x:v>0</x:v>
      </x:c>
      <x:c r="Z1392" s="2" t="n">
        <x:f>ABS(T1392-AA1392)</x:f>
        <x:v>0</x:v>
      </x:c>
      <x:c r="AA1392" s="2" t="n">
        <x:v>210</x:v>
      </x:c>
      <x:c r="AB1392" s="2" t="n">
        <x:f>ABS(K1392-W1392)</x:f>
        <x:v>1</x:v>
      </x:c>
      <x:c r="AC1392" s="2" t="n">
        <x:f>COUNTIF($A$2:$A$1921,A1392)-1</x:f>
        <x:v>0</x:v>
      </x:c>
      <x:c r="AD1392" s="2" t="n">
        <x:f>IF(AND(D1392=D1391,H1392=H1391,C1392=C1391+1),ABS(R1392-T1391),0)</x:f>
        <x:v>0</x:v>
      </x:c>
    </x:row>
    <x:row r="1393" ht="23" customHeight="1">
      <x:c r="A1393" s="2" t="str">
        <x:v>DEMO-306-1-12</x:v>
      </x:c>
      <x:c r="B1393" s="15" t="d">
        <x:v>2026-07-20T00:00:00.000Z</x:v>
      </x:c>
      <x:c r="C1393" s="2" t="n">
        <x:v>12</x:v>
      </x:c>
      <x:c r="D1393" s="2" t="str">
        <x:v>DEMO-306</x:v>
      </x:c>
      <x:c r="E1393" s="2" t="str">
        <x:v>Nest Cushion</x:v>
      </x:c>
      <x:c r="F1393" s="2" t="str">
        <x:v>Lifestyle</x:v>
      </x:c>
      <x:c r="G1393" s="2" t="str">
        <x:v>Stores</x:v>
      </x:c>
      <x:c r="H1393" s="2" t="str">
        <x:v>Riverside</x:v>
      </x:c>
      <x:c r="I1393" s="2" t="n">
        <x:v>11</x:v>
      </x:c>
      <x:c r="J1393" s="2" t="n">
        <x:v>0</x:v>
      </x:c>
      <x:c r="K1393" s="2" t="n">
        <x:f>I1393-J1393</x:f>
        <x:v>11</x:v>
      </x:c>
      <x:c r="L1393" s="16" t="n">
        <x:v>34</x:v>
      </x:c>
      <x:c r="M1393" s="16" t="n">
        <x:v>34</x:v>
      </x:c>
      <x:c r="N1393" s="16" t="n">
        <x:v>16.49</x:v>
      </x:c>
      <x:c r="O1393" s="16" t="n">
        <x:f>K1393*M1393</x:f>
        <x:v>374</x:v>
      </x:c>
      <x:c r="P1393" s="16" t="n">
        <x:f>K1393*N1393</x:f>
        <x:v>181.39</x:v>
      </x:c>
      <x:c r="Q1393" s="16" t="n">
        <x:f>O1393-P1393</x:f>
        <x:v>192.61</x:v>
      </x:c>
      <x:c r="R1393" s="2" t="n">
        <x:v>210</x:v>
      </x:c>
      <x:c r="S1393" s="2" t="n">
        <x:v>0</x:v>
      </x:c>
      <x:c r="T1393" s="2" t="n">
        <x:f>R1393+S1393+J1393-I1393</x:f>
        <x:v>199</x:v>
      </x:c>
      <x:c r="U1393" s="2" t="n">
        <x:v>0</x:v>
      </x:c>
      <x:c r="V1393" s="2" t="n">
        <x:v>4</x:v>
      </x:c>
      <x:c r="W1393" s="2" t="n">
        <x:v>10</x:v>
      </x:c>
      <x:c r="X1393" s="14" t="b">
        <x:v>0</x:v>
      </x:c>
      <x:c r="Y1393" s="14" t="b">
        <x:v>0</x:v>
      </x:c>
      <x:c r="Z1393" s="2" t="n">
        <x:f>ABS(T1393-AA1393)</x:f>
        <x:v>0</x:v>
      </x:c>
      <x:c r="AA1393" s="2" t="n">
        <x:v>199</x:v>
      </x:c>
      <x:c r="AB1393" s="2" t="n">
        <x:f>ABS(K1393-W1393)</x:f>
        <x:v>1</x:v>
      </x:c>
      <x:c r="AC1393" s="2" t="n">
        <x:f>COUNTIF($A$2:$A$1921,A1393)-1</x:f>
        <x:v>0</x:v>
      </x:c>
      <x:c r="AD1393" s="2" t="n">
        <x:f>IF(AND(D1393=D1392,H1393=H1392,C1393=C1392+1),ABS(R1393-T1392),0)</x:f>
        <x:v>0</x:v>
      </x:c>
    </x:row>
    <x:row r="1394" ht="23" customHeight="1">
      <x:c r="A1394" s="2" t="str">
        <x:v>DEMO-306-1-13</x:v>
      </x:c>
      <x:c r="B1394" s="15" t="d">
        <x:v>2026-07-27T00:00:00.000Z</x:v>
      </x:c>
      <x:c r="C1394" s="2" t="n">
        <x:v>13</x:v>
      </x:c>
      <x:c r="D1394" s="2" t="str">
        <x:v>DEMO-306</x:v>
      </x:c>
      <x:c r="E1394" s="2" t="str">
        <x:v>Nest Cushion</x:v>
      </x:c>
      <x:c r="F1394" s="2" t="str">
        <x:v>Lifestyle</x:v>
      </x:c>
      <x:c r="G1394" s="2" t="str">
        <x:v>Stores</x:v>
      </x:c>
      <x:c r="H1394" s="2" t="str">
        <x:v>Riverside</x:v>
      </x:c>
      <x:c r="I1394" s="2" t="n">
        <x:v>9</x:v>
      </x:c>
      <x:c r="J1394" s="2" t="n">
        <x:v>0</x:v>
      </x:c>
      <x:c r="K1394" s="2" t="n">
        <x:f>I1394-J1394</x:f>
        <x:v>9</x:v>
      </x:c>
      <x:c r="L1394" s="16" t="n">
        <x:v>34</x:v>
      </x:c>
      <x:c r="M1394" s="16" t="n">
        <x:v>34</x:v>
      </x:c>
      <x:c r="N1394" s="16" t="n">
        <x:v>16.49</x:v>
      </x:c>
      <x:c r="O1394" s="16" t="n">
        <x:f>K1394*M1394</x:f>
        <x:v>306</x:v>
      </x:c>
      <x:c r="P1394" s="16" t="n">
        <x:f>K1394*N1394</x:f>
        <x:v>148.41</x:v>
      </x:c>
      <x:c r="Q1394" s="16" t="n">
        <x:f>O1394-P1394</x:f>
        <x:v>157.59</x:v>
      </x:c>
      <x:c r="R1394" s="2" t="n">
        <x:v>199</x:v>
      </x:c>
      <x:c r="S1394" s="2" t="n">
        <x:v>65</x:v>
      </x:c>
      <x:c r="T1394" s="2" t="n">
        <x:f>R1394+S1394+J1394-I1394</x:f>
        <x:v>255</x:v>
      </x:c>
      <x:c r="U1394" s="2" t="n">
        <x:v>0</x:v>
      </x:c>
      <x:c r="V1394" s="2" t="n">
        <x:v>4</x:v>
      </x:c>
      <x:c r="W1394" s="2" t="n">
        <x:v>10</x:v>
      </x:c>
      <x:c r="X1394" s="14" t="b">
        <x:v>0</x:v>
      </x:c>
      <x:c r="Y1394" s="14" t="b">
        <x:v>0</x:v>
      </x:c>
      <x:c r="Z1394" s="2" t="n">
        <x:f>ABS(T1394-AA1394)</x:f>
        <x:v>0</x:v>
      </x:c>
      <x:c r="AA1394" s="2" t="n">
        <x:v>255</x:v>
      </x:c>
      <x:c r="AB1394" s="2" t="n">
        <x:f>ABS(K1394-W1394)</x:f>
        <x:v>1</x:v>
      </x:c>
      <x:c r="AC1394" s="2" t="n">
        <x:f>COUNTIF($A$2:$A$1921,A1394)-1</x:f>
        <x:v>0</x:v>
      </x:c>
      <x:c r="AD1394" s="2" t="n">
        <x:f>IF(AND(D1394=D1393,H1394=H1393,C1394=C1393+1),ABS(R1394-T1393),0)</x:f>
        <x:v>0</x:v>
      </x:c>
    </x:row>
    <x:row r="1395" ht="23" customHeight="1">
      <x:c r="A1395" s="2" t="str">
        <x:v>DEMO-306-1-14</x:v>
      </x:c>
      <x:c r="B1395" s="15" t="d">
        <x:v>2026-08-03T00:00:00.000Z</x:v>
      </x:c>
      <x:c r="C1395" s="2" t="n">
        <x:v>14</x:v>
      </x:c>
      <x:c r="D1395" s="2" t="str">
        <x:v>DEMO-306</x:v>
      </x:c>
      <x:c r="E1395" s="2" t="str">
        <x:v>Nest Cushion</x:v>
      </x:c>
      <x:c r="F1395" s="2" t="str">
        <x:v>Lifestyle</x:v>
      </x:c>
      <x:c r="G1395" s="2" t="str">
        <x:v>Stores</x:v>
      </x:c>
      <x:c r="H1395" s="2" t="str">
        <x:v>Riverside</x:v>
      </x:c>
      <x:c r="I1395" s="2" t="n">
        <x:v>9</x:v>
      </x:c>
      <x:c r="J1395" s="2" t="n">
        <x:v>0</x:v>
      </x:c>
      <x:c r="K1395" s="2" t="n">
        <x:f>I1395-J1395</x:f>
        <x:v>9</x:v>
      </x:c>
      <x:c r="L1395" s="16" t="n">
        <x:v>34</x:v>
      </x:c>
      <x:c r="M1395" s="16" t="n">
        <x:v>34</x:v>
      </x:c>
      <x:c r="N1395" s="16" t="n">
        <x:v>16.49</x:v>
      </x:c>
      <x:c r="O1395" s="16" t="n">
        <x:f>K1395*M1395</x:f>
        <x:v>306</x:v>
      </x:c>
      <x:c r="P1395" s="16" t="n">
        <x:f>K1395*N1395</x:f>
        <x:v>148.41</x:v>
      </x:c>
      <x:c r="Q1395" s="16" t="n">
        <x:f>O1395-P1395</x:f>
        <x:v>157.59</x:v>
      </x:c>
      <x:c r="R1395" s="2" t="n">
        <x:v>255</x:v>
      </x:c>
      <x:c r="S1395" s="2" t="n">
        <x:v>0</x:v>
      </x:c>
      <x:c r="T1395" s="2" t="n">
        <x:f>R1395+S1395+J1395-I1395</x:f>
        <x:v>246</x:v>
      </x:c>
      <x:c r="U1395" s="2" t="n">
        <x:v>0</x:v>
      </x:c>
      <x:c r="V1395" s="2" t="n">
        <x:v>4</x:v>
      </x:c>
      <x:c r="W1395" s="2" t="n">
        <x:v>10</x:v>
      </x:c>
      <x:c r="X1395" s="14" t="b">
        <x:v>0</x:v>
      </x:c>
      <x:c r="Y1395" s="14" t="b">
        <x:v>0</x:v>
      </x:c>
      <x:c r="Z1395" s="2" t="n">
        <x:f>ABS(T1395-AA1395)</x:f>
        <x:v>0</x:v>
      </x:c>
      <x:c r="AA1395" s="2" t="n">
        <x:v>246</x:v>
      </x:c>
      <x:c r="AB1395" s="2" t="n">
        <x:f>ABS(K1395-W1395)</x:f>
        <x:v>1</x:v>
      </x:c>
      <x:c r="AC1395" s="2" t="n">
        <x:f>COUNTIF($A$2:$A$1921,A1395)-1</x:f>
        <x:v>0</x:v>
      </x:c>
      <x:c r="AD1395" s="2" t="n">
        <x:f>IF(AND(D1395=D1394,H1395=H1394,C1395=C1394+1),ABS(R1395-T1394),0)</x:f>
        <x:v>0</x:v>
      </x:c>
    </x:row>
    <x:row r="1396" ht="23" customHeight="1">
      <x:c r="A1396" s="2" t="str">
        <x:v>DEMO-306-1-15</x:v>
      </x:c>
      <x:c r="B1396" s="15" t="d">
        <x:v>2026-08-10T00:00:00.000Z</x:v>
      </x:c>
      <x:c r="C1396" s="2" t="n">
        <x:v>15</x:v>
      </x:c>
      <x:c r="D1396" s="2" t="str">
        <x:v>DEMO-306</x:v>
      </x:c>
      <x:c r="E1396" s="2" t="str">
        <x:v>Nest Cushion</x:v>
      </x:c>
      <x:c r="F1396" s="2" t="str">
        <x:v>Lifestyle</x:v>
      </x:c>
      <x:c r="G1396" s="2" t="str">
        <x:v>Stores</x:v>
      </x:c>
      <x:c r="H1396" s="2" t="str">
        <x:v>Riverside</x:v>
      </x:c>
      <x:c r="I1396" s="2" t="n">
        <x:v>7</x:v>
      </x:c>
      <x:c r="J1396" s="2" t="n">
        <x:v>1</x:v>
      </x:c>
      <x:c r="K1396" s="2" t="n">
        <x:f>I1396-J1396</x:f>
        <x:v>6</x:v>
      </x:c>
      <x:c r="L1396" s="16" t="n">
        <x:v>34</x:v>
      </x:c>
      <x:c r="M1396" s="16" t="n">
        <x:v>34</x:v>
      </x:c>
      <x:c r="N1396" s="16" t="n">
        <x:v>16.49</x:v>
      </x:c>
      <x:c r="O1396" s="16" t="n">
        <x:f>K1396*M1396</x:f>
        <x:v>204</x:v>
      </x:c>
      <x:c r="P1396" s="16" t="n">
        <x:f>K1396*N1396</x:f>
        <x:v>98.94</x:v>
      </x:c>
      <x:c r="Q1396" s="16" t="n">
        <x:f>O1396-P1396</x:f>
        <x:v>105.06</x:v>
      </x:c>
      <x:c r="R1396" s="2" t="n">
        <x:v>246</x:v>
      </x:c>
      <x:c r="S1396" s="2" t="n">
        <x:v>0</x:v>
      </x:c>
      <x:c r="T1396" s="2" t="n">
        <x:f>R1396+S1396+J1396-I1396</x:f>
        <x:v>240</x:v>
      </x:c>
      <x:c r="U1396" s="2" t="n">
        <x:v>0</x:v>
      </x:c>
      <x:c r="V1396" s="2" t="n">
        <x:v>4</x:v>
      </x:c>
      <x:c r="W1396" s="2" t="n">
        <x:v>10</x:v>
      </x:c>
      <x:c r="X1396" s="14" t="b">
        <x:v>0</x:v>
      </x:c>
      <x:c r="Y1396" s="14" t="b">
        <x:v>0</x:v>
      </x:c>
      <x:c r="Z1396" s="2" t="n">
        <x:f>ABS(T1396-AA1396)</x:f>
        <x:v>0</x:v>
      </x:c>
      <x:c r="AA1396" s="2" t="n">
        <x:v>240</x:v>
      </x:c>
      <x:c r="AB1396" s="2" t="n">
        <x:f>ABS(K1396-W1396)</x:f>
        <x:v>4</x:v>
      </x:c>
      <x:c r="AC1396" s="2" t="n">
        <x:f>COUNTIF($A$2:$A$1921,A1396)-1</x:f>
        <x:v>0</x:v>
      </x:c>
      <x:c r="AD1396" s="2" t="n">
        <x:f>IF(AND(D1396=D1395,H1396=H1395,C1396=C1395+1),ABS(R1396-T1395),0)</x:f>
        <x:v>0</x:v>
      </x:c>
    </x:row>
    <x:row r="1397" ht="23" customHeight="1">
      <x:c r="A1397" s="2" t="str">
        <x:v>DEMO-306-1-16</x:v>
      </x:c>
      <x:c r="B1397" s="15" t="d">
        <x:v>2026-08-17T00:00:00.000Z</x:v>
      </x:c>
      <x:c r="C1397" s="2" t="n">
        <x:v>16</x:v>
      </x:c>
      <x:c r="D1397" s="2" t="str">
        <x:v>DEMO-306</x:v>
      </x:c>
      <x:c r="E1397" s="2" t="str">
        <x:v>Nest Cushion</x:v>
      </x:c>
      <x:c r="F1397" s="2" t="str">
        <x:v>Lifestyle</x:v>
      </x:c>
      <x:c r="G1397" s="2" t="str">
        <x:v>Stores</x:v>
      </x:c>
      <x:c r="H1397" s="2" t="str">
        <x:v>Riverside</x:v>
      </x:c>
      <x:c r="I1397" s="2" t="n">
        <x:v>9</x:v>
      </x:c>
      <x:c r="J1397" s="2" t="n">
        <x:v>0</x:v>
      </x:c>
      <x:c r="K1397" s="2" t="n">
        <x:f>I1397-J1397</x:f>
        <x:v>9</x:v>
      </x:c>
      <x:c r="L1397" s="16" t="n">
        <x:v>34</x:v>
      </x:c>
      <x:c r="M1397" s="16" t="n">
        <x:v>34</x:v>
      </x:c>
      <x:c r="N1397" s="16" t="n">
        <x:v>16.49</x:v>
      </x:c>
      <x:c r="O1397" s="16" t="n">
        <x:f>K1397*M1397</x:f>
        <x:v>306</x:v>
      </x:c>
      <x:c r="P1397" s="16" t="n">
        <x:f>K1397*N1397</x:f>
        <x:v>148.41</x:v>
      </x:c>
      <x:c r="Q1397" s="16" t="n">
        <x:f>O1397-P1397</x:f>
        <x:v>157.59</x:v>
      </x:c>
      <x:c r="R1397" s="2" t="n">
        <x:v>240</x:v>
      </x:c>
      <x:c r="S1397" s="2" t="n">
        <x:v>0</x:v>
      </x:c>
      <x:c r="T1397" s="2" t="n">
        <x:f>R1397+S1397+J1397-I1397</x:f>
        <x:v>231</x:v>
      </x:c>
      <x:c r="U1397" s="2" t="n">
        <x:v>0</x:v>
      </x:c>
      <x:c r="V1397" s="2" t="n">
        <x:v>4</x:v>
      </x:c>
      <x:c r="W1397" s="2" t="n">
        <x:v>9</x:v>
      </x:c>
      <x:c r="X1397" s="14" t="b">
        <x:v>0</x:v>
      </x:c>
      <x:c r="Y1397" s="14" t="b">
        <x:v>0</x:v>
      </x:c>
      <x:c r="Z1397" s="2" t="n">
        <x:f>ABS(T1397-AA1397)</x:f>
        <x:v>0</x:v>
      </x:c>
      <x:c r="AA1397" s="2" t="n">
        <x:v>231</x:v>
      </x:c>
      <x:c r="AB1397" s="2" t="n">
        <x:f>ABS(K1397-W1397)</x:f>
        <x:v>0</x:v>
      </x:c>
      <x:c r="AC1397" s="2" t="n">
        <x:f>COUNTIF($A$2:$A$1921,A1397)-1</x:f>
        <x:v>0</x:v>
      </x:c>
      <x:c r="AD1397" s="2" t="n">
        <x:f>IF(AND(D1397=D1396,H1397=H1396,C1397=C1396+1),ABS(R1397-T1396),0)</x:f>
        <x:v>0</x:v>
      </x:c>
    </x:row>
    <x:row r="1398" ht="23" customHeight="1">
      <x:c r="A1398" s="2" t="str">
        <x:v>DEMO-306-1-17</x:v>
      </x:c>
      <x:c r="B1398" s="15" t="d">
        <x:v>2026-08-24T00:00:00.000Z</x:v>
      </x:c>
      <x:c r="C1398" s="2" t="n">
        <x:v>17</x:v>
      </x:c>
      <x:c r="D1398" s="2" t="str">
        <x:v>DEMO-306</x:v>
      </x:c>
      <x:c r="E1398" s="2" t="str">
        <x:v>Nest Cushion</x:v>
      </x:c>
      <x:c r="F1398" s="2" t="str">
        <x:v>Lifestyle</x:v>
      </x:c>
      <x:c r="G1398" s="2" t="str">
        <x:v>Stores</x:v>
      </x:c>
      <x:c r="H1398" s="2" t="str">
        <x:v>Riverside</x:v>
      </x:c>
      <x:c r="I1398" s="2" t="n">
        <x:v>9</x:v>
      </x:c>
      <x:c r="J1398" s="2" t="n">
        <x:v>1</x:v>
      </x:c>
      <x:c r="K1398" s="2" t="n">
        <x:f>I1398-J1398</x:f>
        <x:v>8</x:v>
      </x:c>
      <x:c r="L1398" s="16" t="n">
        <x:v>34</x:v>
      </x:c>
      <x:c r="M1398" s="16" t="n">
        <x:v>27.2</x:v>
      </x:c>
      <x:c r="N1398" s="16" t="n">
        <x:v>16.49</x:v>
      </x:c>
      <x:c r="O1398" s="16" t="n">
        <x:f>K1398*M1398</x:f>
        <x:v>217.6</x:v>
      </x:c>
      <x:c r="P1398" s="16" t="n">
        <x:f>K1398*N1398</x:f>
        <x:v>131.92</x:v>
      </x:c>
      <x:c r="Q1398" s="16" t="n">
        <x:f>O1398-P1398</x:f>
        <x:v>85.68</x:v>
      </x:c>
      <x:c r="R1398" s="2" t="n">
        <x:v>231</x:v>
      </x:c>
      <x:c r="S1398" s="2" t="n">
        <x:v>65</x:v>
      </x:c>
      <x:c r="T1398" s="2" t="n">
        <x:f>R1398+S1398+J1398-I1398</x:f>
        <x:v>288</x:v>
      </x:c>
      <x:c r="U1398" s="2" t="n">
        <x:v>0</x:v>
      </x:c>
      <x:c r="V1398" s="2" t="n">
        <x:v>4</x:v>
      </x:c>
      <x:c r="W1398" s="2" t="n">
        <x:v>8</x:v>
      </x:c>
      <x:c r="X1398" s="14" t="b">
        <x:v>0</x:v>
      </x:c>
      <x:c r="Y1398" s="14" t="b">
        <x:v>1</x:v>
      </x:c>
      <x:c r="Z1398" s="2" t="n">
        <x:f>ABS(T1398-AA1398)</x:f>
        <x:v>0</x:v>
      </x:c>
      <x:c r="AA1398" s="2" t="n">
        <x:v>288</x:v>
      </x:c>
      <x:c r="AB1398" s="2" t="n">
        <x:f>ABS(K1398-W1398)</x:f>
        <x:v>0</x:v>
      </x:c>
      <x:c r="AC1398" s="2" t="n">
        <x:f>COUNTIF($A$2:$A$1921,A1398)-1</x:f>
        <x:v>0</x:v>
      </x:c>
      <x:c r="AD1398" s="2" t="n">
        <x:f>IF(AND(D1398=D1397,H1398=H1397,C1398=C1397+1),ABS(R1398-T1397),0)</x:f>
        <x:v>0</x:v>
      </x:c>
    </x:row>
    <x:row r="1399" ht="23" customHeight="1">
      <x:c r="A1399" s="2" t="str">
        <x:v>DEMO-306-1-18</x:v>
      </x:c>
      <x:c r="B1399" s="15" t="d">
        <x:v>2026-08-31T00:00:00.000Z</x:v>
      </x:c>
      <x:c r="C1399" s="2" t="n">
        <x:v>18</x:v>
      </x:c>
      <x:c r="D1399" s="2" t="str">
        <x:v>DEMO-306</x:v>
      </x:c>
      <x:c r="E1399" s="2" t="str">
        <x:v>Nest Cushion</x:v>
      </x:c>
      <x:c r="F1399" s="2" t="str">
        <x:v>Lifestyle</x:v>
      </x:c>
      <x:c r="G1399" s="2" t="str">
        <x:v>Stores</x:v>
      </x:c>
      <x:c r="H1399" s="2" t="str">
        <x:v>Riverside</x:v>
      </x:c>
      <x:c r="I1399" s="2" t="n">
        <x:v>8</x:v>
      </x:c>
      <x:c r="J1399" s="2" t="n">
        <x:v>0</x:v>
      </x:c>
      <x:c r="K1399" s="2" t="n">
        <x:f>I1399-J1399</x:f>
        <x:v>8</x:v>
      </x:c>
      <x:c r="L1399" s="16" t="n">
        <x:v>34</x:v>
      </x:c>
      <x:c r="M1399" s="16" t="n">
        <x:v>27.2</x:v>
      </x:c>
      <x:c r="N1399" s="16" t="n">
        <x:v>16.49</x:v>
      </x:c>
      <x:c r="O1399" s="16" t="n">
        <x:f>K1399*M1399</x:f>
        <x:v>217.6</x:v>
      </x:c>
      <x:c r="P1399" s="16" t="n">
        <x:f>K1399*N1399</x:f>
        <x:v>131.92</x:v>
      </x:c>
      <x:c r="Q1399" s="16" t="n">
        <x:f>O1399-P1399</x:f>
        <x:v>85.68</x:v>
      </x:c>
      <x:c r="R1399" s="2" t="n">
        <x:v>288</x:v>
      </x:c>
      <x:c r="S1399" s="2" t="n">
        <x:v>0</x:v>
      </x:c>
      <x:c r="T1399" s="2" t="n">
        <x:f>R1399+S1399+J1399-I1399</x:f>
        <x:v>280</x:v>
      </x:c>
      <x:c r="U1399" s="2" t="n">
        <x:v>0</x:v>
      </x:c>
      <x:c r="V1399" s="2" t="n">
        <x:v>4</x:v>
      </x:c>
      <x:c r="W1399" s="2" t="n">
        <x:v>8</x:v>
      </x:c>
      <x:c r="X1399" s="14" t="b">
        <x:v>0</x:v>
      </x:c>
      <x:c r="Y1399" s="14" t="b">
        <x:v>1</x:v>
      </x:c>
      <x:c r="Z1399" s="2" t="n">
        <x:f>ABS(T1399-AA1399)</x:f>
        <x:v>0</x:v>
      </x:c>
      <x:c r="AA1399" s="2" t="n">
        <x:v>280</x:v>
      </x:c>
      <x:c r="AB1399" s="2" t="n">
        <x:f>ABS(K1399-W1399)</x:f>
        <x:v>0</x:v>
      </x:c>
      <x:c r="AC1399" s="2" t="n">
        <x:f>COUNTIF($A$2:$A$1921,A1399)-1</x:f>
        <x:v>0</x:v>
      </x:c>
      <x:c r="AD1399" s="2" t="n">
        <x:f>IF(AND(D1399=D1398,H1399=H1398,C1399=C1398+1),ABS(R1399-T1398),0)</x:f>
        <x:v>0</x:v>
      </x:c>
    </x:row>
    <x:row r="1400" ht="23" customHeight="1">
      <x:c r="A1400" s="2" t="str">
        <x:v>DEMO-306-1-19</x:v>
      </x:c>
      <x:c r="B1400" s="15" t="d">
        <x:v>2026-09-07T00:00:00.000Z</x:v>
      </x:c>
      <x:c r="C1400" s="2" t="n">
        <x:v>19</x:v>
      </x:c>
      <x:c r="D1400" s="2" t="str">
        <x:v>DEMO-306</x:v>
      </x:c>
      <x:c r="E1400" s="2" t="str">
        <x:v>Nest Cushion</x:v>
      </x:c>
      <x:c r="F1400" s="2" t="str">
        <x:v>Lifestyle</x:v>
      </x:c>
      <x:c r="G1400" s="2" t="str">
        <x:v>Stores</x:v>
      </x:c>
      <x:c r="H1400" s="2" t="str">
        <x:v>Riverside</x:v>
      </x:c>
      <x:c r="I1400" s="2" t="n">
        <x:v>9</x:v>
      </x:c>
      <x:c r="J1400" s="2" t="n">
        <x:v>0</x:v>
      </x:c>
      <x:c r="K1400" s="2" t="n">
        <x:f>I1400-J1400</x:f>
        <x:v>9</x:v>
      </x:c>
      <x:c r="L1400" s="16" t="n">
        <x:v>34</x:v>
      </x:c>
      <x:c r="M1400" s="16" t="n">
        <x:v>27.2</x:v>
      </x:c>
      <x:c r="N1400" s="16" t="n">
        <x:v>16.49</x:v>
      </x:c>
      <x:c r="O1400" s="16" t="n">
        <x:f>K1400*M1400</x:f>
        <x:v>244.79999999999998</x:v>
      </x:c>
      <x:c r="P1400" s="16" t="n">
        <x:f>K1400*N1400</x:f>
        <x:v>148.41</x:v>
      </x:c>
      <x:c r="Q1400" s="16" t="n">
        <x:f>O1400-P1400</x:f>
        <x:v>96.38999999999999</x:v>
      </x:c>
      <x:c r="R1400" s="2" t="n">
        <x:v>280</x:v>
      </x:c>
      <x:c r="S1400" s="2" t="n">
        <x:v>0</x:v>
      </x:c>
      <x:c r="T1400" s="2" t="n">
        <x:f>R1400+S1400+J1400-I1400</x:f>
        <x:v>271</x:v>
      </x:c>
      <x:c r="U1400" s="2" t="n">
        <x:v>0</x:v>
      </x:c>
      <x:c r="V1400" s="2" t="n">
        <x:v>4</x:v>
      </x:c>
      <x:c r="W1400" s="2" t="n">
        <x:v>8</x:v>
      </x:c>
      <x:c r="X1400" s="14" t="b">
        <x:v>0</x:v>
      </x:c>
      <x:c r="Y1400" s="14" t="b">
        <x:v>1</x:v>
      </x:c>
      <x:c r="Z1400" s="2" t="n">
        <x:f>ABS(T1400-AA1400)</x:f>
        <x:v>0</x:v>
      </x:c>
      <x:c r="AA1400" s="2" t="n">
        <x:v>271</x:v>
      </x:c>
      <x:c r="AB1400" s="2" t="n">
        <x:f>ABS(K1400-W1400)</x:f>
        <x:v>1</x:v>
      </x:c>
      <x:c r="AC1400" s="2" t="n">
        <x:f>COUNTIF($A$2:$A$1921,A1400)-1</x:f>
        <x:v>0</x:v>
      </x:c>
      <x:c r="AD1400" s="2" t="n">
        <x:f>IF(AND(D1400=D1399,H1400=H1399,C1400=C1399+1),ABS(R1400-T1399),0)</x:f>
        <x:v>0</x:v>
      </x:c>
    </x:row>
    <x:row r="1401" ht="23" customHeight="1">
      <x:c r="A1401" s="2" t="str">
        <x:v>DEMO-306-1-20</x:v>
      </x:c>
      <x:c r="B1401" s="15" t="d">
        <x:v>2026-09-14T00:00:00.000Z</x:v>
      </x:c>
      <x:c r="C1401" s="2" t="n">
        <x:v>20</x:v>
      </x:c>
      <x:c r="D1401" s="2" t="str">
        <x:v>DEMO-306</x:v>
      </x:c>
      <x:c r="E1401" s="2" t="str">
        <x:v>Nest Cushion</x:v>
      </x:c>
      <x:c r="F1401" s="2" t="str">
        <x:v>Lifestyle</x:v>
      </x:c>
      <x:c r="G1401" s="2" t="str">
        <x:v>Stores</x:v>
      </x:c>
      <x:c r="H1401" s="2" t="str">
        <x:v>Riverside</x:v>
      </x:c>
      <x:c r="I1401" s="2" t="n">
        <x:v>9</x:v>
      </x:c>
      <x:c r="J1401" s="2" t="n">
        <x:v>0</x:v>
      </x:c>
      <x:c r="K1401" s="2" t="n">
        <x:f>I1401-J1401</x:f>
        <x:v>9</x:v>
      </x:c>
      <x:c r="L1401" s="16" t="n">
        <x:v>34</x:v>
      </x:c>
      <x:c r="M1401" s="16" t="n">
        <x:v>27.2</x:v>
      </x:c>
      <x:c r="N1401" s="16" t="n">
        <x:v>16.49</x:v>
      </x:c>
      <x:c r="O1401" s="16" t="n">
        <x:f>K1401*M1401</x:f>
        <x:v>244.79999999999998</x:v>
      </x:c>
      <x:c r="P1401" s="16" t="n">
        <x:f>K1401*N1401</x:f>
        <x:v>148.41</x:v>
      </x:c>
      <x:c r="Q1401" s="16" t="n">
        <x:f>O1401-P1401</x:f>
        <x:v>96.38999999999999</x:v>
      </x:c>
      <x:c r="R1401" s="2" t="n">
        <x:v>271</x:v>
      </x:c>
      <x:c r="S1401" s="2" t="n">
        <x:v>0</x:v>
      </x:c>
      <x:c r="T1401" s="2" t="n">
        <x:f>R1401+S1401+J1401-I1401</x:f>
        <x:v>262</x:v>
      </x:c>
      <x:c r="U1401" s="2" t="n">
        <x:v>24</x:v>
      </x:c>
      <x:c r="V1401" s="2" t="n">
        <x:v>4</x:v>
      </x:c>
      <x:c r="W1401" s="2" t="n">
        <x:v>9</x:v>
      </x:c>
      <x:c r="X1401" s="14" t="b">
        <x:v>0</x:v>
      </x:c>
      <x:c r="Y1401" s="14" t="b">
        <x:v>1</x:v>
      </x:c>
      <x:c r="Z1401" s="2" t="n">
        <x:f>ABS(T1401-AA1401)</x:f>
        <x:v>0</x:v>
      </x:c>
      <x:c r="AA1401" s="2" t="n">
        <x:v>262</x:v>
      </x:c>
      <x:c r="AB1401" s="2" t="n">
        <x:f>ABS(K1401-W1401)</x:f>
        <x:v>0</x:v>
      </x:c>
      <x:c r="AC1401" s="2" t="n">
        <x:f>COUNTIF($A$2:$A$1921,A1401)-1</x:f>
        <x:v>0</x:v>
      </x:c>
      <x:c r="AD1401" s="2" t="n">
        <x:f>IF(AND(D1401=D1400,H1401=H1400,C1401=C1400+1),ABS(R1401-T1400),0)</x:f>
        <x:v>0</x:v>
      </x:c>
    </x:row>
    <x:row r="1402" ht="23" customHeight="1">
      <x:c r="A1402" s="2" t="str">
        <x:v>DEMO-306-2-1</x:v>
      </x:c>
      <x:c r="B1402" s="15" t="d">
        <x:v>2026-05-04T00:00:00.000Z</x:v>
      </x:c>
      <x:c r="C1402" s="2" t="n">
        <x:v>1</x:v>
      </x:c>
      <x:c r="D1402" s="2" t="str">
        <x:v>DEMO-306</x:v>
      </x:c>
      <x:c r="E1402" s="2" t="str">
        <x:v>Nest Cushion</x:v>
      </x:c>
      <x:c r="F1402" s="2" t="str">
        <x:v>Lifestyle</x:v>
      </x:c>
      <x:c r="G1402" s="2" t="str">
        <x:v>Stores</x:v>
      </x:c>
      <x:c r="H1402" s="2" t="str">
        <x:v>Central Market</x:v>
      </x:c>
      <x:c r="I1402" s="2" t="n">
        <x:v>16</x:v>
      </x:c>
      <x:c r="J1402" s="2" t="n">
        <x:v>0</x:v>
      </x:c>
      <x:c r="K1402" s="2" t="n">
        <x:f>I1402-J1402</x:f>
        <x:v>16</x:v>
      </x:c>
      <x:c r="L1402" s="16" t="n">
        <x:v>34</x:v>
      </x:c>
      <x:c r="M1402" s="16" t="n">
        <x:v>34</x:v>
      </x:c>
      <x:c r="N1402" s="16" t="n">
        <x:v>16.49</x:v>
      </x:c>
      <x:c r="O1402" s="16" t="n">
        <x:f>K1402*M1402</x:f>
        <x:v>544</x:v>
      </x:c>
      <x:c r="P1402" s="16" t="n">
        <x:f>K1402*N1402</x:f>
        <x:v>263.84</x:v>
      </x:c>
      <x:c r="Q1402" s="16" t="n">
        <x:f>O1402-P1402</x:f>
        <x:v>280.16</x:v>
      </x:c>
      <x:c r="R1402" s="2" t="n">
        <x:v>140</x:v>
      </x:c>
      <x:c r="S1402" s="2" t="n">
        <x:v>65</x:v>
      </x:c>
      <x:c r="T1402" s="2" t="n">
        <x:f>R1402+S1402+J1402-I1402</x:f>
        <x:v>189</x:v>
      </x:c>
      <x:c r="U1402" s="2" t="n">
        <x:v>0</x:v>
      </x:c>
      <x:c r="V1402" s="2" t="n">
        <x:v>4</x:v>
      </x:c>
      <x:c r="W1402" s="2" t="n">
        <x:v>14</x:v>
      </x:c>
      <x:c r="X1402" s="14" t="b">
        <x:v>0</x:v>
      </x:c>
      <x:c r="Y1402" s="14" t="b">
        <x:v>0</x:v>
      </x:c>
      <x:c r="Z1402" s="2" t="n">
        <x:f>ABS(T1402-AA1402)</x:f>
        <x:v>0</x:v>
      </x:c>
      <x:c r="AA1402" s="2" t="n">
        <x:v>189</x:v>
      </x:c>
      <x:c r="AB1402" s="2" t="n">
        <x:f>ABS(K1402-W1402)</x:f>
        <x:v>2</x:v>
      </x:c>
      <x:c r="AC1402" s="2" t="n">
        <x:f>COUNTIF($A$2:$A$1921,A1402)-1</x:f>
        <x:v>0</x:v>
      </x:c>
      <x:c r="AD1402" s="2" t="n">
        <x:f>IF(AND(D1402=D1401,H1402=H1401,C1402=C1401+1),ABS(R1402-T1401),0)</x:f>
        <x:v>0</x:v>
      </x:c>
    </x:row>
    <x:row r="1403" ht="23" customHeight="1">
      <x:c r="A1403" s="2" t="str">
        <x:v>DEMO-306-2-2</x:v>
      </x:c>
      <x:c r="B1403" s="15" t="d">
        <x:v>2026-05-11T00:00:00.000Z</x:v>
      </x:c>
      <x:c r="C1403" s="2" t="n">
        <x:v>2</x:v>
      </x:c>
      <x:c r="D1403" s="2" t="str">
        <x:v>DEMO-306</x:v>
      </x:c>
      <x:c r="E1403" s="2" t="str">
        <x:v>Nest Cushion</x:v>
      </x:c>
      <x:c r="F1403" s="2" t="str">
        <x:v>Lifestyle</x:v>
      </x:c>
      <x:c r="G1403" s="2" t="str">
        <x:v>Stores</x:v>
      </x:c>
      <x:c r="H1403" s="2" t="str">
        <x:v>Central Market</x:v>
      </x:c>
      <x:c r="I1403" s="2" t="n">
        <x:v>12</x:v>
      </x:c>
      <x:c r="J1403" s="2" t="n">
        <x:v>0</x:v>
      </x:c>
      <x:c r="K1403" s="2" t="n">
        <x:f>I1403-J1403</x:f>
        <x:v>12</x:v>
      </x:c>
      <x:c r="L1403" s="16" t="n">
        <x:v>34</x:v>
      </x:c>
      <x:c r="M1403" s="16" t="n">
        <x:v>34</x:v>
      </x:c>
      <x:c r="N1403" s="16" t="n">
        <x:v>16.49</x:v>
      </x:c>
      <x:c r="O1403" s="16" t="n">
        <x:f>K1403*M1403</x:f>
        <x:v>408</x:v>
      </x:c>
      <x:c r="P1403" s="16" t="n">
        <x:f>K1403*N1403</x:f>
        <x:v>197.88</x:v>
      </x:c>
      <x:c r="Q1403" s="16" t="n">
        <x:f>O1403-P1403</x:f>
        <x:v>210.12</x:v>
      </x:c>
      <x:c r="R1403" s="2" t="n">
        <x:v>189</x:v>
      </x:c>
      <x:c r="S1403" s="2" t="n">
        <x:v>0</x:v>
      </x:c>
      <x:c r="T1403" s="2" t="n">
        <x:f>R1403+S1403+J1403-I1403</x:f>
        <x:v>177</x:v>
      </x:c>
      <x:c r="U1403" s="2" t="n">
        <x:v>0</x:v>
      </x:c>
      <x:c r="V1403" s="2" t="n">
        <x:v>4</x:v>
      </x:c>
      <x:c r="W1403" s="2" t="n">
        <x:v>16</x:v>
      </x:c>
      <x:c r="X1403" s="14" t="b">
        <x:v>0</x:v>
      </x:c>
      <x:c r="Y1403" s="14" t="b">
        <x:v>0</x:v>
      </x:c>
      <x:c r="Z1403" s="2" t="n">
        <x:f>ABS(T1403-AA1403)</x:f>
        <x:v>0</x:v>
      </x:c>
      <x:c r="AA1403" s="2" t="n">
        <x:v>177</x:v>
      </x:c>
      <x:c r="AB1403" s="2" t="n">
        <x:f>ABS(K1403-W1403)</x:f>
        <x:v>4</x:v>
      </x:c>
      <x:c r="AC1403" s="2" t="n">
        <x:f>COUNTIF($A$2:$A$1921,A1403)-1</x:f>
        <x:v>0</x:v>
      </x:c>
      <x:c r="AD1403" s="2" t="n">
        <x:f>IF(AND(D1403=D1402,H1403=H1402,C1403=C1402+1),ABS(R1403-T1402),0)</x:f>
        <x:v>0</x:v>
      </x:c>
    </x:row>
    <x:row r="1404" ht="23" customHeight="1">
      <x:c r="A1404" s="2" t="str">
        <x:v>DEMO-306-2-3</x:v>
      </x:c>
      <x:c r="B1404" s="15" t="d">
        <x:v>2026-05-18T00:00:00.000Z</x:v>
      </x:c>
      <x:c r="C1404" s="2" t="n">
        <x:v>3</x:v>
      </x:c>
      <x:c r="D1404" s="2" t="str">
        <x:v>DEMO-306</x:v>
      </x:c>
      <x:c r="E1404" s="2" t="str">
        <x:v>Nest Cushion</x:v>
      </x:c>
      <x:c r="F1404" s="2" t="str">
        <x:v>Lifestyle</x:v>
      </x:c>
      <x:c r="G1404" s="2" t="str">
        <x:v>Stores</x:v>
      </x:c>
      <x:c r="H1404" s="2" t="str">
        <x:v>Central Market</x:v>
      </x:c>
      <x:c r="I1404" s="2" t="n">
        <x:v>13</x:v>
      </x:c>
      <x:c r="J1404" s="2" t="n">
        <x:v>0</x:v>
      </x:c>
      <x:c r="K1404" s="2" t="n">
        <x:f>I1404-J1404</x:f>
        <x:v>13</x:v>
      </x:c>
      <x:c r="L1404" s="16" t="n">
        <x:v>34</x:v>
      </x:c>
      <x:c r="M1404" s="16" t="n">
        <x:v>34</x:v>
      </x:c>
      <x:c r="N1404" s="16" t="n">
        <x:v>16.49</x:v>
      </x:c>
      <x:c r="O1404" s="16" t="n">
        <x:f>K1404*M1404</x:f>
        <x:v>442</x:v>
      </x:c>
      <x:c r="P1404" s="16" t="n">
        <x:f>K1404*N1404</x:f>
        <x:v>214.36999999999998</x:v>
      </x:c>
      <x:c r="Q1404" s="16" t="n">
        <x:f>O1404-P1404</x:f>
        <x:v>227.63000000000002</x:v>
      </x:c>
      <x:c r="R1404" s="2" t="n">
        <x:v>177</x:v>
      </x:c>
      <x:c r="S1404" s="2" t="n">
        <x:v>0</x:v>
      </x:c>
      <x:c r="T1404" s="2" t="n">
        <x:f>R1404+S1404+J1404-I1404</x:f>
        <x:v>164</x:v>
      </x:c>
      <x:c r="U1404" s="2" t="n">
        <x:v>0</x:v>
      </x:c>
      <x:c r="V1404" s="2" t="n">
        <x:v>4</x:v>
      </x:c>
      <x:c r="W1404" s="2" t="n">
        <x:v>14</x:v>
      </x:c>
      <x:c r="X1404" s="14" t="b">
        <x:v>0</x:v>
      </x:c>
      <x:c r="Y1404" s="14" t="b">
        <x:v>0</x:v>
      </x:c>
      <x:c r="Z1404" s="2" t="n">
        <x:f>ABS(T1404-AA1404)</x:f>
        <x:v>0</x:v>
      </x:c>
      <x:c r="AA1404" s="2" t="n">
        <x:v>164</x:v>
      </x:c>
      <x:c r="AB1404" s="2" t="n">
        <x:f>ABS(K1404-W1404)</x:f>
        <x:v>1</x:v>
      </x:c>
      <x:c r="AC1404" s="2" t="n">
        <x:f>COUNTIF($A$2:$A$1921,A1404)-1</x:f>
        <x:v>0</x:v>
      </x:c>
      <x:c r="AD1404" s="2" t="n">
        <x:f>IF(AND(D1404=D1403,H1404=H1403,C1404=C1403+1),ABS(R1404-T1403),0)</x:f>
        <x:v>0</x:v>
      </x:c>
    </x:row>
    <x:row r="1405" ht="23" customHeight="1">
      <x:c r="A1405" s="2" t="str">
        <x:v>DEMO-306-2-4</x:v>
      </x:c>
      <x:c r="B1405" s="15" t="d">
        <x:v>2026-05-25T00:00:00.000Z</x:v>
      </x:c>
      <x:c r="C1405" s="2" t="n">
        <x:v>4</x:v>
      </x:c>
      <x:c r="D1405" s="2" t="str">
        <x:v>DEMO-306</x:v>
      </x:c>
      <x:c r="E1405" s="2" t="str">
        <x:v>Nest Cushion</x:v>
      </x:c>
      <x:c r="F1405" s="2" t="str">
        <x:v>Lifestyle</x:v>
      </x:c>
      <x:c r="G1405" s="2" t="str">
        <x:v>Stores</x:v>
      </x:c>
      <x:c r="H1405" s="2" t="str">
        <x:v>Central Market</x:v>
      </x:c>
      <x:c r="I1405" s="2" t="n">
        <x:v>13</x:v>
      </x:c>
      <x:c r="J1405" s="2" t="n">
        <x:v>1</x:v>
      </x:c>
      <x:c r="K1405" s="2" t="n">
        <x:f>I1405-J1405</x:f>
        <x:v>12</x:v>
      </x:c>
      <x:c r="L1405" s="16" t="n">
        <x:v>34</x:v>
      </x:c>
      <x:c r="M1405" s="16" t="n">
        <x:v>34</x:v>
      </x:c>
      <x:c r="N1405" s="16" t="n">
        <x:v>16.49</x:v>
      </x:c>
      <x:c r="O1405" s="16" t="n">
        <x:f>K1405*M1405</x:f>
        <x:v>408</x:v>
      </x:c>
      <x:c r="P1405" s="16" t="n">
        <x:f>K1405*N1405</x:f>
        <x:v>197.88</x:v>
      </x:c>
      <x:c r="Q1405" s="16" t="n">
        <x:f>O1405-P1405</x:f>
        <x:v>210.12</x:v>
      </x:c>
      <x:c r="R1405" s="2" t="n">
        <x:v>164</x:v>
      </x:c>
      <x:c r="S1405" s="2" t="n">
        <x:v>0</x:v>
      </x:c>
      <x:c r="T1405" s="2" t="n">
        <x:f>R1405+S1405+J1405-I1405</x:f>
        <x:v>152</x:v>
      </x:c>
      <x:c r="U1405" s="2" t="n">
        <x:v>0</x:v>
      </x:c>
      <x:c r="V1405" s="2" t="n">
        <x:v>4</x:v>
      </x:c>
      <x:c r="W1405" s="2" t="n">
        <x:v>14</x:v>
      </x:c>
      <x:c r="X1405" s="14" t="b">
        <x:v>0</x:v>
      </x:c>
      <x:c r="Y1405" s="14" t="b">
        <x:v>0</x:v>
      </x:c>
      <x:c r="Z1405" s="2" t="n">
        <x:f>ABS(T1405-AA1405)</x:f>
        <x:v>0</x:v>
      </x:c>
      <x:c r="AA1405" s="2" t="n">
        <x:v>152</x:v>
      </x:c>
      <x:c r="AB1405" s="2" t="n">
        <x:f>ABS(K1405-W1405)</x:f>
        <x:v>2</x:v>
      </x:c>
      <x:c r="AC1405" s="2" t="n">
        <x:f>COUNTIF($A$2:$A$1921,A1405)-1</x:f>
        <x:v>0</x:v>
      </x:c>
      <x:c r="AD1405" s="2" t="n">
        <x:f>IF(AND(D1405=D1404,H1405=H1404,C1405=C1404+1),ABS(R1405-T1404),0)</x:f>
        <x:v>0</x:v>
      </x:c>
    </x:row>
    <x:row r="1406" ht="23" customHeight="1">
      <x:c r="A1406" s="2" t="str">
        <x:v>DEMO-306-2-5</x:v>
      </x:c>
      <x:c r="B1406" s="15" t="d">
        <x:v>2026-06-01T00:00:00.000Z</x:v>
      </x:c>
      <x:c r="C1406" s="2" t="n">
        <x:v>5</x:v>
      </x:c>
      <x:c r="D1406" s="2" t="str">
        <x:v>DEMO-306</x:v>
      </x:c>
      <x:c r="E1406" s="2" t="str">
        <x:v>Nest Cushion</x:v>
      </x:c>
      <x:c r="F1406" s="2" t="str">
        <x:v>Lifestyle</x:v>
      </x:c>
      <x:c r="G1406" s="2" t="str">
        <x:v>Stores</x:v>
      </x:c>
      <x:c r="H1406" s="2" t="str">
        <x:v>Central Market</x:v>
      </x:c>
      <x:c r="I1406" s="2" t="n">
        <x:v>11</x:v>
      </x:c>
      <x:c r="J1406" s="2" t="n">
        <x:v>0</x:v>
      </x:c>
      <x:c r="K1406" s="2" t="n">
        <x:f>I1406-J1406</x:f>
        <x:v>11</x:v>
      </x:c>
      <x:c r="L1406" s="16" t="n">
        <x:v>34</x:v>
      </x:c>
      <x:c r="M1406" s="16" t="n">
        <x:v>34</x:v>
      </x:c>
      <x:c r="N1406" s="16" t="n">
        <x:v>16.49</x:v>
      </x:c>
      <x:c r="O1406" s="16" t="n">
        <x:f>K1406*M1406</x:f>
        <x:v>374</x:v>
      </x:c>
      <x:c r="P1406" s="16" t="n">
        <x:f>K1406*N1406</x:f>
        <x:v>181.39</x:v>
      </x:c>
      <x:c r="Q1406" s="16" t="n">
        <x:f>O1406-P1406</x:f>
        <x:v>192.61</x:v>
      </x:c>
      <x:c r="R1406" s="2" t="n">
        <x:v>152</x:v>
      </x:c>
      <x:c r="S1406" s="2" t="n">
        <x:v>65</x:v>
      </x:c>
      <x:c r="T1406" s="2" t="n">
        <x:f>R1406+S1406+J1406-I1406</x:f>
        <x:v>206</x:v>
      </x:c>
      <x:c r="U1406" s="2" t="n">
        <x:v>0</x:v>
      </x:c>
      <x:c r="V1406" s="2" t="n">
        <x:v>4</x:v>
      </x:c>
      <x:c r="W1406" s="2" t="n">
        <x:v>13</x:v>
      </x:c>
      <x:c r="X1406" s="14" t="b">
        <x:v>0</x:v>
      </x:c>
      <x:c r="Y1406" s="14" t="b">
        <x:v>0</x:v>
      </x:c>
      <x:c r="Z1406" s="2" t="n">
        <x:f>ABS(T1406-AA1406)</x:f>
        <x:v>0</x:v>
      </x:c>
      <x:c r="AA1406" s="2" t="n">
        <x:v>206</x:v>
      </x:c>
      <x:c r="AB1406" s="2" t="n">
        <x:f>ABS(K1406-W1406)</x:f>
        <x:v>2</x:v>
      </x:c>
      <x:c r="AC1406" s="2" t="n">
        <x:f>COUNTIF($A$2:$A$1921,A1406)-1</x:f>
        <x:v>0</x:v>
      </x:c>
      <x:c r="AD1406" s="2" t="n">
        <x:f>IF(AND(D1406=D1405,H1406=H1405,C1406=C1405+1),ABS(R1406-T1405),0)</x:f>
        <x:v>0</x:v>
      </x:c>
    </x:row>
    <x:row r="1407" ht="23" customHeight="1">
      <x:c r="A1407" s="2" t="str">
        <x:v>DEMO-306-2-6</x:v>
      </x:c>
      <x:c r="B1407" s="15" t="d">
        <x:v>2026-06-08T00:00:00.000Z</x:v>
      </x:c>
      <x:c r="C1407" s="2" t="n">
        <x:v>6</x:v>
      </x:c>
      <x:c r="D1407" s="2" t="str">
        <x:v>DEMO-306</x:v>
      </x:c>
      <x:c r="E1407" s="2" t="str">
        <x:v>Nest Cushion</x:v>
      </x:c>
      <x:c r="F1407" s="2" t="str">
        <x:v>Lifestyle</x:v>
      </x:c>
      <x:c r="G1407" s="2" t="str">
        <x:v>Stores</x:v>
      </x:c>
      <x:c r="H1407" s="2" t="str">
        <x:v>Central Market</x:v>
      </x:c>
      <x:c r="I1407" s="2" t="n">
        <x:v>10</x:v>
      </x:c>
      <x:c r="J1407" s="2" t="n">
        <x:v>0</x:v>
      </x:c>
      <x:c r="K1407" s="2" t="n">
        <x:f>I1407-J1407</x:f>
        <x:v>10</x:v>
      </x:c>
      <x:c r="L1407" s="16" t="n">
        <x:v>34</x:v>
      </x:c>
      <x:c r="M1407" s="16" t="n">
        <x:v>34</x:v>
      </x:c>
      <x:c r="N1407" s="16" t="n">
        <x:v>16.49</x:v>
      </x:c>
      <x:c r="O1407" s="16" t="n">
        <x:f>K1407*M1407</x:f>
        <x:v>340</x:v>
      </x:c>
      <x:c r="P1407" s="16" t="n">
        <x:f>K1407*N1407</x:f>
        <x:v>164.89999999999998</x:v>
      </x:c>
      <x:c r="Q1407" s="16" t="n">
        <x:f>O1407-P1407</x:f>
        <x:v>175.10000000000002</x:v>
      </x:c>
      <x:c r="R1407" s="2" t="n">
        <x:v>206</x:v>
      </x:c>
      <x:c r="S1407" s="2" t="n">
        <x:v>0</x:v>
      </x:c>
      <x:c r="T1407" s="2" t="n">
        <x:f>R1407+S1407+J1407-I1407</x:f>
        <x:v>196</x:v>
      </x:c>
      <x:c r="U1407" s="2" t="n">
        <x:v>0</x:v>
      </x:c>
      <x:c r="V1407" s="2" t="n">
        <x:v>4</x:v>
      </x:c>
      <x:c r="W1407" s="2" t="n">
        <x:v>12</x:v>
      </x:c>
      <x:c r="X1407" s="14" t="b">
        <x:v>0</x:v>
      </x:c>
      <x:c r="Y1407" s="14" t="b">
        <x:v>0</x:v>
      </x:c>
      <x:c r="Z1407" s="2" t="n">
        <x:f>ABS(T1407-AA1407)</x:f>
        <x:v>0</x:v>
      </x:c>
      <x:c r="AA1407" s="2" t="n">
        <x:v>196</x:v>
      </x:c>
      <x:c r="AB1407" s="2" t="n">
        <x:f>ABS(K1407-W1407)</x:f>
        <x:v>2</x:v>
      </x:c>
      <x:c r="AC1407" s="2" t="n">
        <x:f>COUNTIF($A$2:$A$1921,A1407)-1</x:f>
        <x:v>0</x:v>
      </x:c>
      <x:c r="AD1407" s="2" t="n">
        <x:f>IF(AND(D1407=D1406,H1407=H1406,C1407=C1406+1),ABS(R1407-T1406),0)</x:f>
        <x:v>0</x:v>
      </x:c>
    </x:row>
    <x:row r="1408" ht="23" customHeight="1">
      <x:c r="A1408" s="2" t="str">
        <x:v>DEMO-306-2-7</x:v>
      </x:c>
      <x:c r="B1408" s="15" t="d">
        <x:v>2026-06-15T00:00:00.000Z</x:v>
      </x:c>
      <x:c r="C1408" s="2" t="n">
        <x:v>7</x:v>
      </x:c>
      <x:c r="D1408" s="2" t="str">
        <x:v>DEMO-306</x:v>
      </x:c>
      <x:c r="E1408" s="2" t="str">
        <x:v>Nest Cushion</x:v>
      </x:c>
      <x:c r="F1408" s="2" t="str">
        <x:v>Lifestyle</x:v>
      </x:c>
      <x:c r="G1408" s="2" t="str">
        <x:v>Stores</x:v>
      </x:c>
      <x:c r="H1408" s="2" t="str">
        <x:v>Central Market</x:v>
      </x:c>
      <x:c r="I1408" s="2" t="n">
        <x:v>11</x:v>
      </x:c>
      <x:c r="J1408" s="2" t="n">
        <x:v>0</x:v>
      </x:c>
      <x:c r="K1408" s="2" t="n">
        <x:f>I1408-J1408</x:f>
        <x:v>11</x:v>
      </x:c>
      <x:c r="L1408" s="16" t="n">
        <x:v>34</x:v>
      </x:c>
      <x:c r="M1408" s="16" t="n">
        <x:v>34</x:v>
      </x:c>
      <x:c r="N1408" s="16" t="n">
        <x:v>16.49</x:v>
      </x:c>
      <x:c r="O1408" s="16" t="n">
        <x:f>K1408*M1408</x:f>
        <x:v>374</x:v>
      </x:c>
      <x:c r="P1408" s="16" t="n">
        <x:f>K1408*N1408</x:f>
        <x:v>181.39</x:v>
      </x:c>
      <x:c r="Q1408" s="16" t="n">
        <x:f>O1408-P1408</x:f>
        <x:v>192.61</x:v>
      </x:c>
      <x:c r="R1408" s="2" t="n">
        <x:v>196</x:v>
      </x:c>
      <x:c r="S1408" s="2" t="n">
        <x:v>0</x:v>
      </x:c>
      <x:c r="T1408" s="2" t="n">
        <x:f>R1408+S1408+J1408-I1408</x:f>
        <x:v>185</x:v>
      </x:c>
      <x:c r="U1408" s="2" t="n">
        <x:v>0</x:v>
      </x:c>
      <x:c r="V1408" s="2" t="n">
        <x:v>4</x:v>
      </x:c>
      <x:c r="W1408" s="2" t="n">
        <x:v>12</x:v>
      </x:c>
      <x:c r="X1408" s="14" t="b">
        <x:v>0</x:v>
      </x:c>
      <x:c r="Y1408" s="14" t="b">
        <x:v>0</x:v>
      </x:c>
      <x:c r="Z1408" s="2" t="n">
        <x:f>ABS(T1408-AA1408)</x:f>
        <x:v>0</x:v>
      </x:c>
      <x:c r="AA1408" s="2" t="n">
        <x:v>185</x:v>
      </x:c>
      <x:c r="AB1408" s="2" t="n">
        <x:f>ABS(K1408-W1408)</x:f>
        <x:v>1</x:v>
      </x:c>
      <x:c r="AC1408" s="2" t="n">
        <x:f>COUNTIF($A$2:$A$1921,A1408)-1</x:f>
        <x:v>0</x:v>
      </x:c>
      <x:c r="AD1408" s="2" t="n">
        <x:f>IF(AND(D1408=D1407,H1408=H1407,C1408=C1407+1),ABS(R1408-T1407),0)</x:f>
        <x:v>0</x:v>
      </x:c>
    </x:row>
    <x:row r="1409" ht="23" customHeight="1">
      <x:c r="A1409" s="2" t="str">
        <x:v>DEMO-306-2-8</x:v>
      </x:c>
      <x:c r="B1409" s="15" t="d">
        <x:v>2026-06-22T00:00:00.000Z</x:v>
      </x:c>
      <x:c r="C1409" s="2" t="n">
        <x:v>8</x:v>
      </x:c>
      <x:c r="D1409" s="2" t="str">
        <x:v>DEMO-306</x:v>
      </x:c>
      <x:c r="E1409" s="2" t="str">
        <x:v>Nest Cushion</x:v>
      </x:c>
      <x:c r="F1409" s="2" t="str">
        <x:v>Lifestyle</x:v>
      </x:c>
      <x:c r="G1409" s="2" t="str">
        <x:v>Stores</x:v>
      </x:c>
      <x:c r="H1409" s="2" t="str">
        <x:v>Central Market</x:v>
      </x:c>
      <x:c r="I1409" s="2" t="n">
        <x:v>9</x:v>
      </x:c>
      <x:c r="J1409" s="2" t="n">
        <x:v>0</x:v>
      </x:c>
      <x:c r="K1409" s="2" t="n">
        <x:f>I1409-J1409</x:f>
        <x:v>9</x:v>
      </x:c>
      <x:c r="L1409" s="16" t="n">
        <x:v>34</x:v>
      </x:c>
      <x:c r="M1409" s="16" t="n">
        <x:v>34</x:v>
      </x:c>
      <x:c r="N1409" s="16" t="n">
        <x:v>16.49</x:v>
      </x:c>
      <x:c r="O1409" s="16" t="n">
        <x:f>K1409*M1409</x:f>
        <x:v>306</x:v>
      </x:c>
      <x:c r="P1409" s="16" t="n">
        <x:f>K1409*N1409</x:f>
        <x:v>148.41</x:v>
      </x:c>
      <x:c r="Q1409" s="16" t="n">
        <x:f>O1409-P1409</x:f>
        <x:v>157.59</x:v>
      </x:c>
      <x:c r="R1409" s="2" t="n">
        <x:v>185</x:v>
      </x:c>
      <x:c r="S1409" s="2" t="n">
        <x:v>0</x:v>
      </x:c>
      <x:c r="T1409" s="2" t="n">
        <x:f>R1409+S1409+J1409-I1409</x:f>
        <x:v>176</x:v>
      </x:c>
      <x:c r="U1409" s="2" t="n">
        <x:v>0</x:v>
      </x:c>
      <x:c r="V1409" s="2" t="n">
        <x:v>4</x:v>
      </x:c>
      <x:c r="W1409" s="2" t="n">
        <x:v>11</x:v>
      </x:c>
      <x:c r="X1409" s="14" t="b">
        <x:v>0</x:v>
      </x:c>
      <x:c r="Y1409" s="14" t="b">
        <x:v>0</x:v>
      </x:c>
      <x:c r="Z1409" s="2" t="n">
        <x:f>ABS(T1409-AA1409)</x:f>
        <x:v>0</x:v>
      </x:c>
      <x:c r="AA1409" s="2" t="n">
        <x:v>176</x:v>
      </x:c>
      <x:c r="AB1409" s="2" t="n">
        <x:f>ABS(K1409-W1409)</x:f>
        <x:v>2</x:v>
      </x:c>
      <x:c r="AC1409" s="2" t="n">
        <x:f>COUNTIF($A$2:$A$1921,A1409)-1</x:f>
        <x:v>0</x:v>
      </x:c>
      <x:c r="AD1409" s="2" t="n">
        <x:f>IF(AND(D1409=D1408,H1409=H1408,C1409=C1408+1),ABS(R1409-T1408),0)</x:f>
        <x:v>0</x:v>
      </x:c>
    </x:row>
    <x:row r="1410" ht="23" customHeight="1">
      <x:c r="A1410" s="2" t="str">
        <x:v>DEMO-306-2-9</x:v>
      </x:c>
      <x:c r="B1410" s="15" t="d">
        <x:v>2026-06-29T00:00:00.000Z</x:v>
      </x:c>
      <x:c r="C1410" s="2" t="n">
        <x:v>9</x:v>
      </x:c>
      <x:c r="D1410" s="2" t="str">
        <x:v>DEMO-306</x:v>
      </x:c>
      <x:c r="E1410" s="2" t="str">
        <x:v>Nest Cushion</x:v>
      </x:c>
      <x:c r="F1410" s="2" t="str">
        <x:v>Lifestyle</x:v>
      </x:c>
      <x:c r="G1410" s="2" t="str">
        <x:v>Stores</x:v>
      </x:c>
      <x:c r="H1410" s="2" t="str">
        <x:v>Central Market</x:v>
      </x:c>
      <x:c r="I1410" s="2" t="n">
        <x:v>10</x:v>
      </x:c>
      <x:c r="J1410" s="2" t="n">
        <x:v>0</x:v>
      </x:c>
      <x:c r="K1410" s="2" t="n">
        <x:f>I1410-J1410</x:f>
        <x:v>10</x:v>
      </x:c>
      <x:c r="L1410" s="16" t="n">
        <x:v>34</x:v>
      </x:c>
      <x:c r="M1410" s="16" t="n">
        <x:v>34</x:v>
      </x:c>
      <x:c r="N1410" s="16" t="n">
        <x:v>16.49</x:v>
      </x:c>
      <x:c r="O1410" s="16" t="n">
        <x:f>K1410*M1410</x:f>
        <x:v>340</x:v>
      </x:c>
      <x:c r="P1410" s="16" t="n">
        <x:f>K1410*N1410</x:f>
        <x:v>164.89999999999998</x:v>
      </x:c>
      <x:c r="Q1410" s="16" t="n">
        <x:f>O1410-P1410</x:f>
        <x:v>175.10000000000002</x:v>
      </x:c>
      <x:c r="R1410" s="2" t="n">
        <x:v>176</x:v>
      </x:c>
      <x:c r="S1410" s="2" t="n">
        <x:v>65</x:v>
      </x:c>
      <x:c r="T1410" s="2" t="n">
        <x:f>R1410+S1410+J1410-I1410</x:f>
        <x:v>231</x:v>
      </x:c>
      <x:c r="U1410" s="2" t="n">
        <x:v>0</x:v>
      </x:c>
      <x:c r="V1410" s="2" t="n">
        <x:v>4</x:v>
      </x:c>
      <x:c r="W1410" s="2" t="n">
        <x:v>10</x:v>
      </x:c>
      <x:c r="X1410" s="14" t="b">
        <x:v>0</x:v>
      </x:c>
      <x:c r="Y1410" s="14" t="b">
        <x:v>0</x:v>
      </x:c>
      <x:c r="Z1410" s="2" t="n">
        <x:f>ABS(T1410-AA1410)</x:f>
        <x:v>0</x:v>
      </x:c>
      <x:c r="AA1410" s="2" t="n">
        <x:v>231</x:v>
      </x:c>
      <x:c r="AB1410" s="2" t="n">
        <x:f>ABS(K1410-W1410)</x:f>
        <x:v>0</x:v>
      </x:c>
      <x:c r="AC1410" s="2" t="n">
        <x:f>COUNTIF($A$2:$A$1921,A1410)-1</x:f>
        <x:v>0</x:v>
      </x:c>
      <x:c r="AD1410" s="2" t="n">
        <x:f>IF(AND(D1410=D1409,H1410=H1409,C1410=C1409+1),ABS(R1410-T1409),0)</x:f>
        <x:v>0</x:v>
      </x:c>
    </x:row>
    <x:row r="1411" ht="23" customHeight="1">
      <x:c r="A1411" s="2" t="str">
        <x:v>DEMO-306-2-10</x:v>
      </x:c>
      <x:c r="B1411" s="15" t="d">
        <x:v>2026-07-06T00:00:00.000Z</x:v>
      </x:c>
      <x:c r="C1411" s="2" t="n">
        <x:v>10</x:v>
      </x:c>
      <x:c r="D1411" s="2" t="str">
        <x:v>DEMO-306</x:v>
      </x:c>
      <x:c r="E1411" s="2" t="str">
        <x:v>Nest Cushion</x:v>
      </x:c>
      <x:c r="F1411" s="2" t="str">
        <x:v>Lifestyle</x:v>
      </x:c>
      <x:c r="G1411" s="2" t="str">
        <x:v>Stores</x:v>
      </x:c>
      <x:c r="H1411" s="2" t="str">
        <x:v>Central Market</x:v>
      </x:c>
      <x:c r="I1411" s="2" t="n">
        <x:v>12</x:v>
      </x:c>
      <x:c r="J1411" s="2" t="n">
        <x:v>0</x:v>
      </x:c>
      <x:c r="K1411" s="2" t="n">
        <x:f>I1411-J1411</x:f>
        <x:v>12</x:v>
      </x:c>
      <x:c r="L1411" s="16" t="n">
        <x:v>34</x:v>
      </x:c>
      <x:c r="M1411" s="16" t="n">
        <x:v>34</x:v>
      </x:c>
      <x:c r="N1411" s="16" t="n">
        <x:v>16.49</x:v>
      </x:c>
      <x:c r="O1411" s="16" t="n">
        <x:f>K1411*M1411</x:f>
        <x:v>408</x:v>
      </x:c>
      <x:c r="P1411" s="16" t="n">
        <x:f>K1411*N1411</x:f>
        <x:v>197.88</x:v>
      </x:c>
      <x:c r="Q1411" s="16" t="n">
        <x:f>O1411-P1411</x:f>
        <x:v>210.12</x:v>
      </x:c>
      <x:c r="R1411" s="2" t="n">
        <x:v>231</x:v>
      </x:c>
      <x:c r="S1411" s="2" t="n">
        <x:v>0</x:v>
      </x:c>
      <x:c r="T1411" s="2" t="n">
        <x:f>R1411+S1411+J1411-I1411</x:f>
        <x:v>219</x:v>
      </x:c>
      <x:c r="U1411" s="2" t="n">
        <x:v>0</x:v>
      </x:c>
      <x:c r="V1411" s="2" t="n">
        <x:v>4</x:v>
      </x:c>
      <x:c r="W1411" s="2" t="n">
        <x:v>10</x:v>
      </x:c>
      <x:c r="X1411" s="14" t="b">
        <x:v>0</x:v>
      </x:c>
      <x:c r="Y1411" s="14" t="b">
        <x:v>0</x:v>
      </x:c>
      <x:c r="Z1411" s="2" t="n">
        <x:f>ABS(T1411-AA1411)</x:f>
        <x:v>0</x:v>
      </x:c>
      <x:c r="AA1411" s="2" t="n">
        <x:v>219</x:v>
      </x:c>
      <x:c r="AB1411" s="2" t="n">
        <x:f>ABS(K1411-W1411)</x:f>
        <x:v>2</x:v>
      </x:c>
      <x:c r="AC1411" s="2" t="n">
        <x:f>COUNTIF($A$2:$A$1921,A1411)-1</x:f>
        <x:v>0</x:v>
      </x:c>
      <x:c r="AD1411" s="2" t="n">
        <x:f>IF(AND(D1411=D1410,H1411=H1410,C1411=C1410+1),ABS(R1411-T1410),0)</x:f>
        <x:v>0</x:v>
      </x:c>
    </x:row>
    <x:row r="1412" ht="23" customHeight="1">
      <x:c r="A1412" s="2" t="str">
        <x:v>DEMO-306-2-11</x:v>
      </x:c>
      <x:c r="B1412" s="15" t="d">
        <x:v>2026-07-13T00:00:00.000Z</x:v>
      </x:c>
      <x:c r="C1412" s="2" t="n">
        <x:v>11</x:v>
      </x:c>
      <x:c r="D1412" s="2" t="str">
        <x:v>DEMO-306</x:v>
      </x:c>
      <x:c r="E1412" s="2" t="str">
        <x:v>Nest Cushion</x:v>
      </x:c>
      <x:c r="F1412" s="2" t="str">
        <x:v>Lifestyle</x:v>
      </x:c>
      <x:c r="G1412" s="2" t="str">
        <x:v>Stores</x:v>
      </x:c>
      <x:c r="H1412" s="2" t="str">
        <x:v>Central Market</x:v>
      </x:c>
      <x:c r="I1412" s="2" t="n">
        <x:v>11</x:v>
      </x:c>
      <x:c r="J1412" s="2" t="n">
        <x:v>0</x:v>
      </x:c>
      <x:c r="K1412" s="2" t="n">
        <x:f>I1412-J1412</x:f>
        <x:v>11</x:v>
      </x:c>
      <x:c r="L1412" s="16" t="n">
        <x:v>34</x:v>
      </x:c>
      <x:c r="M1412" s="16" t="n">
        <x:v>34</x:v>
      </x:c>
      <x:c r="N1412" s="16" t="n">
        <x:v>16.49</x:v>
      </x:c>
      <x:c r="O1412" s="16" t="n">
        <x:f>K1412*M1412</x:f>
        <x:v>374</x:v>
      </x:c>
      <x:c r="P1412" s="16" t="n">
        <x:f>K1412*N1412</x:f>
        <x:v>181.39</x:v>
      </x:c>
      <x:c r="Q1412" s="16" t="n">
        <x:f>O1412-P1412</x:f>
        <x:v>192.61</x:v>
      </x:c>
      <x:c r="R1412" s="2" t="n">
        <x:v>219</x:v>
      </x:c>
      <x:c r="S1412" s="2" t="n">
        <x:v>0</x:v>
      </x:c>
      <x:c r="T1412" s="2" t="n">
        <x:f>R1412+S1412+J1412-I1412</x:f>
        <x:v>208</x:v>
      </x:c>
      <x:c r="U1412" s="2" t="n">
        <x:v>0</x:v>
      </x:c>
      <x:c r="V1412" s="2" t="n">
        <x:v>4</x:v>
      </x:c>
      <x:c r="W1412" s="2" t="n">
        <x:v>11</x:v>
      </x:c>
      <x:c r="X1412" s="14" t="b">
        <x:v>0</x:v>
      </x:c>
      <x:c r="Y1412" s="14" t="b">
        <x:v>0</x:v>
      </x:c>
      <x:c r="Z1412" s="2" t="n">
        <x:f>ABS(T1412-AA1412)</x:f>
        <x:v>0</x:v>
      </x:c>
      <x:c r="AA1412" s="2" t="n">
        <x:v>208</x:v>
      </x:c>
      <x:c r="AB1412" s="2" t="n">
        <x:f>ABS(K1412-W1412)</x:f>
        <x:v>0</x:v>
      </x:c>
      <x:c r="AC1412" s="2" t="n">
        <x:f>COUNTIF($A$2:$A$1921,A1412)-1</x:f>
        <x:v>0</x:v>
      </x:c>
      <x:c r="AD1412" s="2" t="n">
        <x:f>IF(AND(D1412=D1411,H1412=H1411,C1412=C1411+1),ABS(R1412-T1411),0)</x:f>
        <x:v>0</x:v>
      </x:c>
    </x:row>
    <x:row r="1413" ht="23" customHeight="1">
      <x:c r="A1413" s="2" t="str">
        <x:v>DEMO-306-2-12</x:v>
      </x:c>
      <x:c r="B1413" s="15" t="d">
        <x:v>2026-07-20T00:00:00.000Z</x:v>
      </x:c>
      <x:c r="C1413" s="2" t="n">
        <x:v>12</x:v>
      </x:c>
      <x:c r="D1413" s="2" t="str">
        <x:v>DEMO-306</x:v>
      </x:c>
      <x:c r="E1413" s="2" t="str">
        <x:v>Nest Cushion</x:v>
      </x:c>
      <x:c r="F1413" s="2" t="str">
        <x:v>Lifestyle</x:v>
      </x:c>
      <x:c r="G1413" s="2" t="str">
        <x:v>Stores</x:v>
      </x:c>
      <x:c r="H1413" s="2" t="str">
        <x:v>Central Market</x:v>
      </x:c>
      <x:c r="I1413" s="2" t="n">
        <x:v>9</x:v>
      </x:c>
      <x:c r="J1413" s="2" t="n">
        <x:v>0</x:v>
      </x:c>
      <x:c r="K1413" s="2" t="n">
        <x:f>I1413-J1413</x:f>
        <x:v>9</x:v>
      </x:c>
      <x:c r="L1413" s="16" t="n">
        <x:v>34</x:v>
      </x:c>
      <x:c r="M1413" s="16" t="n">
        <x:v>34</x:v>
      </x:c>
      <x:c r="N1413" s="16" t="n">
        <x:v>16.49</x:v>
      </x:c>
      <x:c r="O1413" s="16" t="n">
        <x:f>K1413*M1413</x:f>
        <x:v>306</x:v>
      </x:c>
      <x:c r="P1413" s="16" t="n">
        <x:f>K1413*N1413</x:f>
        <x:v>148.41</x:v>
      </x:c>
      <x:c r="Q1413" s="16" t="n">
        <x:f>O1413-P1413</x:f>
        <x:v>157.59</x:v>
      </x:c>
      <x:c r="R1413" s="2" t="n">
        <x:v>208</x:v>
      </x:c>
      <x:c r="S1413" s="2" t="n">
        <x:v>0</x:v>
      </x:c>
      <x:c r="T1413" s="2" t="n">
        <x:f>R1413+S1413+J1413-I1413</x:f>
        <x:v>199</x:v>
      </x:c>
      <x:c r="U1413" s="2" t="n">
        <x:v>0</x:v>
      </x:c>
      <x:c r="V1413" s="2" t="n">
        <x:v>4</x:v>
      </x:c>
      <x:c r="W1413" s="2" t="n">
        <x:v>11</x:v>
      </x:c>
      <x:c r="X1413" s="14" t="b">
        <x:v>0</x:v>
      </x:c>
      <x:c r="Y1413" s="14" t="b">
        <x:v>0</x:v>
      </x:c>
      <x:c r="Z1413" s="2" t="n">
        <x:f>ABS(T1413-AA1413)</x:f>
        <x:v>0</x:v>
      </x:c>
      <x:c r="AA1413" s="2" t="n">
        <x:v>199</x:v>
      </x:c>
      <x:c r="AB1413" s="2" t="n">
        <x:f>ABS(K1413-W1413)</x:f>
        <x:v>2</x:v>
      </x:c>
      <x:c r="AC1413" s="2" t="n">
        <x:f>COUNTIF($A$2:$A$1921,A1413)-1</x:f>
        <x:v>0</x:v>
      </x:c>
      <x:c r="AD1413" s="2" t="n">
        <x:f>IF(AND(D1413=D1412,H1413=H1412,C1413=C1412+1),ABS(R1413-T1412),0)</x:f>
        <x:v>0</x:v>
      </x:c>
    </x:row>
    <x:row r="1414" ht="23" customHeight="1">
      <x:c r="A1414" s="2" t="str">
        <x:v>DEMO-306-2-13</x:v>
      </x:c>
      <x:c r="B1414" s="15" t="d">
        <x:v>2026-07-27T00:00:00.000Z</x:v>
      </x:c>
      <x:c r="C1414" s="2" t="n">
        <x:v>13</x:v>
      </x:c>
      <x:c r="D1414" s="2" t="str">
        <x:v>DEMO-306</x:v>
      </x:c>
      <x:c r="E1414" s="2" t="str">
        <x:v>Nest Cushion</x:v>
      </x:c>
      <x:c r="F1414" s="2" t="str">
        <x:v>Lifestyle</x:v>
      </x:c>
      <x:c r="G1414" s="2" t="str">
        <x:v>Stores</x:v>
      </x:c>
      <x:c r="H1414" s="2" t="str">
        <x:v>Central Market</x:v>
      </x:c>
      <x:c r="I1414" s="2" t="n">
        <x:v>11</x:v>
      </x:c>
      <x:c r="J1414" s="2" t="n">
        <x:v>0</x:v>
      </x:c>
      <x:c r="K1414" s="2" t="n">
        <x:f>I1414-J1414</x:f>
        <x:v>11</x:v>
      </x:c>
      <x:c r="L1414" s="16" t="n">
        <x:v>34</x:v>
      </x:c>
      <x:c r="M1414" s="16" t="n">
        <x:v>34</x:v>
      </x:c>
      <x:c r="N1414" s="16" t="n">
        <x:v>16.49</x:v>
      </x:c>
      <x:c r="O1414" s="16" t="n">
        <x:f>K1414*M1414</x:f>
        <x:v>374</x:v>
      </x:c>
      <x:c r="P1414" s="16" t="n">
        <x:f>K1414*N1414</x:f>
        <x:v>181.39</x:v>
      </x:c>
      <x:c r="Q1414" s="16" t="n">
        <x:f>O1414-P1414</x:f>
        <x:v>192.61</x:v>
      </x:c>
      <x:c r="R1414" s="2" t="n">
        <x:v>199</x:v>
      </x:c>
      <x:c r="S1414" s="2" t="n">
        <x:v>65</x:v>
      </x:c>
      <x:c r="T1414" s="2" t="n">
        <x:f>R1414+S1414+J1414-I1414</x:f>
        <x:v>253</x:v>
      </x:c>
      <x:c r="U1414" s="2" t="n">
        <x:v>0</x:v>
      </x:c>
      <x:c r="V1414" s="2" t="n">
        <x:v>4</x:v>
      </x:c>
      <x:c r="W1414" s="2" t="n">
        <x:v>11</x:v>
      </x:c>
      <x:c r="X1414" s="14" t="b">
        <x:v>0</x:v>
      </x:c>
      <x:c r="Y1414" s="14" t="b">
        <x:v>0</x:v>
      </x:c>
      <x:c r="Z1414" s="2" t="n">
        <x:f>ABS(T1414-AA1414)</x:f>
        <x:v>0</x:v>
      </x:c>
      <x:c r="AA1414" s="2" t="n">
        <x:v>253</x:v>
      </x:c>
      <x:c r="AB1414" s="2" t="n">
        <x:f>ABS(K1414-W1414)</x:f>
        <x:v>0</x:v>
      </x:c>
      <x:c r="AC1414" s="2" t="n">
        <x:f>COUNTIF($A$2:$A$1921,A1414)-1</x:f>
        <x:v>0</x:v>
      </x:c>
      <x:c r="AD1414" s="2" t="n">
        <x:f>IF(AND(D1414=D1413,H1414=H1413,C1414=C1413+1),ABS(R1414-T1413),0)</x:f>
        <x:v>0</x:v>
      </x:c>
    </x:row>
    <x:row r="1415" ht="23" customHeight="1">
      <x:c r="A1415" s="2" t="str">
        <x:v>DEMO-306-2-14</x:v>
      </x:c>
      <x:c r="B1415" s="15" t="d">
        <x:v>2026-08-03T00:00:00.000Z</x:v>
      </x:c>
      <x:c r="C1415" s="2" t="n">
        <x:v>14</x:v>
      </x:c>
      <x:c r="D1415" s="2" t="str">
        <x:v>DEMO-306</x:v>
      </x:c>
      <x:c r="E1415" s="2" t="str">
        <x:v>Nest Cushion</x:v>
      </x:c>
      <x:c r="F1415" s="2" t="str">
        <x:v>Lifestyle</x:v>
      </x:c>
      <x:c r="G1415" s="2" t="str">
        <x:v>Stores</x:v>
      </x:c>
      <x:c r="H1415" s="2" t="str">
        <x:v>Central Market</x:v>
      </x:c>
      <x:c r="I1415" s="2" t="n">
        <x:v>8</x:v>
      </x:c>
      <x:c r="J1415" s="2" t="n">
        <x:v>0</x:v>
      </x:c>
      <x:c r="K1415" s="2" t="n">
        <x:f>I1415-J1415</x:f>
        <x:v>8</x:v>
      </x:c>
      <x:c r="L1415" s="16" t="n">
        <x:v>34</x:v>
      </x:c>
      <x:c r="M1415" s="16" t="n">
        <x:v>34</x:v>
      </x:c>
      <x:c r="N1415" s="16" t="n">
        <x:v>16.49</x:v>
      </x:c>
      <x:c r="O1415" s="16" t="n">
        <x:f>K1415*M1415</x:f>
        <x:v>272</x:v>
      </x:c>
      <x:c r="P1415" s="16" t="n">
        <x:f>K1415*N1415</x:f>
        <x:v>131.92</x:v>
      </x:c>
      <x:c r="Q1415" s="16" t="n">
        <x:f>O1415-P1415</x:f>
        <x:v>140.08</x:v>
      </x:c>
      <x:c r="R1415" s="2" t="n">
        <x:v>253</x:v>
      </x:c>
      <x:c r="S1415" s="2" t="n">
        <x:v>0</x:v>
      </x:c>
      <x:c r="T1415" s="2" t="n">
        <x:f>R1415+S1415+J1415-I1415</x:f>
        <x:v>245</x:v>
      </x:c>
      <x:c r="U1415" s="2" t="n">
        <x:v>0</x:v>
      </x:c>
      <x:c r="V1415" s="2" t="n">
        <x:v>4</x:v>
      </x:c>
      <x:c r="W1415" s="2" t="n">
        <x:v>11</x:v>
      </x:c>
      <x:c r="X1415" s="14" t="b">
        <x:v>0</x:v>
      </x:c>
      <x:c r="Y1415" s="14" t="b">
        <x:v>0</x:v>
      </x:c>
      <x:c r="Z1415" s="2" t="n">
        <x:f>ABS(T1415-AA1415)</x:f>
        <x:v>0</x:v>
      </x:c>
      <x:c r="AA1415" s="2" t="n">
        <x:v>245</x:v>
      </x:c>
      <x:c r="AB1415" s="2" t="n">
        <x:f>ABS(K1415-W1415)</x:f>
        <x:v>3</x:v>
      </x:c>
      <x:c r="AC1415" s="2" t="n">
        <x:f>COUNTIF($A$2:$A$1921,A1415)-1</x:f>
        <x:v>0</x:v>
      </x:c>
      <x:c r="AD1415" s="2" t="n">
        <x:f>IF(AND(D1415=D1414,H1415=H1414,C1415=C1414+1),ABS(R1415-T1414),0)</x:f>
        <x:v>0</x:v>
      </x:c>
    </x:row>
    <x:row r="1416" ht="23" customHeight="1">
      <x:c r="A1416" s="2" t="str">
        <x:v>DEMO-306-2-15</x:v>
      </x:c>
      <x:c r="B1416" s="15" t="d">
        <x:v>2026-08-10T00:00:00.000Z</x:v>
      </x:c>
      <x:c r="C1416" s="2" t="n">
        <x:v>15</x:v>
      </x:c>
      <x:c r="D1416" s="2" t="str">
        <x:v>DEMO-306</x:v>
      </x:c>
      <x:c r="E1416" s="2" t="str">
        <x:v>Nest Cushion</x:v>
      </x:c>
      <x:c r="F1416" s="2" t="str">
        <x:v>Lifestyle</x:v>
      </x:c>
      <x:c r="G1416" s="2" t="str">
        <x:v>Stores</x:v>
      </x:c>
      <x:c r="H1416" s="2" t="str">
        <x:v>Central Market</x:v>
      </x:c>
      <x:c r="I1416" s="2" t="n">
        <x:v>7</x:v>
      </x:c>
      <x:c r="J1416" s="2" t="n">
        <x:v>1</x:v>
      </x:c>
      <x:c r="K1416" s="2" t="n">
        <x:f>I1416-J1416</x:f>
        <x:v>6</x:v>
      </x:c>
      <x:c r="L1416" s="16" t="n">
        <x:v>34</x:v>
      </x:c>
      <x:c r="M1416" s="16" t="n">
        <x:v>34</x:v>
      </x:c>
      <x:c r="N1416" s="16" t="n">
        <x:v>16.49</x:v>
      </x:c>
      <x:c r="O1416" s="16" t="n">
        <x:f>K1416*M1416</x:f>
        <x:v>204</x:v>
      </x:c>
      <x:c r="P1416" s="16" t="n">
        <x:f>K1416*N1416</x:f>
        <x:v>98.94</x:v>
      </x:c>
      <x:c r="Q1416" s="16" t="n">
        <x:f>O1416-P1416</x:f>
        <x:v>105.06</x:v>
      </x:c>
      <x:c r="R1416" s="2" t="n">
        <x:v>245</x:v>
      </x:c>
      <x:c r="S1416" s="2" t="n">
        <x:v>0</x:v>
      </x:c>
      <x:c r="T1416" s="2" t="n">
        <x:f>R1416+S1416+J1416-I1416</x:f>
        <x:v>239</x:v>
      </x:c>
      <x:c r="U1416" s="2" t="n">
        <x:v>0</x:v>
      </x:c>
      <x:c r="V1416" s="2" t="n">
        <x:v>4</x:v>
      </x:c>
      <x:c r="W1416" s="2" t="n">
        <x:v>10</x:v>
      </x:c>
      <x:c r="X1416" s="14" t="b">
        <x:v>0</x:v>
      </x:c>
      <x:c r="Y1416" s="14" t="b">
        <x:v>0</x:v>
      </x:c>
      <x:c r="Z1416" s="2" t="n">
        <x:f>ABS(T1416-AA1416)</x:f>
        <x:v>0</x:v>
      </x:c>
      <x:c r="AA1416" s="2" t="n">
        <x:v>239</x:v>
      </x:c>
      <x:c r="AB1416" s="2" t="n">
        <x:f>ABS(K1416-W1416)</x:f>
        <x:v>4</x:v>
      </x:c>
      <x:c r="AC1416" s="2" t="n">
        <x:f>COUNTIF($A$2:$A$1921,A1416)-1</x:f>
        <x:v>0</x:v>
      </x:c>
      <x:c r="AD1416" s="2" t="n">
        <x:f>IF(AND(D1416=D1415,H1416=H1415,C1416=C1415+1),ABS(R1416-T1415),0)</x:f>
        <x:v>0</x:v>
      </x:c>
    </x:row>
    <x:row r="1417" ht="23" customHeight="1">
      <x:c r="A1417" s="2" t="str">
        <x:v>DEMO-306-2-16</x:v>
      </x:c>
      <x:c r="B1417" s="15" t="d">
        <x:v>2026-08-17T00:00:00.000Z</x:v>
      </x:c>
      <x:c r="C1417" s="2" t="n">
        <x:v>16</x:v>
      </x:c>
      <x:c r="D1417" s="2" t="str">
        <x:v>DEMO-306</x:v>
      </x:c>
      <x:c r="E1417" s="2" t="str">
        <x:v>Nest Cushion</x:v>
      </x:c>
      <x:c r="F1417" s="2" t="str">
        <x:v>Lifestyle</x:v>
      </x:c>
      <x:c r="G1417" s="2" t="str">
        <x:v>Stores</x:v>
      </x:c>
      <x:c r="H1417" s="2" t="str">
        <x:v>Central Market</x:v>
      </x:c>
      <x:c r="I1417" s="2" t="n">
        <x:v>9</x:v>
      </x:c>
      <x:c r="J1417" s="2" t="n">
        <x:v>0</x:v>
      </x:c>
      <x:c r="K1417" s="2" t="n">
        <x:f>I1417-J1417</x:f>
        <x:v>9</x:v>
      </x:c>
      <x:c r="L1417" s="16" t="n">
        <x:v>34</x:v>
      </x:c>
      <x:c r="M1417" s="16" t="n">
        <x:v>34</x:v>
      </x:c>
      <x:c r="N1417" s="16" t="n">
        <x:v>16.49</x:v>
      </x:c>
      <x:c r="O1417" s="16" t="n">
        <x:f>K1417*M1417</x:f>
        <x:v>306</x:v>
      </x:c>
      <x:c r="P1417" s="16" t="n">
        <x:f>K1417*N1417</x:f>
        <x:v>148.41</x:v>
      </x:c>
      <x:c r="Q1417" s="16" t="n">
        <x:f>O1417-P1417</x:f>
        <x:v>157.59</x:v>
      </x:c>
      <x:c r="R1417" s="2" t="n">
        <x:v>239</x:v>
      </x:c>
      <x:c r="S1417" s="2" t="n">
        <x:v>0</x:v>
      </x:c>
      <x:c r="T1417" s="2" t="n">
        <x:f>R1417+S1417+J1417-I1417</x:f>
        <x:v>230</x:v>
      </x:c>
      <x:c r="U1417" s="2" t="n">
        <x:v>0</x:v>
      </x:c>
      <x:c r="V1417" s="2" t="n">
        <x:v>4</x:v>
      </x:c>
      <x:c r="W1417" s="2" t="n">
        <x:v>9</x:v>
      </x:c>
      <x:c r="X1417" s="14" t="b">
        <x:v>0</x:v>
      </x:c>
      <x:c r="Y1417" s="14" t="b">
        <x:v>0</x:v>
      </x:c>
      <x:c r="Z1417" s="2" t="n">
        <x:f>ABS(T1417-AA1417)</x:f>
        <x:v>0</x:v>
      </x:c>
      <x:c r="AA1417" s="2" t="n">
        <x:v>230</x:v>
      </x:c>
      <x:c r="AB1417" s="2" t="n">
        <x:f>ABS(K1417-W1417)</x:f>
        <x:v>0</x:v>
      </x:c>
      <x:c r="AC1417" s="2" t="n">
        <x:f>COUNTIF($A$2:$A$1921,A1417)-1</x:f>
        <x:v>0</x:v>
      </x:c>
      <x:c r="AD1417" s="2" t="n">
        <x:f>IF(AND(D1417=D1416,H1417=H1416,C1417=C1416+1),ABS(R1417-T1416),0)</x:f>
        <x:v>0</x:v>
      </x:c>
    </x:row>
    <x:row r="1418" ht="23" customHeight="1">
      <x:c r="A1418" s="2" t="str">
        <x:v>DEMO-306-2-17</x:v>
      </x:c>
      <x:c r="B1418" s="15" t="d">
        <x:v>2026-08-24T00:00:00.000Z</x:v>
      </x:c>
      <x:c r="C1418" s="2" t="n">
        <x:v>17</x:v>
      </x:c>
      <x:c r="D1418" s="2" t="str">
        <x:v>DEMO-306</x:v>
      </x:c>
      <x:c r="E1418" s="2" t="str">
        <x:v>Nest Cushion</x:v>
      </x:c>
      <x:c r="F1418" s="2" t="str">
        <x:v>Lifestyle</x:v>
      </x:c>
      <x:c r="G1418" s="2" t="str">
        <x:v>Stores</x:v>
      </x:c>
      <x:c r="H1418" s="2" t="str">
        <x:v>Central Market</x:v>
      </x:c>
      <x:c r="I1418" s="2" t="n">
        <x:v>9</x:v>
      </x:c>
      <x:c r="J1418" s="2" t="n">
        <x:v>0</x:v>
      </x:c>
      <x:c r="K1418" s="2" t="n">
        <x:f>I1418-J1418</x:f>
        <x:v>9</x:v>
      </x:c>
      <x:c r="L1418" s="16" t="n">
        <x:v>34</x:v>
      </x:c>
      <x:c r="M1418" s="16" t="n">
        <x:v>27.2</x:v>
      </x:c>
      <x:c r="N1418" s="16" t="n">
        <x:v>16.49</x:v>
      </x:c>
      <x:c r="O1418" s="16" t="n">
        <x:f>K1418*M1418</x:f>
        <x:v>244.79999999999998</x:v>
      </x:c>
      <x:c r="P1418" s="16" t="n">
        <x:f>K1418*N1418</x:f>
        <x:v>148.41</x:v>
      </x:c>
      <x:c r="Q1418" s="16" t="n">
        <x:f>O1418-P1418</x:f>
        <x:v>96.38999999999999</x:v>
      </x:c>
      <x:c r="R1418" s="2" t="n">
        <x:v>230</x:v>
      </x:c>
      <x:c r="S1418" s="2" t="n">
        <x:v>65</x:v>
      </x:c>
      <x:c r="T1418" s="2" t="n">
        <x:f>R1418+S1418+J1418-I1418</x:f>
        <x:v>286</x:v>
      </x:c>
      <x:c r="U1418" s="2" t="n">
        <x:v>0</x:v>
      </x:c>
      <x:c r="V1418" s="2" t="n">
        <x:v>4</x:v>
      </x:c>
      <x:c r="W1418" s="2" t="n">
        <x:v>9</x:v>
      </x:c>
      <x:c r="X1418" s="14" t="b">
        <x:v>0</x:v>
      </x:c>
      <x:c r="Y1418" s="14" t="b">
        <x:v>1</x:v>
      </x:c>
      <x:c r="Z1418" s="2" t="n">
        <x:f>ABS(T1418-AA1418)</x:f>
        <x:v>0</x:v>
      </x:c>
      <x:c r="AA1418" s="2" t="n">
        <x:v>286</x:v>
      </x:c>
      <x:c r="AB1418" s="2" t="n">
        <x:f>ABS(K1418-W1418)</x:f>
        <x:v>0</x:v>
      </x:c>
      <x:c r="AC1418" s="2" t="n">
        <x:f>COUNTIF($A$2:$A$1921,A1418)-1</x:f>
        <x:v>0</x:v>
      </x:c>
      <x:c r="AD1418" s="2" t="n">
        <x:f>IF(AND(D1418=D1417,H1418=H1417,C1418=C1417+1),ABS(R1418-T1417),0)</x:f>
        <x:v>0</x:v>
      </x:c>
    </x:row>
    <x:row r="1419" ht="23" customHeight="1">
      <x:c r="A1419" s="2" t="str">
        <x:v>DEMO-306-2-18</x:v>
      </x:c>
      <x:c r="B1419" s="15" t="d">
        <x:v>2026-08-31T00:00:00.000Z</x:v>
      </x:c>
      <x:c r="C1419" s="2" t="n">
        <x:v>18</x:v>
      </x:c>
      <x:c r="D1419" s="2" t="str">
        <x:v>DEMO-306</x:v>
      </x:c>
      <x:c r="E1419" s="2" t="str">
        <x:v>Nest Cushion</x:v>
      </x:c>
      <x:c r="F1419" s="2" t="str">
        <x:v>Lifestyle</x:v>
      </x:c>
      <x:c r="G1419" s="2" t="str">
        <x:v>Stores</x:v>
      </x:c>
      <x:c r="H1419" s="2" t="str">
        <x:v>Central Market</x:v>
      </x:c>
      <x:c r="I1419" s="2" t="n">
        <x:v>8</x:v>
      </x:c>
      <x:c r="J1419" s="2" t="n">
        <x:v>1</x:v>
      </x:c>
      <x:c r="K1419" s="2" t="n">
        <x:f>I1419-J1419</x:f>
        <x:v>7</x:v>
      </x:c>
      <x:c r="L1419" s="16" t="n">
        <x:v>34</x:v>
      </x:c>
      <x:c r="M1419" s="16" t="n">
        <x:v>27.2</x:v>
      </x:c>
      <x:c r="N1419" s="16" t="n">
        <x:v>16.49</x:v>
      </x:c>
      <x:c r="O1419" s="16" t="n">
        <x:f>K1419*M1419</x:f>
        <x:v>190.4</x:v>
      </x:c>
      <x:c r="P1419" s="16" t="n">
        <x:f>K1419*N1419</x:f>
        <x:v>115.42999999999999</x:v>
      </x:c>
      <x:c r="Q1419" s="16" t="n">
        <x:f>O1419-P1419</x:f>
        <x:v>74.97000000000001</x:v>
      </x:c>
      <x:c r="R1419" s="2" t="n">
        <x:v>286</x:v>
      </x:c>
      <x:c r="S1419" s="2" t="n">
        <x:v>0</x:v>
      </x:c>
      <x:c r="T1419" s="2" t="n">
        <x:f>R1419+S1419+J1419-I1419</x:f>
        <x:v>279</x:v>
      </x:c>
      <x:c r="U1419" s="2" t="n">
        <x:v>0</x:v>
      </x:c>
      <x:c r="V1419" s="2" t="n">
        <x:v>4</x:v>
      </x:c>
      <x:c r="W1419" s="2" t="n">
        <x:v>8</x:v>
      </x:c>
      <x:c r="X1419" s="14" t="b">
        <x:v>0</x:v>
      </x:c>
      <x:c r="Y1419" s="14" t="b">
        <x:v>1</x:v>
      </x:c>
      <x:c r="Z1419" s="2" t="n">
        <x:f>ABS(T1419-AA1419)</x:f>
        <x:v>0</x:v>
      </x:c>
      <x:c r="AA1419" s="2" t="n">
        <x:v>279</x:v>
      </x:c>
      <x:c r="AB1419" s="2" t="n">
        <x:f>ABS(K1419-W1419)</x:f>
        <x:v>1</x:v>
      </x:c>
      <x:c r="AC1419" s="2" t="n">
        <x:f>COUNTIF($A$2:$A$1921,A1419)-1</x:f>
        <x:v>0</x:v>
      </x:c>
      <x:c r="AD1419" s="2" t="n">
        <x:f>IF(AND(D1419=D1418,H1419=H1418,C1419=C1418+1),ABS(R1419-T1418),0)</x:f>
        <x:v>0</x:v>
      </x:c>
    </x:row>
    <x:row r="1420" ht="23" customHeight="1">
      <x:c r="A1420" s="2" t="str">
        <x:v>DEMO-306-2-19</x:v>
      </x:c>
      <x:c r="B1420" s="15" t="d">
        <x:v>2026-09-07T00:00:00.000Z</x:v>
      </x:c>
      <x:c r="C1420" s="2" t="n">
        <x:v>19</x:v>
      </x:c>
      <x:c r="D1420" s="2" t="str">
        <x:v>DEMO-306</x:v>
      </x:c>
      <x:c r="E1420" s="2" t="str">
        <x:v>Nest Cushion</x:v>
      </x:c>
      <x:c r="F1420" s="2" t="str">
        <x:v>Lifestyle</x:v>
      </x:c>
      <x:c r="G1420" s="2" t="str">
        <x:v>Stores</x:v>
      </x:c>
      <x:c r="H1420" s="2" t="str">
        <x:v>Central Market</x:v>
      </x:c>
      <x:c r="I1420" s="2" t="n">
        <x:v>9</x:v>
      </x:c>
      <x:c r="J1420" s="2" t="n">
        <x:v>0</x:v>
      </x:c>
      <x:c r="K1420" s="2" t="n">
        <x:f>I1420-J1420</x:f>
        <x:v>9</x:v>
      </x:c>
      <x:c r="L1420" s="16" t="n">
        <x:v>34</x:v>
      </x:c>
      <x:c r="M1420" s="16" t="n">
        <x:v>27.2</x:v>
      </x:c>
      <x:c r="N1420" s="16" t="n">
        <x:v>16.49</x:v>
      </x:c>
      <x:c r="O1420" s="16" t="n">
        <x:f>K1420*M1420</x:f>
        <x:v>244.79999999999998</x:v>
      </x:c>
      <x:c r="P1420" s="16" t="n">
        <x:f>K1420*N1420</x:f>
        <x:v>148.41</x:v>
      </x:c>
      <x:c r="Q1420" s="16" t="n">
        <x:f>O1420-P1420</x:f>
        <x:v>96.38999999999999</x:v>
      </x:c>
      <x:c r="R1420" s="2" t="n">
        <x:v>279</x:v>
      </x:c>
      <x:c r="S1420" s="2" t="n">
        <x:v>0</x:v>
      </x:c>
      <x:c r="T1420" s="2" t="n">
        <x:f>R1420+S1420+J1420-I1420</x:f>
        <x:v>270</x:v>
      </x:c>
      <x:c r="U1420" s="2" t="n">
        <x:v>0</x:v>
      </x:c>
      <x:c r="V1420" s="2" t="n">
        <x:v>4</x:v>
      </x:c>
      <x:c r="W1420" s="2" t="n">
        <x:v>8</x:v>
      </x:c>
      <x:c r="X1420" s="14" t="b">
        <x:v>0</x:v>
      </x:c>
      <x:c r="Y1420" s="14" t="b">
        <x:v>1</x:v>
      </x:c>
      <x:c r="Z1420" s="2" t="n">
        <x:f>ABS(T1420-AA1420)</x:f>
        <x:v>0</x:v>
      </x:c>
      <x:c r="AA1420" s="2" t="n">
        <x:v>270</x:v>
      </x:c>
      <x:c r="AB1420" s="2" t="n">
        <x:f>ABS(K1420-W1420)</x:f>
        <x:v>1</x:v>
      </x:c>
      <x:c r="AC1420" s="2" t="n">
        <x:f>COUNTIF($A$2:$A$1921,A1420)-1</x:f>
        <x:v>0</x:v>
      </x:c>
      <x:c r="AD1420" s="2" t="n">
        <x:f>IF(AND(D1420=D1419,H1420=H1419,C1420=C1419+1),ABS(R1420-T1419),0)</x:f>
        <x:v>0</x:v>
      </x:c>
    </x:row>
    <x:row r="1421" ht="23" customHeight="1">
      <x:c r="A1421" s="2" t="str">
        <x:v>DEMO-306-2-20</x:v>
      </x:c>
      <x:c r="B1421" s="15" t="d">
        <x:v>2026-09-14T00:00:00.000Z</x:v>
      </x:c>
      <x:c r="C1421" s="2" t="n">
        <x:v>20</x:v>
      </x:c>
      <x:c r="D1421" s="2" t="str">
        <x:v>DEMO-306</x:v>
      </x:c>
      <x:c r="E1421" s="2" t="str">
        <x:v>Nest Cushion</x:v>
      </x:c>
      <x:c r="F1421" s="2" t="str">
        <x:v>Lifestyle</x:v>
      </x:c>
      <x:c r="G1421" s="2" t="str">
        <x:v>Stores</x:v>
      </x:c>
      <x:c r="H1421" s="2" t="str">
        <x:v>Central Market</x:v>
      </x:c>
      <x:c r="I1421" s="2" t="n">
        <x:v>9</x:v>
      </x:c>
      <x:c r="J1421" s="2" t="n">
        <x:v>0</x:v>
      </x:c>
      <x:c r="K1421" s="2" t="n">
        <x:f>I1421-J1421</x:f>
        <x:v>9</x:v>
      </x:c>
      <x:c r="L1421" s="16" t="n">
        <x:v>34</x:v>
      </x:c>
      <x:c r="M1421" s="16" t="n">
        <x:v>27.2</x:v>
      </x:c>
      <x:c r="N1421" s="16" t="n">
        <x:v>16.49</x:v>
      </x:c>
      <x:c r="O1421" s="16" t="n">
        <x:f>K1421*M1421</x:f>
        <x:v>244.79999999999998</x:v>
      </x:c>
      <x:c r="P1421" s="16" t="n">
        <x:f>K1421*N1421</x:f>
        <x:v>148.41</x:v>
      </x:c>
      <x:c r="Q1421" s="16" t="n">
        <x:f>O1421-P1421</x:f>
        <x:v>96.38999999999999</x:v>
      </x:c>
      <x:c r="R1421" s="2" t="n">
        <x:v>270</x:v>
      </x:c>
      <x:c r="S1421" s="2" t="n">
        <x:v>0</x:v>
      </x:c>
      <x:c r="T1421" s="2" t="n">
        <x:f>R1421+S1421+J1421-I1421</x:f>
        <x:v>261</x:v>
      </x:c>
      <x:c r="U1421" s="2" t="n">
        <x:v>24</x:v>
      </x:c>
      <x:c r="V1421" s="2" t="n">
        <x:v>4</x:v>
      </x:c>
      <x:c r="W1421" s="2" t="n">
        <x:v>9</x:v>
      </x:c>
      <x:c r="X1421" s="14" t="b">
        <x:v>0</x:v>
      </x:c>
      <x:c r="Y1421" s="14" t="b">
        <x:v>1</x:v>
      </x:c>
      <x:c r="Z1421" s="2" t="n">
        <x:f>ABS(T1421-AA1421)</x:f>
        <x:v>0</x:v>
      </x:c>
      <x:c r="AA1421" s="2" t="n">
        <x:v>261</x:v>
      </x:c>
      <x:c r="AB1421" s="2" t="n">
        <x:f>ABS(K1421-W1421)</x:f>
        <x:v>0</x:v>
      </x:c>
      <x:c r="AC1421" s="2" t="n">
        <x:f>COUNTIF($A$2:$A$1921,A1421)-1</x:f>
        <x:v>0</x:v>
      </x:c>
      <x:c r="AD1421" s="2" t="n">
        <x:f>IF(AND(D1421=D1420,H1421=H1420,C1421=C1420+1),ABS(R1421-T1420),0)</x:f>
        <x:v>0</x:v>
      </x:c>
    </x:row>
    <x:row r="1422" ht="23" customHeight="1">
      <x:c r="A1422" s="2" t="str">
        <x:v>DEMO-306-3-1</x:v>
      </x:c>
      <x:c r="B1422" s="15" t="d">
        <x:v>2026-05-04T00:00:00.000Z</x:v>
      </x:c>
      <x:c r="C1422" s="2" t="n">
        <x:v>1</x:v>
      </x:c>
      <x:c r="D1422" s="2" t="str">
        <x:v>DEMO-306</x:v>
      </x:c>
      <x:c r="E1422" s="2" t="str">
        <x:v>Nest Cushion</x:v>
      </x:c>
      <x:c r="F1422" s="2" t="str">
        <x:v>Lifestyle</x:v>
      </x:c>
      <x:c r="G1422" s="2" t="str">
        <x:v>Online</x:v>
      </x:c>
      <x:c r="H1422" s="2" t="str">
        <x:v>Online</x:v>
      </x:c>
      <x:c r="I1422" s="2" t="n">
        <x:v>28</x:v>
      </x:c>
      <x:c r="J1422" s="2" t="n">
        <x:v>0</x:v>
      </x:c>
      <x:c r="K1422" s="2" t="n">
        <x:f>I1422-J1422</x:f>
        <x:v>28</x:v>
      </x:c>
      <x:c r="L1422" s="16" t="n">
        <x:v>34</x:v>
      </x:c>
      <x:c r="M1422" s="16" t="n">
        <x:v>34</x:v>
      </x:c>
      <x:c r="N1422" s="16" t="n">
        <x:v>16.49</x:v>
      </x:c>
      <x:c r="O1422" s="16" t="n">
        <x:f>K1422*M1422</x:f>
        <x:v>952</x:v>
      </x:c>
      <x:c r="P1422" s="16" t="n">
        <x:f>K1422*N1422</x:f>
        <x:v>461.71999999999997</x:v>
      </x:c>
      <x:c r="Q1422" s="16" t="n">
        <x:f>O1422-P1422</x:f>
        <x:v>490.28000000000003</x:v>
      </x:c>
      <x:c r="R1422" s="2" t="n">
        <x:v>140</x:v>
      </x:c>
      <x:c r="S1422" s="2" t="n">
        <x:v>65</x:v>
      </x:c>
      <x:c r="T1422" s="2" t="n">
        <x:f>R1422+S1422+J1422-I1422</x:f>
        <x:v>177</x:v>
      </x:c>
      <x:c r="U1422" s="2" t="n">
        <x:v>0</x:v>
      </x:c>
      <x:c r="V1422" s="2" t="n">
        <x:v>4</x:v>
      </x:c>
      <x:c r="W1422" s="2" t="n">
        <x:v>24</x:v>
      </x:c>
      <x:c r="X1422" s="14" t="b">
        <x:v>0</x:v>
      </x:c>
      <x:c r="Y1422" s="14" t="b">
        <x:v>0</x:v>
      </x:c>
      <x:c r="Z1422" s="2" t="n">
        <x:f>ABS(T1422-AA1422)</x:f>
        <x:v>0</x:v>
      </x:c>
      <x:c r="AA1422" s="2" t="n">
        <x:v>177</x:v>
      </x:c>
      <x:c r="AB1422" s="2" t="n">
        <x:f>ABS(K1422-W1422)</x:f>
        <x:v>4</x:v>
      </x:c>
      <x:c r="AC1422" s="2" t="n">
        <x:f>COUNTIF($A$2:$A$1921,A1422)-1</x:f>
        <x:v>0</x:v>
      </x:c>
      <x:c r="AD1422" s="2" t="n">
        <x:f>IF(AND(D1422=D1421,H1422=H1421,C1422=C1421+1),ABS(R1422-T1421),0)</x:f>
        <x:v>0</x:v>
      </x:c>
    </x:row>
    <x:row r="1423" ht="23" customHeight="1">
      <x:c r="A1423" s="2" t="str">
        <x:v>DEMO-306-3-2</x:v>
      </x:c>
      <x:c r="B1423" s="15" t="d">
        <x:v>2026-05-11T00:00:00.000Z</x:v>
      </x:c>
      <x:c r="C1423" s="2" t="n">
        <x:v>2</x:v>
      </x:c>
      <x:c r="D1423" s="2" t="str">
        <x:v>DEMO-306</x:v>
      </x:c>
      <x:c r="E1423" s="2" t="str">
        <x:v>Nest Cushion</x:v>
      </x:c>
      <x:c r="F1423" s="2" t="str">
        <x:v>Lifestyle</x:v>
      </x:c>
      <x:c r="G1423" s="2" t="str">
        <x:v>Online</x:v>
      </x:c>
      <x:c r="H1423" s="2" t="str">
        <x:v>Online</x:v>
      </x:c>
      <x:c r="I1423" s="2" t="n">
        <x:v>24</x:v>
      </x:c>
      <x:c r="J1423" s="2" t="n">
        <x:v>1</x:v>
      </x:c>
      <x:c r="K1423" s="2" t="n">
        <x:f>I1423-J1423</x:f>
        <x:v>23</x:v>
      </x:c>
      <x:c r="L1423" s="16" t="n">
        <x:v>34</x:v>
      </x:c>
      <x:c r="M1423" s="16" t="n">
        <x:v>34</x:v>
      </x:c>
      <x:c r="N1423" s="16" t="n">
        <x:v>16.49</x:v>
      </x:c>
      <x:c r="O1423" s="16" t="n">
        <x:f>K1423*M1423</x:f>
        <x:v>782</x:v>
      </x:c>
      <x:c r="P1423" s="16" t="n">
        <x:f>K1423*N1423</x:f>
        <x:v>379.27</x:v>
      </x:c>
      <x:c r="Q1423" s="16" t="n">
        <x:f>O1423-P1423</x:f>
        <x:v>402.73</x:v>
      </x:c>
      <x:c r="R1423" s="2" t="n">
        <x:v>177</x:v>
      </x:c>
      <x:c r="S1423" s="2" t="n">
        <x:v>0</x:v>
      </x:c>
      <x:c r="T1423" s="2" t="n">
        <x:f>R1423+S1423+J1423-I1423</x:f>
        <x:v>154</x:v>
      </x:c>
      <x:c r="U1423" s="2" t="n">
        <x:v>0</x:v>
      </x:c>
      <x:c r="V1423" s="2" t="n">
        <x:v>4</x:v>
      </x:c>
      <x:c r="W1423" s="2" t="n">
        <x:v>28</x:v>
      </x:c>
      <x:c r="X1423" s="14" t="b">
        <x:v>0</x:v>
      </x:c>
      <x:c r="Y1423" s="14" t="b">
        <x:v>0</x:v>
      </x:c>
      <x:c r="Z1423" s="2" t="n">
        <x:f>ABS(T1423-AA1423)</x:f>
        <x:v>0</x:v>
      </x:c>
      <x:c r="AA1423" s="2" t="n">
        <x:v>154</x:v>
      </x:c>
      <x:c r="AB1423" s="2" t="n">
        <x:f>ABS(K1423-W1423)</x:f>
        <x:v>5</x:v>
      </x:c>
      <x:c r="AC1423" s="2" t="n">
        <x:f>COUNTIF($A$2:$A$1921,A1423)-1</x:f>
        <x:v>0</x:v>
      </x:c>
      <x:c r="AD1423" s="2" t="n">
        <x:f>IF(AND(D1423=D1422,H1423=H1422,C1423=C1422+1),ABS(R1423-T1422),0)</x:f>
        <x:v>0</x:v>
      </x:c>
    </x:row>
    <x:row r="1424" ht="23" customHeight="1">
      <x:c r="A1424" s="2" t="str">
        <x:v>DEMO-306-3-3</x:v>
      </x:c>
      <x:c r="B1424" s="15" t="d">
        <x:v>2026-05-18T00:00:00.000Z</x:v>
      </x:c>
      <x:c r="C1424" s="2" t="n">
        <x:v>3</x:v>
      </x:c>
      <x:c r="D1424" s="2" t="str">
        <x:v>DEMO-306</x:v>
      </x:c>
      <x:c r="E1424" s="2" t="str">
        <x:v>Nest Cushion</x:v>
      </x:c>
      <x:c r="F1424" s="2" t="str">
        <x:v>Lifestyle</x:v>
      </x:c>
      <x:c r="G1424" s="2" t="str">
        <x:v>Online</x:v>
      </x:c>
      <x:c r="H1424" s="2" t="str">
        <x:v>Online</x:v>
      </x:c>
      <x:c r="I1424" s="2" t="n">
        <x:v>19</x:v>
      </x:c>
      <x:c r="J1424" s="2" t="n">
        <x:v>0</x:v>
      </x:c>
      <x:c r="K1424" s="2" t="n">
        <x:f>I1424-J1424</x:f>
        <x:v>19</x:v>
      </x:c>
      <x:c r="L1424" s="16" t="n">
        <x:v>34</x:v>
      </x:c>
      <x:c r="M1424" s="16" t="n">
        <x:v>34</x:v>
      </x:c>
      <x:c r="N1424" s="16" t="n">
        <x:v>16.49</x:v>
      </x:c>
      <x:c r="O1424" s="16" t="n">
        <x:f>K1424*M1424</x:f>
        <x:v>646</x:v>
      </x:c>
      <x:c r="P1424" s="16" t="n">
        <x:f>K1424*N1424</x:f>
        <x:v>313.30999999999995</x:v>
      </x:c>
      <x:c r="Q1424" s="16" t="n">
        <x:f>O1424-P1424</x:f>
        <x:v>332.69000000000005</x:v>
      </x:c>
      <x:c r="R1424" s="2" t="n">
        <x:v>154</x:v>
      </x:c>
      <x:c r="S1424" s="2" t="n">
        <x:v>0</x:v>
      </x:c>
      <x:c r="T1424" s="2" t="n">
        <x:f>R1424+S1424+J1424-I1424</x:f>
        <x:v>135</x:v>
      </x:c>
      <x:c r="U1424" s="2" t="n">
        <x:v>0</x:v>
      </x:c>
      <x:c r="V1424" s="2" t="n">
        <x:v>4</x:v>
      </x:c>
      <x:c r="W1424" s="2" t="n">
        <x:v>26</x:v>
      </x:c>
      <x:c r="X1424" s="14" t="b">
        <x:v>0</x:v>
      </x:c>
      <x:c r="Y1424" s="14" t="b">
        <x:v>0</x:v>
      </x:c>
      <x:c r="Z1424" s="2" t="n">
        <x:f>ABS(T1424-AA1424)</x:f>
        <x:v>0</x:v>
      </x:c>
      <x:c r="AA1424" s="2" t="n">
        <x:v>135</x:v>
      </x:c>
      <x:c r="AB1424" s="2" t="n">
        <x:f>ABS(K1424-W1424)</x:f>
        <x:v>7</x:v>
      </x:c>
      <x:c r="AC1424" s="2" t="n">
        <x:f>COUNTIF($A$2:$A$1921,A1424)-1</x:f>
        <x:v>0</x:v>
      </x:c>
      <x:c r="AD1424" s="2" t="n">
        <x:f>IF(AND(D1424=D1423,H1424=H1423,C1424=C1423+1),ABS(R1424-T1423),0)</x:f>
        <x:v>0</x:v>
      </x:c>
    </x:row>
    <x:row r="1425" ht="23" customHeight="1">
      <x:c r="A1425" s="2" t="str">
        <x:v>DEMO-306-3-4</x:v>
      </x:c>
      <x:c r="B1425" s="15" t="d">
        <x:v>2026-05-25T00:00:00.000Z</x:v>
      </x:c>
      <x:c r="C1425" s="2" t="n">
        <x:v>4</x:v>
      </x:c>
      <x:c r="D1425" s="2" t="str">
        <x:v>DEMO-306</x:v>
      </x:c>
      <x:c r="E1425" s="2" t="str">
        <x:v>Nest Cushion</x:v>
      </x:c>
      <x:c r="F1425" s="2" t="str">
        <x:v>Lifestyle</x:v>
      </x:c>
      <x:c r="G1425" s="2" t="str">
        <x:v>Online</x:v>
      </x:c>
      <x:c r="H1425" s="2" t="str">
        <x:v>Online</x:v>
      </x:c>
      <x:c r="I1425" s="2" t="n">
        <x:v>20</x:v>
      </x:c>
      <x:c r="J1425" s="2" t="n">
        <x:v>0</x:v>
      </x:c>
      <x:c r="K1425" s="2" t="n">
        <x:f>I1425-J1425</x:f>
        <x:v>20</x:v>
      </x:c>
      <x:c r="L1425" s="16" t="n">
        <x:v>34</x:v>
      </x:c>
      <x:c r="M1425" s="16" t="n">
        <x:v>34</x:v>
      </x:c>
      <x:c r="N1425" s="16" t="n">
        <x:v>16.49</x:v>
      </x:c>
      <x:c r="O1425" s="16" t="n">
        <x:f>K1425*M1425</x:f>
        <x:v>680</x:v>
      </x:c>
      <x:c r="P1425" s="16" t="n">
        <x:f>K1425*N1425</x:f>
        <x:v>329.79999999999995</x:v>
      </x:c>
      <x:c r="Q1425" s="16" t="n">
        <x:f>O1425-P1425</x:f>
        <x:v>350.20000000000005</x:v>
      </x:c>
      <x:c r="R1425" s="2" t="n">
        <x:v>135</x:v>
      </x:c>
      <x:c r="S1425" s="2" t="n">
        <x:v>0</x:v>
      </x:c>
      <x:c r="T1425" s="2" t="n">
        <x:f>R1425+S1425+J1425-I1425</x:f>
        <x:v>115</x:v>
      </x:c>
      <x:c r="U1425" s="2" t="n">
        <x:v>0</x:v>
      </x:c>
      <x:c r="V1425" s="2" t="n">
        <x:v>4</x:v>
      </x:c>
      <x:c r="W1425" s="2" t="n">
        <x:v>23</x:v>
      </x:c>
      <x:c r="X1425" s="14" t="b">
        <x:v>0</x:v>
      </x:c>
      <x:c r="Y1425" s="14" t="b">
        <x:v>0</x:v>
      </x:c>
      <x:c r="Z1425" s="2" t="n">
        <x:f>ABS(T1425-AA1425)</x:f>
        <x:v>0</x:v>
      </x:c>
      <x:c r="AA1425" s="2" t="n">
        <x:v>115</x:v>
      </x:c>
      <x:c r="AB1425" s="2" t="n">
        <x:f>ABS(K1425-W1425)</x:f>
        <x:v>3</x:v>
      </x:c>
      <x:c r="AC1425" s="2" t="n">
        <x:f>COUNTIF($A$2:$A$1921,A1425)-1</x:f>
        <x:v>0</x:v>
      </x:c>
      <x:c r="AD1425" s="2" t="n">
        <x:f>IF(AND(D1425=D1424,H1425=H1424,C1425=C1424+1),ABS(R1425-T1424),0)</x:f>
        <x:v>0</x:v>
      </x:c>
    </x:row>
    <x:row r="1426" ht="23" customHeight="1">
      <x:c r="A1426" s="2" t="str">
        <x:v>DEMO-306-3-5</x:v>
      </x:c>
      <x:c r="B1426" s="15" t="d">
        <x:v>2026-06-01T00:00:00.000Z</x:v>
      </x:c>
      <x:c r="C1426" s="2" t="n">
        <x:v>5</x:v>
      </x:c>
      <x:c r="D1426" s="2" t="str">
        <x:v>DEMO-306</x:v>
      </x:c>
      <x:c r="E1426" s="2" t="str">
        <x:v>Nest Cushion</x:v>
      </x:c>
      <x:c r="F1426" s="2" t="str">
        <x:v>Lifestyle</x:v>
      </x:c>
      <x:c r="G1426" s="2" t="str">
        <x:v>Online</x:v>
      </x:c>
      <x:c r="H1426" s="2" t="str">
        <x:v>Online</x:v>
      </x:c>
      <x:c r="I1426" s="2" t="n">
        <x:v>23</x:v>
      </x:c>
      <x:c r="J1426" s="2" t="n">
        <x:v>0</x:v>
      </x:c>
      <x:c r="K1426" s="2" t="n">
        <x:f>I1426-J1426</x:f>
        <x:v>23</x:v>
      </x:c>
      <x:c r="L1426" s="16" t="n">
        <x:v>34</x:v>
      </x:c>
      <x:c r="M1426" s="16" t="n">
        <x:v>34</x:v>
      </x:c>
      <x:c r="N1426" s="16" t="n">
        <x:v>16.49</x:v>
      </x:c>
      <x:c r="O1426" s="16" t="n">
        <x:f>K1426*M1426</x:f>
        <x:v>782</x:v>
      </x:c>
      <x:c r="P1426" s="16" t="n">
        <x:f>K1426*N1426</x:f>
        <x:v>379.27</x:v>
      </x:c>
      <x:c r="Q1426" s="16" t="n">
        <x:f>O1426-P1426</x:f>
        <x:v>402.73</x:v>
      </x:c>
      <x:c r="R1426" s="2" t="n">
        <x:v>115</x:v>
      </x:c>
      <x:c r="S1426" s="2" t="n">
        <x:v>65</x:v>
      </x:c>
      <x:c r="T1426" s="2" t="n">
        <x:f>R1426+S1426+J1426-I1426</x:f>
        <x:v>157</x:v>
      </x:c>
      <x:c r="U1426" s="2" t="n">
        <x:v>0</x:v>
      </x:c>
      <x:c r="V1426" s="2" t="n">
        <x:v>4</x:v>
      </x:c>
      <x:c r="W1426" s="2" t="n">
        <x:v>23</x:v>
      </x:c>
      <x:c r="X1426" s="14" t="b">
        <x:v>0</x:v>
      </x:c>
      <x:c r="Y1426" s="14" t="b">
        <x:v>0</x:v>
      </x:c>
      <x:c r="Z1426" s="2" t="n">
        <x:f>ABS(T1426-AA1426)</x:f>
        <x:v>0</x:v>
      </x:c>
      <x:c r="AA1426" s="2" t="n">
        <x:v>157</x:v>
      </x:c>
      <x:c r="AB1426" s="2" t="n">
        <x:f>ABS(K1426-W1426)</x:f>
        <x:v>0</x:v>
      </x:c>
      <x:c r="AC1426" s="2" t="n">
        <x:f>COUNTIF($A$2:$A$1921,A1426)-1</x:f>
        <x:v>0</x:v>
      </x:c>
      <x:c r="AD1426" s="2" t="n">
        <x:f>IF(AND(D1426=D1425,H1426=H1425,C1426=C1425+1),ABS(R1426-T1425),0)</x:f>
        <x:v>0</x:v>
      </x:c>
    </x:row>
    <x:row r="1427" ht="23" customHeight="1">
      <x:c r="A1427" s="2" t="str">
        <x:v>DEMO-306-3-6</x:v>
      </x:c>
      <x:c r="B1427" s="15" t="d">
        <x:v>2026-06-08T00:00:00.000Z</x:v>
      </x:c>
      <x:c r="C1427" s="2" t="n">
        <x:v>6</x:v>
      </x:c>
      <x:c r="D1427" s="2" t="str">
        <x:v>DEMO-306</x:v>
      </x:c>
      <x:c r="E1427" s="2" t="str">
        <x:v>Nest Cushion</x:v>
      </x:c>
      <x:c r="F1427" s="2" t="str">
        <x:v>Lifestyle</x:v>
      </x:c>
      <x:c r="G1427" s="2" t="str">
        <x:v>Online</x:v>
      </x:c>
      <x:c r="H1427" s="2" t="str">
        <x:v>Online</x:v>
      </x:c>
      <x:c r="I1427" s="2" t="n">
        <x:v>22</x:v>
      </x:c>
      <x:c r="J1427" s="2" t="n">
        <x:v>1</x:v>
      </x:c>
      <x:c r="K1427" s="2" t="n">
        <x:f>I1427-J1427</x:f>
        <x:v>21</x:v>
      </x:c>
      <x:c r="L1427" s="16" t="n">
        <x:v>34</x:v>
      </x:c>
      <x:c r="M1427" s="16" t="n">
        <x:v>34</x:v>
      </x:c>
      <x:c r="N1427" s="16" t="n">
        <x:v>16.49</x:v>
      </x:c>
      <x:c r="O1427" s="16" t="n">
        <x:f>K1427*M1427</x:f>
        <x:v>714</x:v>
      </x:c>
      <x:c r="P1427" s="16" t="n">
        <x:f>K1427*N1427</x:f>
        <x:v>346.28999999999996</x:v>
      </x:c>
      <x:c r="Q1427" s="16" t="n">
        <x:f>O1427-P1427</x:f>
        <x:v>367.71000000000004</x:v>
      </x:c>
      <x:c r="R1427" s="2" t="n">
        <x:v>157</x:v>
      </x:c>
      <x:c r="S1427" s="2" t="n">
        <x:v>0</x:v>
      </x:c>
      <x:c r="T1427" s="2" t="n">
        <x:f>R1427+S1427+J1427-I1427</x:f>
        <x:v>136</x:v>
      </x:c>
      <x:c r="U1427" s="2" t="n">
        <x:v>0</x:v>
      </x:c>
      <x:c r="V1427" s="2" t="n">
        <x:v>4</x:v>
      </x:c>
      <x:c r="W1427" s="2" t="n">
        <x:v>21</x:v>
      </x:c>
      <x:c r="X1427" s="14" t="b">
        <x:v>0</x:v>
      </x:c>
      <x:c r="Y1427" s="14" t="b">
        <x:v>0</x:v>
      </x:c>
      <x:c r="Z1427" s="2" t="n">
        <x:f>ABS(T1427-AA1427)</x:f>
        <x:v>0</x:v>
      </x:c>
      <x:c r="AA1427" s="2" t="n">
        <x:v>136</x:v>
      </x:c>
      <x:c r="AB1427" s="2" t="n">
        <x:f>ABS(K1427-W1427)</x:f>
        <x:v>0</x:v>
      </x:c>
      <x:c r="AC1427" s="2" t="n">
        <x:f>COUNTIF($A$2:$A$1921,A1427)-1</x:f>
        <x:v>0</x:v>
      </x:c>
      <x:c r="AD1427" s="2" t="n">
        <x:f>IF(AND(D1427=D1426,H1427=H1426,C1427=C1426+1),ABS(R1427-T1426),0)</x:f>
        <x:v>0</x:v>
      </x:c>
    </x:row>
    <x:row r="1428" ht="23" customHeight="1">
      <x:c r="A1428" s="2" t="str">
        <x:v>DEMO-306-3-7</x:v>
      </x:c>
      <x:c r="B1428" s="15" t="d">
        <x:v>2026-06-15T00:00:00.000Z</x:v>
      </x:c>
      <x:c r="C1428" s="2" t="n">
        <x:v>7</x:v>
      </x:c>
      <x:c r="D1428" s="2" t="str">
        <x:v>DEMO-306</x:v>
      </x:c>
      <x:c r="E1428" s="2" t="str">
        <x:v>Nest Cushion</x:v>
      </x:c>
      <x:c r="F1428" s="2" t="str">
        <x:v>Lifestyle</x:v>
      </x:c>
      <x:c r="G1428" s="2" t="str">
        <x:v>Online</x:v>
      </x:c>
      <x:c r="H1428" s="2" t="str">
        <x:v>Online</x:v>
      </x:c>
      <x:c r="I1428" s="2" t="n">
        <x:v>23</x:v>
      </x:c>
      <x:c r="J1428" s="2" t="n">
        <x:v>0</x:v>
      </x:c>
      <x:c r="K1428" s="2" t="n">
        <x:f>I1428-J1428</x:f>
        <x:v>23</x:v>
      </x:c>
      <x:c r="L1428" s="16" t="n">
        <x:v>34</x:v>
      </x:c>
      <x:c r="M1428" s="16" t="n">
        <x:v>34</x:v>
      </x:c>
      <x:c r="N1428" s="16" t="n">
        <x:v>16.49</x:v>
      </x:c>
      <x:c r="O1428" s="16" t="n">
        <x:f>K1428*M1428</x:f>
        <x:v>782</x:v>
      </x:c>
      <x:c r="P1428" s="16" t="n">
        <x:f>K1428*N1428</x:f>
        <x:v>379.27</x:v>
      </x:c>
      <x:c r="Q1428" s="16" t="n">
        <x:f>O1428-P1428</x:f>
        <x:v>402.73</x:v>
      </x:c>
      <x:c r="R1428" s="2" t="n">
        <x:v>136</x:v>
      </x:c>
      <x:c r="S1428" s="2" t="n">
        <x:v>0</x:v>
      </x:c>
      <x:c r="T1428" s="2" t="n">
        <x:f>R1428+S1428+J1428-I1428</x:f>
        <x:v>113</x:v>
      </x:c>
      <x:c r="U1428" s="2" t="n">
        <x:v>0</x:v>
      </x:c>
      <x:c r="V1428" s="2" t="n">
        <x:v>4</x:v>
      </x:c>
      <x:c r="W1428" s="2" t="n">
        <x:v>21</x:v>
      </x:c>
      <x:c r="X1428" s="14" t="b">
        <x:v>0</x:v>
      </x:c>
      <x:c r="Y1428" s="14" t="b">
        <x:v>0</x:v>
      </x:c>
      <x:c r="Z1428" s="2" t="n">
        <x:f>ABS(T1428-AA1428)</x:f>
        <x:v>0</x:v>
      </x:c>
      <x:c r="AA1428" s="2" t="n">
        <x:v>113</x:v>
      </x:c>
      <x:c r="AB1428" s="2" t="n">
        <x:f>ABS(K1428-W1428)</x:f>
        <x:v>2</x:v>
      </x:c>
      <x:c r="AC1428" s="2" t="n">
        <x:f>COUNTIF($A$2:$A$1921,A1428)-1</x:f>
        <x:v>0</x:v>
      </x:c>
      <x:c r="AD1428" s="2" t="n">
        <x:f>IF(AND(D1428=D1427,H1428=H1427,C1428=C1427+1),ABS(R1428-T1427),0)</x:f>
        <x:v>0</x:v>
      </x:c>
    </x:row>
    <x:row r="1429" ht="23" customHeight="1">
      <x:c r="A1429" s="2" t="str">
        <x:v>DEMO-306-3-8</x:v>
      </x:c>
      <x:c r="B1429" s="15" t="d">
        <x:v>2026-06-22T00:00:00.000Z</x:v>
      </x:c>
      <x:c r="C1429" s="2" t="n">
        <x:v>8</x:v>
      </x:c>
      <x:c r="D1429" s="2" t="str">
        <x:v>DEMO-306</x:v>
      </x:c>
      <x:c r="E1429" s="2" t="str">
        <x:v>Nest Cushion</x:v>
      </x:c>
      <x:c r="F1429" s="2" t="str">
        <x:v>Lifestyle</x:v>
      </x:c>
      <x:c r="G1429" s="2" t="str">
        <x:v>Online</x:v>
      </x:c>
      <x:c r="H1429" s="2" t="str">
        <x:v>Online</x:v>
      </x:c>
      <x:c r="I1429" s="2" t="n">
        <x:v>19</x:v>
      </x:c>
      <x:c r="J1429" s="2" t="n">
        <x:v>1</x:v>
      </x:c>
      <x:c r="K1429" s="2" t="n">
        <x:f>I1429-J1429</x:f>
        <x:v>18</x:v>
      </x:c>
      <x:c r="L1429" s="16" t="n">
        <x:v>34</x:v>
      </x:c>
      <x:c r="M1429" s="16" t="n">
        <x:v>34</x:v>
      </x:c>
      <x:c r="N1429" s="16" t="n">
        <x:v>16.49</x:v>
      </x:c>
      <x:c r="O1429" s="16" t="n">
        <x:f>K1429*M1429</x:f>
        <x:v>612</x:v>
      </x:c>
      <x:c r="P1429" s="16" t="n">
        <x:f>K1429*N1429</x:f>
        <x:v>296.82</x:v>
      </x:c>
      <x:c r="Q1429" s="16" t="n">
        <x:f>O1429-P1429</x:f>
        <x:v>315.18</x:v>
      </x:c>
      <x:c r="R1429" s="2" t="n">
        <x:v>113</x:v>
      </x:c>
      <x:c r="S1429" s="2" t="n">
        <x:v>0</x:v>
      </x:c>
      <x:c r="T1429" s="2" t="n">
        <x:f>R1429+S1429+J1429-I1429</x:f>
        <x:v>95</x:v>
      </x:c>
      <x:c r="U1429" s="2" t="n">
        <x:v>0</x:v>
      </x:c>
      <x:c r="V1429" s="2" t="n">
        <x:v>4</x:v>
      </x:c>
      <x:c r="W1429" s="2" t="n">
        <x:v>22</x:v>
      </x:c>
      <x:c r="X1429" s="14" t="b">
        <x:v>0</x:v>
      </x:c>
      <x:c r="Y1429" s="14" t="b">
        <x:v>0</x:v>
      </x:c>
      <x:c r="Z1429" s="2" t="n">
        <x:f>ABS(T1429-AA1429)</x:f>
        <x:v>0</x:v>
      </x:c>
      <x:c r="AA1429" s="2" t="n">
        <x:v>95</x:v>
      </x:c>
      <x:c r="AB1429" s="2" t="n">
        <x:f>ABS(K1429-W1429)</x:f>
        <x:v>4</x:v>
      </x:c>
      <x:c r="AC1429" s="2" t="n">
        <x:f>COUNTIF($A$2:$A$1921,A1429)-1</x:f>
        <x:v>0</x:v>
      </x:c>
      <x:c r="AD1429" s="2" t="n">
        <x:f>IF(AND(D1429=D1428,H1429=H1428,C1429=C1428+1),ABS(R1429-T1428),0)</x:f>
        <x:v>0</x:v>
      </x:c>
    </x:row>
    <x:row r="1430" ht="23" customHeight="1">
      <x:c r="A1430" s="2" t="str">
        <x:v>DEMO-306-3-9</x:v>
      </x:c>
      <x:c r="B1430" s="15" t="d">
        <x:v>2026-06-29T00:00:00.000Z</x:v>
      </x:c>
      <x:c r="C1430" s="2" t="n">
        <x:v>9</x:v>
      </x:c>
      <x:c r="D1430" s="2" t="str">
        <x:v>DEMO-306</x:v>
      </x:c>
      <x:c r="E1430" s="2" t="str">
        <x:v>Nest Cushion</x:v>
      </x:c>
      <x:c r="F1430" s="2" t="str">
        <x:v>Lifestyle</x:v>
      </x:c>
      <x:c r="G1430" s="2" t="str">
        <x:v>Online</x:v>
      </x:c>
      <x:c r="H1430" s="2" t="str">
        <x:v>Online</x:v>
      </x:c>
      <x:c r="I1430" s="2" t="n">
        <x:v>21</x:v>
      </x:c>
      <x:c r="J1430" s="2" t="n">
        <x:v>0</x:v>
      </x:c>
      <x:c r="K1430" s="2" t="n">
        <x:f>I1430-J1430</x:f>
        <x:v>21</x:v>
      </x:c>
      <x:c r="L1430" s="16" t="n">
        <x:v>34</x:v>
      </x:c>
      <x:c r="M1430" s="16" t="n">
        <x:v>34</x:v>
      </x:c>
      <x:c r="N1430" s="16" t="n">
        <x:v>16.49</x:v>
      </x:c>
      <x:c r="O1430" s="16" t="n">
        <x:f>K1430*M1430</x:f>
        <x:v>714</x:v>
      </x:c>
      <x:c r="P1430" s="16" t="n">
        <x:f>K1430*N1430</x:f>
        <x:v>346.28999999999996</x:v>
      </x:c>
      <x:c r="Q1430" s="16" t="n">
        <x:f>O1430-P1430</x:f>
        <x:v>367.71000000000004</x:v>
      </x:c>
      <x:c r="R1430" s="2" t="n">
        <x:v>95</x:v>
      </x:c>
      <x:c r="S1430" s="2" t="n">
        <x:v>65</x:v>
      </x:c>
      <x:c r="T1430" s="2" t="n">
        <x:f>R1430+S1430+J1430-I1430</x:f>
        <x:v>139</x:v>
      </x:c>
      <x:c r="U1430" s="2" t="n">
        <x:v>0</x:v>
      </x:c>
      <x:c r="V1430" s="2" t="n">
        <x:v>4</x:v>
      </x:c>
      <x:c r="W1430" s="2" t="n">
        <x:v>21</x:v>
      </x:c>
      <x:c r="X1430" s="14" t="b">
        <x:v>0</x:v>
      </x:c>
      <x:c r="Y1430" s="14" t="b">
        <x:v>0</x:v>
      </x:c>
      <x:c r="Z1430" s="2" t="n">
        <x:f>ABS(T1430-AA1430)</x:f>
        <x:v>0</x:v>
      </x:c>
      <x:c r="AA1430" s="2" t="n">
        <x:v>139</x:v>
      </x:c>
      <x:c r="AB1430" s="2" t="n">
        <x:f>ABS(K1430-W1430)</x:f>
        <x:v>0</x:v>
      </x:c>
      <x:c r="AC1430" s="2" t="n">
        <x:f>COUNTIF($A$2:$A$1921,A1430)-1</x:f>
        <x:v>0</x:v>
      </x:c>
      <x:c r="AD1430" s="2" t="n">
        <x:f>IF(AND(D1430=D1429,H1430=H1429,C1430=C1429+1),ABS(R1430-T1429),0)</x:f>
        <x:v>0</x:v>
      </x:c>
    </x:row>
    <x:row r="1431" ht="23" customHeight="1">
      <x:c r="A1431" s="2" t="str">
        <x:v>DEMO-306-3-10</x:v>
      </x:c>
      <x:c r="B1431" s="15" t="d">
        <x:v>2026-07-06T00:00:00.000Z</x:v>
      </x:c>
      <x:c r="C1431" s="2" t="n">
        <x:v>10</x:v>
      </x:c>
      <x:c r="D1431" s="2" t="str">
        <x:v>DEMO-306</x:v>
      </x:c>
      <x:c r="E1431" s="2" t="str">
        <x:v>Nest Cushion</x:v>
      </x:c>
      <x:c r="F1431" s="2" t="str">
        <x:v>Lifestyle</x:v>
      </x:c>
      <x:c r="G1431" s="2" t="str">
        <x:v>Online</x:v>
      </x:c>
      <x:c r="H1431" s="2" t="str">
        <x:v>Online</x:v>
      </x:c>
      <x:c r="I1431" s="2" t="n">
        <x:v>14</x:v>
      </x:c>
      <x:c r="J1431" s="2" t="n">
        <x:v>0</x:v>
      </x:c>
      <x:c r="K1431" s="2" t="n">
        <x:f>I1431-J1431</x:f>
        <x:v>14</x:v>
      </x:c>
      <x:c r="L1431" s="16" t="n">
        <x:v>34</x:v>
      </x:c>
      <x:c r="M1431" s="16" t="n">
        <x:v>34</x:v>
      </x:c>
      <x:c r="N1431" s="16" t="n">
        <x:v>16.49</x:v>
      </x:c>
      <x:c r="O1431" s="16" t="n">
        <x:f>K1431*M1431</x:f>
        <x:v>476</x:v>
      </x:c>
      <x:c r="P1431" s="16" t="n">
        <x:f>K1431*N1431</x:f>
        <x:v>230.85999999999999</x:v>
      </x:c>
      <x:c r="Q1431" s="16" t="n">
        <x:f>O1431-P1431</x:f>
        <x:v>245.14000000000001</x:v>
      </x:c>
      <x:c r="R1431" s="2" t="n">
        <x:v>139</x:v>
      </x:c>
      <x:c r="S1431" s="2" t="n">
        <x:v>0</x:v>
      </x:c>
      <x:c r="T1431" s="2" t="n">
        <x:f>R1431+S1431+J1431-I1431</x:f>
        <x:v>125</x:v>
      </x:c>
      <x:c r="U1431" s="2" t="n">
        <x:v>0</x:v>
      </x:c>
      <x:c r="V1431" s="2" t="n">
        <x:v>4</x:v>
      </x:c>
      <x:c r="W1431" s="2" t="n">
        <x:v>21</x:v>
      </x:c>
      <x:c r="X1431" s="14" t="b">
        <x:v>0</x:v>
      </x:c>
      <x:c r="Y1431" s="14" t="b">
        <x:v>0</x:v>
      </x:c>
      <x:c r="Z1431" s="2" t="n">
        <x:f>ABS(T1431-AA1431)</x:f>
        <x:v>0</x:v>
      </x:c>
      <x:c r="AA1431" s="2" t="n">
        <x:v>125</x:v>
      </x:c>
      <x:c r="AB1431" s="2" t="n">
        <x:f>ABS(K1431-W1431)</x:f>
        <x:v>7</x:v>
      </x:c>
      <x:c r="AC1431" s="2" t="n">
        <x:f>COUNTIF($A$2:$A$1921,A1431)-1</x:f>
        <x:v>0</x:v>
      </x:c>
      <x:c r="AD1431" s="2" t="n">
        <x:f>IF(AND(D1431=D1430,H1431=H1430,C1431=C1430+1),ABS(R1431-T1430),0)</x:f>
        <x:v>0</x:v>
      </x:c>
    </x:row>
    <x:row r="1432" ht="23" customHeight="1">
      <x:c r="A1432" s="2" t="str">
        <x:v>DEMO-306-3-11</x:v>
      </x:c>
      <x:c r="B1432" s="15" t="d">
        <x:v>2026-07-13T00:00:00.000Z</x:v>
      </x:c>
      <x:c r="C1432" s="2" t="n">
        <x:v>11</x:v>
      </x:c>
      <x:c r="D1432" s="2" t="str">
        <x:v>DEMO-306</x:v>
      </x:c>
      <x:c r="E1432" s="2" t="str">
        <x:v>Nest Cushion</x:v>
      </x:c>
      <x:c r="F1432" s="2" t="str">
        <x:v>Lifestyle</x:v>
      </x:c>
      <x:c r="G1432" s="2" t="str">
        <x:v>Online</x:v>
      </x:c>
      <x:c r="H1432" s="2" t="str">
        <x:v>Online</x:v>
      </x:c>
      <x:c r="I1432" s="2" t="n">
        <x:v>16</x:v>
      </x:c>
      <x:c r="J1432" s="2" t="n">
        <x:v>0</x:v>
      </x:c>
      <x:c r="K1432" s="2" t="n">
        <x:f>I1432-J1432</x:f>
        <x:v>16</x:v>
      </x:c>
      <x:c r="L1432" s="16" t="n">
        <x:v>34</x:v>
      </x:c>
      <x:c r="M1432" s="16" t="n">
        <x:v>34</x:v>
      </x:c>
      <x:c r="N1432" s="16" t="n">
        <x:v>16.49</x:v>
      </x:c>
      <x:c r="O1432" s="16" t="n">
        <x:f>K1432*M1432</x:f>
        <x:v>544</x:v>
      </x:c>
      <x:c r="P1432" s="16" t="n">
        <x:f>K1432*N1432</x:f>
        <x:v>263.84</x:v>
      </x:c>
      <x:c r="Q1432" s="16" t="n">
        <x:f>O1432-P1432</x:f>
        <x:v>280.16</x:v>
      </x:c>
      <x:c r="R1432" s="2" t="n">
        <x:v>125</x:v>
      </x:c>
      <x:c r="S1432" s="2" t="n">
        <x:v>0</x:v>
      </x:c>
      <x:c r="T1432" s="2" t="n">
        <x:f>R1432+S1432+J1432-I1432</x:f>
        <x:v>109</x:v>
      </x:c>
      <x:c r="U1432" s="2" t="n">
        <x:v>0</x:v>
      </x:c>
      <x:c r="V1432" s="2" t="n">
        <x:v>4</x:v>
      </x:c>
      <x:c r="W1432" s="2" t="n">
        <x:v>19</x:v>
      </x:c>
      <x:c r="X1432" s="14" t="b">
        <x:v>0</x:v>
      </x:c>
      <x:c r="Y1432" s="14" t="b">
        <x:v>0</x:v>
      </x:c>
      <x:c r="Z1432" s="2" t="n">
        <x:f>ABS(T1432-AA1432)</x:f>
        <x:v>0</x:v>
      </x:c>
      <x:c r="AA1432" s="2" t="n">
        <x:v>109</x:v>
      </x:c>
      <x:c r="AB1432" s="2" t="n">
        <x:f>ABS(K1432-W1432)</x:f>
        <x:v>3</x:v>
      </x:c>
      <x:c r="AC1432" s="2" t="n">
        <x:f>COUNTIF($A$2:$A$1921,A1432)-1</x:f>
        <x:v>0</x:v>
      </x:c>
      <x:c r="AD1432" s="2" t="n">
        <x:f>IF(AND(D1432=D1431,H1432=H1431,C1432=C1431+1),ABS(R1432-T1431),0)</x:f>
        <x:v>0</x:v>
      </x:c>
    </x:row>
    <x:row r="1433" ht="23" customHeight="1">
      <x:c r="A1433" s="2" t="str">
        <x:v>DEMO-306-3-12</x:v>
      </x:c>
      <x:c r="B1433" s="15" t="d">
        <x:v>2026-07-20T00:00:00.000Z</x:v>
      </x:c>
      <x:c r="C1433" s="2" t="n">
        <x:v>12</x:v>
      </x:c>
      <x:c r="D1433" s="2" t="str">
        <x:v>DEMO-306</x:v>
      </x:c>
      <x:c r="E1433" s="2" t="str">
        <x:v>Nest Cushion</x:v>
      </x:c>
      <x:c r="F1433" s="2" t="str">
        <x:v>Lifestyle</x:v>
      </x:c>
      <x:c r="G1433" s="2" t="str">
        <x:v>Online</x:v>
      </x:c>
      <x:c r="H1433" s="2" t="str">
        <x:v>Online</x:v>
      </x:c>
      <x:c r="I1433" s="2" t="n">
        <x:v>16</x:v>
      </x:c>
      <x:c r="J1433" s="2" t="n">
        <x:v>0</x:v>
      </x:c>
      <x:c r="K1433" s="2" t="n">
        <x:f>I1433-J1433</x:f>
        <x:v>16</x:v>
      </x:c>
      <x:c r="L1433" s="16" t="n">
        <x:v>34</x:v>
      </x:c>
      <x:c r="M1433" s="16" t="n">
        <x:v>34</x:v>
      </x:c>
      <x:c r="N1433" s="16" t="n">
        <x:v>16.49</x:v>
      </x:c>
      <x:c r="O1433" s="16" t="n">
        <x:f>K1433*M1433</x:f>
        <x:v>544</x:v>
      </x:c>
      <x:c r="P1433" s="16" t="n">
        <x:f>K1433*N1433</x:f>
        <x:v>263.84</x:v>
      </x:c>
      <x:c r="Q1433" s="16" t="n">
        <x:f>O1433-P1433</x:f>
        <x:v>280.16</x:v>
      </x:c>
      <x:c r="R1433" s="2" t="n">
        <x:v>109</x:v>
      </x:c>
      <x:c r="S1433" s="2" t="n">
        <x:v>0</x:v>
      </x:c>
      <x:c r="T1433" s="2" t="n">
        <x:f>R1433+S1433+J1433-I1433</x:f>
        <x:v>93</x:v>
      </x:c>
      <x:c r="U1433" s="2" t="n">
        <x:v>0</x:v>
      </x:c>
      <x:c r="V1433" s="2" t="n">
        <x:v>4</x:v>
      </x:c>
      <x:c r="W1433" s="2" t="n">
        <x:v>17</x:v>
      </x:c>
      <x:c r="X1433" s="14" t="b">
        <x:v>0</x:v>
      </x:c>
      <x:c r="Y1433" s="14" t="b">
        <x:v>0</x:v>
      </x:c>
      <x:c r="Z1433" s="2" t="n">
        <x:f>ABS(T1433-AA1433)</x:f>
        <x:v>0</x:v>
      </x:c>
      <x:c r="AA1433" s="2" t="n">
        <x:v>93</x:v>
      </x:c>
      <x:c r="AB1433" s="2" t="n">
        <x:f>ABS(K1433-W1433)</x:f>
        <x:v>1</x:v>
      </x:c>
      <x:c r="AC1433" s="2" t="n">
        <x:f>COUNTIF($A$2:$A$1921,A1433)-1</x:f>
        <x:v>0</x:v>
      </x:c>
      <x:c r="AD1433" s="2" t="n">
        <x:f>IF(AND(D1433=D1432,H1433=H1432,C1433=C1432+1),ABS(R1433-T1432),0)</x:f>
        <x:v>0</x:v>
      </x:c>
    </x:row>
    <x:row r="1434" ht="23" customHeight="1">
      <x:c r="A1434" s="2" t="str">
        <x:v>DEMO-306-3-13</x:v>
      </x:c>
      <x:c r="B1434" s="15" t="d">
        <x:v>2026-07-27T00:00:00.000Z</x:v>
      </x:c>
      <x:c r="C1434" s="2" t="n">
        <x:v>13</x:v>
      </x:c>
      <x:c r="D1434" s="2" t="str">
        <x:v>DEMO-306</x:v>
      </x:c>
      <x:c r="E1434" s="2" t="str">
        <x:v>Nest Cushion</x:v>
      </x:c>
      <x:c r="F1434" s="2" t="str">
        <x:v>Lifestyle</x:v>
      </x:c>
      <x:c r="G1434" s="2" t="str">
        <x:v>Online</x:v>
      </x:c>
      <x:c r="H1434" s="2" t="str">
        <x:v>Online</x:v>
      </x:c>
      <x:c r="I1434" s="2" t="n">
        <x:v>17</x:v>
      </x:c>
      <x:c r="J1434" s="2" t="n">
        <x:v>1</x:v>
      </x:c>
      <x:c r="K1434" s="2" t="n">
        <x:f>I1434-J1434</x:f>
        <x:v>16</x:v>
      </x:c>
      <x:c r="L1434" s="16" t="n">
        <x:v>34</x:v>
      </x:c>
      <x:c r="M1434" s="16" t="n">
        <x:v>34</x:v>
      </x:c>
      <x:c r="N1434" s="16" t="n">
        <x:v>16.49</x:v>
      </x:c>
      <x:c r="O1434" s="16" t="n">
        <x:f>K1434*M1434</x:f>
        <x:v>544</x:v>
      </x:c>
      <x:c r="P1434" s="16" t="n">
        <x:f>K1434*N1434</x:f>
        <x:v>263.84</x:v>
      </x:c>
      <x:c r="Q1434" s="16" t="n">
        <x:f>O1434-P1434</x:f>
        <x:v>280.16</x:v>
      </x:c>
      <x:c r="R1434" s="2" t="n">
        <x:v>93</x:v>
      </x:c>
      <x:c r="S1434" s="2" t="n">
        <x:v>65</x:v>
      </x:c>
      <x:c r="T1434" s="2" t="n">
        <x:f>R1434+S1434+J1434-I1434</x:f>
        <x:v>142</x:v>
      </x:c>
      <x:c r="U1434" s="2" t="n">
        <x:v>0</x:v>
      </x:c>
      <x:c r="V1434" s="2" t="n">
        <x:v>4</x:v>
      </x:c>
      <x:c r="W1434" s="2" t="n">
        <x:v>17</x:v>
      </x:c>
      <x:c r="X1434" s="14" t="b">
        <x:v>0</x:v>
      </x:c>
      <x:c r="Y1434" s="14" t="b">
        <x:v>0</x:v>
      </x:c>
      <x:c r="Z1434" s="2" t="n">
        <x:f>ABS(T1434-AA1434)</x:f>
        <x:v>0</x:v>
      </x:c>
      <x:c r="AA1434" s="2" t="n">
        <x:v>142</x:v>
      </x:c>
      <x:c r="AB1434" s="2" t="n">
        <x:f>ABS(K1434-W1434)</x:f>
        <x:v>1</x:v>
      </x:c>
      <x:c r="AC1434" s="2" t="n">
        <x:f>COUNTIF($A$2:$A$1921,A1434)-1</x:f>
        <x:v>0</x:v>
      </x:c>
      <x:c r="AD1434" s="2" t="n">
        <x:f>IF(AND(D1434=D1433,H1434=H1433,C1434=C1433+1),ABS(R1434-T1433),0)</x:f>
        <x:v>0</x:v>
      </x:c>
    </x:row>
    <x:row r="1435" ht="23" customHeight="1">
      <x:c r="A1435" s="2" t="str">
        <x:v>DEMO-306-3-14</x:v>
      </x:c>
      <x:c r="B1435" s="15" t="d">
        <x:v>2026-08-03T00:00:00.000Z</x:v>
      </x:c>
      <x:c r="C1435" s="2" t="n">
        <x:v>14</x:v>
      </x:c>
      <x:c r="D1435" s="2" t="str">
        <x:v>DEMO-306</x:v>
      </x:c>
      <x:c r="E1435" s="2" t="str">
        <x:v>Nest Cushion</x:v>
      </x:c>
      <x:c r="F1435" s="2" t="str">
        <x:v>Lifestyle</x:v>
      </x:c>
      <x:c r="G1435" s="2" t="str">
        <x:v>Online</x:v>
      </x:c>
      <x:c r="H1435" s="2" t="str">
        <x:v>Online</x:v>
      </x:c>
      <x:c r="I1435" s="2" t="n">
        <x:v>15</x:v>
      </x:c>
      <x:c r="J1435" s="2" t="n">
        <x:v>0</x:v>
      </x:c>
      <x:c r="K1435" s="2" t="n">
        <x:f>I1435-J1435</x:f>
        <x:v>15</x:v>
      </x:c>
      <x:c r="L1435" s="16" t="n">
        <x:v>34</x:v>
      </x:c>
      <x:c r="M1435" s="16" t="n">
        <x:v>34</x:v>
      </x:c>
      <x:c r="N1435" s="16" t="n">
        <x:v>16.49</x:v>
      </x:c>
      <x:c r="O1435" s="16" t="n">
        <x:f>K1435*M1435</x:f>
        <x:v>510</x:v>
      </x:c>
      <x:c r="P1435" s="16" t="n">
        <x:f>K1435*N1435</x:f>
        <x:v>247.34999999999997</x:v>
      </x:c>
      <x:c r="Q1435" s="16" t="n">
        <x:f>O1435-P1435</x:f>
        <x:v>262.65000000000003</x:v>
      </x:c>
      <x:c r="R1435" s="2" t="n">
        <x:v>142</x:v>
      </x:c>
      <x:c r="S1435" s="2" t="n">
        <x:v>0</x:v>
      </x:c>
      <x:c r="T1435" s="2" t="n">
        <x:f>R1435+S1435+J1435-I1435</x:f>
        <x:v>127</x:v>
      </x:c>
      <x:c r="U1435" s="2" t="n">
        <x:v>0</x:v>
      </x:c>
      <x:c r="V1435" s="2" t="n">
        <x:v>4</x:v>
      </x:c>
      <x:c r="W1435" s="2" t="n">
        <x:v>16</x:v>
      </x:c>
      <x:c r="X1435" s="14" t="b">
        <x:v>0</x:v>
      </x:c>
      <x:c r="Y1435" s="14" t="b">
        <x:v>0</x:v>
      </x:c>
      <x:c r="Z1435" s="2" t="n">
        <x:f>ABS(T1435-AA1435)</x:f>
        <x:v>0</x:v>
      </x:c>
      <x:c r="AA1435" s="2" t="n">
        <x:v>127</x:v>
      </x:c>
      <x:c r="AB1435" s="2" t="n">
        <x:f>ABS(K1435-W1435)</x:f>
        <x:v>1</x:v>
      </x:c>
      <x:c r="AC1435" s="2" t="n">
        <x:f>COUNTIF($A$2:$A$1921,A1435)-1</x:f>
        <x:v>0</x:v>
      </x:c>
      <x:c r="AD1435" s="2" t="n">
        <x:f>IF(AND(D1435=D1434,H1435=H1434,C1435=C1434+1),ABS(R1435-T1434),0)</x:f>
        <x:v>0</x:v>
      </x:c>
    </x:row>
    <x:row r="1436" ht="23" customHeight="1">
      <x:c r="A1436" s="2" t="str">
        <x:v>DEMO-306-3-15</x:v>
      </x:c>
      <x:c r="B1436" s="15" t="d">
        <x:v>2026-08-10T00:00:00.000Z</x:v>
      </x:c>
      <x:c r="C1436" s="2" t="n">
        <x:v>15</x:v>
      </x:c>
      <x:c r="D1436" s="2" t="str">
        <x:v>DEMO-306</x:v>
      </x:c>
      <x:c r="E1436" s="2" t="str">
        <x:v>Nest Cushion</x:v>
      </x:c>
      <x:c r="F1436" s="2" t="str">
        <x:v>Lifestyle</x:v>
      </x:c>
      <x:c r="G1436" s="2" t="str">
        <x:v>Online</x:v>
      </x:c>
      <x:c r="H1436" s="2" t="str">
        <x:v>Online</x:v>
      </x:c>
      <x:c r="I1436" s="2" t="n">
        <x:v>15</x:v>
      </x:c>
      <x:c r="J1436" s="2" t="n">
        <x:v>1</x:v>
      </x:c>
      <x:c r="K1436" s="2" t="n">
        <x:f>I1436-J1436</x:f>
        <x:v>14</x:v>
      </x:c>
      <x:c r="L1436" s="16" t="n">
        <x:v>34</x:v>
      </x:c>
      <x:c r="M1436" s="16" t="n">
        <x:v>34</x:v>
      </x:c>
      <x:c r="N1436" s="16" t="n">
        <x:v>16.49</x:v>
      </x:c>
      <x:c r="O1436" s="16" t="n">
        <x:f>K1436*M1436</x:f>
        <x:v>476</x:v>
      </x:c>
      <x:c r="P1436" s="16" t="n">
        <x:f>K1436*N1436</x:f>
        <x:v>230.85999999999999</x:v>
      </x:c>
      <x:c r="Q1436" s="16" t="n">
        <x:f>O1436-P1436</x:f>
        <x:v>245.14000000000001</x:v>
      </x:c>
      <x:c r="R1436" s="2" t="n">
        <x:v>127</x:v>
      </x:c>
      <x:c r="S1436" s="2" t="n">
        <x:v>0</x:v>
      </x:c>
      <x:c r="T1436" s="2" t="n">
        <x:f>R1436+S1436+J1436-I1436</x:f>
        <x:v>113</x:v>
      </x:c>
      <x:c r="U1436" s="2" t="n">
        <x:v>0</x:v>
      </x:c>
      <x:c r="V1436" s="2" t="n">
        <x:v>4</x:v>
      </x:c>
      <x:c r="W1436" s="2" t="n">
        <x:v>16</x:v>
      </x:c>
      <x:c r="X1436" s="14" t="b">
        <x:v>0</x:v>
      </x:c>
      <x:c r="Y1436" s="14" t="b">
        <x:v>0</x:v>
      </x:c>
      <x:c r="Z1436" s="2" t="n">
        <x:f>ABS(T1436-AA1436)</x:f>
        <x:v>0</x:v>
      </x:c>
      <x:c r="AA1436" s="2" t="n">
        <x:v>113</x:v>
      </x:c>
      <x:c r="AB1436" s="2" t="n">
        <x:f>ABS(K1436-W1436)</x:f>
        <x:v>2</x:v>
      </x:c>
      <x:c r="AC1436" s="2" t="n">
        <x:f>COUNTIF($A$2:$A$1921,A1436)-1</x:f>
        <x:v>0</x:v>
      </x:c>
      <x:c r="AD1436" s="2" t="n">
        <x:f>IF(AND(D1436=D1435,H1436=H1435,C1436=C1435+1),ABS(R1436-T1435),0)</x:f>
        <x:v>0</x:v>
      </x:c>
    </x:row>
    <x:row r="1437" ht="23" customHeight="1">
      <x:c r="A1437" s="2" t="str">
        <x:v>DEMO-306-3-16</x:v>
      </x:c>
      <x:c r="B1437" s="15" t="d">
        <x:v>2026-08-17T00:00:00.000Z</x:v>
      </x:c>
      <x:c r="C1437" s="2" t="n">
        <x:v>16</x:v>
      </x:c>
      <x:c r="D1437" s="2" t="str">
        <x:v>DEMO-306</x:v>
      </x:c>
      <x:c r="E1437" s="2" t="str">
        <x:v>Nest Cushion</x:v>
      </x:c>
      <x:c r="F1437" s="2" t="str">
        <x:v>Lifestyle</x:v>
      </x:c>
      <x:c r="G1437" s="2" t="str">
        <x:v>Online</x:v>
      </x:c>
      <x:c r="H1437" s="2" t="str">
        <x:v>Online</x:v>
      </x:c>
      <x:c r="I1437" s="2" t="n">
        <x:v>16</x:v>
      </x:c>
      <x:c r="J1437" s="2" t="n">
        <x:v>0</x:v>
      </x:c>
      <x:c r="K1437" s="2" t="n">
        <x:f>I1437-J1437</x:f>
        <x:v>16</x:v>
      </x:c>
      <x:c r="L1437" s="16" t="n">
        <x:v>34</x:v>
      </x:c>
      <x:c r="M1437" s="16" t="n">
        <x:v>34</x:v>
      </x:c>
      <x:c r="N1437" s="16" t="n">
        <x:v>16.49</x:v>
      </x:c>
      <x:c r="O1437" s="16" t="n">
        <x:f>K1437*M1437</x:f>
        <x:v>544</x:v>
      </x:c>
      <x:c r="P1437" s="16" t="n">
        <x:f>K1437*N1437</x:f>
        <x:v>263.84</x:v>
      </x:c>
      <x:c r="Q1437" s="16" t="n">
        <x:f>O1437-P1437</x:f>
        <x:v>280.16</x:v>
      </x:c>
      <x:c r="R1437" s="2" t="n">
        <x:v>113</x:v>
      </x:c>
      <x:c r="S1437" s="2" t="n">
        <x:v>0</x:v>
      </x:c>
      <x:c r="T1437" s="2" t="n">
        <x:f>R1437+S1437+J1437-I1437</x:f>
        <x:v>97</x:v>
      </x:c>
      <x:c r="U1437" s="2" t="n">
        <x:v>0</x:v>
      </x:c>
      <x:c r="V1437" s="2" t="n">
        <x:v>4</x:v>
      </x:c>
      <x:c r="W1437" s="2" t="n">
        <x:v>15</x:v>
      </x:c>
      <x:c r="X1437" s="14" t="b">
        <x:v>0</x:v>
      </x:c>
      <x:c r="Y1437" s="14" t="b">
        <x:v>0</x:v>
      </x:c>
      <x:c r="Z1437" s="2" t="n">
        <x:f>ABS(T1437-AA1437)</x:f>
        <x:v>0</x:v>
      </x:c>
      <x:c r="AA1437" s="2" t="n">
        <x:v>97</x:v>
      </x:c>
      <x:c r="AB1437" s="2" t="n">
        <x:f>ABS(K1437-W1437)</x:f>
        <x:v>1</x:v>
      </x:c>
      <x:c r="AC1437" s="2" t="n">
        <x:f>COUNTIF($A$2:$A$1921,A1437)-1</x:f>
        <x:v>0</x:v>
      </x:c>
      <x:c r="AD1437" s="2" t="n">
        <x:f>IF(AND(D1437=D1436,H1437=H1436,C1437=C1436+1),ABS(R1437-T1436),0)</x:f>
        <x:v>0</x:v>
      </x:c>
    </x:row>
    <x:row r="1438" ht="23" customHeight="1">
      <x:c r="A1438" s="2" t="str">
        <x:v>DEMO-306-3-17</x:v>
      </x:c>
      <x:c r="B1438" s="15" t="d">
        <x:v>2026-08-24T00:00:00.000Z</x:v>
      </x:c>
      <x:c r="C1438" s="2" t="n">
        <x:v>17</x:v>
      </x:c>
      <x:c r="D1438" s="2" t="str">
        <x:v>DEMO-306</x:v>
      </x:c>
      <x:c r="E1438" s="2" t="str">
        <x:v>Nest Cushion</x:v>
      </x:c>
      <x:c r="F1438" s="2" t="str">
        <x:v>Lifestyle</x:v>
      </x:c>
      <x:c r="G1438" s="2" t="str">
        <x:v>Online</x:v>
      </x:c>
      <x:c r="H1438" s="2" t="str">
        <x:v>Online</x:v>
      </x:c>
      <x:c r="I1438" s="2" t="n">
        <x:v>19</x:v>
      </x:c>
      <x:c r="J1438" s="2" t="n">
        <x:v>0</x:v>
      </x:c>
      <x:c r="K1438" s="2" t="n">
        <x:f>I1438-J1438</x:f>
        <x:v>19</x:v>
      </x:c>
      <x:c r="L1438" s="16" t="n">
        <x:v>34</x:v>
      </x:c>
      <x:c r="M1438" s="16" t="n">
        <x:v>27.2</x:v>
      </x:c>
      <x:c r="N1438" s="16" t="n">
        <x:v>16.49</x:v>
      </x:c>
      <x:c r="O1438" s="16" t="n">
        <x:f>K1438*M1438</x:f>
        <x:v>516.8</x:v>
      </x:c>
      <x:c r="P1438" s="16" t="n">
        <x:f>K1438*N1438</x:f>
        <x:v>313.30999999999995</x:v>
      </x:c>
      <x:c r="Q1438" s="16" t="n">
        <x:f>O1438-P1438</x:f>
        <x:v>203.49</x:v>
      </x:c>
      <x:c r="R1438" s="2" t="n">
        <x:v>97</x:v>
      </x:c>
      <x:c r="S1438" s="2" t="n">
        <x:v>65</x:v>
      </x:c>
      <x:c r="T1438" s="2" t="n">
        <x:f>R1438+S1438+J1438-I1438</x:f>
        <x:v>143</x:v>
      </x:c>
      <x:c r="U1438" s="2" t="n">
        <x:v>0</x:v>
      </x:c>
      <x:c r="V1438" s="2" t="n">
        <x:v>4</x:v>
      </x:c>
      <x:c r="W1438" s="2" t="n">
        <x:v>15</x:v>
      </x:c>
      <x:c r="X1438" s="14" t="b">
        <x:v>0</x:v>
      </x:c>
      <x:c r="Y1438" s="14" t="b">
        <x:v>1</x:v>
      </x:c>
      <x:c r="Z1438" s="2" t="n">
        <x:f>ABS(T1438-AA1438)</x:f>
        <x:v>0</x:v>
      </x:c>
      <x:c r="AA1438" s="2" t="n">
        <x:v>143</x:v>
      </x:c>
      <x:c r="AB1438" s="2" t="n">
        <x:f>ABS(K1438-W1438)</x:f>
        <x:v>4</x:v>
      </x:c>
      <x:c r="AC1438" s="2" t="n">
        <x:f>COUNTIF($A$2:$A$1921,A1438)-1</x:f>
        <x:v>0</x:v>
      </x:c>
      <x:c r="AD1438" s="2" t="n">
        <x:f>IF(AND(D1438=D1437,H1438=H1437,C1438=C1437+1),ABS(R1438-T1437),0)</x:f>
        <x:v>0</x:v>
      </x:c>
    </x:row>
    <x:row r="1439" ht="23" customHeight="1">
      <x:c r="A1439" s="2" t="str">
        <x:v>DEMO-306-3-18</x:v>
      </x:c>
      <x:c r="B1439" s="15" t="d">
        <x:v>2026-08-31T00:00:00.000Z</x:v>
      </x:c>
      <x:c r="C1439" s="2" t="n">
        <x:v>18</x:v>
      </x:c>
      <x:c r="D1439" s="2" t="str">
        <x:v>DEMO-306</x:v>
      </x:c>
      <x:c r="E1439" s="2" t="str">
        <x:v>Nest Cushion</x:v>
      </x:c>
      <x:c r="F1439" s="2" t="str">
        <x:v>Lifestyle</x:v>
      </x:c>
      <x:c r="G1439" s="2" t="str">
        <x:v>Online</x:v>
      </x:c>
      <x:c r="H1439" s="2" t="str">
        <x:v>Online</x:v>
      </x:c>
      <x:c r="I1439" s="2" t="n">
        <x:v>16</x:v>
      </x:c>
      <x:c r="J1439" s="2" t="n">
        <x:v>1</x:v>
      </x:c>
      <x:c r="K1439" s="2" t="n">
        <x:f>I1439-J1439</x:f>
        <x:v>15</x:v>
      </x:c>
      <x:c r="L1439" s="16" t="n">
        <x:v>34</x:v>
      </x:c>
      <x:c r="M1439" s="16" t="n">
        <x:v>27.2</x:v>
      </x:c>
      <x:c r="N1439" s="16" t="n">
        <x:v>16.49</x:v>
      </x:c>
      <x:c r="O1439" s="16" t="n">
        <x:f>K1439*M1439</x:f>
        <x:v>408</x:v>
      </x:c>
      <x:c r="P1439" s="16" t="n">
        <x:f>K1439*N1439</x:f>
        <x:v>247.34999999999997</x:v>
      </x:c>
      <x:c r="Q1439" s="16" t="n">
        <x:f>O1439-P1439</x:f>
        <x:v>160.65000000000003</x:v>
      </x:c>
      <x:c r="R1439" s="2" t="n">
        <x:v>143</x:v>
      </x:c>
      <x:c r="S1439" s="2" t="n">
        <x:v>0</x:v>
      </x:c>
      <x:c r="T1439" s="2" t="n">
        <x:f>R1439+S1439+J1439-I1439</x:f>
        <x:v>128</x:v>
      </x:c>
      <x:c r="U1439" s="2" t="n">
        <x:v>0</x:v>
      </x:c>
      <x:c r="V1439" s="2" t="n">
        <x:v>4</x:v>
      </x:c>
      <x:c r="W1439" s="2" t="n">
        <x:v>16</x:v>
      </x:c>
      <x:c r="X1439" s="14" t="b">
        <x:v>0</x:v>
      </x:c>
      <x:c r="Y1439" s="14" t="b">
        <x:v>1</x:v>
      </x:c>
      <x:c r="Z1439" s="2" t="n">
        <x:f>ABS(T1439-AA1439)</x:f>
        <x:v>0</x:v>
      </x:c>
      <x:c r="AA1439" s="2" t="n">
        <x:v>128</x:v>
      </x:c>
      <x:c r="AB1439" s="2" t="n">
        <x:f>ABS(K1439-W1439)</x:f>
        <x:v>1</x:v>
      </x:c>
      <x:c r="AC1439" s="2" t="n">
        <x:f>COUNTIF($A$2:$A$1921,A1439)-1</x:f>
        <x:v>0</x:v>
      </x:c>
      <x:c r="AD1439" s="2" t="n">
        <x:f>IF(AND(D1439=D1438,H1439=H1438,C1439=C1438+1),ABS(R1439-T1438),0)</x:f>
        <x:v>0</x:v>
      </x:c>
    </x:row>
    <x:row r="1440" ht="23" customHeight="1">
      <x:c r="A1440" s="2" t="str">
        <x:v>DEMO-306-3-19</x:v>
      </x:c>
      <x:c r="B1440" s="15" t="d">
        <x:v>2026-09-07T00:00:00.000Z</x:v>
      </x:c>
      <x:c r="C1440" s="2" t="n">
        <x:v>19</x:v>
      </x:c>
      <x:c r="D1440" s="2" t="str">
        <x:v>DEMO-306</x:v>
      </x:c>
      <x:c r="E1440" s="2" t="str">
        <x:v>Nest Cushion</x:v>
      </x:c>
      <x:c r="F1440" s="2" t="str">
        <x:v>Lifestyle</x:v>
      </x:c>
      <x:c r="G1440" s="2" t="str">
        <x:v>Online</x:v>
      </x:c>
      <x:c r="H1440" s="2" t="str">
        <x:v>Online</x:v>
      </x:c>
      <x:c r="I1440" s="2" t="n">
        <x:v>15</x:v>
      </x:c>
      <x:c r="J1440" s="2" t="n">
        <x:v>0</x:v>
      </x:c>
      <x:c r="K1440" s="2" t="n">
        <x:f>I1440-J1440</x:f>
        <x:v>15</x:v>
      </x:c>
      <x:c r="L1440" s="16" t="n">
        <x:v>34</x:v>
      </x:c>
      <x:c r="M1440" s="16" t="n">
        <x:v>27.2</x:v>
      </x:c>
      <x:c r="N1440" s="16" t="n">
        <x:v>16.49</x:v>
      </x:c>
      <x:c r="O1440" s="16" t="n">
        <x:f>K1440*M1440</x:f>
        <x:v>408</x:v>
      </x:c>
      <x:c r="P1440" s="16" t="n">
        <x:f>K1440*N1440</x:f>
        <x:v>247.34999999999997</x:v>
      </x:c>
      <x:c r="Q1440" s="16" t="n">
        <x:f>O1440-P1440</x:f>
        <x:v>160.65000000000003</x:v>
      </x:c>
      <x:c r="R1440" s="2" t="n">
        <x:v>128</x:v>
      </x:c>
      <x:c r="S1440" s="2" t="n">
        <x:v>0</x:v>
      </x:c>
      <x:c r="T1440" s="2" t="n">
        <x:f>R1440+S1440+J1440-I1440</x:f>
        <x:v>113</x:v>
      </x:c>
      <x:c r="U1440" s="2" t="n">
        <x:v>0</x:v>
      </x:c>
      <x:c r="V1440" s="2" t="n">
        <x:v>4</x:v>
      </x:c>
      <x:c r="W1440" s="2" t="n">
        <x:v>16</x:v>
      </x:c>
      <x:c r="X1440" s="14" t="b">
        <x:v>0</x:v>
      </x:c>
      <x:c r="Y1440" s="14" t="b">
        <x:v>1</x:v>
      </x:c>
      <x:c r="Z1440" s="2" t="n">
        <x:f>ABS(T1440-AA1440)</x:f>
        <x:v>0</x:v>
      </x:c>
      <x:c r="AA1440" s="2" t="n">
        <x:v>113</x:v>
      </x:c>
      <x:c r="AB1440" s="2" t="n">
        <x:f>ABS(K1440-W1440)</x:f>
        <x:v>1</x:v>
      </x:c>
      <x:c r="AC1440" s="2" t="n">
        <x:f>COUNTIF($A$2:$A$1921,A1440)-1</x:f>
        <x:v>0</x:v>
      </x:c>
      <x:c r="AD1440" s="2" t="n">
        <x:f>IF(AND(D1440=D1439,H1440=H1439,C1440=C1439+1),ABS(R1440-T1439),0)</x:f>
        <x:v>0</x:v>
      </x:c>
    </x:row>
    <x:row r="1441" ht="23" customHeight="1">
      <x:c r="A1441" s="2" t="str">
        <x:v>DEMO-306-3-20</x:v>
      </x:c>
      <x:c r="B1441" s="15" t="d">
        <x:v>2026-09-14T00:00:00.000Z</x:v>
      </x:c>
      <x:c r="C1441" s="2" t="n">
        <x:v>20</x:v>
      </x:c>
      <x:c r="D1441" s="2" t="str">
        <x:v>DEMO-306</x:v>
      </x:c>
      <x:c r="E1441" s="2" t="str">
        <x:v>Nest Cushion</x:v>
      </x:c>
      <x:c r="F1441" s="2" t="str">
        <x:v>Lifestyle</x:v>
      </x:c>
      <x:c r="G1441" s="2" t="str">
        <x:v>Online</x:v>
      </x:c>
      <x:c r="H1441" s="2" t="str">
        <x:v>Online</x:v>
      </x:c>
      <x:c r="I1441" s="2" t="n">
        <x:v>16</x:v>
      </x:c>
      <x:c r="J1441" s="2" t="n">
        <x:v>1</x:v>
      </x:c>
      <x:c r="K1441" s="2" t="n">
        <x:f>I1441-J1441</x:f>
        <x:v>15</x:v>
      </x:c>
      <x:c r="L1441" s="16" t="n">
        <x:v>34</x:v>
      </x:c>
      <x:c r="M1441" s="16" t="n">
        <x:v>27.2</x:v>
      </x:c>
      <x:c r="N1441" s="16" t="n">
        <x:v>16.49</x:v>
      </x:c>
      <x:c r="O1441" s="16" t="n">
        <x:f>K1441*M1441</x:f>
        <x:v>408</x:v>
      </x:c>
      <x:c r="P1441" s="16" t="n">
        <x:f>K1441*N1441</x:f>
        <x:v>247.34999999999997</x:v>
      </x:c>
      <x:c r="Q1441" s="16" t="n">
        <x:f>O1441-P1441</x:f>
        <x:v>160.65000000000003</x:v>
      </x:c>
      <x:c r="R1441" s="2" t="n">
        <x:v>113</x:v>
      </x:c>
      <x:c r="S1441" s="2" t="n">
        <x:v>0</x:v>
      </x:c>
      <x:c r="T1441" s="2" t="n">
        <x:f>R1441+S1441+J1441-I1441</x:f>
        <x:v>98</x:v>
      </x:c>
      <x:c r="U1441" s="2" t="n">
        <x:v>24</x:v>
      </x:c>
      <x:c r="V1441" s="2" t="n">
        <x:v>4</x:v>
      </x:c>
      <x:c r="W1441" s="2" t="n">
        <x:v>16</x:v>
      </x:c>
      <x:c r="X1441" s="14" t="b">
        <x:v>0</x:v>
      </x:c>
      <x:c r="Y1441" s="14" t="b">
        <x:v>1</x:v>
      </x:c>
      <x:c r="Z1441" s="2" t="n">
        <x:f>ABS(T1441-AA1441)</x:f>
        <x:v>0</x:v>
      </x:c>
      <x:c r="AA1441" s="2" t="n">
        <x:v>98</x:v>
      </x:c>
      <x:c r="AB1441" s="2" t="n">
        <x:f>ABS(K1441-W1441)</x:f>
        <x:v>1</x:v>
      </x:c>
      <x:c r="AC1441" s="2" t="n">
        <x:f>COUNTIF($A$2:$A$1921,A1441)-1</x:f>
        <x:v>0</x:v>
      </x:c>
      <x:c r="AD1441" s="2" t="n">
        <x:f>IF(AND(D1441=D1440,H1441=H1440,C1441=C1440+1),ABS(R1441-T1440),0)</x:f>
        <x:v>0</x:v>
      </x:c>
    </x:row>
    <x:row r="1442" ht="23" customHeight="1">
      <x:c r="A1442" s="2" t="str">
        <x:v>DEMO-401-0-1</x:v>
      </x:c>
      <x:c r="B1442" s="15" t="d">
        <x:v>2026-05-04T00:00:00.000Z</x:v>
      </x:c>
      <x:c r="C1442" s="2" t="n">
        <x:v>1</x:v>
      </x:c>
      <x:c r="D1442" s="2" t="str">
        <x:v>DEMO-401</x:v>
      </x:c>
      <x:c r="E1442" s="2" t="str">
        <x:v>Loop Pouch</x:v>
      </x:c>
      <x:c r="F1442" s="2" t="str">
        <x:v>Accessories</x:v>
      </x:c>
      <x:c r="G1442" s="2" t="str">
        <x:v>Stores</x:v>
      </x:c>
      <x:c r="H1442" s="2" t="str">
        <x:v>North Arcade</x:v>
      </x:c>
      <x:c r="I1442" s="2" t="n">
        <x:v>10</x:v>
      </x:c>
      <x:c r="J1442" s="2" t="n">
        <x:v>0</x:v>
      </x:c>
      <x:c r="K1442" s="2" t="n">
        <x:f>I1442-J1442</x:f>
        <x:v>10</x:v>
      </x:c>
      <x:c r="L1442" s="16" t="n">
        <x:v>16</x:v>
      </x:c>
      <x:c r="M1442" s="16" t="n">
        <x:v>16</x:v>
      </x:c>
      <x:c r="N1442" s="16" t="n">
        <x:v>5.76</x:v>
      </x:c>
      <x:c r="O1442" s="16" t="n">
        <x:f>K1442*M1442</x:f>
        <x:v>160</x:v>
      </x:c>
      <x:c r="P1442" s="16" t="n">
        <x:f>K1442*N1442</x:f>
        <x:v>57.599999999999994</x:v>
      </x:c>
      <x:c r="Q1442" s="16" t="n">
        <x:f>O1442-P1442</x:f>
        <x:v>102.4</x:v>
      </x:c>
      <x:c r="R1442" s="2" t="n">
        <x:v>90</x:v>
      </x:c>
      <x:c r="S1442" s="2" t="n">
        <x:v>46</x:v>
      </x:c>
      <x:c r="T1442" s="2" t="n">
        <x:f>R1442+S1442+J1442-I1442</x:f>
        <x:v>126</x:v>
      </x:c>
      <x:c r="U1442" s="2" t="n">
        <x:v>0</x:v>
      </x:c>
      <x:c r="V1442" s="2" t="n">
        <x:v>2</x:v>
      </x:c>
      <x:c r="W1442" s="2" t="n">
        <x:v>11</x:v>
      </x:c>
      <x:c r="X1442" s="14" t="b">
        <x:v>0</x:v>
      </x:c>
      <x:c r="Y1442" s="14" t="b">
        <x:v>0</x:v>
      </x:c>
      <x:c r="Z1442" s="2" t="n">
        <x:f>ABS(T1442-AA1442)</x:f>
        <x:v>0</x:v>
      </x:c>
      <x:c r="AA1442" s="2" t="n">
        <x:v>126</x:v>
      </x:c>
      <x:c r="AB1442" s="2" t="n">
        <x:f>ABS(K1442-W1442)</x:f>
        <x:v>1</x:v>
      </x:c>
      <x:c r="AC1442" s="2" t="n">
        <x:f>COUNTIF($A$2:$A$1921,A1442)-1</x:f>
        <x:v>0</x:v>
      </x:c>
      <x:c r="AD1442" s="2" t="n">
        <x:f>IF(AND(D1442=D1441,H1442=H1441,C1442=C1441+1),ABS(R1442-T1441),0)</x:f>
        <x:v>0</x:v>
      </x:c>
    </x:row>
    <x:row r="1443" ht="23" customHeight="1">
      <x:c r="A1443" s="2" t="str">
        <x:v>DEMO-401-0-2</x:v>
      </x:c>
      <x:c r="B1443" s="15" t="d">
        <x:v>2026-05-11T00:00:00.000Z</x:v>
      </x:c>
      <x:c r="C1443" s="2" t="n">
        <x:v>2</x:v>
      </x:c>
      <x:c r="D1443" s="2" t="str">
        <x:v>DEMO-401</x:v>
      </x:c>
      <x:c r="E1443" s="2" t="str">
        <x:v>Loop Pouch</x:v>
      </x:c>
      <x:c r="F1443" s="2" t="str">
        <x:v>Accessories</x:v>
      </x:c>
      <x:c r="G1443" s="2" t="str">
        <x:v>Stores</x:v>
      </x:c>
      <x:c r="H1443" s="2" t="str">
        <x:v>North Arcade</x:v>
      </x:c>
      <x:c r="I1443" s="2" t="n">
        <x:v>11</x:v>
      </x:c>
      <x:c r="J1443" s="2" t="n">
        <x:v>1</x:v>
      </x:c>
      <x:c r="K1443" s="2" t="n">
        <x:f>I1443-J1443</x:f>
        <x:v>10</x:v>
      </x:c>
      <x:c r="L1443" s="16" t="n">
        <x:v>16</x:v>
      </x:c>
      <x:c r="M1443" s="16" t="n">
        <x:v>16</x:v>
      </x:c>
      <x:c r="N1443" s="16" t="n">
        <x:v>5.76</x:v>
      </x:c>
      <x:c r="O1443" s="16" t="n">
        <x:f>K1443*M1443</x:f>
        <x:v>160</x:v>
      </x:c>
      <x:c r="P1443" s="16" t="n">
        <x:f>K1443*N1443</x:f>
        <x:v>57.599999999999994</x:v>
      </x:c>
      <x:c r="Q1443" s="16" t="n">
        <x:f>O1443-P1443</x:f>
        <x:v>102.4</x:v>
      </x:c>
      <x:c r="R1443" s="2" t="n">
        <x:v>126</x:v>
      </x:c>
      <x:c r="S1443" s="2" t="n">
        <x:v>0</x:v>
      </x:c>
      <x:c r="T1443" s="2" t="n">
        <x:f>R1443+S1443+J1443-I1443</x:f>
        <x:v>116</x:v>
      </x:c>
      <x:c r="U1443" s="2" t="n">
        <x:v>0</x:v>
      </x:c>
      <x:c r="V1443" s="2" t="n">
        <x:v>2</x:v>
      </x:c>
      <x:c r="W1443" s="2" t="n">
        <x:v>10</x:v>
      </x:c>
      <x:c r="X1443" s="14" t="b">
        <x:v>0</x:v>
      </x:c>
      <x:c r="Y1443" s="14" t="b">
        <x:v>0</x:v>
      </x:c>
      <x:c r="Z1443" s="2" t="n">
        <x:f>ABS(T1443-AA1443)</x:f>
        <x:v>0</x:v>
      </x:c>
      <x:c r="AA1443" s="2" t="n">
        <x:v>116</x:v>
      </x:c>
      <x:c r="AB1443" s="2" t="n">
        <x:f>ABS(K1443-W1443)</x:f>
        <x:v>0</x:v>
      </x:c>
      <x:c r="AC1443" s="2" t="n">
        <x:f>COUNTIF($A$2:$A$1921,A1443)-1</x:f>
        <x:v>0</x:v>
      </x:c>
      <x:c r="AD1443" s="2" t="n">
        <x:f>IF(AND(D1443=D1442,H1443=H1442,C1443=C1442+1),ABS(R1443-T1442),0)</x:f>
        <x:v>0</x:v>
      </x:c>
    </x:row>
    <x:row r="1444" ht="23" customHeight="1">
      <x:c r="A1444" s="2" t="str">
        <x:v>DEMO-401-0-3</x:v>
      </x:c>
      <x:c r="B1444" s="15" t="d">
        <x:v>2026-05-18T00:00:00.000Z</x:v>
      </x:c>
      <x:c r="C1444" s="2" t="n">
        <x:v>3</x:v>
      </x:c>
      <x:c r="D1444" s="2" t="str">
        <x:v>DEMO-401</x:v>
      </x:c>
      <x:c r="E1444" s="2" t="str">
        <x:v>Loop Pouch</x:v>
      </x:c>
      <x:c r="F1444" s="2" t="str">
        <x:v>Accessories</x:v>
      </x:c>
      <x:c r="G1444" s="2" t="str">
        <x:v>Stores</x:v>
      </x:c>
      <x:c r="H1444" s="2" t="str">
        <x:v>North Arcade</x:v>
      </x:c>
      <x:c r="I1444" s="2" t="n">
        <x:v>10</x:v>
      </x:c>
      <x:c r="J1444" s="2" t="n">
        <x:v>1</x:v>
      </x:c>
      <x:c r="K1444" s="2" t="n">
        <x:f>I1444-J1444</x:f>
        <x:v>9</x:v>
      </x:c>
      <x:c r="L1444" s="16" t="n">
        <x:v>16</x:v>
      </x:c>
      <x:c r="M1444" s="16" t="n">
        <x:v>16</x:v>
      </x:c>
      <x:c r="N1444" s="16" t="n">
        <x:v>5.76</x:v>
      </x:c>
      <x:c r="O1444" s="16" t="n">
        <x:f>K1444*M1444</x:f>
        <x:v>144</x:v>
      </x:c>
      <x:c r="P1444" s="16" t="n">
        <x:f>K1444*N1444</x:f>
        <x:v>51.839999999999996</x:v>
      </x:c>
      <x:c r="Q1444" s="16" t="n">
        <x:f>O1444-P1444</x:f>
        <x:v>92.16</x:v>
      </x:c>
      <x:c r="R1444" s="2" t="n">
        <x:v>116</x:v>
      </x:c>
      <x:c r="S1444" s="2" t="n">
        <x:v>0</x:v>
      </x:c>
      <x:c r="T1444" s="2" t="n">
        <x:f>R1444+S1444+J1444-I1444</x:f>
        <x:v>107</x:v>
      </x:c>
      <x:c r="U1444" s="2" t="n">
        <x:v>0</x:v>
      </x:c>
      <x:c r="V1444" s="2" t="n">
        <x:v>2</x:v>
      </x:c>
      <x:c r="W1444" s="2" t="n">
        <x:v>10</x:v>
      </x:c>
      <x:c r="X1444" s="14" t="b">
        <x:v>0</x:v>
      </x:c>
      <x:c r="Y1444" s="14" t="b">
        <x:v>0</x:v>
      </x:c>
      <x:c r="Z1444" s="2" t="n">
        <x:f>ABS(T1444-AA1444)</x:f>
        <x:v>0</x:v>
      </x:c>
      <x:c r="AA1444" s="2" t="n">
        <x:v>107</x:v>
      </x:c>
      <x:c r="AB1444" s="2" t="n">
        <x:f>ABS(K1444-W1444)</x:f>
        <x:v>1</x:v>
      </x:c>
      <x:c r="AC1444" s="2" t="n">
        <x:f>COUNTIF($A$2:$A$1921,A1444)-1</x:f>
        <x:v>0</x:v>
      </x:c>
      <x:c r="AD1444" s="2" t="n">
        <x:f>IF(AND(D1444=D1443,H1444=H1443,C1444=C1443+1),ABS(R1444-T1443),0)</x:f>
        <x:v>0</x:v>
      </x:c>
    </x:row>
    <x:row r="1445" ht="23" customHeight="1">
      <x:c r="A1445" s="2" t="str">
        <x:v>DEMO-401-0-4</x:v>
      </x:c>
      <x:c r="B1445" s="15" t="d">
        <x:v>2026-05-25T00:00:00.000Z</x:v>
      </x:c>
      <x:c r="C1445" s="2" t="n">
        <x:v>4</x:v>
      </x:c>
      <x:c r="D1445" s="2" t="str">
        <x:v>DEMO-401</x:v>
      </x:c>
      <x:c r="E1445" s="2" t="str">
        <x:v>Loop Pouch</x:v>
      </x:c>
      <x:c r="F1445" s="2" t="str">
        <x:v>Accessories</x:v>
      </x:c>
      <x:c r="G1445" s="2" t="str">
        <x:v>Stores</x:v>
      </x:c>
      <x:c r="H1445" s="2" t="str">
        <x:v>North Arcade</x:v>
      </x:c>
      <x:c r="I1445" s="2" t="n">
        <x:v>13</x:v>
      </x:c>
      <x:c r="J1445" s="2" t="n">
        <x:v>1</x:v>
      </x:c>
      <x:c r="K1445" s="2" t="n">
        <x:f>I1445-J1445</x:f>
        <x:v>12</x:v>
      </x:c>
      <x:c r="L1445" s="16" t="n">
        <x:v>16</x:v>
      </x:c>
      <x:c r="M1445" s="16" t="n">
        <x:v>16</x:v>
      </x:c>
      <x:c r="N1445" s="16" t="n">
        <x:v>5.76</x:v>
      </x:c>
      <x:c r="O1445" s="16" t="n">
        <x:f>K1445*M1445</x:f>
        <x:v>192</x:v>
      </x:c>
      <x:c r="P1445" s="16" t="n">
        <x:f>K1445*N1445</x:f>
        <x:v>69.12</x:v>
      </x:c>
      <x:c r="Q1445" s="16" t="n">
        <x:f>O1445-P1445</x:f>
        <x:v>122.88</x:v>
      </x:c>
      <x:c r="R1445" s="2" t="n">
        <x:v>107</x:v>
      </x:c>
      <x:c r="S1445" s="2" t="n">
        <x:v>0</x:v>
      </x:c>
      <x:c r="T1445" s="2" t="n">
        <x:f>R1445+S1445+J1445-I1445</x:f>
        <x:v>95</x:v>
      </x:c>
      <x:c r="U1445" s="2" t="n">
        <x:v>0</x:v>
      </x:c>
      <x:c r="V1445" s="2" t="n">
        <x:v>2</x:v>
      </x:c>
      <x:c r="W1445" s="2" t="n">
        <x:v>10</x:v>
      </x:c>
      <x:c r="X1445" s="14" t="b">
        <x:v>0</x:v>
      </x:c>
      <x:c r="Y1445" s="14" t="b">
        <x:v>0</x:v>
      </x:c>
      <x:c r="Z1445" s="2" t="n">
        <x:f>ABS(T1445-AA1445)</x:f>
        <x:v>0</x:v>
      </x:c>
      <x:c r="AA1445" s="2" t="n">
        <x:v>95</x:v>
      </x:c>
      <x:c r="AB1445" s="2" t="n">
        <x:f>ABS(K1445-W1445)</x:f>
        <x:v>2</x:v>
      </x:c>
      <x:c r="AC1445" s="2" t="n">
        <x:f>COUNTIF($A$2:$A$1921,A1445)-1</x:f>
        <x:v>0</x:v>
      </x:c>
      <x:c r="AD1445" s="2" t="n">
        <x:f>IF(AND(D1445=D1444,H1445=H1444,C1445=C1444+1),ABS(R1445-T1444),0)</x:f>
        <x:v>0</x:v>
      </x:c>
    </x:row>
    <x:row r="1446" ht="23" customHeight="1">
      <x:c r="A1446" s="2" t="str">
        <x:v>DEMO-401-0-5</x:v>
      </x:c>
      <x:c r="B1446" s="15" t="d">
        <x:v>2026-06-01T00:00:00.000Z</x:v>
      </x:c>
      <x:c r="C1446" s="2" t="n">
        <x:v>5</x:v>
      </x:c>
      <x:c r="D1446" s="2" t="str">
        <x:v>DEMO-401</x:v>
      </x:c>
      <x:c r="E1446" s="2" t="str">
        <x:v>Loop Pouch</x:v>
      </x:c>
      <x:c r="F1446" s="2" t="str">
        <x:v>Accessories</x:v>
      </x:c>
      <x:c r="G1446" s="2" t="str">
        <x:v>Stores</x:v>
      </x:c>
      <x:c r="H1446" s="2" t="str">
        <x:v>North Arcade</x:v>
      </x:c>
      <x:c r="I1446" s="2" t="n">
        <x:v>11</x:v>
      </x:c>
      <x:c r="J1446" s="2" t="n">
        <x:v>1</x:v>
      </x:c>
      <x:c r="K1446" s="2" t="n">
        <x:f>I1446-J1446</x:f>
        <x:v>10</x:v>
      </x:c>
      <x:c r="L1446" s="16" t="n">
        <x:v>16</x:v>
      </x:c>
      <x:c r="M1446" s="16" t="n">
        <x:v>16</x:v>
      </x:c>
      <x:c r="N1446" s="16" t="n">
        <x:v>5.76</x:v>
      </x:c>
      <x:c r="O1446" s="16" t="n">
        <x:f>K1446*M1446</x:f>
        <x:v>160</x:v>
      </x:c>
      <x:c r="P1446" s="16" t="n">
        <x:f>K1446*N1446</x:f>
        <x:v>57.599999999999994</x:v>
      </x:c>
      <x:c r="Q1446" s="16" t="n">
        <x:f>O1446-P1446</x:f>
        <x:v>102.4</x:v>
      </x:c>
      <x:c r="R1446" s="2" t="n">
        <x:v>95</x:v>
      </x:c>
      <x:c r="S1446" s="2" t="n">
        <x:v>46</x:v>
      </x:c>
      <x:c r="T1446" s="2" t="n">
        <x:f>R1446+S1446+J1446-I1446</x:f>
        <x:v>131</x:v>
      </x:c>
      <x:c r="U1446" s="2" t="n">
        <x:v>0</x:v>
      </x:c>
      <x:c r="V1446" s="2" t="n">
        <x:v>2</x:v>
      </x:c>
      <x:c r="W1446" s="2" t="n">
        <x:v>10</x:v>
      </x:c>
      <x:c r="X1446" s="14" t="b">
        <x:v>0</x:v>
      </x:c>
      <x:c r="Y1446" s="14" t="b">
        <x:v>0</x:v>
      </x:c>
      <x:c r="Z1446" s="2" t="n">
        <x:f>ABS(T1446-AA1446)</x:f>
        <x:v>0</x:v>
      </x:c>
      <x:c r="AA1446" s="2" t="n">
        <x:v>131</x:v>
      </x:c>
      <x:c r="AB1446" s="2" t="n">
        <x:f>ABS(K1446-W1446)</x:f>
        <x:v>0</x:v>
      </x:c>
      <x:c r="AC1446" s="2" t="n">
        <x:f>COUNTIF($A$2:$A$1921,A1446)-1</x:f>
        <x:v>0</x:v>
      </x:c>
      <x:c r="AD1446" s="2" t="n">
        <x:f>IF(AND(D1446=D1445,H1446=H1445,C1446=C1445+1),ABS(R1446-T1445),0)</x:f>
        <x:v>0</x:v>
      </x:c>
    </x:row>
    <x:row r="1447" ht="23" customHeight="1">
      <x:c r="A1447" s="2" t="str">
        <x:v>DEMO-401-0-6</x:v>
      </x:c>
      <x:c r="B1447" s="15" t="d">
        <x:v>2026-06-08T00:00:00.000Z</x:v>
      </x:c>
      <x:c r="C1447" s="2" t="n">
        <x:v>6</x:v>
      </x:c>
      <x:c r="D1447" s="2" t="str">
        <x:v>DEMO-401</x:v>
      </x:c>
      <x:c r="E1447" s="2" t="str">
        <x:v>Loop Pouch</x:v>
      </x:c>
      <x:c r="F1447" s="2" t="str">
        <x:v>Accessories</x:v>
      </x:c>
      <x:c r="G1447" s="2" t="str">
        <x:v>Stores</x:v>
      </x:c>
      <x:c r="H1447" s="2" t="str">
        <x:v>North Arcade</x:v>
      </x:c>
      <x:c r="I1447" s="2" t="n">
        <x:v>12</x:v>
      </x:c>
      <x:c r="J1447" s="2" t="n">
        <x:v>1</x:v>
      </x:c>
      <x:c r="K1447" s="2" t="n">
        <x:f>I1447-J1447</x:f>
        <x:v>11</x:v>
      </x:c>
      <x:c r="L1447" s="16" t="n">
        <x:v>16</x:v>
      </x:c>
      <x:c r="M1447" s="16" t="n">
        <x:v>16</x:v>
      </x:c>
      <x:c r="N1447" s="16" t="n">
        <x:v>5.76</x:v>
      </x:c>
      <x:c r="O1447" s="16" t="n">
        <x:f>K1447*M1447</x:f>
        <x:v>176</x:v>
      </x:c>
      <x:c r="P1447" s="16" t="n">
        <x:f>K1447*N1447</x:f>
        <x:v>63.36</x:v>
      </x:c>
      <x:c r="Q1447" s="16" t="n">
        <x:f>O1447-P1447</x:f>
        <x:v>112.64</x:v>
      </x:c>
      <x:c r="R1447" s="2" t="n">
        <x:v>131</x:v>
      </x:c>
      <x:c r="S1447" s="2" t="n">
        <x:v>0</x:v>
      </x:c>
      <x:c r="T1447" s="2" t="n">
        <x:f>R1447+S1447+J1447-I1447</x:f>
        <x:v>120</x:v>
      </x:c>
      <x:c r="U1447" s="2" t="n">
        <x:v>0</x:v>
      </x:c>
      <x:c r="V1447" s="2" t="n">
        <x:v>2</x:v>
      </x:c>
      <x:c r="W1447" s="2" t="n">
        <x:v>10</x:v>
      </x:c>
      <x:c r="X1447" s="14" t="b">
        <x:v>0</x:v>
      </x:c>
      <x:c r="Y1447" s="14" t="b">
        <x:v>0</x:v>
      </x:c>
      <x:c r="Z1447" s="2" t="n">
        <x:f>ABS(T1447-AA1447)</x:f>
        <x:v>0</x:v>
      </x:c>
      <x:c r="AA1447" s="2" t="n">
        <x:v>120</x:v>
      </x:c>
      <x:c r="AB1447" s="2" t="n">
        <x:f>ABS(K1447-W1447)</x:f>
        <x:v>1</x:v>
      </x:c>
      <x:c r="AC1447" s="2" t="n">
        <x:f>COUNTIF($A$2:$A$1921,A1447)-1</x:f>
        <x:v>0</x:v>
      </x:c>
      <x:c r="AD1447" s="2" t="n">
        <x:f>IF(AND(D1447=D1446,H1447=H1446,C1447=C1446+1),ABS(R1447-T1446),0)</x:f>
        <x:v>0</x:v>
      </x:c>
    </x:row>
    <x:row r="1448" ht="23" customHeight="1">
      <x:c r="A1448" s="2" t="str">
        <x:v>DEMO-401-0-7</x:v>
      </x:c>
      <x:c r="B1448" s="15" t="d">
        <x:v>2026-06-15T00:00:00.000Z</x:v>
      </x:c>
      <x:c r="C1448" s="2" t="n">
        <x:v>7</x:v>
      </x:c>
      <x:c r="D1448" s="2" t="str">
        <x:v>DEMO-401</x:v>
      </x:c>
      <x:c r="E1448" s="2" t="str">
        <x:v>Loop Pouch</x:v>
      </x:c>
      <x:c r="F1448" s="2" t="str">
        <x:v>Accessories</x:v>
      </x:c>
      <x:c r="G1448" s="2" t="str">
        <x:v>Stores</x:v>
      </x:c>
      <x:c r="H1448" s="2" t="str">
        <x:v>North Arcade</x:v>
      </x:c>
      <x:c r="I1448" s="2" t="n">
        <x:v>9</x:v>
      </x:c>
      <x:c r="J1448" s="2" t="n">
        <x:v>0</x:v>
      </x:c>
      <x:c r="K1448" s="2" t="n">
        <x:f>I1448-J1448</x:f>
        <x:v>9</x:v>
      </x:c>
      <x:c r="L1448" s="16" t="n">
        <x:v>16</x:v>
      </x:c>
      <x:c r="M1448" s="16" t="n">
        <x:v>16</x:v>
      </x:c>
      <x:c r="N1448" s="16" t="n">
        <x:v>5.76</x:v>
      </x:c>
      <x:c r="O1448" s="16" t="n">
        <x:f>K1448*M1448</x:f>
        <x:v>144</x:v>
      </x:c>
      <x:c r="P1448" s="16" t="n">
        <x:f>K1448*N1448</x:f>
        <x:v>51.839999999999996</x:v>
      </x:c>
      <x:c r="Q1448" s="16" t="n">
        <x:f>O1448-P1448</x:f>
        <x:v>92.16</x:v>
      </x:c>
      <x:c r="R1448" s="2" t="n">
        <x:v>120</x:v>
      </x:c>
      <x:c r="S1448" s="2" t="n">
        <x:v>0</x:v>
      </x:c>
      <x:c r="T1448" s="2" t="n">
        <x:f>R1448+S1448+J1448-I1448</x:f>
        <x:v>111</x:v>
      </x:c>
      <x:c r="U1448" s="2" t="n">
        <x:v>0</x:v>
      </x:c>
      <x:c r="V1448" s="2" t="n">
        <x:v>2</x:v>
      </x:c>
      <x:c r="W1448" s="2" t="n">
        <x:v>11</x:v>
      </x:c>
      <x:c r="X1448" s="14" t="b">
        <x:v>0</x:v>
      </x:c>
      <x:c r="Y1448" s="14" t="b">
        <x:v>0</x:v>
      </x:c>
      <x:c r="Z1448" s="2" t="n">
        <x:f>ABS(T1448-AA1448)</x:f>
        <x:v>0</x:v>
      </x:c>
      <x:c r="AA1448" s="2" t="n">
        <x:v>111</x:v>
      </x:c>
      <x:c r="AB1448" s="2" t="n">
        <x:f>ABS(K1448-W1448)</x:f>
        <x:v>2</x:v>
      </x:c>
      <x:c r="AC1448" s="2" t="n">
        <x:f>COUNTIF($A$2:$A$1921,A1448)-1</x:f>
        <x:v>0</x:v>
      </x:c>
      <x:c r="AD1448" s="2" t="n">
        <x:f>IF(AND(D1448=D1447,H1448=H1447,C1448=C1447+1),ABS(R1448-T1447),0)</x:f>
        <x:v>0</x:v>
      </x:c>
    </x:row>
    <x:row r="1449" ht="23" customHeight="1">
      <x:c r="A1449" s="2" t="str">
        <x:v>DEMO-401-0-8</x:v>
      </x:c>
      <x:c r="B1449" s="15" t="d">
        <x:v>2026-06-22T00:00:00.000Z</x:v>
      </x:c>
      <x:c r="C1449" s="2" t="n">
        <x:v>8</x:v>
      </x:c>
      <x:c r="D1449" s="2" t="str">
        <x:v>DEMO-401</x:v>
      </x:c>
      <x:c r="E1449" s="2" t="str">
        <x:v>Loop Pouch</x:v>
      </x:c>
      <x:c r="F1449" s="2" t="str">
        <x:v>Accessories</x:v>
      </x:c>
      <x:c r="G1449" s="2" t="str">
        <x:v>Stores</x:v>
      </x:c>
      <x:c r="H1449" s="2" t="str">
        <x:v>North Arcade</x:v>
      </x:c>
      <x:c r="I1449" s="2" t="n">
        <x:v>11</x:v>
      </x:c>
      <x:c r="J1449" s="2" t="n">
        <x:v>0</x:v>
      </x:c>
      <x:c r="K1449" s="2" t="n">
        <x:f>I1449-J1449</x:f>
        <x:v>11</x:v>
      </x:c>
      <x:c r="L1449" s="16" t="n">
        <x:v>16</x:v>
      </x:c>
      <x:c r="M1449" s="16" t="n">
        <x:v>16</x:v>
      </x:c>
      <x:c r="N1449" s="16" t="n">
        <x:v>5.76</x:v>
      </x:c>
      <x:c r="O1449" s="16" t="n">
        <x:f>K1449*M1449</x:f>
        <x:v>176</x:v>
      </x:c>
      <x:c r="P1449" s="16" t="n">
        <x:f>K1449*N1449</x:f>
        <x:v>63.36</x:v>
      </x:c>
      <x:c r="Q1449" s="16" t="n">
        <x:f>O1449-P1449</x:f>
        <x:v>112.64</x:v>
      </x:c>
      <x:c r="R1449" s="2" t="n">
        <x:v>111</x:v>
      </x:c>
      <x:c r="S1449" s="2" t="n">
        <x:v>0</x:v>
      </x:c>
      <x:c r="T1449" s="2" t="n">
        <x:f>R1449+S1449+J1449-I1449</x:f>
        <x:v>100</x:v>
      </x:c>
      <x:c r="U1449" s="2" t="n">
        <x:v>0</x:v>
      </x:c>
      <x:c r="V1449" s="2" t="n">
        <x:v>2</x:v>
      </x:c>
      <x:c r="W1449" s="2" t="n">
        <x:v>11</x:v>
      </x:c>
      <x:c r="X1449" s="14" t="b">
        <x:v>0</x:v>
      </x:c>
      <x:c r="Y1449" s="14" t="b">
        <x:v>0</x:v>
      </x:c>
      <x:c r="Z1449" s="2" t="n">
        <x:f>ABS(T1449-AA1449)</x:f>
        <x:v>0</x:v>
      </x:c>
      <x:c r="AA1449" s="2" t="n">
        <x:v>100</x:v>
      </x:c>
      <x:c r="AB1449" s="2" t="n">
        <x:f>ABS(K1449-W1449)</x:f>
        <x:v>0</x:v>
      </x:c>
      <x:c r="AC1449" s="2" t="n">
        <x:f>COUNTIF($A$2:$A$1921,A1449)-1</x:f>
        <x:v>0</x:v>
      </x:c>
      <x:c r="AD1449" s="2" t="n">
        <x:f>IF(AND(D1449=D1448,H1449=H1448,C1449=C1448+1),ABS(R1449-T1448),0)</x:f>
        <x:v>0</x:v>
      </x:c>
    </x:row>
    <x:row r="1450" ht="23" customHeight="1">
      <x:c r="A1450" s="2" t="str">
        <x:v>DEMO-401-0-9</x:v>
      </x:c>
      <x:c r="B1450" s="15" t="d">
        <x:v>2026-06-29T00:00:00.000Z</x:v>
      </x:c>
      <x:c r="C1450" s="2" t="n">
        <x:v>9</x:v>
      </x:c>
      <x:c r="D1450" s="2" t="str">
        <x:v>DEMO-401</x:v>
      </x:c>
      <x:c r="E1450" s="2" t="str">
        <x:v>Loop Pouch</x:v>
      </x:c>
      <x:c r="F1450" s="2" t="str">
        <x:v>Accessories</x:v>
      </x:c>
      <x:c r="G1450" s="2" t="str">
        <x:v>Stores</x:v>
      </x:c>
      <x:c r="H1450" s="2" t="str">
        <x:v>North Arcade</x:v>
      </x:c>
      <x:c r="I1450" s="2" t="n">
        <x:v>11</x:v>
      </x:c>
      <x:c r="J1450" s="2" t="n">
        <x:v>1</x:v>
      </x:c>
      <x:c r="K1450" s="2" t="n">
        <x:f>I1450-J1450</x:f>
        <x:v>10</x:v>
      </x:c>
      <x:c r="L1450" s="16" t="n">
        <x:v>16</x:v>
      </x:c>
      <x:c r="M1450" s="16" t="n">
        <x:v>16</x:v>
      </x:c>
      <x:c r="N1450" s="16" t="n">
        <x:v>5.76</x:v>
      </x:c>
      <x:c r="O1450" s="16" t="n">
        <x:f>K1450*M1450</x:f>
        <x:v>160</x:v>
      </x:c>
      <x:c r="P1450" s="16" t="n">
        <x:f>K1450*N1450</x:f>
        <x:v>57.599999999999994</x:v>
      </x:c>
      <x:c r="Q1450" s="16" t="n">
        <x:f>O1450-P1450</x:f>
        <x:v>102.4</x:v>
      </x:c>
      <x:c r="R1450" s="2" t="n">
        <x:v>100</x:v>
      </x:c>
      <x:c r="S1450" s="2" t="n">
        <x:v>46</x:v>
      </x:c>
      <x:c r="T1450" s="2" t="n">
        <x:f>R1450+S1450+J1450-I1450</x:f>
        <x:v>136</x:v>
      </x:c>
      <x:c r="U1450" s="2" t="n">
        <x:v>0</x:v>
      </x:c>
      <x:c r="V1450" s="2" t="n">
        <x:v>2</x:v>
      </x:c>
      <x:c r="W1450" s="2" t="n">
        <x:v>10</x:v>
      </x:c>
      <x:c r="X1450" s="14" t="b">
        <x:v>0</x:v>
      </x:c>
      <x:c r="Y1450" s="14" t="b">
        <x:v>0</x:v>
      </x:c>
      <x:c r="Z1450" s="2" t="n">
        <x:f>ABS(T1450-AA1450)</x:f>
        <x:v>0</x:v>
      </x:c>
      <x:c r="AA1450" s="2" t="n">
        <x:v>136</x:v>
      </x:c>
      <x:c r="AB1450" s="2" t="n">
        <x:f>ABS(K1450-W1450)</x:f>
        <x:v>0</x:v>
      </x:c>
      <x:c r="AC1450" s="2" t="n">
        <x:f>COUNTIF($A$2:$A$1921,A1450)-1</x:f>
        <x:v>0</x:v>
      </x:c>
      <x:c r="AD1450" s="2" t="n">
        <x:f>IF(AND(D1450=D1449,H1450=H1449,C1450=C1449+1),ABS(R1450-T1449),0)</x:f>
        <x:v>0</x:v>
      </x:c>
    </x:row>
    <x:row r="1451" ht="23" customHeight="1">
      <x:c r="A1451" s="2" t="str">
        <x:v>DEMO-401-0-10</x:v>
      </x:c>
      <x:c r="B1451" s="15" t="d">
        <x:v>2026-07-06T00:00:00.000Z</x:v>
      </x:c>
      <x:c r="C1451" s="2" t="n">
        <x:v>10</x:v>
      </x:c>
      <x:c r="D1451" s="2" t="str">
        <x:v>DEMO-401</x:v>
      </x:c>
      <x:c r="E1451" s="2" t="str">
        <x:v>Loop Pouch</x:v>
      </x:c>
      <x:c r="F1451" s="2" t="str">
        <x:v>Accessories</x:v>
      </x:c>
      <x:c r="G1451" s="2" t="str">
        <x:v>Stores</x:v>
      </x:c>
      <x:c r="H1451" s="2" t="str">
        <x:v>North Arcade</x:v>
      </x:c>
      <x:c r="I1451" s="2" t="n">
        <x:v>10</x:v>
      </x:c>
      <x:c r="J1451" s="2" t="n">
        <x:v>0</x:v>
      </x:c>
      <x:c r="K1451" s="2" t="n">
        <x:f>I1451-J1451</x:f>
        <x:v>10</x:v>
      </x:c>
      <x:c r="L1451" s="16" t="n">
        <x:v>16</x:v>
      </x:c>
      <x:c r="M1451" s="16" t="n">
        <x:v>16</x:v>
      </x:c>
      <x:c r="N1451" s="16" t="n">
        <x:v>5.76</x:v>
      </x:c>
      <x:c r="O1451" s="16" t="n">
        <x:f>K1451*M1451</x:f>
        <x:v>160</x:v>
      </x:c>
      <x:c r="P1451" s="16" t="n">
        <x:f>K1451*N1451</x:f>
        <x:v>57.599999999999994</x:v>
      </x:c>
      <x:c r="Q1451" s="16" t="n">
        <x:f>O1451-P1451</x:f>
        <x:v>102.4</x:v>
      </x:c>
      <x:c r="R1451" s="2" t="n">
        <x:v>136</x:v>
      </x:c>
      <x:c r="S1451" s="2" t="n">
        <x:v>0</x:v>
      </x:c>
      <x:c r="T1451" s="2" t="n">
        <x:f>R1451+S1451+J1451-I1451</x:f>
        <x:v>126</x:v>
      </x:c>
      <x:c r="U1451" s="2" t="n">
        <x:v>0</x:v>
      </x:c>
      <x:c r="V1451" s="2" t="n">
        <x:v>2</x:v>
      </x:c>
      <x:c r="W1451" s="2" t="n">
        <x:v>10</x:v>
      </x:c>
      <x:c r="X1451" s="14" t="b">
        <x:v>0</x:v>
      </x:c>
      <x:c r="Y1451" s="14" t="b">
        <x:v>0</x:v>
      </x:c>
      <x:c r="Z1451" s="2" t="n">
        <x:f>ABS(T1451-AA1451)</x:f>
        <x:v>0</x:v>
      </x:c>
      <x:c r="AA1451" s="2" t="n">
        <x:v>126</x:v>
      </x:c>
      <x:c r="AB1451" s="2" t="n">
        <x:f>ABS(K1451-W1451)</x:f>
        <x:v>0</x:v>
      </x:c>
      <x:c r="AC1451" s="2" t="n">
        <x:f>COUNTIF($A$2:$A$1921,A1451)-1</x:f>
        <x:v>0</x:v>
      </x:c>
      <x:c r="AD1451" s="2" t="n">
        <x:f>IF(AND(D1451=D1450,H1451=H1450,C1451=C1450+1),ABS(R1451-T1450),0)</x:f>
        <x:v>0</x:v>
      </x:c>
    </x:row>
    <x:row r="1452" ht="23" customHeight="1">
      <x:c r="A1452" s="2" t="str">
        <x:v>DEMO-401-0-11</x:v>
      </x:c>
      <x:c r="B1452" s="15" t="d">
        <x:v>2026-07-13T00:00:00.000Z</x:v>
      </x:c>
      <x:c r="C1452" s="2" t="n">
        <x:v>11</x:v>
      </x:c>
      <x:c r="D1452" s="2" t="str">
        <x:v>DEMO-401</x:v>
      </x:c>
      <x:c r="E1452" s="2" t="str">
        <x:v>Loop Pouch</x:v>
      </x:c>
      <x:c r="F1452" s="2" t="str">
        <x:v>Accessories</x:v>
      </x:c>
      <x:c r="G1452" s="2" t="str">
        <x:v>Stores</x:v>
      </x:c>
      <x:c r="H1452" s="2" t="str">
        <x:v>North Arcade</x:v>
      </x:c>
      <x:c r="I1452" s="2" t="n">
        <x:v>11</x:v>
      </x:c>
      <x:c r="J1452" s="2" t="n">
        <x:v>0</x:v>
      </x:c>
      <x:c r="K1452" s="2" t="n">
        <x:f>I1452-J1452</x:f>
        <x:v>11</x:v>
      </x:c>
      <x:c r="L1452" s="16" t="n">
        <x:v>16</x:v>
      </x:c>
      <x:c r="M1452" s="16" t="n">
        <x:v>16</x:v>
      </x:c>
      <x:c r="N1452" s="16" t="n">
        <x:v>5.76</x:v>
      </x:c>
      <x:c r="O1452" s="16" t="n">
        <x:f>K1452*M1452</x:f>
        <x:v>176</x:v>
      </x:c>
      <x:c r="P1452" s="16" t="n">
        <x:f>K1452*N1452</x:f>
        <x:v>63.36</x:v>
      </x:c>
      <x:c r="Q1452" s="16" t="n">
        <x:f>O1452-P1452</x:f>
        <x:v>112.64</x:v>
      </x:c>
      <x:c r="R1452" s="2" t="n">
        <x:v>126</x:v>
      </x:c>
      <x:c r="S1452" s="2" t="n">
        <x:v>0</x:v>
      </x:c>
      <x:c r="T1452" s="2" t="n">
        <x:f>R1452+S1452+J1452-I1452</x:f>
        <x:v>115</x:v>
      </x:c>
      <x:c r="U1452" s="2" t="n">
        <x:v>0</x:v>
      </x:c>
      <x:c r="V1452" s="2" t="n">
        <x:v>2</x:v>
      </x:c>
      <x:c r="W1452" s="2" t="n">
        <x:v>10</x:v>
      </x:c>
      <x:c r="X1452" s="14" t="b">
        <x:v>0</x:v>
      </x:c>
      <x:c r="Y1452" s="14" t="b">
        <x:v>0</x:v>
      </x:c>
      <x:c r="Z1452" s="2" t="n">
        <x:f>ABS(T1452-AA1452)</x:f>
        <x:v>0</x:v>
      </x:c>
      <x:c r="AA1452" s="2" t="n">
        <x:v>115</x:v>
      </x:c>
      <x:c r="AB1452" s="2" t="n">
        <x:f>ABS(K1452-W1452)</x:f>
        <x:v>1</x:v>
      </x:c>
      <x:c r="AC1452" s="2" t="n">
        <x:f>COUNTIF($A$2:$A$1921,A1452)-1</x:f>
        <x:v>0</x:v>
      </x:c>
      <x:c r="AD1452" s="2" t="n">
        <x:f>IF(AND(D1452=D1451,H1452=H1451,C1452=C1451+1),ABS(R1452-T1451),0)</x:f>
        <x:v>0</x:v>
      </x:c>
    </x:row>
    <x:row r="1453" ht="23" customHeight="1">
      <x:c r="A1453" s="2" t="str">
        <x:v>DEMO-401-0-12</x:v>
      </x:c>
      <x:c r="B1453" s="15" t="d">
        <x:v>2026-07-20T00:00:00.000Z</x:v>
      </x:c>
      <x:c r="C1453" s="2" t="n">
        <x:v>12</x:v>
      </x:c>
      <x:c r="D1453" s="2" t="str">
        <x:v>DEMO-401</x:v>
      </x:c>
      <x:c r="E1453" s="2" t="str">
        <x:v>Loop Pouch</x:v>
      </x:c>
      <x:c r="F1453" s="2" t="str">
        <x:v>Accessories</x:v>
      </x:c>
      <x:c r="G1453" s="2" t="str">
        <x:v>Stores</x:v>
      </x:c>
      <x:c r="H1453" s="2" t="str">
        <x:v>North Arcade</x:v>
      </x:c>
      <x:c r="I1453" s="2" t="n">
        <x:v>11</x:v>
      </x:c>
      <x:c r="J1453" s="2" t="n">
        <x:v>0</x:v>
      </x:c>
      <x:c r="K1453" s="2" t="n">
        <x:f>I1453-J1453</x:f>
        <x:v>11</x:v>
      </x:c>
      <x:c r="L1453" s="16" t="n">
        <x:v>16</x:v>
      </x:c>
      <x:c r="M1453" s="16" t="n">
        <x:v>16</x:v>
      </x:c>
      <x:c r="N1453" s="16" t="n">
        <x:v>5.76</x:v>
      </x:c>
      <x:c r="O1453" s="16" t="n">
        <x:f>K1453*M1453</x:f>
        <x:v>176</x:v>
      </x:c>
      <x:c r="P1453" s="16" t="n">
        <x:f>K1453*N1453</x:f>
        <x:v>63.36</x:v>
      </x:c>
      <x:c r="Q1453" s="16" t="n">
        <x:f>O1453-P1453</x:f>
        <x:v>112.64</x:v>
      </x:c>
      <x:c r="R1453" s="2" t="n">
        <x:v>115</x:v>
      </x:c>
      <x:c r="S1453" s="2" t="n">
        <x:v>0</x:v>
      </x:c>
      <x:c r="T1453" s="2" t="n">
        <x:f>R1453+S1453+J1453-I1453</x:f>
        <x:v>104</x:v>
      </x:c>
      <x:c r="U1453" s="2" t="n">
        <x:v>0</x:v>
      </x:c>
      <x:c r="V1453" s="2" t="n">
        <x:v>2</x:v>
      </x:c>
      <x:c r="W1453" s="2" t="n">
        <x:v>11</x:v>
      </x:c>
      <x:c r="X1453" s="14" t="b">
        <x:v>0</x:v>
      </x:c>
      <x:c r="Y1453" s="14" t="b">
        <x:v>0</x:v>
      </x:c>
      <x:c r="Z1453" s="2" t="n">
        <x:f>ABS(T1453-AA1453)</x:f>
        <x:v>0</x:v>
      </x:c>
      <x:c r="AA1453" s="2" t="n">
        <x:v>104</x:v>
      </x:c>
      <x:c r="AB1453" s="2" t="n">
        <x:f>ABS(K1453-W1453)</x:f>
        <x:v>0</x:v>
      </x:c>
      <x:c r="AC1453" s="2" t="n">
        <x:f>COUNTIF($A$2:$A$1921,A1453)-1</x:f>
        <x:v>0</x:v>
      </x:c>
      <x:c r="AD1453" s="2" t="n">
        <x:f>IF(AND(D1453=D1452,H1453=H1452,C1453=C1452+1),ABS(R1453-T1452),0)</x:f>
        <x:v>0</x:v>
      </x:c>
    </x:row>
    <x:row r="1454" ht="23" customHeight="1">
      <x:c r="A1454" s="2" t="str">
        <x:v>DEMO-401-0-13</x:v>
      </x:c>
      <x:c r="B1454" s="15" t="d">
        <x:v>2026-07-27T00:00:00.000Z</x:v>
      </x:c>
      <x:c r="C1454" s="2" t="n">
        <x:v>13</x:v>
      </x:c>
      <x:c r="D1454" s="2" t="str">
        <x:v>DEMO-401</x:v>
      </x:c>
      <x:c r="E1454" s="2" t="str">
        <x:v>Loop Pouch</x:v>
      </x:c>
      <x:c r="F1454" s="2" t="str">
        <x:v>Accessories</x:v>
      </x:c>
      <x:c r="G1454" s="2" t="str">
        <x:v>Stores</x:v>
      </x:c>
      <x:c r="H1454" s="2" t="str">
        <x:v>North Arcade</x:v>
      </x:c>
      <x:c r="I1454" s="2" t="n">
        <x:v>13</x:v>
      </x:c>
      <x:c r="J1454" s="2" t="n">
        <x:v>0</x:v>
      </x:c>
      <x:c r="K1454" s="2" t="n">
        <x:f>I1454-J1454</x:f>
        <x:v>13</x:v>
      </x:c>
      <x:c r="L1454" s="16" t="n">
        <x:v>16</x:v>
      </x:c>
      <x:c r="M1454" s="16" t="n">
        <x:v>16</x:v>
      </x:c>
      <x:c r="N1454" s="16" t="n">
        <x:v>5.76</x:v>
      </x:c>
      <x:c r="O1454" s="16" t="n">
        <x:f>K1454*M1454</x:f>
        <x:v>208</x:v>
      </x:c>
      <x:c r="P1454" s="16" t="n">
        <x:f>K1454*N1454</x:f>
        <x:v>74.88</x:v>
      </x:c>
      <x:c r="Q1454" s="16" t="n">
        <x:f>O1454-P1454</x:f>
        <x:v>133.12</x:v>
      </x:c>
      <x:c r="R1454" s="2" t="n">
        <x:v>104</x:v>
      </x:c>
      <x:c r="S1454" s="2" t="n">
        <x:v>46</x:v>
      </x:c>
      <x:c r="T1454" s="2" t="n">
        <x:f>R1454+S1454+J1454-I1454</x:f>
        <x:v>137</x:v>
      </x:c>
      <x:c r="U1454" s="2" t="n">
        <x:v>0</x:v>
      </x:c>
      <x:c r="V1454" s="2" t="n">
        <x:v>2</x:v>
      </x:c>
      <x:c r="W1454" s="2" t="n">
        <x:v>11</x:v>
      </x:c>
      <x:c r="X1454" s="14" t="b">
        <x:v>0</x:v>
      </x:c>
      <x:c r="Y1454" s="14" t="b">
        <x:v>0</x:v>
      </x:c>
      <x:c r="Z1454" s="2" t="n">
        <x:f>ABS(T1454-AA1454)</x:f>
        <x:v>0</x:v>
      </x:c>
      <x:c r="AA1454" s="2" t="n">
        <x:v>137</x:v>
      </x:c>
      <x:c r="AB1454" s="2" t="n">
        <x:f>ABS(K1454-W1454)</x:f>
        <x:v>2</x:v>
      </x:c>
      <x:c r="AC1454" s="2" t="n">
        <x:f>COUNTIF($A$2:$A$1921,A1454)-1</x:f>
        <x:v>0</x:v>
      </x:c>
      <x:c r="AD1454" s="2" t="n">
        <x:f>IF(AND(D1454=D1453,H1454=H1453,C1454=C1453+1),ABS(R1454-T1453),0)</x:f>
        <x:v>0</x:v>
      </x:c>
    </x:row>
    <x:row r="1455" ht="23" customHeight="1">
      <x:c r="A1455" s="2" t="str">
        <x:v>DEMO-401-0-14</x:v>
      </x:c>
      <x:c r="B1455" s="15" t="d">
        <x:v>2026-08-03T00:00:00.000Z</x:v>
      </x:c>
      <x:c r="C1455" s="2" t="n">
        <x:v>14</x:v>
      </x:c>
      <x:c r="D1455" s="2" t="str">
        <x:v>DEMO-401</x:v>
      </x:c>
      <x:c r="E1455" s="2" t="str">
        <x:v>Loop Pouch</x:v>
      </x:c>
      <x:c r="F1455" s="2" t="str">
        <x:v>Accessories</x:v>
      </x:c>
      <x:c r="G1455" s="2" t="str">
        <x:v>Stores</x:v>
      </x:c>
      <x:c r="H1455" s="2" t="str">
        <x:v>North Arcade</x:v>
      </x:c>
      <x:c r="I1455" s="2" t="n">
        <x:v>11</x:v>
      </x:c>
      <x:c r="J1455" s="2" t="n">
        <x:v>0</x:v>
      </x:c>
      <x:c r="K1455" s="2" t="n">
        <x:f>I1455-J1455</x:f>
        <x:v>11</x:v>
      </x:c>
      <x:c r="L1455" s="16" t="n">
        <x:v>16</x:v>
      </x:c>
      <x:c r="M1455" s="16" t="n">
        <x:v>16</x:v>
      </x:c>
      <x:c r="N1455" s="16" t="n">
        <x:v>5.76</x:v>
      </x:c>
      <x:c r="O1455" s="16" t="n">
        <x:f>K1455*M1455</x:f>
        <x:v>176</x:v>
      </x:c>
      <x:c r="P1455" s="16" t="n">
        <x:f>K1455*N1455</x:f>
        <x:v>63.36</x:v>
      </x:c>
      <x:c r="Q1455" s="16" t="n">
        <x:f>O1455-P1455</x:f>
        <x:v>112.64</x:v>
      </x:c>
      <x:c r="R1455" s="2" t="n">
        <x:v>137</x:v>
      </x:c>
      <x:c r="S1455" s="2" t="n">
        <x:v>0</x:v>
      </x:c>
      <x:c r="T1455" s="2" t="n">
        <x:f>R1455+S1455+J1455-I1455</x:f>
        <x:v>126</x:v>
      </x:c>
      <x:c r="U1455" s="2" t="n">
        <x:v>0</x:v>
      </x:c>
      <x:c r="V1455" s="2" t="n">
        <x:v>2</x:v>
      </x:c>
      <x:c r="W1455" s="2" t="n">
        <x:v>11</x:v>
      </x:c>
      <x:c r="X1455" s="14" t="b">
        <x:v>0</x:v>
      </x:c>
      <x:c r="Y1455" s="14" t="b">
        <x:v>0</x:v>
      </x:c>
      <x:c r="Z1455" s="2" t="n">
        <x:f>ABS(T1455-AA1455)</x:f>
        <x:v>0</x:v>
      </x:c>
      <x:c r="AA1455" s="2" t="n">
        <x:v>126</x:v>
      </x:c>
      <x:c r="AB1455" s="2" t="n">
        <x:f>ABS(K1455-W1455)</x:f>
        <x:v>0</x:v>
      </x:c>
      <x:c r="AC1455" s="2" t="n">
        <x:f>COUNTIF($A$2:$A$1921,A1455)-1</x:f>
        <x:v>0</x:v>
      </x:c>
      <x:c r="AD1455" s="2" t="n">
        <x:f>IF(AND(D1455=D1454,H1455=H1454,C1455=C1454+1),ABS(R1455-T1454),0)</x:f>
        <x:v>0</x:v>
      </x:c>
    </x:row>
    <x:row r="1456" ht="23" customHeight="1">
      <x:c r="A1456" s="2" t="str">
        <x:v>DEMO-401-0-15</x:v>
      </x:c>
      <x:c r="B1456" s="15" t="d">
        <x:v>2026-08-10T00:00:00.000Z</x:v>
      </x:c>
      <x:c r="C1456" s="2" t="n">
        <x:v>15</x:v>
      </x:c>
      <x:c r="D1456" s="2" t="str">
        <x:v>DEMO-401</x:v>
      </x:c>
      <x:c r="E1456" s="2" t="str">
        <x:v>Loop Pouch</x:v>
      </x:c>
      <x:c r="F1456" s="2" t="str">
        <x:v>Accessories</x:v>
      </x:c>
      <x:c r="G1456" s="2" t="str">
        <x:v>Stores</x:v>
      </x:c>
      <x:c r="H1456" s="2" t="str">
        <x:v>North Arcade</x:v>
      </x:c>
      <x:c r="I1456" s="2" t="n">
        <x:v>13</x:v>
      </x:c>
      <x:c r="J1456" s="2" t="n">
        <x:v>0</x:v>
      </x:c>
      <x:c r="K1456" s="2" t="n">
        <x:f>I1456-J1456</x:f>
        <x:v>13</x:v>
      </x:c>
      <x:c r="L1456" s="16" t="n">
        <x:v>16</x:v>
      </x:c>
      <x:c r="M1456" s="16" t="n">
        <x:v>16</x:v>
      </x:c>
      <x:c r="N1456" s="16" t="n">
        <x:v>5.76</x:v>
      </x:c>
      <x:c r="O1456" s="16" t="n">
        <x:f>K1456*M1456</x:f>
        <x:v>208</x:v>
      </x:c>
      <x:c r="P1456" s="16" t="n">
        <x:f>K1456*N1456</x:f>
        <x:v>74.88</x:v>
      </x:c>
      <x:c r="Q1456" s="16" t="n">
        <x:f>O1456-P1456</x:f>
        <x:v>133.12</x:v>
      </x:c>
      <x:c r="R1456" s="2" t="n">
        <x:v>126</x:v>
      </x:c>
      <x:c r="S1456" s="2" t="n">
        <x:v>0</x:v>
      </x:c>
      <x:c r="T1456" s="2" t="n">
        <x:f>R1456+S1456+J1456-I1456</x:f>
        <x:v>113</x:v>
      </x:c>
      <x:c r="U1456" s="2" t="n">
        <x:v>0</x:v>
      </x:c>
      <x:c r="V1456" s="2" t="n">
        <x:v>2</x:v>
      </x:c>
      <x:c r="W1456" s="2" t="n">
        <x:v>12</x:v>
      </x:c>
      <x:c r="X1456" s="14" t="b">
        <x:v>0</x:v>
      </x:c>
      <x:c r="Y1456" s="14" t="b">
        <x:v>0</x:v>
      </x:c>
      <x:c r="Z1456" s="2" t="n">
        <x:f>ABS(T1456-AA1456)</x:f>
        <x:v>0</x:v>
      </x:c>
      <x:c r="AA1456" s="2" t="n">
        <x:v>113</x:v>
      </x:c>
      <x:c r="AB1456" s="2" t="n">
        <x:f>ABS(K1456-W1456)</x:f>
        <x:v>1</x:v>
      </x:c>
      <x:c r="AC1456" s="2" t="n">
        <x:f>COUNTIF($A$2:$A$1921,A1456)-1</x:f>
        <x:v>0</x:v>
      </x:c>
      <x:c r="AD1456" s="2" t="n">
        <x:f>IF(AND(D1456=D1455,H1456=H1455,C1456=C1455+1),ABS(R1456-T1455),0)</x:f>
        <x:v>0</x:v>
      </x:c>
    </x:row>
    <x:row r="1457" ht="23" customHeight="1">
      <x:c r="A1457" s="2" t="str">
        <x:v>DEMO-401-0-16</x:v>
      </x:c>
      <x:c r="B1457" s="15" t="d">
        <x:v>2026-08-17T00:00:00.000Z</x:v>
      </x:c>
      <x:c r="C1457" s="2" t="n">
        <x:v>16</x:v>
      </x:c>
      <x:c r="D1457" s="2" t="str">
        <x:v>DEMO-401</x:v>
      </x:c>
      <x:c r="E1457" s="2" t="str">
        <x:v>Loop Pouch</x:v>
      </x:c>
      <x:c r="F1457" s="2" t="str">
        <x:v>Accessories</x:v>
      </x:c>
      <x:c r="G1457" s="2" t="str">
        <x:v>Stores</x:v>
      </x:c>
      <x:c r="H1457" s="2" t="str">
        <x:v>North Arcade</x:v>
      </x:c>
      <x:c r="I1457" s="2" t="n">
        <x:v>11</x:v>
      </x:c>
      <x:c r="J1457" s="2" t="n">
        <x:v>1</x:v>
      </x:c>
      <x:c r="K1457" s="2" t="n">
        <x:f>I1457-J1457</x:f>
        <x:v>10</x:v>
      </x:c>
      <x:c r="L1457" s="16" t="n">
        <x:v>16</x:v>
      </x:c>
      <x:c r="M1457" s="16" t="n">
        <x:v>16</x:v>
      </x:c>
      <x:c r="N1457" s="16" t="n">
        <x:v>5.76</x:v>
      </x:c>
      <x:c r="O1457" s="16" t="n">
        <x:f>K1457*M1457</x:f>
        <x:v>160</x:v>
      </x:c>
      <x:c r="P1457" s="16" t="n">
        <x:f>K1457*N1457</x:f>
        <x:v>57.599999999999994</x:v>
      </x:c>
      <x:c r="Q1457" s="16" t="n">
        <x:f>O1457-P1457</x:f>
        <x:v>102.4</x:v>
      </x:c>
      <x:c r="R1457" s="2" t="n">
        <x:v>113</x:v>
      </x:c>
      <x:c r="S1457" s="2" t="n">
        <x:v>0</x:v>
      </x:c>
      <x:c r="T1457" s="2" t="n">
        <x:f>R1457+S1457+J1457-I1457</x:f>
        <x:v>103</x:v>
      </x:c>
      <x:c r="U1457" s="2" t="n">
        <x:v>0</x:v>
      </x:c>
      <x:c r="V1457" s="2" t="n">
        <x:v>2</x:v>
      </x:c>
      <x:c r="W1457" s="2" t="n">
        <x:v>12</x:v>
      </x:c>
      <x:c r="X1457" s="14" t="b">
        <x:v>0</x:v>
      </x:c>
      <x:c r="Y1457" s="14" t="b">
        <x:v>0</x:v>
      </x:c>
      <x:c r="Z1457" s="2" t="n">
        <x:f>ABS(T1457-AA1457)</x:f>
        <x:v>0</x:v>
      </x:c>
      <x:c r="AA1457" s="2" t="n">
        <x:v>103</x:v>
      </x:c>
      <x:c r="AB1457" s="2" t="n">
        <x:f>ABS(K1457-W1457)</x:f>
        <x:v>2</x:v>
      </x:c>
      <x:c r="AC1457" s="2" t="n">
        <x:f>COUNTIF($A$2:$A$1921,A1457)-1</x:f>
        <x:v>0</x:v>
      </x:c>
      <x:c r="AD1457" s="2" t="n">
        <x:f>IF(AND(D1457=D1456,H1457=H1456,C1457=C1456+1),ABS(R1457-T1456),0)</x:f>
        <x:v>0</x:v>
      </x:c>
    </x:row>
    <x:row r="1458" ht="23" customHeight="1">
      <x:c r="A1458" s="2" t="str">
        <x:v>DEMO-401-0-17</x:v>
      </x:c>
      <x:c r="B1458" s="15" t="d">
        <x:v>2026-08-24T00:00:00.000Z</x:v>
      </x:c>
      <x:c r="C1458" s="2" t="n">
        <x:v>17</x:v>
      </x:c>
      <x:c r="D1458" s="2" t="str">
        <x:v>DEMO-401</x:v>
      </x:c>
      <x:c r="E1458" s="2" t="str">
        <x:v>Loop Pouch</x:v>
      </x:c>
      <x:c r="F1458" s="2" t="str">
        <x:v>Accessories</x:v>
      </x:c>
      <x:c r="G1458" s="2" t="str">
        <x:v>Stores</x:v>
      </x:c>
      <x:c r="H1458" s="2" t="str">
        <x:v>North Arcade</x:v>
      </x:c>
      <x:c r="I1458" s="2" t="n">
        <x:v>11</x:v>
      </x:c>
      <x:c r="J1458" s="2" t="n">
        <x:v>0</x:v>
      </x:c>
      <x:c r="K1458" s="2" t="n">
        <x:f>I1458-J1458</x:f>
        <x:v>11</x:v>
      </x:c>
      <x:c r="L1458" s="16" t="n">
        <x:v>16</x:v>
      </x:c>
      <x:c r="M1458" s="16" t="n">
        <x:v>16</x:v>
      </x:c>
      <x:c r="N1458" s="16" t="n">
        <x:v>5.76</x:v>
      </x:c>
      <x:c r="O1458" s="16" t="n">
        <x:f>K1458*M1458</x:f>
        <x:v>176</x:v>
      </x:c>
      <x:c r="P1458" s="16" t="n">
        <x:f>K1458*N1458</x:f>
        <x:v>63.36</x:v>
      </x:c>
      <x:c r="Q1458" s="16" t="n">
        <x:f>O1458-P1458</x:f>
        <x:v>112.64</x:v>
      </x:c>
      <x:c r="R1458" s="2" t="n">
        <x:v>103</x:v>
      </x:c>
      <x:c r="S1458" s="2" t="n">
        <x:v>46</x:v>
      </x:c>
      <x:c r="T1458" s="2" t="n">
        <x:f>R1458+S1458+J1458-I1458</x:f>
        <x:v>138</x:v>
      </x:c>
      <x:c r="U1458" s="2" t="n">
        <x:v>0</x:v>
      </x:c>
      <x:c r="V1458" s="2" t="n">
        <x:v>2</x:v>
      </x:c>
      <x:c r="W1458" s="2" t="n">
        <x:v>12</x:v>
      </x:c>
      <x:c r="X1458" s="14" t="b">
        <x:v>0</x:v>
      </x:c>
      <x:c r="Y1458" s="14" t="b">
        <x:v>0</x:v>
      </x:c>
      <x:c r="Z1458" s="2" t="n">
        <x:f>ABS(T1458-AA1458)</x:f>
        <x:v>0</x:v>
      </x:c>
      <x:c r="AA1458" s="2" t="n">
        <x:v>138</x:v>
      </x:c>
      <x:c r="AB1458" s="2" t="n">
        <x:f>ABS(K1458-W1458)</x:f>
        <x:v>1</x:v>
      </x:c>
      <x:c r="AC1458" s="2" t="n">
        <x:f>COUNTIF($A$2:$A$1921,A1458)-1</x:f>
        <x:v>0</x:v>
      </x:c>
      <x:c r="AD1458" s="2" t="n">
        <x:f>IF(AND(D1458=D1457,H1458=H1457,C1458=C1457+1),ABS(R1458-T1457),0)</x:f>
        <x:v>0</x:v>
      </x:c>
    </x:row>
    <x:row r="1459" ht="23" customHeight="1">
      <x:c r="A1459" s="2" t="str">
        <x:v>DEMO-401-0-18</x:v>
      </x:c>
      <x:c r="B1459" s="15" t="d">
        <x:v>2026-08-31T00:00:00.000Z</x:v>
      </x:c>
      <x:c r="C1459" s="2" t="n">
        <x:v>18</x:v>
      </x:c>
      <x:c r="D1459" s="2" t="str">
        <x:v>DEMO-401</x:v>
      </x:c>
      <x:c r="E1459" s="2" t="str">
        <x:v>Loop Pouch</x:v>
      </x:c>
      <x:c r="F1459" s="2" t="str">
        <x:v>Accessories</x:v>
      </x:c>
      <x:c r="G1459" s="2" t="str">
        <x:v>Stores</x:v>
      </x:c>
      <x:c r="H1459" s="2" t="str">
        <x:v>North Arcade</x:v>
      </x:c>
      <x:c r="I1459" s="2" t="n">
        <x:v>13</x:v>
      </x:c>
      <x:c r="J1459" s="2" t="n">
        <x:v>0</x:v>
      </x:c>
      <x:c r="K1459" s="2" t="n">
        <x:f>I1459-J1459</x:f>
        <x:v>13</x:v>
      </x:c>
      <x:c r="L1459" s="16" t="n">
        <x:v>16</x:v>
      </x:c>
      <x:c r="M1459" s="16" t="n">
        <x:v>16</x:v>
      </x:c>
      <x:c r="N1459" s="16" t="n">
        <x:v>5.76</x:v>
      </x:c>
      <x:c r="O1459" s="16" t="n">
        <x:f>K1459*M1459</x:f>
        <x:v>208</x:v>
      </x:c>
      <x:c r="P1459" s="16" t="n">
        <x:f>K1459*N1459</x:f>
        <x:v>74.88</x:v>
      </x:c>
      <x:c r="Q1459" s="16" t="n">
        <x:f>O1459-P1459</x:f>
        <x:v>133.12</x:v>
      </x:c>
      <x:c r="R1459" s="2" t="n">
        <x:v>138</x:v>
      </x:c>
      <x:c r="S1459" s="2" t="n">
        <x:v>0</x:v>
      </x:c>
      <x:c r="T1459" s="2" t="n">
        <x:f>R1459+S1459+J1459-I1459</x:f>
        <x:v>125</x:v>
      </x:c>
      <x:c r="U1459" s="2" t="n">
        <x:v>0</x:v>
      </x:c>
      <x:c r="V1459" s="2" t="n">
        <x:v>2</x:v>
      </x:c>
      <x:c r="W1459" s="2" t="n">
        <x:v>11</x:v>
      </x:c>
      <x:c r="X1459" s="14" t="b">
        <x:v>0</x:v>
      </x:c>
      <x:c r="Y1459" s="14" t="b">
        <x:v>0</x:v>
      </x:c>
      <x:c r="Z1459" s="2" t="n">
        <x:f>ABS(T1459-AA1459)</x:f>
        <x:v>0</x:v>
      </x:c>
      <x:c r="AA1459" s="2" t="n">
        <x:v>125</x:v>
      </x:c>
      <x:c r="AB1459" s="2" t="n">
        <x:f>ABS(K1459-W1459)</x:f>
        <x:v>2</x:v>
      </x:c>
      <x:c r="AC1459" s="2" t="n">
        <x:f>COUNTIF($A$2:$A$1921,A1459)-1</x:f>
        <x:v>0</x:v>
      </x:c>
      <x:c r="AD1459" s="2" t="n">
        <x:f>IF(AND(D1459=D1458,H1459=H1458,C1459=C1458+1),ABS(R1459-T1458),0)</x:f>
        <x:v>0</x:v>
      </x:c>
    </x:row>
    <x:row r="1460" ht="23" customHeight="1">
      <x:c r="A1460" s="2" t="str">
        <x:v>DEMO-401-0-19</x:v>
      </x:c>
      <x:c r="B1460" s="15" t="d">
        <x:v>2026-09-07T00:00:00.000Z</x:v>
      </x:c>
      <x:c r="C1460" s="2" t="n">
        <x:v>19</x:v>
      </x:c>
      <x:c r="D1460" s="2" t="str">
        <x:v>DEMO-401</x:v>
      </x:c>
      <x:c r="E1460" s="2" t="str">
        <x:v>Loop Pouch</x:v>
      </x:c>
      <x:c r="F1460" s="2" t="str">
        <x:v>Accessories</x:v>
      </x:c>
      <x:c r="G1460" s="2" t="str">
        <x:v>Stores</x:v>
      </x:c>
      <x:c r="H1460" s="2" t="str">
        <x:v>North Arcade</x:v>
      </x:c>
      <x:c r="I1460" s="2" t="n">
        <x:v>10</x:v>
      </x:c>
      <x:c r="J1460" s="2" t="n">
        <x:v>0</x:v>
      </x:c>
      <x:c r="K1460" s="2" t="n">
        <x:f>I1460-J1460</x:f>
        <x:v>10</x:v>
      </x:c>
      <x:c r="L1460" s="16" t="n">
        <x:v>16</x:v>
      </x:c>
      <x:c r="M1460" s="16" t="n">
        <x:v>16</x:v>
      </x:c>
      <x:c r="N1460" s="16" t="n">
        <x:v>5.76</x:v>
      </x:c>
      <x:c r="O1460" s="16" t="n">
        <x:f>K1460*M1460</x:f>
        <x:v>160</x:v>
      </x:c>
      <x:c r="P1460" s="16" t="n">
        <x:f>K1460*N1460</x:f>
        <x:v>57.599999999999994</x:v>
      </x:c>
      <x:c r="Q1460" s="16" t="n">
        <x:f>O1460-P1460</x:f>
        <x:v>102.4</x:v>
      </x:c>
      <x:c r="R1460" s="2" t="n">
        <x:v>125</x:v>
      </x:c>
      <x:c r="S1460" s="2" t="n">
        <x:v>0</x:v>
      </x:c>
      <x:c r="T1460" s="2" t="n">
        <x:f>R1460+S1460+J1460-I1460</x:f>
        <x:v>115</x:v>
      </x:c>
      <x:c r="U1460" s="2" t="n">
        <x:v>0</x:v>
      </x:c>
      <x:c r="V1460" s="2" t="n">
        <x:v>2</x:v>
      </x:c>
      <x:c r="W1460" s="2" t="n">
        <x:v>12</x:v>
      </x:c>
      <x:c r="X1460" s="14" t="b">
        <x:v>0</x:v>
      </x:c>
      <x:c r="Y1460" s="14" t="b">
        <x:v>0</x:v>
      </x:c>
      <x:c r="Z1460" s="2" t="n">
        <x:f>ABS(T1460-AA1460)</x:f>
        <x:v>0</x:v>
      </x:c>
      <x:c r="AA1460" s="2" t="n">
        <x:v>115</x:v>
      </x:c>
      <x:c r="AB1460" s="2" t="n">
        <x:f>ABS(K1460-W1460)</x:f>
        <x:v>2</x:v>
      </x:c>
      <x:c r="AC1460" s="2" t="n">
        <x:f>COUNTIF($A$2:$A$1921,A1460)-1</x:f>
        <x:v>0</x:v>
      </x:c>
      <x:c r="AD1460" s="2" t="n">
        <x:f>IF(AND(D1460=D1459,H1460=H1459,C1460=C1459+1),ABS(R1460-T1459),0)</x:f>
        <x:v>0</x:v>
      </x:c>
    </x:row>
    <x:row r="1461" ht="23" customHeight="1">
      <x:c r="A1461" s="2" t="str">
        <x:v>DEMO-401-0-20</x:v>
      </x:c>
      <x:c r="B1461" s="15" t="d">
        <x:v>2026-09-14T00:00:00.000Z</x:v>
      </x:c>
      <x:c r="C1461" s="2" t="n">
        <x:v>20</x:v>
      </x:c>
      <x:c r="D1461" s="2" t="str">
        <x:v>DEMO-401</x:v>
      </x:c>
      <x:c r="E1461" s="2" t="str">
        <x:v>Loop Pouch</x:v>
      </x:c>
      <x:c r="F1461" s="2" t="str">
        <x:v>Accessories</x:v>
      </x:c>
      <x:c r="G1461" s="2" t="str">
        <x:v>Stores</x:v>
      </x:c>
      <x:c r="H1461" s="2" t="str">
        <x:v>North Arcade</x:v>
      </x:c>
      <x:c r="I1461" s="2" t="n">
        <x:v>10</x:v>
      </x:c>
      <x:c r="J1461" s="2" t="n">
        <x:v>0</x:v>
      </x:c>
      <x:c r="K1461" s="2" t="n">
        <x:f>I1461-J1461</x:f>
        <x:v>10</x:v>
      </x:c>
      <x:c r="L1461" s="16" t="n">
        <x:v>16</x:v>
      </x:c>
      <x:c r="M1461" s="16" t="n">
        <x:v>16</x:v>
      </x:c>
      <x:c r="N1461" s="16" t="n">
        <x:v>5.76</x:v>
      </x:c>
      <x:c r="O1461" s="16" t="n">
        <x:f>K1461*M1461</x:f>
        <x:v>160</x:v>
      </x:c>
      <x:c r="P1461" s="16" t="n">
        <x:f>K1461*N1461</x:f>
        <x:v>57.599999999999994</x:v>
      </x:c>
      <x:c r="Q1461" s="16" t="n">
        <x:f>O1461-P1461</x:f>
        <x:v>102.4</x:v>
      </x:c>
      <x:c r="R1461" s="2" t="n">
        <x:v>115</x:v>
      </x:c>
      <x:c r="S1461" s="2" t="n">
        <x:v>0</x:v>
      </x:c>
      <x:c r="T1461" s="2" t="n">
        <x:f>R1461+S1461+J1461-I1461</x:f>
        <x:v>105</x:v>
      </x:c>
      <x:c r="U1461" s="2" t="n">
        <x:v>18</x:v>
      </x:c>
      <x:c r="V1461" s="2" t="n">
        <x:v>2</x:v>
      </x:c>
      <x:c r="W1461" s="2" t="n">
        <x:v>11</x:v>
      </x:c>
      <x:c r="X1461" s="14" t="b">
        <x:v>0</x:v>
      </x:c>
      <x:c r="Y1461" s="14" t="b">
        <x:v>0</x:v>
      </x:c>
      <x:c r="Z1461" s="2" t="n">
        <x:f>ABS(T1461-AA1461)</x:f>
        <x:v>0</x:v>
      </x:c>
      <x:c r="AA1461" s="2" t="n">
        <x:v>105</x:v>
      </x:c>
      <x:c r="AB1461" s="2" t="n">
        <x:f>ABS(K1461-W1461)</x:f>
        <x:v>1</x:v>
      </x:c>
      <x:c r="AC1461" s="2" t="n">
        <x:f>COUNTIF($A$2:$A$1921,A1461)-1</x:f>
        <x:v>0</x:v>
      </x:c>
      <x:c r="AD1461" s="2" t="n">
        <x:f>IF(AND(D1461=D1460,H1461=H1460,C1461=C1460+1),ABS(R1461-T1460),0)</x:f>
        <x:v>0</x:v>
      </x:c>
    </x:row>
    <x:row r="1462" ht="23" customHeight="1">
      <x:c r="A1462" s="2" t="str">
        <x:v>DEMO-401-1-1</x:v>
      </x:c>
      <x:c r="B1462" s="15" t="d">
        <x:v>2026-05-04T00:00:00.000Z</x:v>
      </x:c>
      <x:c r="C1462" s="2" t="n">
        <x:v>1</x:v>
      </x:c>
      <x:c r="D1462" s="2" t="str">
        <x:v>DEMO-401</x:v>
      </x:c>
      <x:c r="E1462" s="2" t="str">
        <x:v>Loop Pouch</x:v>
      </x:c>
      <x:c r="F1462" s="2" t="str">
        <x:v>Accessories</x:v>
      </x:c>
      <x:c r="G1462" s="2" t="str">
        <x:v>Stores</x:v>
      </x:c>
      <x:c r="H1462" s="2" t="str">
        <x:v>Riverside</x:v>
      </x:c>
      <x:c r="I1462" s="2" t="n">
        <x:v>11</x:v>
      </x:c>
      <x:c r="J1462" s="2" t="n">
        <x:v>0</x:v>
      </x:c>
      <x:c r="K1462" s="2" t="n">
        <x:f>I1462-J1462</x:f>
        <x:v>11</x:v>
      </x:c>
      <x:c r="L1462" s="16" t="n">
        <x:v>16</x:v>
      </x:c>
      <x:c r="M1462" s="16" t="n">
        <x:v>16</x:v>
      </x:c>
      <x:c r="N1462" s="16" t="n">
        <x:v>5.76</x:v>
      </x:c>
      <x:c r="O1462" s="16" t="n">
        <x:f>K1462*M1462</x:f>
        <x:v>176</x:v>
      </x:c>
      <x:c r="P1462" s="16" t="n">
        <x:f>K1462*N1462</x:f>
        <x:v>63.36</x:v>
      </x:c>
      <x:c r="Q1462" s="16" t="n">
        <x:f>O1462-P1462</x:f>
        <x:v>112.64</x:v>
      </x:c>
      <x:c r="R1462" s="2" t="n">
        <x:v>90</x:v>
      </x:c>
      <x:c r="S1462" s="2" t="n">
        <x:v>46</x:v>
      </x:c>
      <x:c r="T1462" s="2" t="n">
        <x:f>R1462+S1462+J1462-I1462</x:f>
        <x:v>125</x:v>
      </x:c>
      <x:c r="U1462" s="2" t="n">
        <x:v>0</x:v>
      </x:c>
      <x:c r="V1462" s="2" t="n">
        <x:v>2</x:v>
      </x:c>
      <x:c r="W1462" s="2" t="n">
        <x:v>11</x:v>
      </x:c>
      <x:c r="X1462" s="14" t="b">
        <x:v>0</x:v>
      </x:c>
      <x:c r="Y1462" s="14" t="b">
        <x:v>0</x:v>
      </x:c>
      <x:c r="Z1462" s="2" t="n">
        <x:f>ABS(T1462-AA1462)</x:f>
        <x:v>0</x:v>
      </x:c>
      <x:c r="AA1462" s="2" t="n">
        <x:v>125</x:v>
      </x:c>
      <x:c r="AB1462" s="2" t="n">
        <x:f>ABS(K1462-W1462)</x:f>
        <x:v>0</x:v>
      </x:c>
      <x:c r="AC1462" s="2" t="n">
        <x:f>COUNTIF($A$2:$A$1921,A1462)-1</x:f>
        <x:v>0</x:v>
      </x:c>
      <x:c r="AD1462" s="2" t="n">
        <x:f>IF(AND(D1462=D1461,H1462=H1461,C1462=C1461+1),ABS(R1462-T1461),0)</x:f>
        <x:v>0</x:v>
      </x:c>
    </x:row>
    <x:row r="1463" ht="23" customHeight="1">
      <x:c r="A1463" s="2" t="str">
        <x:v>DEMO-401-1-2</x:v>
      </x:c>
      <x:c r="B1463" s="15" t="d">
        <x:v>2026-05-11T00:00:00.000Z</x:v>
      </x:c>
      <x:c r="C1463" s="2" t="n">
        <x:v>2</x:v>
      </x:c>
      <x:c r="D1463" s="2" t="str">
        <x:v>DEMO-401</x:v>
      </x:c>
      <x:c r="E1463" s="2" t="str">
        <x:v>Loop Pouch</x:v>
      </x:c>
      <x:c r="F1463" s="2" t="str">
        <x:v>Accessories</x:v>
      </x:c>
      <x:c r="G1463" s="2" t="str">
        <x:v>Stores</x:v>
      </x:c>
      <x:c r="H1463" s="2" t="str">
        <x:v>Riverside</x:v>
      </x:c>
      <x:c r="I1463" s="2" t="n">
        <x:v>12</x:v>
      </x:c>
      <x:c r="J1463" s="2" t="n">
        <x:v>0</x:v>
      </x:c>
      <x:c r="K1463" s="2" t="n">
        <x:f>I1463-J1463</x:f>
        <x:v>12</x:v>
      </x:c>
      <x:c r="L1463" s="16" t="n">
        <x:v>16</x:v>
      </x:c>
      <x:c r="M1463" s="16" t="n">
        <x:v>16</x:v>
      </x:c>
      <x:c r="N1463" s="16" t="n">
        <x:v>5.76</x:v>
      </x:c>
      <x:c r="O1463" s="16" t="n">
        <x:f>K1463*M1463</x:f>
        <x:v>192</x:v>
      </x:c>
      <x:c r="P1463" s="16" t="n">
        <x:f>K1463*N1463</x:f>
        <x:v>69.12</x:v>
      </x:c>
      <x:c r="Q1463" s="16" t="n">
        <x:f>O1463-P1463</x:f>
        <x:v>122.88</x:v>
      </x:c>
      <x:c r="R1463" s="2" t="n">
        <x:v>125</x:v>
      </x:c>
      <x:c r="S1463" s="2" t="n">
        <x:v>0</x:v>
      </x:c>
      <x:c r="T1463" s="2" t="n">
        <x:f>R1463+S1463+J1463-I1463</x:f>
        <x:v>113</x:v>
      </x:c>
      <x:c r="U1463" s="2" t="n">
        <x:v>0</x:v>
      </x:c>
      <x:c r="V1463" s="2" t="n">
        <x:v>2</x:v>
      </x:c>
      <x:c r="W1463" s="2" t="n">
        <x:v>11</x:v>
      </x:c>
      <x:c r="X1463" s="14" t="b">
        <x:v>0</x:v>
      </x:c>
      <x:c r="Y1463" s="14" t="b">
        <x:v>0</x:v>
      </x:c>
      <x:c r="Z1463" s="2" t="n">
        <x:f>ABS(T1463-AA1463)</x:f>
        <x:v>0</x:v>
      </x:c>
      <x:c r="AA1463" s="2" t="n">
        <x:v>113</x:v>
      </x:c>
      <x:c r="AB1463" s="2" t="n">
        <x:f>ABS(K1463-W1463)</x:f>
        <x:v>1</x:v>
      </x:c>
      <x:c r="AC1463" s="2" t="n">
        <x:f>COUNTIF($A$2:$A$1921,A1463)-1</x:f>
        <x:v>0</x:v>
      </x:c>
      <x:c r="AD1463" s="2" t="n">
        <x:f>IF(AND(D1463=D1462,H1463=H1462,C1463=C1462+1),ABS(R1463-T1462),0)</x:f>
        <x:v>0</x:v>
      </x:c>
    </x:row>
    <x:row r="1464" ht="23" customHeight="1">
      <x:c r="A1464" s="2" t="str">
        <x:v>DEMO-401-1-3</x:v>
      </x:c>
      <x:c r="B1464" s="15" t="d">
        <x:v>2026-05-18T00:00:00.000Z</x:v>
      </x:c>
      <x:c r="C1464" s="2" t="n">
        <x:v>3</x:v>
      </x:c>
      <x:c r="D1464" s="2" t="str">
        <x:v>DEMO-401</x:v>
      </x:c>
      <x:c r="E1464" s="2" t="str">
        <x:v>Loop Pouch</x:v>
      </x:c>
      <x:c r="F1464" s="2" t="str">
        <x:v>Accessories</x:v>
      </x:c>
      <x:c r="G1464" s="2" t="str">
        <x:v>Stores</x:v>
      </x:c>
      <x:c r="H1464" s="2" t="str">
        <x:v>Riverside</x:v>
      </x:c>
      <x:c r="I1464" s="2" t="n">
        <x:v>9</x:v>
      </x:c>
      <x:c r="J1464" s="2" t="n">
        <x:v>0</x:v>
      </x:c>
      <x:c r="K1464" s="2" t="n">
        <x:f>I1464-J1464</x:f>
        <x:v>9</x:v>
      </x:c>
      <x:c r="L1464" s="16" t="n">
        <x:v>16</x:v>
      </x:c>
      <x:c r="M1464" s="16" t="n">
        <x:v>16</x:v>
      </x:c>
      <x:c r="N1464" s="16" t="n">
        <x:v>5.76</x:v>
      </x:c>
      <x:c r="O1464" s="16" t="n">
        <x:f>K1464*M1464</x:f>
        <x:v>144</x:v>
      </x:c>
      <x:c r="P1464" s="16" t="n">
        <x:f>K1464*N1464</x:f>
        <x:v>51.839999999999996</x:v>
      </x:c>
      <x:c r="Q1464" s="16" t="n">
        <x:f>O1464-P1464</x:f>
        <x:v>92.16</x:v>
      </x:c>
      <x:c r="R1464" s="2" t="n">
        <x:v>113</x:v>
      </x:c>
      <x:c r="S1464" s="2" t="n">
        <x:v>0</x:v>
      </x:c>
      <x:c r="T1464" s="2" t="n">
        <x:f>R1464+S1464+J1464-I1464</x:f>
        <x:v>104</x:v>
      </x:c>
      <x:c r="U1464" s="2" t="n">
        <x:v>0</x:v>
      </x:c>
      <x:c r="V1464" s="2" t="n">
        <x:v>2</x:v>
      </x:c>
      <x:c r="W1464" s="2" t="n">
        <x:v>12</x:v>
      </x:c>
      <x:c r="X1464" s="14" t="b">
        <x:v>0</x:v>
      </x:c>
      <x:c r="Y1464" s="14" t="b">
        <x:v>0</x:v>
      </x:c>
      <x:c r="Z1464" s="2" t="n">
        <x:f>ABS(T1464-AA1464)</x:f>
        <x:v>0</x:v>
      </x:c>
      <x:c r="AA1464" s="2" t="n">
        <x:v>104</x:v>
      </x:c>
      <x:c r="AB1464" s="2" t="n">
        <x:f>ABS(K1464-W1464)</x:f>
        <x:v>3</x:v>
      </x:c>
      <x:c r="AC1464" s="2" t="n">
        <x:f>COUNTIF($A$2:$A$1921,A1464)-1</x:f>
        <x:v>0</x:v>
      </x:c>
      <x:c r="AD1464" s="2" t="n">
        <x:f>IF(AND(D1464=D1463,H1464=H1463,C1464=C1463+1),ABS(R1464-T1463),0)</x:f>
        <x:v>0</x:v>
      </x:c>
    </x:row>
    <x:row r="1465" ht="23" customHeight="1">
      <x:c r="A1465" s="2" t="str">
        <x:v>DEMO-401-1-4</x:v>
      </x:c>
      <x:c r="B1465" s="15" t="d">
        <x:v>2026-05-25T00:00:00.000Z</x:v>
      </x:c>
      <x:c r="C1465" s="2" t="n">
        <x:v>4</x:v>
      </x:c>
      <x:c r="D1465" s="2" t="str">
        <x:v>DEMO-401</x:v>
      </x:c>
      <x:c r="E1465" s="2" t="str">
        <x:v>Loop Pouch</x:v>
      </x:c>
      <x:c r="F1465" s="2" t="str">
        <x:v>Accessories</x:v>
      </x:c>
      <x:c r="G1465" s="2" t="str">
        <x:v>Stores</x:v>
      </x:c>
      <x:c r="H1465" s="2" t="str">
        <x:v>Riverside</x:v>
      </x:c>
      <x:c r="I1465" s="2" t="n">
        <x:v>10</x:v>
      </x:c>
      <x:c r="J1465" s="2" t="n">
        <x:v>0</x:v>
      </x:c>
      <x:c r="K1465" s="2" t="n">
        <x:f>I1465-J1465</x:f>
        <x:v>10</x:v>
      </x:c>
      <x:c r="L1465" s="16" t="n">
        <x:v>16</x:v>
      </x:c>
      <x:c r="M1465" s="16" t="n">
        <x:v>16</x:v>
      </x:c>
      <x:c r="N1465" s="16" t="n">
        <x:v>5.76</x:v>
      </x:c>
      <x:c r="O1465" s="16" t="n">
        <x:f>K1465*M1465</x:f>
        <x:v>160</x:v>
      </x:c>
      <x:c r="P1465" s="16" t="n">
        <x:f>K1465*N1465</x:f>
        <x:v>57.599999999999994</x:v>
      </x:c>
      <x:c r="Q1465" s="16" t="n">
        <x:f>O1465-P1465</x:f>
        <x:v>102.4</x:v>
      </x:c>
      <x:c r="R1465" s="2" t="n">
        <x:v>104</x:v>
      </x:c>
      <x:c r="S1465" s="2" t="n">
        <x:v>0</x:v>
      </x:c>
      <x:c r="T1465" s="2" t="n">
        <x:f>R1465+S1465+J1465-I1465</x:f>
        <x:v>94</x:v>
      </x:c>
      <x:c r="U1465" s="2" t="n">
        <x:v>0</x:v>
      </x:c>
      <x:c r="V1465" s="2" t="n">
        <x:v>2</x:v>
      </x:c>
      <x:c r="W1465" s="2" t="n">
        <x:v>11</x:v>
      </x:c>
      <x:c r="X1465" s="14" t="b">
        <x:v>0</x:v>
      </x:c>
      <x:c r="Y1465" s="14" t="b">
        <x:v>0</x:v>
      </x:c>
      <x:c r="Z1465" s="2" t="n">
        <x:f>ABS(T1465-AA1465)</x:f>
        <x:v>0</x:v>
      </x:c>
      <x:c r="AA1465" s="2" t="n">
        <x:v>94</x:v>
      </x:c>
      <x:c r="AB1465" s="2" t="n">
        <x:f>ABS(K1465-W1465)</x:f>
        <x:v>1</x:v>
      </x:c>
      <x:c r="AC1465" s="2" t="n">
        <x:f>COUNTIF($A$2:$A$1921,A1465)-1</x:f>
        <x:v>0</x:v>
      </x:c>
      <x:c r="AD1465" s="2" t="n">
        <x:f>IF(AND(D1465=D1464,H1465=H1464,C1465=C1464+1),ABS(R1465-T1464),0)</x:f>
        <x:v>0</x:v>
      </x:c>
    </x:row>
    <x:row r="1466" ht="23" customHeight="1">
      <x:c r="A1466" s="2" t="str">
        <x:v>DEMO-401-1-5</x:v>
      </x:c>
      <x:c r="B1466" s="15" t="d">
        <x:v>2026-06-01T00:00:00.000Z</x:v>
      </x:c>
      <x:c r="C1466" s="2" t="n">
        <x:v>5</x:v>
      </x:c>
      <x:c r="D1466" s="2" t="str">
        <x:v>DEMO-401</x:v>
      </x:c>
      <x:c r="E1466" s="2" t="str">
        <x:v>Loop Pouch</x:v>
      </x:c>
      <x:c r="F1466" s="2" t="str">
        <x:v>Accessories</x:v>
      </x:c>
      <x:c r="G1466" s="2" t="str">
        <x:v>Stores</x:v>
      </x:c>
      <x:c r="H1466" s="2" t="str">
        <x:v>Riverside</x:v>
      </x:c>
      <x:c r="I1466" s="2" t="n">
        <x:v>9</x:v>
      </x:c>
      <x:c r="J1466" s="2" t="n">
        <x:v>0</x:v>
      </x:c>
      <x:c r="K1466" s="2" t="n">
        <x:f>I1466-J1466</x:f>
        <x:v>9</x:v>
      </x:c>
      <x:c r="L1466" s="16" t="n">
        <x:v>16</x:v>
      </x:c>
      <x:c r="M1466" s="16" t="n">
        <x:v>16</x:v>
      </x:c>
      <x:c r="N1466" s="16" t="n">
        <x:v>5.76</x:v>
      </x:c>
      <x:c r="O1466" s="16" t="n">
        <x:f>K1466*M1466</x:f>
        <x:v>144</x:v>
      </x:c>
      <x:c r="P1466" s="16" t="n">
        <x:f>K1466*N1466</x:f>
        <x:v>51.839999999999996</x:v>
      </x:c>
      <x:c r="Q1466" s="16" t="n">
        <x:f>O1466-P1466</x:f>
        <x:v>92.16</x:v>
      </x:c>
      <x:c r="R1466" s="2" t="n">
        <x:v>94</x:v>
      </x:c>
      <x:c r="S1466" s="2" t="n">
        <x:v>46</x:v>
      </x:c>
      <x:c r="T1466" s="2" t="n">
        <x:f>R1466+S1466+J1466-I1466</x:f>
        <x:v>131</x:v>
      </x:c>
      <x:c r="U1466" s="2" t="n">
        <x:v>0</x:v>
      </x:c>
      <x:c r="V1466" s="2" t="n">
        <x:v>2</x:v>
      </x:c>
      <x:c r="W1466" s="2" t="n">
        <x:v>11</x:v>
      </x:c>
      <x:c r="X1466" s="14" t="b">
        <x:v>0</x:v>
      </x:c>
      <x:c r="Y1466" s="14" t="b">
        <x:v>0</x:v>
      </x:c>
      <x:c r="Z1466" s="2" t="n">
        <x:f>ABS(T1466-AA1466)</x:f>
        <x:v>0</x:v>
      </x:c>
      <x:c r="AA1466" s="2" t="n">
        <x:v>131</x:v>
      </x:c>
      <x:c r="AB1466" s="2" t="n">
        <x:f>ABS(K1466-W1466)</x:f>
        <x:v>2</x:v>
      </x:c>
      <x:c r="AC1466" s="2" t="n">
        <x:f>COUNTIF($A$2:$A$1921,A1466)-1</x:f>
        <x:v>0</x:v>
      </x:c>
      <x:c r="AD1466" s="2" t="n">
        <x:f>IF(AND(D1466=D1465,H1466=H1465,C1466=C1465+1),ABS(R1466-T1465),0)</x:f>
        <x:v>0</x:v>
      </x:c>
    </x:row>
    <x:row r="1467" ht="23" customHeight="1">
      <x:c r="A1467" s="2" t="str">
        <x:v>DEMO-401-1-6</x:v>
      </x:c>
      <x:c r="B1467" s="15" t="d">
        <x:v>2026-06-08T00:00:00.000Z</x:v>
      </x:c>
      <x:c r="C1467" s="2" t="n">
        <x:v>6</x:v>
      </x:c>
      <x:c r="D1467" s="2" t="str">
        <x:v>DEMO-401</x:v>
      </x:c>
      <x:c r="E1467" s="2" t="str">
        <x:v>Loop Pouch</x:v>
      </x:c>
      <x:c r="F1467" s="2" t="str">
        <x:v>Accessories</x:v>
      </x:c>
      <x:c r="G1467" s="2" t="str">
        <x:v>Stores</x:v>
      </x:c>
      <x:c r="H1467" s="2" t="str">
        <x:v>Riverside</x:v>
      </x:c>
      <x:c r="I1467" s="2" t="n">
        <x:v>12</x:v>
      </x:c>
      <x:c r="J1467" s="2" t="n">
        <x:v>1</x:v>
      </x:c>
      <x:c r="K1467" s="2" t="n">
        <x:f>I1467-J1467</x:f>
        <x:v>11</x:v>
      </x:c>
      <x:c r="L1467" s="16" t="n">
        <x:v>16</x:v>
      </x:c>
      <x:c r="M1467" s="16" t="n">
        <x:v>16</x:v>
      </x:c>
      <x:c r="N1467" s="16" t="n">
        <x:v>5.76</x:v>
      </x:c>
      <x:c r="O1467" s="16" t="n">
        <x:f>K1467*M1467</x:f>
        <x:v>176</x:v>
      </x:c>
      <x:c r="P1467" s="16" t="n">
        <x:f>K1467*N1467</x:f>
        <x:v>63.36</x:v>
      </x:c>
      <x:c r="Q1467" s="16" t="n">
        <x:f>O1467-P1467</x:f>
        <x:v>112.64</x:v>
      </x:c>
      <x:c r="R1467" s="2" t="n">
        <x:v>131</x:v>
      </x:c>
      <x:c r="S1467" s="2" t="n">
        <x:v>0</x:v>
      </x:c>
      <x:c r="T1467" s="2" t="n">
        <x:f>R1467+S1467+J1467-I1467</x:f>
        <x:v>120</x:v>
      </x:c>
      <x:c r="U1467" s="2" t="n">
        <x:v>0</x:v>
      </x:c>
      <x:c r="V1467" s="2" t="n">
        <x:v>2</x:v>
      </x:c>
      <x:c r="W1467" s="2" t="n">
        <x:v>10</x:v>
      </x:c>
      <x:c r="X1467" s="14" t="b">
        <x:v>0</x:v>
      </x:c>
      <x:c r="Y1467" s="14" t="b">
        <x:v>0</x:v>
      </x:c>
      <x:c r="Z1467" s="2" t="n">
        <x:f>ABS(T1467-AA1467)</x:f>
        <x:v>0</x:v>
      </x:c>
      <x:c r="AA1467" s="2" t="n">
        <x:v>120</x:v>
      </x:c>
      <x:c r="AB1467" s="2" t="n">
        <x:f>ABS(K1467-W1467)</x:f>
        <x:v>1</x:v>
      </x:c>
      <x:c r="AC1467" s="2" t="n">
        <x:f>COUNTIF($A$2:$A$1921,A1467)-1</x:f>
        <x:v>0</x:v>
      </x:c>
      <x:c r="AD1467" s="2" t="n">
        <x:f>IF(AND(D1467=D1466,H1467=H1466,C1467=C1466+1),ABS(R1467-T1466),0)</x:f>
        <x:v>0</x:v>
      </x:c>
    </x:row>
    <x:row r="1468" ht="23" customHeight="1">
      <x:c r="A1468" s="2" t="str">
        <x:v>DEMO-401-1-7</x:v>
      </x:c>
      <x:c r="B1468" s="15" t="d">
        <x:v>2026-06-15T00:00:00.000Z</x:v>
      </x:c>
      <x:c r="C1468" s="2" t="n">
        <x:v>7</x:v>
      </x:c>
      <x:c r="D1468" s="2" t="str">
        <x:v>DEMO-401</x:v>
      </x:c>
      <x:c r="E1468" s="2" t="str">
        <x:v>Loop Pouch</x:v>
      </x:c>
      <x:c r="F1468" s="2" t="str">
        <x:v>Accessories</x:v>
      </x:c>
      <x:c r="G1468" s="2" t="str">
        <x:v>Stores</x:v>
      </x:c>
      <x:c r="H1468" s="2" t="str">
        <x:v>Riverside</x:v>
      </x:c>
      <x:c r="I1468" s="2" t="n">
        <x:v>9</x:v>
      </x:c>
      <x:c r="J1468" s="2" t="n">
        <x:v>0</x:v>
      </x:c>
      <x:c r="K1468" s="2" t="n">
        <x:f>I1468-J1468</x:f>
        <x:v>9</x:v>
      </x:c>
      <x:c r="L1468" s="16" t="n">
        <x:v>16</x:v>
      </x:c>
      <x:c r="M1468" s="16" t="n">
        <x:v>16</x:v>
      </x:c>
      <x:c r="N1468" s="16" t="n">
        <x:v>5.76</x:v>
      </x:c>
      <x:c r="O1468" s="16" t="n">
        <x:f>K1468*M1468</x:f>
        <x:v>144</x:v>
      </x:c>
      <x:c r="P1468" s="16" t="n">
        <x:f>K1468*N1468</x:f>
        <x:v>51.839999999999996</x:v>
      </x:c>
      <x:c r="Q1468" s="16" t="n">
        <x:f>O1468-P1468</x:f>
        <x:v>92.16</x:v>
      </x:c>
      <x:c r="R1468" s="2" t="n">
        <x:v>120</x:v>
      </x:c>
      <x:c r="S1468" s="2" t="n">
        <x:v>0</x:v>
      </x:c>
      <x:c r="T1468" s="2" t="n">
        <x:f>R1468+S1468+J1468-I1468</x:f>
        <x:v>111</x:v>
      </x:c>
      <x:c r="U1468" s="2" t="n">
        <x:v>0</x:v>
      </x:c>
      <x:c r="V1468" s="2" t="n">
        <x:v>2</x:v>
      </x:c>
      <x:c r="W1468" s="2" t="n">
        <x:v>10</x:v>
      </x:c>
      <x:c r="X1468" s="14" t="b">
        <x:v>0</x:v>
      </x:c>
      <x:c r="Y1468" s="14" t="b">
        <x:v>0</x:v>
      </x:c>
      <x:c r="Z1468" s="2" t="n">
        <x:f>ABS(T1468-AA1468)</x:f>
        <x:v>0</x:v>
      </x:c>
      <x:c r="AA1468" s="2" t="n">
        <x:v>111</x:v>
      </x:c>
      <x:c r="AB1468" s="2" t="n">
        <x:f>ABS(K1468-W1468)</x:f>
        <x:v>1</x:v>
      </x:c>
      <x:c r="AC1468" s="2" t="n">
        <x:f>COUNTIF($A$2:$A$1921,A1468)-1</x:f>
        <x:v>0</x:v>
      </x:c>
      <x:c r="AD1468" s="2" t="n">
        <x:f>IF(AND(D1468=D1467,H1468=H1467,C1468=C1467+1),ABS(R1468-T1467),0)</x:f>
        <x:v>0</x:v>
      </x:c>
    </x:row>
    <x:row r="1469" ht="23" customHeight="1">
      <x:c r="A1469" s="2" t="str">
        <x:v>DEMO-401-1-8</x:v>
      </x:c>
      <x:c r="B1469" s="15" t="d">
        <x:v>2026-06-22T00:00:00.000Z</x:v>
      </x:c>
      <x:c r="C1469" s="2" t="n">
        <x:v>8</x:v>
      </x:c>
      <x:c r="D1469" s="2" t="str">
        <x:v>DEMO-401</x:v>
      </x:c>
      <x:c r="E1469" s="2" t="str">
        <x:v>Loop Pouch</x:v>
      </x:c>
      <x:c r="F1469" s="2" t="str">
        <x:v>Accessories</x:v>
      </x:c>
      <x:c r="G1469" s="2" t="str">
        <x:v>Stores</x:v>
      </x:c>
      <x:c r="H1469" s="2" t="str">
        <x:v>Riverside</x:v>
      </x:c>
      <x:c r="I1469" s="2" t="n">
        <x:v>11</x:v>
      </x:c>
      <x:c r="J1469" s="2" t="n">
        <x:v>0</x:v>
      </x:c>
      <x:c r="K1469" s="2" t="n">
        <x:f>I1469-J1469</x:f>
        <x:v>11</x:v>
      </x:c>
      <x:c r="L1469" s="16" t="n">
        <x:v>16</x:v>
      </x:c>
      <x:c r="M1469" s="16" t="n">
        <x:v>16</x:v>
      </x:c>
      <x:c r="N1469" s="16" t="n">
        <x:v>5.76</x:v>
      </x:c>
      <x:c r="O1469" s="16" t="n">
        <x:f>K1469*M1469</x:f>
        <x:v>176</x:v>
      </x:c>
      <x:c r="P1469" s="16" t="n">
        <x:f>K1469*N1469</x:f>
        <x:v>63.36</x:v>
      </x:c>
      <x:c r="Q1469" s="16" t="n">
        <x:f>O1469-P1469</x:f>
        <x:v>112.64</x:v>
      </x:c>
      <x:c r="R1469" s="2" t="n">
        <x:v>111</x:v>
      </x:c>
      <x:c r="S1469" s="2" t="n">
        <x:v>0</x:v>
      </x:c>
      <x:c r="T1469" s="2" t="n">
        <x:f>R1469+S1469+J1469-I1469</x:f>
        <x:v>100</x:v>
      </x:c>
      <x:c r="U1469" s="2" t="n">
        <x:v>0</x:v>
      </x:c>
      <x:c r="V1469" s="2" t="n">
        <x:v>2</x:v>
      </x:c>
      <x:c r="W1469" s="2" t="n">
        <x:v>10</x:v>
      </x:c>
      <x:c r="X1469" s="14" t="b">
        <x:v>0</x:v>
      </x:c>
      <x:c r="Y1469" s="14" t="b">
        <x:v>0</x:v>
      </x:c>
      <x:c r="Z1469" s="2" t="n">
        <x:f>ABS(T1469-AA1469)</x:f>
        <x:v>0</x:v>
      </x:c>
      <x:c r="AA1469" s="2" t="n">
        <x:v>100</x:v>
      </x:c>
      <x:c r="AB1469" s="2" t="n">
        <x:f>ABS(K1469-W1469)</x:f>
        <x:v>1</x:v>
      </x:c>
      <x:c r="AC1469" s="2" t="n">
        <x:f>COUNTIF($A$2:$A$1921,A1469)-1</x:f>
        <x:v>0</x:v>
      </x:c>
      <x:c r="AD1469" s="2" t="n">
        <x:f>IF(AND(D1469=D1468,H1469=H1468,C1469=C1468+1),ABS(R1469-T1468),0)</x:f>
        <x:v>0</x:v>
      </x:c>
    </x:row>
    <x:row r="1470" ht="23" customHeight="1">
      <x:c r="A1470" s="2" t="str">
        <x:v>DEMO-401-1-9</x:v>
      </x:c>
      <x:c r="B1470" s="15" t="d">
        <x:v>2026-06-29T00:00:00.000Z</x:v>
      </x:c>
      <x:c r="C1470" s="2" t="n">
        <x:v>9</x:v>
      </x:c>
      <x:c r="D1470" s="2" t="str">
        <x:v>DEMO-401</x:v>
      </x:c>
      <x:c r="E1470" s="2" t="str">
        <x:v>Loop Pouch</x:v>
      </x:c>
      <x:c r="F1470" s="2" t="str">
        <x:v>Accessories</x:v>
      </x:c>
      <x:c r="G1470" s="2" t="str">
        <x:v>Stores</x:v>
      </x:c>
      <x:c r="H1470" s="2" t="str">
        <x:v>Riverside</x:v>
      </x:c>
      <x:c r="I1470" s="2" t="n">
        <x:v>13</x:v>
      </x:c>
      <x:c r="J1470" s="2" t="n">
        <x:v>1</x:v>
      </x:c>
      <x:c r="K1470" s="2" t="n">
        <x:f>I1470-J1470</x:f>
        <x:v>12</x:v>
      </x:c>
      <x:c r="L1470" s="16" t="n">
        <x:v>16</x:v>
      </x:c>
      <x:c r="M1470" s="16" t="n">
        <x:v>16</x:v>
      </x:c>
      <x:c r="N1470" s="16" t="n">
        <x:v>5.76</x:v>
      </x:c>
      <x:c r="O1470" s="16" t="n">
        <x:f>K1470*M1470</x:f>
        <x:v>192</x:v>
      </x:c>
      <x:c r="P1470" s="16" t="n">
        <x:f>K1470*N1470</x:f>
        <x:v>69.12</x:v>
      </x:c>
      <x:c r="Q1470" s="16" t="n">
        <x:f>O1470-P1470</x:f>
        <x:v>122.88</x:v>
      </x:c>
      <x:c r="R1470" s="2" t="n">
        <x:v>100</x:v>
      </x:c>
      <x:c r="S1470" s="2" t="n">
        <x:v>46</x:v>
      </x:c>
      <x:c r="T1470" s="2" t="n">
        <x:f>R1470+S1470+J1470-I1470</x:f>
        <x:v>134</x:v>
      </x:c>
      <x:c r="U1470" s="2" t="n">
        <x:v>0</x:v>
      </x:c>
      <x:c r="V1470" s="2" t="n">
        <x:v>2</x:v>
      </x:c>
      <x:c r="W1470" s="2" t="n">
        <x:v>10</x:v>
      </x:c>
      <x:c r="X1470" s="14" t="b">
        <x:v>0</x:v>
      </x:c>
      <x:c r="Y1470" s="14" t="b">
        <x:v>0</x:v>
      </x:c>
      <x:c r="Z1470" s="2" t="n">
        <x:f>ABS(T1470-AA1470)</x:f>
        <x:v>0</x:v>
      </x:c>
      <x:c r="AA1470" s="2" t="n">
        <x:v>134</x:v>
      </x:c>
      <x:c r="AB1470" s="2" t="n">
        <x:f>ABS(K1470-W1470)</x:f>
        <x:v>2</x:v>
      </x:c>
      <x:c r="AC1470" s="2" t="n">
        <x:f>COUNTIF($A$2:$A$1921,A1470)-1</x:f>
        <x:v>0</x:v>
      </x:c>
      <x:c r="AD1470" s="2" t="n">
        <x:f>IF(AND(D1470=D1469,H1470=H1469,C1470=C1469+1),ABS(R1470-T1469),0)</x:f>
        <x:v>0</x:v>
      </x:c>
    </x:row>
    <x:row r="1471" ht="23" customHeight="1">
      <x:c r="A1471" s="2" t="str">
        <x:v>DEMO-401-1-10</x:v>
      </x:c>
      <x:c r="B1471" s="15" t="d">
        <x:v>2026-07-06T00:00:00.000Z</x:v>
      </x:c>
      <x:c r="C1471" s="2" t="n">
        <x:v>10</x:v>
      </x:c>
      <x:c r="D1471" s="2" t="str">
        <x:v>DEMO-401</x:v>
      </x:c>
      <x:c r="E1471" s="2" t="str">
        <x:v>Loop Pouch</x:v>
      </x:c>
      <x:c r="F1471" s="2" t="str">
        <x:v>Accessories</x:v>
      </x:c>
      <x:c r="G1471" s="2" t="str">
        <x:v>Stores</x:v>
      </x:c>
      <x:c r="H1471" s="2" t="str">
        <x:v>Riverside</x:v>
      </x:c>
      <x:c r="I1471" s="2" t="n">
        <x:v>12</x:v>
      </x:c>
      <x:c r="J1471" s="2" t="n">
        <x:v>0</x:v>
      </x:c>
      <x:c r="K1471" s="2" t="n">
        <x:f>I1471-J1471</x:f>
        <x:v>12</x:v>
      </x:c>
      <x:c r="L1471" s="16" t="n">
        <x:v>16</x:v>
      </x:c>
      <x:c r="M1471" s="16" t="n">
        <x:v>16</x:v>
      </x:c>
      <x:c r="N1471" s="16" t="n">
        <x:v>5.76</x:v>
      </x:c>
      <x:c r="O1471" s="16" t="n">
        <x:f>K1471*M1471</x:f>
        <x:v>192</x:v>
      </x:c>
      <x:c r="P1471" s="16" t="n">
        <x:f>K1471*N1471</x:f>
        <x:v>69.12</x:v>
      </x:c>
      <x:c r="Q1471" s="16" t="n">
        <x:f>O1471-P1471</x:f>
        <x:v>122.88</x:v>
      </x:c>
      <x:c r="R1471" s="2" t="n">
        <x:v>134</x:v>
      </x:c>
      <x:c r="S1471" s="2" t="n">
        <x:v>0</x:v>
      </x:c>
      <x:c r="T1471" s="2" t="n">
        <x:f>R1471+S1471+J1471-I1471</x:f>
        <x:v>122</x:v>
      </x:c>
      <x:c r="U1471" s="2" t="n">
        <x:v>0</x:v>
      </x:c>
      <x:c r="V1471" s="2" t="n">
        <x:v>2</x:v>
      </x:c>
      <x:c r="W1471" s="2" t="n">
        <x:v>11</x:v>
      </x:c>
      <x:c r="X1471" s="14" t="b">
        <x:v>0</x:v>
      </x:c>
      <x:c r="Y1471" s="14" t="b">
        <x:v>0</x:v>
      </x:c>
      <x:c r="Z1471" s="2" t="n">
        <x:f>ABS(T1471-AA1471)</x:f>
        <x:v>0</x:v>
      </x:c>
      <x:c r="AA1471" s="2" t="n">
        <x:v>122</x:v>
      </x:c>
      <x:c r="AB1471" s="2" t="n">
        <x:f>ABS(K1471-W1471)</x:f>
        <x:v>1</x:v>
      </x:c>
      <x:c r="AC1471" s="2" t="n">
        <x:f>COUNTIF($A$2:$A$1921,A1471)-1</x:f>
        <x:v>0</x:v>
      </x:c>
      <x:c r="AD1471" s="2" t="n">
        <x:f>IF(AND(D1471=D1470,H1471=H1470,C1471=C1470+1),ABS(R1471-T1470),0)</x:f>
        <x:v>0</x:v>
      </x:c>
    </x:row>
    <x:row r="1472" ht="23" customHeight="1">
      <x:c r="A1472" s="2" t="str">
        <x:v>DEMO-401-1-11</x:v>
      </x:c>
      <x:c r="B1472" s="15" t="d">
        <x:v>2026-07-13T00:00:00.000Z</x:v>
      </x:c>
      <x:c r="C1472" s="2" t="n">
        <x:v>11</x:v>
      </x:c>
      <x:c r="D1472" s="2" t="str">
        <x:v>DEMO-401</x:v>
      </x:c>
      <x:c r="E1472" s="2" t="str">
        <x:v>Loop Pouch</x:v>
      </x:c>
      <x:c r="F1472" s="2" t="str">
        <x:v>Accessories</x:v>
      </x:c>
      <x:c r="G1472" s="2" t="str">
        <x:v>Stores</x:v>
      </x:c>
      <x:c r="H1472" s="2" t="str">
        <x:v>Riverside</x:v>
      </x:c>
      <x:c r="I1472" s="2" t="n">
        <x:v>11</x:v>
      </x:c>
      <x:c r="J1472" s="2" t="n">
        <x:v>0</x:v>
      </x:c>
      <x:c r="K1472" s="2" t="n">
        <x:f>I1472-J1472</x:f>
        <x:v>11</x:v>
      </x:c>
      <x:c r="L1472" s="16" t="n">
        <x:v>16</x:v>
      </x:c>
      <x:c r="M1472" s="16" t="n">
        <x:v>16</x:v>
      </x:c>
      <x:c r="N1472" s="16" t="n">
        <x:v>5.76</x:v>
      </x:c>
      <x:c r="O1472" s="16" t="n">
        <x:f>K1472*M1472</x:f>
        <x:v>176</x:v>
      </x:c>
      <x:c r="P1472" s="16" t="n">
        <x:f>K1472*N1472</x:f>
        <x:v>63.36</x:v>
      </x:c>
      <x:c r="Q1472" s="16" t="n">
        <x:f>O1472-P1472</x:f>
        <x:v>112.64</x:v>
      </x:c>
      <x:c r="R1472" s="2" t="n">
        <x:v>122</x:v>
      </x:c>
      <x:c r="S1472" s="2" t="n">
        <x:v>0</x:v>
      </x:c>
      <x:c r="T1472" s="2" t="n">
        <x:f>R1472+S1472+J1472-I1472</x:f>
        <x:v>111</x:v>
      </x:c>
      <x:c r="U1472" s="2" t="n">
        <x:v>0</x:v>
      </x:c>
      <x:c r="V1472" s="2" t="n">
        <x:v>2</x:v>
      </x:c>
      <x:c r="W1472" s="2" t="n">
        <x:v>11</x:v>
      </x:c>
      <x:c r="X1472" s="14" t="b">
        <x:v>0</x:v>
      </x:c>
      <x:c r="Y1472" s="14" t="b">
        <x:v>0</x:v>
      </x:c>
      <x:c r="Z1472" s="2" t="n">
        <x:f>ABS(T1472-AA1472)</x:f>
        <x:v>0</x:v>
      </x:c>
      <x:c r="AA1472" s="2" t="n">
        <x:v>111</x:v>
      </x:c>
      <x:c r="AB1472" s="2" t="n">
        <x:f>ABS(K1472-W1472)</x:f>
        <x:v>0</x:v>
      </x:c>
      <x:c r="AC1472" s="2" t="n">
        <x:f>COUNTIF($A$2:$A$1921,A1472)-1</x:f>
        <x:v>0</x:v>
      </x:c>
      <x:c r="AD1472" s="2" t="n">
        <x:f>IF(AND(D1472=D1471,H1472=H1471,C1472=C1471+1),ABS(R1472-T1471),0)</x:f>
        <x:v>0</x:v>
      </x:c>
    </x:row>
    <x:row r="1473" ht="23" customHeight="1">
      <x:c r="A1473" s="2" t="str">
        <x:v>DEMO-401-1-12</x:v>
      </x:c>
      <x:c r="B1473" s="15" t="d">
        <x:v>2026-07-20T00:00:00.000Z</x:v>
      </x:c>
      <x:c r="C1473" s="2" t="n">
        <x:v>12</x:v>
      </x:c>
      <x:c r="D1473" s="2" t="str">
        <x:v>DEMO-401</x:v>
      </x:c>
      <x:c r="E1473" s="2" t="str">
        <x:v>Loop Pouch</x:v>
      </x:c>
      <x:c r="F1473" s="2" t="str">
        <x:v>Accessories</x:v>
      </x:c>
      <x:c r="G1473" s="2" t="str">
        <x:v>Stores</x:v>
      </x:c>
      <x:c r="H1473" s="2" t="str">
        <x:v>Riverside</x:v>
      </x:c>
      <x:c r="I1473" s="2" t="n">
        <x:v>13</x:v>
      </x:c>
      <x:c r="J1473" s="2" t="n">
        <x:v>0</x:v>
      </x:c>
      <x:c r="K1473" s="2" t="n">
        <x:f>I1473-J1473</x:f>
        <x:v>13</x:v>
      </x:c>
      <x:c r="L1473" s="16" t="n">
        <x:v>16</x:v>
      </x:c>
      <x:c r="M1473" s="16" t="n">
        <x:v>16</x:v>
      </x:c>
      <x:c r="N1473" s="16" t="n">
        <x:v>5.76</x:v>
      </x:c>
      <x:c r="O1473" s="16" t="n">
        <x:f>K1473*M1473</x:f>
        <x:v>208</x:v>
      </x:c>
      <x:c r="P1473" s="16" t="n">
        <x:f>K1473*N1473</x:f>
        <x:v>74.88</x:v>
      </x:c>
      <x:c r="Q1473" s="16" t="n">
        <x:f>O1473-P1473</x:f>
        <x:v>133.12</x:v>
      </x:c>
      <x:c r="R1473" s="2" t="n">
        <x:v>111</x:v>
      </x:c>
      <x:c r="S1473" s="2" t="n">
        <x:v>0</x:v>
      </x:c>
      <x:c r="T1473" s="2" t="n">
        <x:f>R1473+S1473+J1473-I1473</x:f>
        <x:v>98</x:v>
      </x:c>
      <x:c r="U1473" s="2" t="n">
        <x:v>0</x:v>
      </x:c>
      <x:c r="V1473" s="2" t="n">
        <x:v>2</x:v>
      </x:c>
      <x:c r="W1473" s="2" t="n">
        <x:v>12</x:v>
      </x:c>
      <x:c r="X1473" s="14" t="b">
        <x:v>0</x:v>
      </x:c>
      <x:c r="Y1473" s="14" t="b">
        <x:v>0</x:v>
      </x:c>
      <x:c r="Z1473" s="2" t="n">
        <x:f>ABS(T1473-AA1473)</x:f>
        <x:v>0</x:v>
      </x:c>
      <x:c r="AA1473" s="2" t="n">
        <x:v>98</x:v>
      </x:c>
      <x:c r="AB1473" s="2" t="n">
        <x:f>ABS(K1473-W1473)</x:f>
        <x:v>1</x:v>
      </x:c>
      <x:c r="AC1473" s="2" t="n">
        <x:f>COUNTIF($A$2:$A$1921,A1473)-1</x:f>
        <x:v>0</x:v>
      </x:c>
      <x:c r="AD1473" s="2" t="n">
        <x:f>IF(AND(D1473=D1472,H1473=H1472,C1473=C1472+1),ABS(R1473-T1472),0)</x:f>
        <x:v>0</x:v>
      </x:c>
    </x:row>
    <x:row r="1474" ht="23" customHeight="1">
      <x:c r="A1474" s="2" t="str">
        <x:v>DEMO-401-1-13</x:v>
      </x:c>
      <x:c r="B1474" s="15" t="d">
        <x:v>2026-07-27T00:00:00.000Z</x:v>
      </x:c>
      <x:c r="C1474" s="2" t="n">
        <x:v>13</x:v>
      </x:c>
      <x:c r="D1474" s="2" t="str">
        <x:v>DEMO-401</x:v>
      </x:c>
      <x:c r="E1474" s="2" t="str">
        <x:v>Loop Pouch</x:v>
      </x:c>
      <x:c r="F1474" s="2" t="str">
        <x:v>Accessories</x:v>
      </x:c>
      <x:c r="G1474" s="2" t="str">
        <x:v>Stores</x:v>
      </x:c>
      <x:c r="H1474" s="2" t="str">
        <x:v>Riverside</x:v>
      </x:c>
      <x:c r="I1474" s="2" t="n">
        <x:v>13</x:v>
      </x:c>
      <x:c r="J1474" s="2" t="n">
        <x:v>0</x:v>
      </x:c>
      <x:c r="K1474" s="2" t="n">
        <x:f>I1474-J1474</x:f>
        <x:v>13</x:v>
      </x:c>
      <x:c r="L1474" s="16" t="n">
        <x:v>16</x:v>
      </x:c>
      <x:c r="M1474" s="16" t="n">
        <x:v>16</x:v>
      </x:c>
      <x:c r="N1474" s="16" t="n">
        <x:v>5.76</x:v>
      </x:c>
      <x:c r="O1474" s="16" t="n">
        <x:f>K1474*M1474</x:f>
        <x:v>208</x:v>
      </x:c>
      <x:c r="P1474" s="16" t="n">
        <x:f>K1474*N1474</x:f>
        <x:v>74.88</x:v>
      </x:c>
      <x:c r="Q1474" s="16" t="n">
        <x:f>O1474-P1474</x:f>
        <x:v>133.12</x:v>
      </x:c>
      <x:c r="R1474" s="2" t="n">
        <x:v>98</x:v>
      </x:c>
      <x:c r="S1474" s="2" t="n">
        <x:v>46</x:v>
      </x:c>
      <x:c r="T1474" s="2" t="n">
        <x:f>R1474+S1474+J1474-I1474</x:f>
        <x:v>131</x:v>
      </x:c>
      <x:c r="U1474" s="2" t="n">
        <x:v>0</x:v>
      </x:c>
      <x:c r="V1474" s="2" t="n">
        <x:v>2</x:v>
      </x:c>
      <x:c r="W1474" s="2" t="n">
        <x:v>12</x:v>
      </x:c>
      <x:c r="X1474" s="14" t="b">
        <x:v>0</x:v>
      </x:c>
      <x:c r="Y1474" s="14" t="b">
        <x:v>0</x:v>
      </x:c>
      <x:c r="Z1474" s="2" t="n">
        <x:f>ABS(T1474-AA1474)</x:f>
        <x:v>0</x:v>
      </x:c>
      <x:c r="AA1474" s="2" t="n">
        <x:v>131</x:v>
      </x:c>
      <x:c r="AB1474" s="2" t="n">
        <x:f>ABS(K1474-W1474)</x:f>
        <x:v>1</x:v>
      </x:c>
      <x:c r="AC1474" s="2" t="n">
        <x:f>COUNTIF($A$2:$A$1921,A1474)-1</x:f>
        <x:v>0</x:v>
      </x:c>
      <x:c r="AD1474" s="2" t="n">
        <x:f>IF(AND(D1474=D1473,H1474=H1473,C1474=C1473+1),ABS(R1474-T1473),0)</x:f>
        <x:v>0</x:v>
      </x:c>
    </x:row>
    <x:row r="1475" ht="23" customHeight="1">
      <x:c r="A1475" s="2" t="str">
        <x:v>DEMO-401-1-14</x:v>
      </x:c>
      <x:c r="B1475" s="15" t="d">
        <x:v>2026-08-03T00:00:00.000Z</x:v>
      </x:c>
      <x:c r="C1475" s="2" t="n">
        <x:v>14</x:v>
      </x:c>
      <x:c r="D1475" s="2" t="str">
        <x:v>DEMO-401</x:v>
      </x:c>
      <x:c r="E1475" s="2" t="str">
        <x:v>Loop Pouch</x:v>
      </x:c>
      <x:c r="F1475" s="2" t="str">
        <x:v>Accessories</x:v>
      </x:c>
      <x:c r="G1475" s="2" t="str">
        <x:v>Stores</x:v>
      </x:c>
      <x:c r="H1475" s="2" t="str">
        <x:v>Riverside</x:v>
      </x:c>
      <x:c r="I1475" s="2" t="n">
        <x:v>11</x:v>
      </x:c>
      <x:c r="J1475" s="2" t="n">
        <x:v>0</x:v>
      </x:c>
      <x:c r="K1475" s="2" t="n">
        <x:f>I1475-J1475</x:f>
        <x:v>11</x:v>
      </x:c>
      <x:c r="L1475" s="16" t="n">
        <x:v>16</x:v>
      </x:c>
      <x:c r="M1475" s="16" t="n">
        <x:v>16</x:v>
      </x:c>
      <x:c r="N1475" s="16" t="n">
        <x:v>5.76</x:v>
      </x:c>
      <x:c r="O1475" s="16" t="n">
        <x:f>K1475*M1475</x:f>
        <x:v>176</x:v>
      </x:c>
      <x:c r="P1475" s="16" t="n">
        <x:f>K1475*N1475</x:f>
        <x:v>63.36</x:v>
      </x:c>
      <x:c r="Q1475" s="16" t="n">
        <x:f>O1475-P1475</x:f>
        <x:v>112.64</x:v>
      </x:c>
      <x:c r="R1475" s="2" t="n">
        <x:v>131</x:v>
      </x:c>
      <x:c r="S1475" s="2" t="n">
        <x:v>0</x:v>
      </x:c>
      <x:c r="T1475" s="2" t="n">
        <x:f>R1475+S1475+J1475-I1475</x:f>
        <x:v>120</x:v>
      </x:c>
      <x:c r="U1475" s="2" t="n">
        <x:v>0</x:v>
      </x:c>
      <x:c r="V1475" s="2" t="n">
        <x:v>2</x:v>
      </x:c>
      <x:c r="W1475" s="2" t="n">
        <x:v>12</x:v>
      </x:c>
      <x:c r="X1475" s="14" t="b">
        <x:v>0</x:v>
      </x:c>
      <x:c r="Y1475" s="14" t="b">
        <x:v>0</x:v>
      </x:c>
      <x:c r="Z1475" s="2" t="n">
        <x:f>ABS(T1475-AA1475)</x:f>
        <x:v>0</x:v>
      </x:c>
      <x:c r="AA1475" s="2" t="n">
        <x:v>120</x:v>
      </x:c>
      <x:c r="AB1475" s="2" t="n">
        <x:f>ABS(K1475-W1475)</x:f>
        <x:v>1</x:v>
      </x:c>
      <x:c r="AC1475" s="2" t="n">
        <x:f>COUNTIF($A$2:$A$1921,A1475)-1</x:f>
        <x:v>0</x:v>
      </x:c>
      <x:c r="AD1475" s="2" t="n">
        <x:f>IF(AND(D1475=D1474,H1475=H1474,C1475=C1474+1),ABS(R1475-T1474),0)</x:f>
        <x:v>0</x:v>
      </x:c>
    </x:row>
    <x:row r="1476" ht="23" customHeight="1">
      <x:c r="A1476" s="2" t="str">
        <x:v>DEMO-401-1-15</x:v>
      </x:c>
      <x:c r="B1476" s="15" t="d">
        <x:v>2026-08-10T00:00:00.000Z</x:v>
      </x:c>
      <x:c r="C1476" s="2" t="n">
        <x:v>15</x:v>
      </x:c>
      <x:c r="D1476" s="2" t="str">
        <x:v>DEMO-401</x:v>
      </x:c>
      <x:c r="E1476" s="2" t="str">
        <x:v>Loop Pouch</x:v>
      </x:c>
      <x:c r="F1476" s="2" t="str">
        <x:v>Accessories</x:v>
      </x:c>
      <x:c r="G1476" s="2" t="str">
        <x:v>Stores</x:v>
      </x:c>
      <x:c r="H1476" s="2" t="str">
        <x:v>Riverside</x:v>
      </x:c>
      <x:c r="I1476" s="2" t="n">
        <x:v>11</x:v>
      </x:c>
      <x:c r="J1476" s="2" t="n">
        <x:v>1</x:v>
      </x:c>
      <x:c r="K1476" s="2" t="n">
        <x:f>I1476-J1476</x:f>
        <x:v>10</x:v>
      </x:c>
      <x:c r="L1476" s="16" t="n">
        <x:v>16</x:v>
      </x:c>
      <x:c r="M1476" s="16" t="n">
        <x:v>16</x:v>
      </x:c>
      <x:c r="N1476" s="16" t="n">
        <x:v>5.76</x:v>
      </x:c>
      <x:c r="O1476" s="16" t="n">
        <x:f>K1476*M1476</x:f>
        <x:v>160</x:v>
      </x:c>
      <x:c r="P1476" s="16" t="n">
        <x:f>K1476*N1476</x:f>
        <x:v>57.599999999999994</x:v>
      </x:c>
      <x:c r="Q1476" s="16" t="n">
        <x:f>O1476-P1476</x:f>
        <x:v>102.4</x:v>
      </x:c>
      <x:c r="R1476" s="2" t="n">
        <x:v>120</x:v>
      </x:c>
      <x:c r="S1476" s="2" t="n">
        <x:v>0</x:v>
      </x:c>
      <x:c r="T1476" s="2" t="n">
        <x:f>R1476+S1476+J1476-I1476</x:f>
        <x:v>110</x:v>
      </x:c>
      <x:c r="U1476" s="2" t="n">
        <x:v>0</x:v>
      </x:c>
      <x:c r="V1476" s="2" t="n">
        <x:v>2</x:v>
      </x:c>
      <x:c r="W1476" s="2" t="n">
        <x:v>12</x:v>
      </x:c>
      <x:c r="X1476" s="14" t="b">
        <x:v>0</x:v>
      </x:c>
      <x:c r="Y1476" s="14" t="b">
        <x:v>0</x:v>
      </x:c>
      <x:c r="Z1476" s="2" t="n">
        <x:f>ABS(T1476-AA1476)</x:f>
        <x:v>0</x:v>
      </x:c>
      <x:c r="AA1476" s="2" t="n">
        <x:v>110</x:v>
      </x:c>
      <x:c r="AB1476" s="2" t="n">
        <x:f>ABS(K1476-W1476)</x:f>
        <x:v>2</x:v>
      </x:c>
      <x:c r="AC1476" s="2" t="n">
        <x:f>COUNTIF($A$2:$A$1921,A1476)-1</x:f>
        <x:v>0</x:v>
      </x:c>
      <x:c r="AD1476" s="2" t="n">
        <x:f>IF(AND(D1476=D1475,H1476=H1475,C1476=C1475+1),ABS(R1476-T1475),0)</x:f>
        <x:v>0</x:v>
      </x:c>
    </x:row>
    <x:row r="1477" ht="23" customHeight="1">
      <x:c r="A1477" s="2" t="str">
        <x:v>DEMO-401-1-16</x:v>
      </x:c>
      <x:c r="B1477" s="15" t="d">
        <x:v>2026-08-17T00:00:00.000Z</x:v>
      </x:c>
      <x:c r="C1477" s="2" t="n">
        <x:v>16</x:v>
      </x:c>
      <x:c r="D1477" s="2" t="str">
        <x:v>DEMO-401</x:v>
      </x:c>
      <x:c r="E1477" s="2" t="str">
        <x:v>Loop Pouch</x:v>
      </x:c>
      <x:c r="F1477" s="2" t="str">
        <x:v>Accessories</x:v>
      </x:c>
      <x:c r="G1477" s="2" t="str">
        <x:v>Stores</x:v>
      </x:c>
      <x:c r="H1477" s="2" t="str">
        <x:v>Riverside</x:v>
      </x:c>
      <x:c r="I1477" s="2" t="n">
        <x:v>11</x:v>
      </x:c>
      <x:c r="J1477" s="2" t="n">
        <x:v>0</x:v>
      </x:c>
      <x:c r="K1477" s="2" t="n">
        <x:f>I1477-J1477</x:f>
        <x:v>11</x:v>
      </x:c>
      <x:c r="L1477" s="16" t="n">
        <x:v>16</x:v>
      </x:c>
      <x:c r="M1477" s="16" t="n">
        <x:v>16</x:v>
      </x:c>
      <x:c r="N1477" s="16" t="n">
        <x:v>5.76</x:v>
      </x:c>
      <x:c r="O1477" s="16" t="n">
        <x:f>K1477*M1477</x:f>
        <x:v>176</x:v>
      </x:c>
      <x:c r="P1477" s="16" t="n">
        <x:f>K1477*N1477</x:f>
        <x:v>63.36</x:v>
      </x:c>
      <x:c r="Q1477" s="16" t="n">
        <x:f>O1477-P1477</x:f>
        <x:v>112.64</x:v>
      </x:c>
      <x:c r="R1477" s="2" t="n">
        <x:v>110</x:v>
      </x:c>
      <x:c r="S1477" s="2" t="n">
        <x:v>0</x:v>
      </x:c>
      <x:c r="T1477" s="2" t="n">
        <x:f>R1477+S1477+J1477-I1477</x:f>
        <x:v>99</x:v>
      </x:c>
      <x:c r="U1477" s="2" t="n">
        <x:v>0</x:v>
      </x:c>
      <x:c r="V1477" s="2" t="n">
        <x:v>2</x:v>
      </x:c>
      <x:c r="W1477" s="2" t="n">
        <x:v>12</x:v>
      </x:c>
      <x:c r="X1477" s="14" t="b">
        <x:v>0</x:v>
      </x:c>
      <x:c r="Y1477" s="14" t="b">
        <x:v>0</x:v>
      </x:c>
      <x:c r="Z1477" s="2" t="n">
        <x:f>ABS(T1477-AA1477)</x:f>
        <x:v>0</x:v>
      </x:c>
      <x:c r="AA1477" s="2" t="n">
        <x:v>99</x:v>
      </x:c>
      <x:c r="AB1477" s="2" t="n">
        <x:f>ABS(K1477-W1477)</x:f>
        <x:v>1</x:v>
      </x:c>
      <x:c r="AC1477" s="2" t="n">
        <x:f>COUNTIF($A$2:$A$1921,A1477)-1</x:f>
        <x:v>0</x:v>
      </x:c>
      <x:c r="AD1477" s="2" t="n">
        <x:f>IF(AND(D1477=D1476,H1477=H1476,C1477=C1476+1),ABS(R1477-T1476),0)</x:f>
        <x:v>0</x:v>
      </x:c>
    </x:row>
    <x:row r="1478" ht="23" customHeight="1">
      <x:c r="A1478" s="2" t="str">
        <x:v>DEMO-401-1-17</x:v>
      </x:c>
      <x:c r="B1478" s="15" t="d">
        <x:v>2026-08-24T00:00:00.000Z</x:v>
      </x:c>
      <x:c r="C1478" s="2" t="n">
        <x:v>17</x:v>
      </x:c>
      <x:c r="D1478" s="2" t="str">
        <x:v>DEMO-401</x:v>
      </x:c>
      <x:c r="E1478" s="2" t="str">
        <x:v>Loop Pouch</x:v>
      </x:c>
      <x:c r="F1478" s="2" t="str">
        <x:v>Accessories</x:v>
      </x:c>
      <x:c r="G1478" s="2" t="str">
        <x:v>Stores</x:v>
      </x:c>
      <x:c r="H1478" s="2" t="str">
        <x:v>Riverside</x:v>
      </x:c>
      <x:c r="I1478" s="2" t="n">
        <x:v>13</x:v>
      </x:c>
      <x:c r="J1478" s="2" t="n">
        <x:v>1</x:v>
      </x:c>
      <x:c r="K1478" s="2" t="n">
        <x:f>I1478-J1478</x:f>
        <x:v>12</x:v>
      </x:c>
      <x:c r="L1478" s="16" t="n">
        <x:v>16</x:v>
      </x:c>
      <x:c r="M1478" s="16" t="n">
        <x:v>16</x:v>
      </x:c>
      <x:c r="N1478" s="16" t="n">
        <x:v>5.76</x:v>
      </x:c>
      <x:c r="O1478" s="16" t="n">
        <x:f>K1478*M1478</x:f>
        <x:v>192</x:v>
      </x:c>
      <x:c r="P1478" s="16" t="n">
        <x:f>K1478*N1478</x:f>
        <x:v>69.12</x:v>
      </x:c>
      <x:c r="Q1478" s="16" t="n">
        <x:f>O1478-P1478</x:f>
        <x:v>122.88</x:v>
      </x:c>
      <x:c r="R1478" s="2" t="n">
        <x:v>99</x:v>
      </x:c>
      <x:c r="S1478" s="2" t="n">
        <x:v>46</x:v>
      </x:c>
      <x:c r="T1478" s="2" t="n">
        <x:f>R1478+S1478+J1478-I1478</x:f>
        <x:v>133</x:v>
      </x:c>
      <x:c r="U1478" s="2" t="n">
        <x:v>0</x:v>
      </x:c>
      <x:c r="V1478" s="2" t="n">
        <x:v>2</x:v>
      </x:c>
      <x:c r="W1478" s="2" t="n">
        <x:v>11</x:v>
      </x:c>
      <x:c r="X1478" s="14" t="b">
        <x:v>0</x:v>
      </x:c>
      <x:c r="Y1478" s="14" t="b">
        <x:v>0</x:v>
      </x:c>
      <x:c r="Z1478" s="2" t="n">
        <x:f>ABS(T1478-AA1478)</x:f>
        <x:v>0</x:v>
      </x:c>
      <x:c r="AA1478" s="2" t="n">
        <x:v>133</x:v>
      </x:c>
      <x:c r="AB1478" s="2" t="n">
        <x:f>ABS(K1478-W1478)</x:f>
        <x:v>1</x:v>
      </x:c>
      <x:c r="AC1478" s="2" t="n">
        <x:f>COUNTIF($A$2:$A$1921,A1478)-1</x:f>
        <x:v>0</x:v>
      </x:c>
      <x:c r="AD1478" s="2" t="n">
        <x:f>IF(AND(D1478=D1477,H1478=H1477,C1478=C1477+1),ABS(R1478-T1477),0)</x:f>
        <x:v>0</x:v>
      </x:c>
    </x:row>
    <x:row r="1479" ht="23" customHeight="1">
      <x:c r="A1479" s="2" t="str">
        <x:v>DEMO-401-1-18</x:v>
      </x:c>
      <x:c r="B1479" s="15" t="d">
        <x:v>2026-08-31T00:00:00.000Z</x:v>
      </x:c>
      <x:c r="C1479" s="2" t="n">
        <x:v>18</x:v>
      </x:c>
      <x:c r="D1479" s="2" t="str">
        <x:v>DEMO-401</x:v>
      </x:c>
      <x:c r="E1479" s="2" t="str">
        <x:v>Loop Pouch</x:v>
      </x:c>
      <x:c r="F1479" s="2" t="str">
        <x:v>Accessories</x:v>
      </x:c>
      <x:c r="G1479" s="2" t="str">
        <x:v>Stores</x:v>
      </x:c>
      <x:c r="H1479" s="2" t="str">
        <x:v>Riverside</x:v>
      </x:c>
      <x:c r="I1479" s="2" t="n">
        <x:v>10</x:v>
      </x:c>
      <x:c r="J1479" s="2" t="n">
        <x:v>0</x:v>
      </x:c>
      <x:c r="K1479" s="2" t="n">
        <x:f>I1479-J1479</x:f>
        <x:v>10</x:v>
      </x:c>
      <x:c r="L1479" s="16" t="n">
        <x:v>16</x:v>
      </x:c>
      <x:c r="M1479" s="16" t="n">
        <x:v>16</x:v>
      </x:c>
      <x:c r="N1479" s="16" t="n">
        <x:v>5.76</x:v>
      </x:c>
      <x:c r="O1479" s="16" t="n">
        <x:f>K1479*M1479</x:f>
        <x:v>160</x:v>
      </x:c>
      <x:c r="P1479" s="16" t="n">
        <x:f>K1479*N1479</x:f>
        <x:v>57.599999999999994</x:v>
      </x:c>
      <x:c r="Q1479" s="16" t="n">
        <x:f>O1479-P1479</x:f>
        <x:v>102.4</x:v>
      </x:c>
      <x:c r="R1479" s="2" t="n">
        <x:v>133</x:v>
      </x:c>
      <x:c r="S1479" s="2" t="n">
        <x:v>0</x:v>
      </x:c>
      <x:c r="T1479" s="2" t="n">
        <x:f>R1479+S1479+J1479-I1479</x:f>
        <x:v>123</x:v>
      </x:c>
      <x:c r="U1479" s="2" t="n">
        <x:v>0</x:v>
      </x:c>
      <x:c r="V1479" s="2" t="n">
        <x:v>2</x:v>
      </x:c>
      <x:c r="W1479" s="2" t="n">
        <x:v>11</x:v>
      </x:c>
      <x:c r="X1479" s="14" t="b">
        <x:v>0</x:v>
      </x:c>
      <x:c r="Y1479" s="14" t="b">
        <x:v>0</x:v>
      </x:c>
      <x:c r="Z1479" s="2" t="n">
        <x:f>ABS(T1479-AA1479)</x:f>
        <x:v>0</x:v>
      </x:c>
      <x:c r="AA1479" s="2" t="n">
        <x:v>123</x:v>
      </x:c>
      <x:c r="AB1479" s="2" t="n">
        <x:f>ABS(K1479-W1479)</x:f>
        <x:v>1</x:v>
      </x:c>
      <x:c r="AC1479" s="2" t="n">
        <x:f>COUNTIF($A$2:$A$1921,A1479)-1</x:f>
        <x:v>0</x:v>
      </x:c>
      <x:c r="AD1479" s="2" t="n">
        <x:f>IF(AND(D1479=D1478,H1479=H1478,C1479=C1478+1),ABS(R1479-T1478),0)</x:f>
        <x:v>0</x:v>
      </x:c>
    </x:row>
    <x:row r="1480" ht="23" customHeight="1">
      <x:c r="A1480" s="2" t="str">
        <x:v>DEMO-401-1-19</x:v>
      </x:c>
      <x:c r="B1480" s="15" t="d">
        <x:v>2026-09-07T00:00:00.000Z</x:v>
      </x:c>
      <x:c r="C1480" s="2" t="n">
        <x:v>19</x:v>
      </x:c>
      <x:c r="D1480" s="2" t="str">
        <x:v>DEMO-401</x:v>
      </x:c>
      <x:c r="E1480" s="2" t="str">
        <x:v>Loop Pouch</x:v>
      </x:c>
      <x:c r="F1480" s="2" t="str">
        <x:v>Accessories</x:v>
      </x:c>
      <x:c r="G1480" s="2" t="str">
        <x:v>Stores</x:v>
      </x:c>
      <x:c r="H1480" s="2" t="str">
        <x:v>Riverside</x:v>
      </x:c>
      <x:c r="I1480" s="2" t="n">
        <x:v>10</x:v>
      </x:c>
      <x:c r="J1480" s="2" t="n">
        <x:v>0</x:v>
      </x:c>
      <x:c r="K1480" s="2" t="n">
        <x:f>I1480-J1480</x:f>
        <x:v>10</x:v>
      </x:c>
      <x:c r="L1480" s="16" t="n">
        <x:v>16</x:v>
      </x:c>
      <x:c r="M1480" s="16" t="n">
        <x:v>16</x:v>
      </x:c>
      <x:c r="N1480" s="16" t="n">
        <x:v>5.76</x:v>
      </x:c>
      <x:c r="O1480" s="16" t="n">
        <x:f>K1480*M1480</x:f>
        <x:v>160</x:v>
      </x:c>
      <x:c r="P1480" s="16" t="n">
        <x:f>K1480*N1480</x:f>
        <x:v>57.599999999999994</x:v>
      </x:c>
      <x:c r="Q1480" s="16" t="n">
        <x:f>O1480-P1480</x:f>
        <x:v>102.4</x:v>
      </x:c>
      <x:c r="R1480" s="2" t="n">
        <x:v>123</x:v>
      </x:c>
      <x:c r="S1480" s="2" t="n">
        <x:v>0</x:v>
      </x:c>
      <x:c r="T1480" s="2" t="n">
        <x:f>R1480+S1480+J1480-I1480</x:f>
        <x:v>113</x:v>
      </x:c>
      <x:c r="U1480" s="2" t="n">
        <x:v>0</x:v>
      </x:c>
      <x:c r="V1480" s="2" t="n">
        <x:v>2</x:v>
      </x:c>
      <x:c r="W1480" s="2" t="n">
        <x:v>11</x:v>
      </x:c>
      <x:c r="X1480" s="14" t="b">
        <x:v>0</x:v>
      </x:c>
      <x:c r="Y1480" s="14" t="b">
        <x:v>0</x:v>
      </x:c>
      <x:c r="Z1480" s="2" t="n">
        <x:f>ABS(T1480-AA1480)</x:f>
        <x:v>0</x:v>
      </x:c>
      <x:c r="AA1480" s="2" t="n">
        <x:v>113</x:v>
      </x:c>
      <x:c r="AB1480" s="2" t="n">
        <x:f>ABS(K1480-W1480)</x:f>
        <x:v>1</x:v>
      </x:c>
      <x:c r="AC1480" s="2" t="n">
        <x:f>COUNTIF($A$2:$A$1921,A1480)-1</x:f>
        <x:v>0</x:v>
      </x:c>
      <x:c r="AD1480" s="2" t="n">
        <x:f>IF(AND(D1480=D1479,H1480=H1479,C1480=C1479+1),ABS(R1480-T1479),0)</x:f>
        <x:v>0</x:v>
      </x:c>
    </x:row>
    <x:row r="1481" ht="23" customHeight="1">
      <x:c r="A1481" s="2" t="str">
        <x:v>DEMO-401-1-20</x:v>
      </x:c>
      <x:c r="B1481" s="15" t="d">
        <x:v>2026-09-14T00:00:00.000Z</x:v>
      </x:c>
      <x:c r="C1481" s="2" t="n">
        <x:v>20</x:v>
      </x:c>
      <x:c r="D1481" s="2" t="str">
        <x:v>DEMO-401</x:v>
      </x:c>
      <x:c r="E1481" s="2" t="str">
        <x:v>Loop Pouch</x:v>
      </x:c>
      <x:c r="F1481" s="2" t="str">
        <x:v>Accessories</x:v>
      </x:c>
      <x:c r="G1481" s="2" t="str">
        <x:v>Stores</x:v>
      </x:c>
      <x:c r="H1481" s="2" t="str">
        <x:v>Riverside</x:v>
      </x:c>
      <x:c r="I1481" s="2" t="n">
        <x:v>11</x:v>
      </x:c>
      <x:c r="J1481" s="2" t="n">
        <x:v>0</x:v>
      </x:c>
      <x:c r="K1481" s="2" t="n">
        <x:f>I1481-J1481</x:f>
        <x:v>11</x:v>
      </x:c>
      <x:c r="L1481" s="16" t="n">
        <x:v>16</x:v>
      </x:c>
      <x:c r="M1481" s="16" t="n">
        <x:v>16</x:v>
      </x:c>
      <x:c r="N1481" s="16" t="n">
        <x:v>5.76</x:v>
      </x:c>
      <x:c r="O1481" s="16" t="n">
        <x:f>K1481*M1481</x:f>
        <x:v>176</x:v>
      </x:c>
      <x:c r="P1481" s="16" t="n">
        <x:f>K1481*N1481</x:f>
        <x:v>63.36</x:v>
      </x:c>
      <x:c r="Q1481" s="16" t="n">
        <x:f>O1481-P1481</x:f>
        <x:v>112.64</x:v>
      </x:c>
      <x:c r="R1481" s="2" t="n">
        <x:v>113</x:v>
      </x:c>
      <x:c r="S1481" s="2" t="n">
        <x:v>0</x:v>
      </x:c>
      <x:c r="T1481" s="2" t="n">
        <x:f>R1481+S1481+J1481-I1481</x:f>
        <x:v>102</x:v>
      </x:c>
      <x:c r="U1481" s="2" t="n">
        <x:v>18</x:v>
      </x:c>
      <x:c r="V1481" s="2" t="n">
        <x:v>2</x:v>
      </x:c>
      <x:c r="W1481" s="2" t="n">
        <x:v>11</x:v>
      </x:c>
      <x:c r="X1481" s="14" t="b">
        <x:v>0</x:v>
      </x:c>
      <x:c r="Y1481" s="14" t="b">
        <x:v>0</x:v>
      </x:c>
      <x:c r="Z1481" s="2" t="n">
        <x:f>ABS(T1481-AA1481)</x:f>
        <x:v>0</x:v>
      </x:c>
      <x:c r="AA1481" s="2" t="n">
        <x:v>102</x:v>
      </x:c>
      <x:c r="AB1481" s="2" t="n">
        <x:f>ABS(K1481-W1481)</x:f>
        <x:v>0</x:v>
      </x:c>
      <x:c r="AC1481" s="2" t="n">
        <x:f>COUNTIF($A$2:$A$1921,A1481)-1</x:f>
        <x:v>0</x:v>
      </x:c>
      <x:c r="AD1481" s="2" t="n">
        <x:f>IF(AND(D1481=D1480,H1481=H1480,C1481=C1480+1),ABS(R1481-T1480),0)</x:f>
        <x:v>0</x:v>
      </x:c>
    </x:row>
    <x:row r="1482" ht="23" customHeight="1">
      <x:c r="A1482" s="2" t="str">
        <x:v>DEMO-401-2-1</x:v>
      </x:c>
      <x:c r="B1482" s="15" t="d">
        <x:v>2026-05-04T00:00:00.000Z</x:v>
      </x:c>
      <x:c r="C1482" s="2" t="n">
        <x:v>1</x:v>
      </x:c>
      <x:c r="D1482" s="2" t="str">
        <x:v>DEMO-401</x:v>
      </x:c>
      <x:c r="E1482" s="2" t="str">
        <x:v>Loop Pouch</x:v>
      </x:c>
      <x:c r="F1482" s="2" t="str">
        <x:v>Accessories</x:v>
      </x:c>
      <x:c r="G1482" s="2" t="str">
        <x:v>Stores</x:v>
      </x:c>
      <x:c r="H1482" s="2" t="str">
        <x:v>Central Market</x:v>
      </x:c>
      <x:c r="I1482" s="2" t="n">
        <x:v>12</x:v>
      </x:c>
      <x:c r="J1482" s="2" t="n">
        <x:v>0</x:v>
      </x:c>
      <x:c r="K1482" s="2" t="n">
        <x:f>I1482-J1482</x:f>
        <x:v>12</x:v>
      </x:c>
      <x:c r="L1482" s="16" t="n">
        <x:v>16</x:v>
      </x:c>
      <x:c r="M1482" s="16" t="n">
        <x:v>16</x:v>
      </x:c>
      <x:c r="N1482" s="16" t="n">
        <x:v>5.76</x:v>
      </x:c>
      <x:c r="O1482" s="16" t="n">
        <x:f>K1482*M1482</x:f>
        <x:v>192</x:v>
      </x:c>
      <x:c r="P1482" s="16" t="n">
        <x:f>K1482*N1482</x:f>
        <x:v>69.12</x:v>
      </x:c>
      <x:c r="Q1482" s="16" t="n">
        <x:f>O1482-P1482</x:f>
        <x:v>122.88</x:v>
      </x:c>
      <x:c r="R1482" s="2" t="n">
        <x:v>90</x:v>
      </x:c>
      <x:c r="S1482" s="2" t="n">
        <x:v>46</x:v>
      </x:c>
      <x:c r="T1482" s="2" t="n">
        <x:f>R1482+S1482+J1482-I1482</x:f>
        <x:v>124</x:v>
      </x:c>
      <x:c r="U1482" s="2" t="n">
        <x:v>0</x:v>
      </x:c>
      <x:c r="V1482" s="2" t="n">
        <x:v>2</x:v>
      </x:c>
      <x:c r="W1482" s="2" t="n">
        <x:v>11</x:v>
      </x:c>
      <x:c r="X1482" s="14" t="b">
        <x:v>0</x:v>
      </x:c>
      <x:c r="Y1482" s="14" t="b">
        <x:v>0</x:v>
      </x:c>
      <x:c r="Z1482" s="2" t="n">
        <x:f>ABS(T1482-AA1482)</x:f>
        <x:v>0</x:v>
      </x:c>
      <x:c r="AA1482" s="2" t="n">
        <x:v>124</x:v>
      </x:c>
      <x:c r="AB1482" s="2" t="n">
        <x:f>ABS(K1482-W1482)</x:f>
        <x:v>1</x:v>
      </x:c>
      <x:c r="AC1482" s="2" t="n">
        <x:f>COUNTIF($A$2:$A$1921,A1482)-1</x:f>
        <x:v>0</x:v>
      </x:c>
      <x:c r="AD1482" s="2" t="n">
        <x:f>IF(AND(D1482=D1481,H1482=H1481,C1482=C1481+1),ABS(R1482-T1481),0)</x:f>
        <x:v>0</x:v>
      </x:c>
    </x:row>
    <x:row r="1483" ht="23" customHeight="1">
      <x:c r="A1483" s="2" t="str">
        <x:v>DEMO-401-2-2</x:v>
      </x:c>
      <x:c r="B1483" s="15" t="d">
        <x:v>2026-05-11T00:00:00.000Z</x:v>
      </x:c>
      <x:c r="C1483" s="2" t="n">
        <x:v>2</x:v>
      </x:c>
      <x:c r="D1483" s="2" t="str">
        <x:v>DEMO-401</x:v>
      </x:c>
      <x:c r="E1483" s="2" t="str">
        <x:v>Loop Pouch</x:v>
      </x:c>
      <x:c r="F1483" s="2" t="str">
        <x:v>Accessories</x:v>
      </x:c>
      <x:c r="G1483" s="2" t="str">
        <x:v>Stores</x:v>
      </x:c>
      <x:c r="H1483" s="2" t="str">
        <x:v>Central Market</x:v>
      </x:c>
      <x:c r="I1483" s="2" t="n">
        <x:v>12</x:v>
      </x:c>
      <x:c r="J1483" s="2" t="n">
        <x:v>0</x:v>
      </x:c>
      <x:c r="K1483" s="2" t="n">
        <x:f>I1483-J1483</x:f>
        <x:v>12</x:v>
      </x:c>
      <x:c r="L1483" s="16" t="n">
        <x:v>16</x:v>
      </x:c>
      <x:c r="M1483" s="16" t="n">
        <x:v>16</x:v>
      </x:c>
      <x:c r="N1483" s="16" t="n">
        <x:v>5.76</x:v>
      </x:c>
      <x:c r="O1483" s="16" t="n">
        <x:f>K1483*M1483</x:f>
        <x:v>192</x:v>
      </x:c>
      <x:c r="P1483" s="16" t="n">
        <x:f>K1483*N1483</x:f>
        <x:v>69.12</x:v>
      </x:c>
      <x:c r="Q1483" s="16" t="n">
        <x:f>O1483-P1483</x:f>
        <x:v>122.88</x:v>
      </x:c>
      <x:c r="R1483" s="2" t="n">
        <x:v>124</x:v>
      </x:c>
      <x:c r="S1483" s="2" t="n">
        <x:v>0</x:v>
      </x:c>
      <x:c r="T1483" s="2" t="n">
        <x:f>R1483+S1483+J1483-I1483</x:f>
        <x:v>112</x:v>
      </x:c>
      <x:c r="U1483" s="2" t="n">
        <x:v>0</x:v>
      </x:c>
      <x:c r="V1483" s="2" t="n">
        <x:v>2</x:v>
      </x:c>
      <x:c r="W1483" s="2" t="n">
        <x:v>12</x:v>
      </x:c>
      <x:c r="X1483" s="14" t="b">
        <x:v>0</x:v>
      </x:c>
      <x:c r="Y1483" s="14" t="b">
        <x:v>0</x:v>
      </x:c>
      <x:c r="Z1483" s="2" t="n">
        <x:f>ABS(T1483-AA1483)</x:f>
        <x:v>0</x:v>
      </x:c>
      <x:c r="AA1483" s="2" t="n">
        <x:v>112</x:v>
      </x:c>
      <x:c r="AB1483" s="2" t="n">
        <x:f>ABS(K1483-W1483)</x:f>
        <x:v>0</x:v>
      </x:c>
      <x:c r="AC1483" s="2" t="n">
        <x:f>COUNTIF($A$2:$A$1921,A1483)-1</x:f>
        <x:v>0</x:v>
      </x:c>
      <x:c r="AD1483" s="2" t="n">
        <x:f>IF(AND(D1483=D1482,H1483=H1482,C1483=C1482+1),ABS(R1483-T1482),0)</x:f>
        <x:v>0</x:v>
      </x:c>
    </x:row>
    <x:row r="1484" ht="23" customHeight="1">
      <x:c r="A1484" s="2" t="str">
        <x:v>DEMO-401-2-3</x:v>
      </x:c>
      <x:c r="B1484" s="15" t="d">
        <x:v>2026-05-18T00:00:00.000Z</x:v>
      </x:c>
      <x:c r="C1484" s="2" t="n">
        <x:v>3</x:v>
      </x:c>
      <x:c r="D1484" s="2" t="str">
        <x:v>DEMO-401</x:v>
      </x:c>
      <x:c r="E1484" s="2" t="str">
        <x:v>Loop Pouch</x:v>
      </x:c>
      <x:c r="F1484" s="2" t="str">
        <x:v>Accessories</x:v>
      </x:c>
      <x:c r="G1484" s="2" t="str">
        <x:v>Stores</x:v>
      </x:c>
      <x:c r="H1484" s="2" t="str">
        <x:v>Central Market</x:v>
      </x:c>
      <x:c r="I1484" s="2" t="n">
        <x:v>10</x:v>
      </x:c>
      <x:c r="J1484" s="2" t="n">
        <x:v>0</x:v>
      </x:c>
      <x:c r="K1484" s="2" t="n">
        <x:f>I1484-J1484</x:f>
        <x:v>10</x:v>
      </x:c>
      <x:c r="L1484" s="16" t="n">
        <x:v>16</x:v>
      </x:c>
      <x:c r="M1484" s="16" t="n">
        <x:v>16</x:v>
      </x:c>
      <x:c r="N1484" s="16" t="n">
        <x:v>5.76</x:v>
      </x:c>
      <x:c r="O1484" s="16" t="n">
        <x:f>K1484*M1484</x:f>
        <x:v>160</x:v>
      </x:c>
      <x:c r="P1484" s="16" t="n">
        <x:f>K1484*N1484</x:f>
        <x:v>57.599999999999994</x:v>
      </x:c>
      <x:c r="Q1484" s="16" t="n">
        <x:f>O1484-P1484</x:f>
        <x:v>102.4</x:v>
      </x:c>
      <x:c r="R1484" s="2" t="n">
        <x:v>112</x:v>
      </x:c>
      <x:c r="S1484" s="2" t="n">
        <x:v>0</x:v>
      </x:c>
      <x:c r="T1484" s="2" t="n">
        <x:f>R1484+S1484+J1484-I1484</x:f>
        <x:v>102</x:v>
      </x:c>
      <x:c r="U1484" s="2" t="n">
        <x:v>0</x:v>
      </x:c>
      <x:c r="V1484" s="2" t="n">
        <x:v>2</x:v>
      </x:c>
      <x:c r="W1484" s="2" t="n">
        <x:v>12</x:v>
      </x:c>
      <x:c r="X1484" s="14" t="b">
        <x:v>0</x:v>
      </x:c>
      <x:c r="Y1484" s="14" t="b">
        <x:v>0</x:v>
      </x:c>
      <x:c r="Z1484" s="2" t="n">
        <x:f>ABS(T1484-AA1484)</x:f>
        <x:v>0</x:v>
      </x:c>
      <x:c r="AA1484" s="2" t="n">
        <x:v>102</x:v>
      </x:c>
      <x:c r="AB1484" s="2" t="n">
        <x:f>ABS(K1484-W1484)</x:f>
        <x:v>2</x:v>
      </x:c>
      <x:c r="AC1484" s="2" t="n">
        <x:f>COUNTIF($A$2:$A$1921,A1484)-1</x:f>
        <x:v>0</x:v>
      </x:c>
      <x:c r="AD1484" s="2" t="n">
        <x:f>IF(AND(D1484=D1483,H1484=H1483,C1484=C1483+1),ABS(R1484-T1483),0)</x:f>
        <x:v>0</x:v>
      </x:c>
    </x:row>
    <x:row r="1485" ht="23" customHeight="1">
      <x:c r="A1485" s="2" t="str">
        <x:v>DEMO-401-2-4</x:v>
      </x:c>
      <x:c r="B1485" s="15" t="d">
        <x:v>2026-05-25T00:00:00.000Z</x:v>
      </x:c>
      <x:c r="C1485" s="2" t="n">
        <x:v>4</x:v>
      </x:c>
      <x:c r="D1485" s="2" t="str">
        <x:v>DEMO-401</x:v>
      </x:c>
      <x:c r="E1485" s="2" t="str">
        <x:v>Loop Pouch</x:v>
      </x:c>
      <x:c r="F1485" s="2" t="str">
        <x:v>Accessories</x:v>
      </x:c>
      <x:c r="G1485" s="2" t="str">
        <x:v>Stores</x:v>
      </x:c>
      <x:c r="H1485" s="2" t="str">
        <x:v>Central Market</x:v>
      </x:c>
      <x:c r="I1485" s="2" t="n">
        <x:v>9</x:v>
      </x:c>
      <x:c r="J1485" s="2" t="n">
        <x:v>0</x:v>
      </x:c>
      <x:c r="K1485" s="2" t="n">
        <x:f>I1485-J1485</x:f>
        <x:v>9</x:v>
      </x:c>
      <x:c r="L1485" s="16" t="n">
        <x:v>16</x:v>
      </x:c>
      <x:c r="M1485" s="16" t="n">
        <x:v>16</x:v>
      </x:c>
      <x:c r="N1485" s="16" t="n">
        <x:v>5.76</x:v>
      </x:c>
      <x:c r="O1485" s="16" t="n">
        <x:f>K1485*M1485</x:f>
        <x:v>144</x:v>
      </x:c>
      <x:c r="P1485" s="16" t="n">
        <x:f>K1485*N1485</x:f>
        <x:v>51.839999999999996</x:v>
      </x:c>
      <x:c r="Q1485" s="16" t="n">
        <x:f>O1485-P1485</x:f>
        <x:v>92.16</x:v>
      </x:c>
      <x:c r="R1485" s="2" t="n">
        <x:v>102</x:v>
      </x:c>
      <x:c r="S1485" s="2" t="n">
        <x:v>0</x:v>
      </x:c>
      <x:c r="T1485" s="2" t="n">
        <x:f>R1485+S1485+J1485-I1485</x:f>
        <x:v>93</x:v>
      </x:c>
      <x:c r="U1485" s="2" t="n">
        <x:v>0</x:v>
      </x:c>
      <x:c r="V1485" s="2" t="n">
        <x:v>2</x:v>
      </x:c>
      <x:c r="W1485" s="2" t="n">
        <x:v>11</x:v>
      </x:c>
      <x:c r="X1485" s="14" t="b">
        <x:v>0</x:v>
      </x:c>
      <x:c r="Y1485" s="14" t="b">
        <x:v>0</x:v>
      </x:c>
      <x:c r="Z1485" s="2" t="n">
        <x:f>ABS(T1485-AA1485)</x:f>
        <x:v>0</x:v>
      </x:c>
      <x:c r="AA1485" s="2" t="n">
        <x:v>93</x:v>
      </x:c>
      <x:c r="AB1485" s="2" t="n">
        <x:f>ABS(K1485-W1485)</x:f>
        <x:v>2</x:v>
      </x:c>
      <x:c r="AC1485" s="2" t="n">
        <x:f>COUNTIF($A$2:$A$1921,A1485)-1</x:f>
        <x:v>0</x:v>
      </x:c>
      <x:c r="AD1485" s="2" t="n">
        <x:f>IF(AND(D1485=D1484,H1485=H1484,C1485=C1484+1),ABS(R1485-T1484),0)</x:f>
        <x:v>0</x:v>
      </x:c>
    </x:row>
    <x:row r="1486" ht="23" customHeight="1">
      <x:c r="A1486" s="2" t="str">
        <x:v>DEMO-401-2-5</x:v>
      </x:c>
      <x:c r="B1486" s="15" t="d">
        <x:v>2026-06-01T00:00:00.000Z</x:v>
      </x:c>
      <x:c r="C1486" s="2" t="n">
        <x:v>5</x:v>
      </x:c>
      <x:c r="D1486" s="2" t="str">
        <x:v>DEMO-401</x:v>
      </x:c>
      <x:c r="E1486" s="2" t="str">
        <x:v>Loop Pouch</x:v>
      </x:c>
      <x:c r="F1486" s="2" t="str">
        <x:v>Accessories</x:v>
      </x:c>
      <x:c r="G1486" s="2" t="str">
        <x:v>Stores</x:v>
      </x:c>
      <x:c r="H1486" s="2" t="str">
        <x:v>Central Market</x:v>
      </x:c>
      <x:c r="I1486" s="2" t="n">
        <x:v>11</x:v>
      </x:c>
      <x:c r="J1486" s="2" t="n">
        <x:v>1</x:v>
      </x:c>
      <x:c r="K1486" s="2" t="n">
        <x:f>I1486-J1486</x:f>
        <x:v>10</x:v>
      </x:c>
      <x:c r="L1486" s="16" t="n">
        <x:v>16</x:v>
      </x:c>
      <x:c r="M1486" s="16" t="n">
        <x:v>16</x:v>
      </x:c>
      <x:c r="N1486" s="16" t="n">
        <x:v>5.76</x:v>
      </x:c>
      <x:c r="O1486" s="16" t="n">
        <x:f>K1486*M1486</x:f>
        <x:v>160</x:v>
      </x:c>
      <x:c r="P1486" s="16" t="n">
        <x:f>K1486*N1486</x:f>
        <x:v>57.599999999999994</x:v>
      </x:c>
      <x:c r="Q1486" s="16" t="n">
        <x:f>O1486-P1486</x:f>
        <x:v>102.4</x:v>
      </x:c>
      <x:c r="R1486" s="2" t="n">
        <x:v>93</x:v>
      </x:c>
      <x:c r="S1486" s="2" t="n">
        <x:v>46</x:v>
      </x:c>
      <x:c r="T1486" s="2" t="n">
        <x:f>R1486+S1486+J1486-I1486</x:f>
        <x:v>129</x:v>
      </x:c>
      <x:c r="U1486" s="2" t="n">
        <x:v>0</x:v>
      </x:c>
      <x:c r="V1486" s="2" t="n">
        <x:v>2</x:v>
      </x:c>
      <x:c r="W1486" s="2" t="n">
        <x:v>11</x:v>
      </x:c>
      <x:c r="X1486" s="14" t="b">
        <x:v>0</x:v>
      </x:c>
      <x:c r="Y1486" s="14" t="b">
        <x:v>0</x:v>
      </x:c>
      <x:c r="Z1486" s="2" t="n">
        <x:f>ABS(T1486-AA1486)</x:f>
        <x:v>0</x:v>
      </x:c>
      <x:c r="AA1486" s="2" t="n">
        <x:v>129</x:v>
      </x:c>
      <x:c r="AB1486" s="2" t="n">
        <x:f>ABS(K1486-W1486)</x:f>
        <x:v>1</x:v>
      </x:c>
      <x:c r="AC1486" s="2" t="n">
        <x:f>COUNTIF($A$2:$A$1921,A1486)-1</x:f>
        <x:v>0</x:v>
      </x:c>
      <x:c r="AD1486" s="2" t="n">
        <x:f>IF(AND(D1486=D1485,H1486=H1485,C1486=C1485+1),ABS(R1486-T1485),0)</x:f>
        <x:v>0</x:v>
      </x:c>
    </x:row>
    <x:row r="1487" ht="23" customHeight="1">
      <x:c r="A1487" s="2" t="str">
        <x:v>DEMO-401-2-6</x:v>
      </x:c>
      <x:c r="B1487" s="15" t="d">
        <x:v>2026-06-08T00:00:00.000Z</x:v>
      </x:c>
      <x:c r="C1487" s="2" t="n">
        <x:v>6</x:v>
      </x:c>
      <x:c r="D1487" s="2" t="str">
        <x:v>DEMO-401</x:v>
      </x:c>
      <x:c r="E1487" s="2" t="str">
        <x:v>Loop Pouch</x:v>
      </x:c>
      <x:c r="F1487" s="2" t="str">
        <x:v>Accessories</x:v>
      </x:c>
      <x:c r="G1487" s="2" t="str">
        <x:v>Stores</x:v>
      </x:c>
      <x:c r="H1487" s="2" t="str">
        <x:v>Central Market</x:v>
      </x:c>
      <x:c r="I1487" s="2" t="n">
        <x:v>12</x:v>
      </x:c>
      <x:c r="J1487" s="2" t="n">
        <x:v>0</x:v>
      </x:c>
      <x:c r="K1487" s="2" t="n">
        <x:f>I1487-J1487</x:f>
        <x:v>12</x:v>
      </x:c>
      <x:c r="L1487" s="16" t="n">
        <x:v>16</x:v>
      </x:c>
      <x:c r="M1487" s="16" t="n">
        <x:v>16</x:v>
      </x:c>
      <x:c r="N1487" s="16" t="n">
        <x:v>5.76</x:v>
      </x:c>
      <x:c r="O1487" s="16" t="n">
        <x:f>K1487*M1487</x:f>
        <x:v>192</x:v>
      </x:c>
      <x:c r="P1487" s="16" t="n">
        <x:f>K1487*N1487</x:f>
        <x:v>69.12</x:v>
      </x:c>
      <x:c r="Q1487" s="16" t="n">
        <x:f>O1487-P1487</x:f>
        <x:v>122.88</x:v>
      </x:c>
      <x:c r="R1487" s="2" t="n">
        <x:v>129</x:v>
      </x:c>
      <x:c r="S1487" s="2" t="n">
        <x:v>0</x:v>
      </x:c>
      <x:c r="T1487" s="2" t="n">
        <x:f>R1487+S1487+J1487-I1487</x:f>
        <x:v>117</x:v>
      </x:c>
      <x:c r="U1487" s="2" t="n">
        <x:v>0</x:v>
      </x:c>
      <x:c r="V1487" s="2" t="n">
        <x:v>2</x:v>
      </x:c>
      <x:c r="W1487" s="2" t="n">
        <x:v>10</x:v>
      </x:c>
      <x:c r="X1487" s="14" t="b">
        <x:v>0</x:v>
      </x:c>
      <x:c r="Y1487" s="14" t="b">
        <x:v>0</x:v>
      </x:c>
      <x:c r="Z1487" s="2" t="n">
        <x:f>ABS(T1487-AA1487)</x:f>
        <x:v>0</x:v>
      </x:c>
      <x:c r="AA1487" s="2" t="n">
        <x:v>117</x:v>
      </x:c>
      <x:c r="AB1487" s="2" t="n">
        <x:f>ABS(K1487-W1487)</x:f>
        <x:v>2</x:v>
      </x:c>
      <x:c r="AC1487" s="2" t="n">
        <x:f>COUNTIF($A$2:$A$1921,A1487)-1</x:f>
        <x:v>0</x:v>
      </x:c>
      <x:c r="AD1487" s="2" t="n">
        <x:f>IF(AND(D1487=D1486,H1487=H1486,C1487=C1486+1),ABS(R1487-T1486),0)</x:f>
        <x:v>0</x:v>
      </x:c>
    </x:row>
    <x:row r="1488" ht="23" customHeight="1">
      <x:c r="A1488" s="2" t="str">
        <x:v>DEMO-401-2-7</x:v>
      </x:c>
      <x:c r="B1488" s="15" t="d">
        <x:v>2026-06-15T00:00:00.000Z</x:v>
      </x:c>
      <x:c r="C1488" s="2" t="n">
        <x:v>7</x:v>
      </x:c>
      <x:c r="D1488" s="2" t="str">
        <x:v>DEMO-401</x:v>
      </x:c>
      <x:c r="E1488" s="2" t="str">
        <x:v>Loop Pouch</x:v>
      </x:c>
      <x:c r="F1488" s="2" t="str">
        <x:v>Accessories</x:v>
      </x:c>
      <x:c r="G1488" s="2" t="str">
        <x:v>Stores</x:v>
      </x:c>
      <x:c r="H1488" s="2" t="str">
        <x:v>Central Market</x:v>
      </x:c>
      <x:c r="I1488" s="2" t="n">
        <x:v>9</x:v>
      </x:c>
      <x:c r="J1488" s="2" t="n">
        <x:v>1</x:v>
      </x:c>
      <x:c r="K1488" s="2" t="n">
        <x:f>I1488-J1488</x:f>
        <x:v>8</x:v>
      </x:c>
      <x:c r="L1488" s="16" t="n">
        <x:v>16</x:v>
      </x:c>
      <x:c r="M1488" s="16" t="n">
        <x:v>16</x:v>
      </x:c>
      <x:c r="N1488" s="16" t="n">
        <x:v>5.76</x:v>
      </x:c>
      <x:c r="O1488" s="16" t="n">
        <x:f>K1488*M1488</x:f>
        <x:v>128</x:v>
      </x:c>
      <x:c r="P1488" s="16" t="n">
        <x:f>K1488*N1488</x:f>
        <x:v>46.08</x:v>
      </x:c>
      <x:c r="Q1488" s="16" t="n">
        <x:f>O1488-P1488</x:f>
        <x:v>81.92</x:v>
      </x:c>
      <x:c r="R1488" s="2" t="n">
        <x:v>117</x:v>
      </x:c>
      <x:c r="S1488" s="2" t="n">
        <x:v>0</x:v>
      </x:c>
      <x:c r="T1488" s="2" t="n">
        <x:f>R1488+S1488+J1488-I1488</x:f>
        <x:v>109</x:v>
      </x:c>
      <x:c r="U1488" s="2" t="n">
        <x:v>0</x:v>
      </x:c>
      <x:c r="V1488" s="2" t="n">
        <x:v>2</x:v>
      </x:c>
      <x:c r="W1488" s="2" t="n">
        <x:v>10</x:v>
      </x:c>
      <x:c r="X1488" s="14" t="b">
        <x:v>0</x:v>
      </x:c>
      <x:c r="Y1488" s="14" t="b">
        <x:v>0</x:v>
      </x:c>
      <x:c r="Z1488" s="2" t="n">
        <x:f>ABS(T1488-AA1488)</x:f>
        <x:v>0</x:v>
      </x:c>
      <x:c r="AA1488" s="2" t="n">
        <x:v>109</x:v>
      </x:c>
      <x:c r="AB1488" s="2" t="n">
        <x:f>ABS(K1488-W1488)</x:f>
        <x:v>2</x:v>
      </x:c>
      <x:c r="AC1488" s="2" t="n">
        <x:f>COUNTIF($A$2:$A$1921,A1488)-1</x:f>
        <x:v>0</x:v>
      </x:c>
      <x:c r="AD1488" s="2" t="n">
        <x:f>IF(AND(D1488=D1487,H1488=H1487,C1488=C1487+1),ABS(R1488-T1487),0)</x:f>
        <x:v>0</x:v>
      </x:c>
    </x:row>
    <x:row r="1489" ht="23" customHeight="1">
      <x:c r="A1489" s="2" t="str">
        <x:v>DEMO-401-2-8</x:v>
      </x:c>
      <x:c r="B1489" s="15" t="d">
        <x:v>2026-06-22T00:00:00.000Z</x:v>
      </x:c>
      <x:c r="C1489" s="2" t="n">
        <x:v>8</x:v>
      </x:c>
      <x:c r="D1489" s="2" t="str">
        <x:v>DEMO-401</x:v>
      </x:c>
      <x:c r="E1489" s="2" t="str">
        <x:v>Loop Pouch</x:v>
      </x:c>
      <x:c r="F1489" s="2" t="str">
        <x:v>Accessories</x:v>
      </x:c>
      <x:c r="G1489" s="2" t="str">
        <x:v>Stores</x:v>
      </x:c>
      <x:c r="H1489" s="2" t="str">
        <x:v>Central Market</x:v>
      </x:c>
      <x:c r="I1489" s="2" t="n">
        <x:v>11</x:v>
      </x:c>
      <x:c r="J1489" s="2" t="n">
        <x:v>0</x:v>
      </x:c>
      <x:c r="K1489" s="2" t="n">
        <x:f>I1489-J1489</x:f>
        <x:v>11</x:v>
      </x:c>
      <x:c r="L1489" s="16" t="n">
        <x:v>16</x:v>
      </x:c>
      <x:c r="M1489" s="16" t="n">
        <x:v>16</x:v>
      </x:c>
      <x:c r="N1489" s="16" t="n">
        <x:v>5.76</x:v>
      </x:c>
      <x:c r="O1489" s="16" t="n">
        <x:f>K1489*M1489</x:f>
        <x:v>176</x:v>
      </x:c>
      <x:c r="P1489" s="16" t="n">
        <x:f>K1489*N1489</x:f>
        <x:v>63.36</x:v>
      </x:c>
      <x:c r="Q1489" s="16" t="n">
        <x:f>O1489-P1489</x:f>
        <x:v>112.64</x:v>
      </x:c>
      <x:c r="R1489" s="2" t="n">
        <x:v>109</x:v>
      </x:c>
      <x:c r="S1489" s="2" t="n">
        <x:v>0</x:v>
      </x:c>
      <x:c r="T1489" s="2" t="n">
        <x:f>R1489+S1489+J1489-I1489</x:f>
        <x:v>98</x:v>
      </x:c>
      <x:c r="U1489" s="2" t="n">
        <x:v>0</x:v>
      </x:c>
      <x:c r="V1489" s="2" t="n">
        <x:v>2</x:v>
      </x:c>
      <x:c r="W1489" s="2" t="n">
        <x:v>10</x:v>
      </x:c>
      <x:c r="X1489" s="14" t="b">
        <x:v>0</x:v>
      </x:c>
      <x:c r="Y1489" s="14" t="b">
        <x:v>0</x:v>
      </x:c>
      <x:c r="Z1489" s="2" t="n">
        <x:f>ABS(T1489-AA1489)</x:f>
        <x:v>0</x:v>
      </x:c>
      <x:c r="AA1489" s="2" t="n">
        <x:v>98</x:v>
      </x:c>
      <x:c r="AB1489" s="2" t="n">
        <x:f>ABS(K1489-W1489)</x:f>
        <x:v>1</x:v>
      </x:c>
      <x:c r="AC1489" s="2" t="n">
        <x:f>COUNTIF($A$2:$A$1921,A1489)-1</x:f>
        <x:v>0</x:v>
      </x:c>
      <x:c r="AD1489" s="2" t="n">
        <x:f>IF(AND(D1489=D1488,H1489=H1488,C1489=C1488+1),ABS(R1489-T1488),0)</x:f>
        <x:v>0</x:v>
      </x:c>
    </x:row>
    <x:row r="1490" ht="23" customHeight="1">
      <x:c r="A1490" s="2" t="str">
        <x:v>DEMO-401-2-9</x:v>
      </x:c>
      <x:c r="B1490" s="15" t="d">
        <x:v>2026-06-29T00:00:00.000Z</x:v>
      </x:c>
      <x:c r="C1490" s="2" t="n">
        <x:v>9</x:v>
      </x:c>
      <x:c r="D1490" s="2" t="str">
        <x:v>DEMO-401</x:v>
      </x:c>
      <x:c r="E1490" s="2" t="str">
        <x:v>Loop Pouch</x:v>
      </x:c>
      <x:c r="F1490" s="2" t="str">
        <x:v>Accessories</x:v>
      </x:c>
      <x:c r="G1490" s="2" t="str">
        <x:v>Stores</x:v>
      </x:c>
      <x:c r="H1490" s="2" t="str">
        <x:v>Central Market</x:v>
      </x:c>
      <x:c r="I1490" s="2" t="n">
        <x:v>10</x:v>
      </x:c>
      <x:c r="J1490" s="2" t="n">
        <x:v>0</x:v>
      </x:c>
      <x:c r="K1490" s="2" t="n">
        <x:f>I1490-J1490</x:f>
        <x:v>10</x:v>
      </x:c>
      <x:c r="L1490" s="16" t="n">
        <x:v>16</x:v>
      </x:c>
      <x:c r="M1490" s="16" t="n">
        <x:v>16</x:v>
      </x:c>
      <x:c r="N1490" s="16" t="n">
        <x:v>5.76</x:v>
      </x:c>
      <x:c r="O1490" s="16" t="n">
        <x:f>K1490*M1490</x:f>
        <x:v>160</x:v>
      </x:c>
      <x:c r="P1490" s="16" t="n">
        <x:f>K1490*N1490</x:f>
        <x:v>57.599999999999994</x:v>
      </x:c>
      <x:c r="Q1490" s="16" t="n">
        <x:f>O1490-P1490</x:f>
        <x:v>102.4</x:v>
      </x:c>
      <x:c r="R1490" s="2" t="n">
        <x:v>98</x:v>
      </x:c>
      <x:c r="S1490" s="2" t="n">
        <x:v>46</x:v>
      </x:c>
      <x:c r="T1490" s="2" t="n">
        <x:f>R1490+S1490+J1490-I1490</x:f>
        <x:v>134</x:v>
      </x:c>
      <x:c r="U1490" s="2" t="n">
        <x:v>0</x:v>
      </x:c>
      <x:c r="V1490" s="2" t="n">
        <x:v>2</x:v>
      </x:c>
      <x:c r="W1490" s="2" t="n">
        <x:v>10</x:v>
      </x:c>
      <x:c r="X1490" s="14" t="b">
        <x:v>0</x:v>
      </x:c>
      <x:c r="Y1490" s="14" t="b">
        <x:v>0</x:v>
      </x:c>
      <x:c r="Z1490" s="2" t="n">
        <x:f>ABS(T1490-AA1490)</x:f>
        <x:v>0</x:v>
      </x:c>
      <x:c r="AA1490" s="2" t="n">
        <x:v>134</x:v>
      </x:c>
      <x:c r="AB1490" s="2" t="n">
        <x:f>ABS(K1490-W1490)</x:f>
        <x:v>0</x:v>
      </x:c>
      <x:c r="AC1490" s="2" t="n">
        <x:f>COUNTIF($A$2:$A$1921,A1490)-1</x:f>
        <x:v>0</x:v>
      </x:c>
      <x:c r="AD1490" s="2" t="n">
        <x:f>IF(AND(D1490=D1489,H1490=H1489,C1490=C1489+1),ABS(R1490-T1489),0)</x:f>
        <x:v>0</x:v>
      </x:c>
    </x:row>
    <x:row r="1491" ht="23" customHeight="1">
      <x:c r="A1491" s="2" t="str">
        <x:v>DEMO-401-2-10</x:v>
      </x:c>
      <x:c r="B1491" s="15" t="d">
        <x:v>2026-07-06T00:00:00.000Z</x:v>
      </x:c>
      <x:c r="C1491" s="2" t="n">
        <x:v>10</x:v>
      </x:c>
      <x:c r="D1491" s="2" t="str">
        <x:v>DEMO-401</x:v>
      </x:c>
      <x:c r="E1491" s="2" t="str">
        <x:v>Loop Pouch</x:v>
      </x:c>
      <x:c r="F1491" s="2" t="str">
        <x:v>Accessories</x:v>
      </x:c>
      <x:c r="G1491" s="2" t="str">
        <x:v>Stores</x:v>
      </x:c>
      <x:c r="H1491" s="2" t="str">
        <x:v>Central Market</x:v>
      </x:c>
      <x:c r="I1491" s="2" t="n">
        <x:v>13</x:v>
      </x:c>
      <x:c r="J1491" s="2" t="n">
        <x:v>0</x:v>
      </x:c>
      <x:c r="K1491" s="2" t="n">
        <x:f>I1491-J1491</x:f>
        <x:v>13</x:v>
      </x:c>
      <x:c r="L1491" s="16" t="n">
        <x:v>16</x:v>
      </x:c>
      <x:c r="M1491" s="16" t="n">
        <x:v>16</x:v>
      </x:c>
      <x:c r="N1491" s="16" t="n">
        <x:v>5.76</x:v>
      </x:c>
      <x:c r="O1491" s="16" t="n">
        <x:f>K1491*M1491</x:f>
        <x:v>208</x:v>
      </x:c>
      <x:c r="P1491" s="16" t="n">
        <x:f>K1491*N1491</x:f>
        <x:v>74.88</x:v>
      </x:c>
      <x:c r="Q1491" s="16" t="n">
        <x:f>O1491-P1491</x:f>
        <x:v>133.12</x:v>
      </x:c>
      <x:c r="R1491" s="2" t="n">
        <x:v>134</x:v>
      </x:c>
      <x:c r="S1491" s="2" t="n">
        <x:v>0</x:v>
      </x:c>
      <x:c r="T1491" s="2" t="n">
        <x:f>R1491+S1491+J1491-I1491</x:f>
        <x:v>121</x:v>
      </x:c>
      <x:c r="U1491" s="2" t="n">
        <x:v>0</x:v>
      </x:c>
      <x:c r="V1491" s="2" t="n">
        <x:v>2</x:v>
      </x:c>
      <x:c r="W1491" s="2" t="n">
        <x:v>10</x:v>
      </x:c>
      <x:c r="X1491" s="14" t="b">
        <x:v>0</x:v>
      </x:c>
      <x:c r="Y1491" s="14" t="b">
        <x:v>0</x:v>
      </x:c>
      <x:c r="Z1491" s="2" t="n">
        <x:f>ABS(T1491-AA1491)</x:f>
        <x:v>0</x:v>
      </x:c>
      <x:c r="AA1491" s="2" t="n">
        <x:v>121</x:v>
      </x:c>
      <x:c r="AB1491" s="2" t="n">
        <x:f>ABS(K1491-W1491)</x:f>
        <x:v>3</x:v>
      </x:c>
      <x:c r="AC1491" s="2" t="n">
        <x:f>COUNTIF($A$2:$A$1921,A1491)-1</x:f>
        <x:v>0</x:v>
      </x:c>
      <x:c r="AD1491" s="2" t="n">
        <x:f>IF(AND(D1491=D1490,H1491=H1490,C1491=C1490+1),ABS(R1491-T1490),0)</x:f>
        <x:v>0</x:v>
      </x:c>
    </x:row>
    <x:row r="1492" ht="23" customHeight="1">
      <x:c r="A1492" s="2" t="str">
        <x:v>DEMO-401-2-11</x:v>
      </x:c>
      <x:c r="B1492" s="15" t="d">
        <x:v>2026-07-13T00:00:00.000Z</x:v>
      </x:c>
      <x:c r="C1492" s="2" t="n">
        <x:v>11</x:v>
      </x:c>
      <x:c r="D1492" s="2" t="str">
        <x:v>DEMO-401</x:v>
      </x:c>
      <x:c r="E1492" s="2" t="str">
        <x:v>Loop Pouch</x:v>
      </x:c>
      <x:c r="F1492" s="2" t="str">
        <x:v>Accessories</x:v>
      </x:c>
      <x:c r="G1492" s="2" t="str">
        <x:v>Stores</x:v>
      </x:c>
      <x:c r="H1492" s="2" t="str">
        <x:v>Central Market</x:v>
      </x:c>
      <x:c r="I1492" s="2" t="n">
        <x:v>12</x:v>
      </x:c>
      <x:c r="J1492" s="2" t="n">
        <x:v>0</x:v>
      </x:c>
      <x:c r="K1492" s="2" t="n">
        <x:f>I1492-J1492</x:f>
        <x:v>12</x:v>
      </x:c>
      <x:c r="L1492" s="16" t="n">
        <x:v>16</x:v>
      </x:c>
      <x:c r="M1492" s="16" t="n">
        <x:v>16</x:v>
      </x:c>
      <x:c r="N1492" s="16" t="n">
        <x:v>5.76</x:v>
      </x:c>
      <x:c r="O1492" s="16" t="n">
        <x:f>K1492*M1492</x:f>
        <x:v>192</x:v>
      </x:c>
      <x:c r="P1492" s="16" t="n">
        <x:f>K1492*N1492</x:f>
        <x:v>69.12</x:v>
      </x:c>
      <x:c r="Q1492" s="16" t="n">
        <x:f>O1492-P1492</x:f>
        <x:v>122.88</x:v>
      </x:c>
      <x:c r="R1492" s="2" t="n">
        <x:v>121</x:v>
      </x:c>
      <x:c r="S1492" s="2" t="n">
        <x:v>0</x:v>
      </x:c>
      <x:c r="T1492" s="2" t="n">
        <x:f>R1492+S1492+J1492-I1492</x:f>
        <x:v>109</x:v>
      </x:c>
      <x:c r="U1492" s="2" t="n">
        <x:v>0</x:v>
      </x:c>
      <x:c r="V1492" s="2" t="n">
        <x:v>2</x:v>
      </x:c>
      <x:c r="W1492" s="2" t="n">
        <x:v>11</x:v>
      </x:c>
      <x:c r="X1492" s="14" t="b">
        <x:v>0</x:v>
      </x:c>
      <x:c r="Y1492" s="14" t="b">
        <x:v>0</x:v>
      </x:c>
      <x:c r="Z1492" s="2" t="n">
        <x:f>ABS(T1492-AA1492)</x:f>
        <x:v>0</x:v>
      </x:c>
      <x:c r="AA1492" s="2" t="n">
        <x:v>109</x:v>
      </x:c>
      <x:c r="AB1492" s="2" t="n">
        <x:f>ABS(K1492-W1492)</x:f>
        <x:v>1</x:v>
      </x:c>
      <x:c r="AC1492" s="2" t="n">
        <x:f>COUNTIF($A$2:$A$1921,A1492)-1</x:f>
        <x:v>0</x:v>
      </x:c>
      <x:c r="AD1492" s="2" t="n">
        <x:f>IF(AND(D1492=D1491,H1492=H1491,C1492=C1491+1),ABS(R1492-T1491),0)</x:f>
        <x:v>0</x:v>
      </x:c>
    </x:row>
    <x:row r="1493" ht="23" customHeight="1">
      <x:c r="A1493" s="2" t="str">
        <x:v>DEMO-401-2-12</x:v>
      </x:c>
      <x:c r="B1493" s="15" t="d">
        <x:v>2026-07-20T00:00:00.000Z</x:v>
      </x:c>
      <x:c r="C1493" s="2" t="n">
        <x:v>12</x:v>
      </x:c>
      <x:c r="D1493" s="2" t="str">
        <x:v>DEMO-401</x:v>
      </x:c>
      <x:c r="E1493" s="2" t="str">
        <x:v>Loop Pouch</x:v>
      </x:c>
      <x:c r="F1493" s="2" t="str">
        <x:v>Accessories</x:v>
      </x:c>
      <x:c r="G1493" s="2" t="str">
        <x:v>Stores</x:v>
      </x:c>
      <x:c r="H1493" s="2" t="str">
        <x:v>Central Market</x:v>
      </x:c>
      <x:c r="I1493" s="2" t="n">
        <x:v>10</x:v>
      </x:c>
      <x:c r="J1493" s="2" t="n">
        <x:v>0</x:v>
      </x:c>
      <x:c r="K1493" s="2" t="n">
        <x:f>I1493-J1493</x:f>
        <x:v>10</x:v>
      </x:c>
      <x:c r="L1493" s="16" t="n">
        <x:v>16</x:v>
      </x:c>
      <x:c r="M1493" s="16" t="n">
        <x:v>16</x:v>
      </x:c>
      <x:c r="N1493" s="16" t="n">
        <x:v>5.76</x:v>
      </x:c>
      <x:c r="O1493" s="16" t="n">
        <x:f>K1493*M1493</x:f>
        <x:v>160</x:v>
      </x:c>
      <x:c r="P1493" s="16" t="n">
        <x:f>K1493*N1493</x:f>
        <x:v>57.599999999999994</x:v>
      </x:c>
      <x:c r="Q1493" s="16" t="n">
        <x:f>O1493-P1493</x:f>
        <x:v>102.4</x:v>
      </x:c>
      <x:c r="R1493" s="2" t="n">
        <x:v>109</x:v>
      </x:c>
      <x:c r="S1493" s="2" t="n">
        <x:v>0</x:v>
      </x:c>
      <x:c r="T1493" s="2" t="n">
        <x:f>R1493+S1493+J1493-I1493</x:f>
        <x:v>99</x:v>
      </x:c>
      <x:c r="U1493" s="2" t="n">
        <x:v>0</x:v>
      </x:c>
      <x:c r="V1493" s="2" t="n">
        <x:v>2</x:v>
      </x:c>
      <x:c r="W1493" s="2" t="n">
        <x:v>12</x:v>
      </x:c>
      <x:c r="X1493" s="14" t="b">
        <x:v>0</x:v>
      </x:c>
      <x:c r="Y1493" s="14" t="b">
        <x:v>0</x:v>
      </x:c>
      <x:c r="Z1493" s="2" t="n">
        <x:f>ABS(T1493-AA1493)</x:f>
        <x:v>0</x:v>
      </x:c>
      <x:c r="AA1493" s="2" t="n">
        <x:v>99</x:v>
      </x:c>
      <x:c r="AB1493" s="2" t="n">
        <x:f>ABS(K1493-W1493)</x:f>
        <x:v>2</x:v>
      </x:c>
      <x:c r="AC1493" s="2" t="n">
        <x:f>COUNTIF($A$2:$A$1921,A1493)-1</x:f>
        <x:v>0</x:v>
      </x:c>
      <x:c r="AD1493" s="2" t="n">
        <x:f>IF(AND(D1493=D1492,H1493=H1492,C1493=C1492+1),ABS(R1493-T1492),0)</x:f>
        <x:v>0</x:v>
      </x:c>
    </x:row>
    <x:row r="1494" ht="23" customHeight="1">
      <x:c r="A1494" s="2" t="str">
        <x:v>DEMO-401-2-13</x:v>
      </x:c>
      <x:c r="B1494" s="15" t="d">
        <x:v>2026-07-27T00:00:00.000Z</x:v>
      </x:c>
      <x:c r="C1494" s="2" t="n">
        <x:v>13</x:v>
      </x:c>
      <x:c r="D1494" s="2" t="str">
        <x:v>DEMO-401</x:v>
      </x:c>
      <x:c r="E1494" s="2" t="str">
        <x:v>Loop Pouch</x:v>
      </x:c>
      <x:c r="F1494" s="2" t="str">
        <x:v>Accessories</x:v>
      </x:c>
      <x:c r="G1494" s="2" t="str">
        <x:v>Stores</x:v>
      </x:c>
      <x:c r="H1494" s="2" t="str">
        <x:v>Central Market</x:v>
      </x:c>
      <x:c r="I1494" s="2" t="n">
        <x:v>9</x:v>
      </x:c>
      <x:c r="J1494" s="2" t="n">
        <x:v>0</x:v>
      </x:c>
      <x:c r="K1494" s="2" t="n">
        <x:f>I1494-J1494</x:f>
        <x:v>9</x:v>
      </x:c>
      <x:c r="L1494" s="16" t="n">
        <x:v>16</x:v>
      </x:c>
      <x:c r="M1494" s="16" t="n">
        <x:v>16</x:v>
      </x:c>
      <x:c r="N1494" s="16" t="n">
        <x:v>5.76</x:v>
      </x:c>
      <x:c r="O1494" s="16" t="n">
        <x:f>K1494*M1494</x:f>
        <x:v>144</x:v>
      </x:c>
      <x:c r="P1494" s="16" t="n">
        <x:f>K1494*N1494</x:f>
        <x:v>51.839999999999996</x:v>
      </x:c>
      <x:c r="Q1494" s="16" t="n">
        <x:f>O1494-P1494</x:f>
        <x:v>92.16</x:v>
      </x:c>
      <x:c r="R1494" s="2" t="n">
        <x:v>99</x:v>
      </x:c>
      <x:c r="S1494" s="2" t="n">
        <x:v>46</x:v>
      </x:c>
      <x:c r="T1494" s="2" t="n">
        <x:f>R1494+S1494+J1494-I1494</x:f>
        <x:v>136</x:v>
      </x:c>
      <x:c r="U1494" s="2" t="n">
        <x:v>0</x:v>
      </x:c>
      <x:c r="V1494" s="2" t="n">
        <x:v>2</x:v>
      </x:c>
      <x:c r="W1494" s="2" t="n">
        <x:v>11</x:v>
      </x:c>
      <x:c r="X1494" s="14" t="b">
        <x:v>0</x:v>
      </x:c>
      <x:c r="Y1494" s="14" t="b">
        <x:v>0</x:v>
      </x:c>
      <x:c r="Z1494" s="2" t="n">
        <x:f>ABS(T1494-AA1494)</x:f>
        <x:v>0</x:v>
      </x:c>
      <x:c r="AA1494" s="2" t="n">
        <x:v>136</x:v>
      </x:c>
      <x:c r="AB1494" s="2" t="n">
        <x:f>ABS(K1494-W1494)</x:f>
        <x:v>2</x:v>
      </x:c>
      <x:c r="AC1494" s="2" t="n">
        <x:f>COUNTIF($A$2:$A$1921,A1494)-1</x:f>
        <x:v>0</x:v>
      </x:c>
      <x:c r="AD1494" s="2" t="n">
        <x:f>IF(AND(D1494=D1493,H1494=H1493,C1494=C1493+1),ABS(R1494-T1493),0)</x:f>
        <x:v>0</x:v>
      </x:c>
    </x:row>
    <x:row r="1495" ht="23" customHeight="1">
      <x:c r="A1495" s="2" t="str">
        <x:v>DEMO-401-2-14</x:v>
      </x:c>
      <x:c r="B1495" s="15" t="d">
        <x:v>2026-08-03T00:00:00.000Z</x:v>
      </x:c>
      <x:c r="C1495" s="2" t="n">
        <x:v>14</x:v>
      </x:c>
      <x:c r="D1495" s="2" t="str">
        <x:v>DEMO-401</x:v>
      </x:c>
      <x:c r="E1495" s="2" t="str">
        <x:v>Loop Pouch</x:v>
      </x:c>
      <x:c r="F1495" s="2" t="str">
        <x:v>Accessories</x:v>
      </x:c>
      <x:c r="G1495" s="2" t="str">
        <x:v>Stores</x:v>
      </x:c>
      <x:c r="H1495" s="2" t="str">
        <x:v>Central Market</x:v>
      </x:c>
      <x:c r="I1495" s="2" t="n">
        <x:v>12</x:v>
      </x:c>
      <x:c r="J1495" s="2" t="n">
        <x:v>0</x:v>
      </x:c>
      <x:c r="K1495" s="2" t="n">
        <x:f>I1495-J1495</x:f>
        <x:v>12</x:v>
      </x:c>
      <x:c r="L1495" s="16" t="n">
        <x:v>16</x:v>
      </x:c>
      <x:c r="M1495" s="16" t="n">
        <x:v>16</x:v>
      </x:c>
      <x:c r="N1495" s="16" t="n">
        <x:v>5.76</x:v>
      </x:c>
      <x:c r="O1495" s="16" t="n">
        <x:f>K1495*M1495</x:f>
        <x:v>192</x:v>
      </x:c>
      <x:c r="P1495" s="16" t="n">
        <x:f>K1495*N1495</x:f>
        <x:v>69.12</x:v>
      </x:c>
      <x:c r="Q1495" s="16" t="n">
        <x:f>O1495-P1495</x:f>
        <x:v>122.88</x:v>
      </x:c>
      <x:c r="R1495" s="2" t="n">
        <x:v>136</x:v>
      </x:c>
      <x:c r="S1495" s="2" t="n">
        <x:v>0</x:v>
      </x:c>
      <x:c r="T1495" s="2" t="n">
        <x:f>R1495+S1495+J1495-I1495</x:f>
        <x:v>124</x:v>
      </x:c>
      <x:c r="U1495" s="2" t="n">
        <x:v>0</x:v>
      </x:c>
      <x:c r="V1495" s="2" t="n">
        <x:v>2</x:v>
      </x:c>
      <x:c r="W1495" s="2" t="n">
        <x:v>11</x:v>
      </x:c>
      <x:c r="X1495" s="14" t="b">
        <x:v>0</x:v>
      </x:c>
      <x:c r="Y1495" s="14" t="b">
        <x:v>0</x:v>
      </x:c>
      <x:c r="Z1495" s="2" t="n">
        <x:f>ABS(T1495-AA1495)</x:f>
        <x:v>0</x:v>
      </x:c>
      <x:c r="AA1495" s="2" t="n">
        <x:v>124</x:v>
      </x:c>
      <x:c r="AB1495" s="2" t="n">
        <x:f>ABS(K1495-W1495)</x:f>
        <x:v>1</x:v>
      </x:c>
      <x:c r="AC1495" s="2" t="n">
        <x:f>COUNTIF($A$2:$A$1921,A1495)-1</x:f>
        <x:v>0</x:v>
      </x:c>
      <x:c r="AD1495" s="2" t="n">
        <x:f>IF(AND(D1495=D1494,H1495=H1494,C1495=C1494+1),ABS(R1495-T1494),0)</x:f>
        <x:v>0</x:v>
      </x:c>
    </x:row>
    <x:row r="1496" ht="23" customHeight="1">
      <x:c r="A1496" s="2" t="str">
        <x:v>DEMO-401-2-15</x:v>
      </x:c>
      <x:c r="B1496" s="15" t="d">
        <x:v>2026-08-10T00:00:00.000Z</x:v>
      </x:c>
      <x:c r="C1496" s="2" t="n">
        <x:v>15</x:v>
      </x:c>
      <x:c r="D1496" s="2" t="str">
        <x:v>DEMO-401</x:v>
      </x:c>
      <x:c r="E1496" s="2" t="str">
        <x:v>Loop Pouch</x:v>
      </x:c>
      <x:c r="F1496" s="2" t="str">
        <x:v>Accessories</x:v>
      </x:c>
      <x:c r="G1496" s="2" t="str">
        <x:v>Stores</x:v>
      </x:c>
      <x:c r="H1496" s="2" t="str">
        <x:v>Central Market</x:v>
      </x:c>
      <x:c r="I1496" s="2" t="n">
        <x:v>9</x:v>
      </x:c>
      <x:c r="J1496" s="2" t="n">
        <x:v>0</x:v>
      </x:c>
      <x:c r="K1496" s="2" t="n">
        <x:f>I1496-J1496</x:f>
        <x:v>9</x:v>
      </x:c>
      <x:c r="L1496" s="16" t="n">
        <x:v>16</x:v>
      </x:c>
      <x:c r="M1496" s="16" t="n">
        <x:v>16</x:v>
      </x:c>
      <x:c r="N1496" s="16" t="n">
        <x:v>5.76</x:v>
      </x:c>
      <x:c r="O1496" s="16" t="n">
        <x:f>K1496*M1496</x:f>
        <x:v>144</x:v>
      </x:c>
      <x:c r="P1496" s="16" t="n">
        <x:f>K1496*N1496</x:f>
        <x:v>51.839999999999996</x:v>
      </x:c>
      <x:c r="Q1496" s="16" t="n">
        <x:f>O1496-P1496</x:f>
        <x:v>92.16</x:v>
      </x:c>
      <x:c r="R1496" s="2" t="n">
        <x:v>124</x:v>
      </x:c>
      <x:c r="S1496" s="2" t="n">
        <x:v>0</x:v>
      </x:c>
      <x:c r="T1496" s="2" t="n">
        <x:f>R1496+S1496+J1496-I1496</x:f>
        <x:v>115</x:v>
      </x:c>
      <x:c r="U1496" s="2" t="n">
        <x:v>0</x:v>
      </x:c>
      <x:c r="V1496" s="2" t="n">
        <x:v>2</x:v>
      </x:c>
      <x:c r="W1496" s="2" t="n">
        <x:v>11</x:v>
      </x:c>
      <x:c r="X1496" s="14" t="b">
        <x:v>0</x:v>
      </x:c>
      <x:c r="Y1496" s="14" t="b">
        <x:v>0</x:v>
      </x:c>
      <x:c r="Z1496" s="2" t="n">
        <x:f>ABS(T1496-AA1496)</x:f>
        <x:v>0</x:v>
      </x:c>
      <x:c r="AA1496" s="2" t="n">
        <x:v>115</x:v>
      </x:c>
      <x:c r="AB1496" s="2" t="n">
        <x:f>ABS(K1496-W1496)</x:f>
        <x:v>2</x:v>
      </x:c>
      <x:c r="AC1496" s="2" t="n">
        <x:f>COUNTIF($A$2:$A$1921,A1496)-1</x:f>
        <x:v>0</x:v>
      </x:c>
      <x:c r="AD1496" s="2" t="n">
        <x:f>IF(AND(D1496=D1495,H1496=H1495,C1496=C1495+1),ABS(R1496-T1495),0)</x:f>
        <x:v>0</x:v>
      </x:c>
    </x:row>
    <x:row r="1497" ht="23" customHeight="1">
      <x:c r="A1497" s="2" t="str">
        <x:v>DEMO-401-2-16</x:v>
      </x:c>
      <x:c r="B1497" s="15" t="d">
        <x:v>2026-08-17T00:00:00.000Z</x:v>
      </x:c>
      <x:c r="C1497" s="2" t="n">
        <x:v>16</x:v>
      </x:c>
      <x:c r="D1497" s="2" t="str">
        <x:v>DEMO-401</x:v>
      </x:c>
      <x:c r="E1497" s="2" t="str">
        <x:v>Loop Pouch</x:v>
      </x:c>
      <x:c r="F1497" s="2" t="str">
        <x:v>Accessories</x:v>
      </x:c>
      <x:c r="G1497" s="2" t="str">
        <x:v>Stores</x:v>
      </x:c>
      <x:c r="H1497" s="2" t="str">
        <x:v>Central Market</x:v>
      </x:c>
      <x:c r="I1497" s="2" t="n">
        <x:v>11</x:v>
      </x:c>
      <x:c r="J1497" s="2" t="n">
        <x:v>0</x:v>
      </x:c>
      <x:c r="K1497" s="2" t="n">
        <x:f>I1497-J1497</x:f>
        <x:v>11</x:v>
      </x:c>
      <x:c r="L1497" s="16" t="n">
        <x:v>16</x:v>
      </x:c>
      <x:c r="M1497" s="16" t="n">
        <x:v>16</x:v>
      </x:c>
      <x:c r="N1497" s="16" t="n">
        <x:v>5.76</x:v>
      </x:c>
      <x:c r="O1497" s="16" t="n">
        <x:f>K1497*M1497</x:f>
        <x:v>176</x:v>
      </x:c>
      <x:c r="P1497" s="16" t="n">
        <x:f>K1497*N1497</x:f>
        <x:v>63.36</x:v>
      </x:c>
      <x:c r="Q1497" s="16" t="n">
        <x:f>O1497-P1497</x:f>
        <x:v>112.64</x:v>
      </x:c>
      <x:c r="R1497" s="2" t="n">
        <x:v>115</x:v>
      </x:c>
      <x:c r="S1497" s="2" t="n">
        <x:v>0</x:v>
      </x:c>
      <x:c r="T1497" s="2" t="n">
        <x:f>R1497+S1497+J1497-I1497</x:f>
        <x:v>104</x:v>
      </x:c>
      <x:c r="U1497" s="2" t="n">
        <x:v>0</x:v>
      </x:c>
      <x:c r="V1497" s="2" t="n">
        <x:v>2</x:v>
      </x:c>
      <x:c r="W1497" s="2" t="n">
        <x:v>10</x:v>
      </x:c>
      <x:c r="X1497" s="14" t="b">
        <x:v>0</x:v>
      </x:c>
      <x:c r="Y1497" s="14" t="b">
        <x:v>0</x:v>
      </x:c>
      <x:c r="Z1497" s="2" t="n">
        <x:f>ABS(T1497-AA1497)</x:f>
        <x:v>0</x:v>
      </x:c>
      <x:c r="AA1497" s="2" t="n">
        <x:v>104</x:v>
      </x:c>
      <x:c r="AB1497" s="2" t="n">
        <x:f>ABS(K1497-W1497)</x:f>
        <x:v>1</x:v>
      </x:c>
      <x:c r="AC1497" s="2" t="n">
        <x:f>COUNTIF($A$2:$A$1921,A1497)-1</x:f>
        <x:v>0</x:v>
      </x:c>
      <x:c r="AD1497" s="2" t="n">
        <x:f>IF(AND(D1497=D1496,H1497=H1496,C1497=C1496+1),ABS(R1497-T1496),0)</x:f>
        <x:v>0</x:v>
      </x:c>
    </x:row>
    <x:row r="1498" ht="23" customHeight="1">
      <x:c r="A1498" s="2" t="str">
        <x:v>DEMO-401-2-17</x:v>
      </x:c>
      <x:c r="B1498" s="15" t="d">
        <x:v>2026-08-24T00:00:00.000Z</x:v>
      </x:c>
      <x:c r="C1498" s="2" t="n">
        <x:v>17</x:v>
      </x:c>
      <x:c r="D1498" s="2" t="str">
        <x:v>DEMO-401</x:v>
      </x:c>
      <x:c r="E1498" s="2" t="str">
        <x:v>Loop Pouch</x:v>
      </x:c>
      <x:c r="F1498" s="2" t="str">
        <x:v>Accessories</x:v>
      </x:c>
      <x:c r="G1498" s="2" t="str">
        <x:v>Stores</x:v>
      </x:c>
      <x:c r="H1498" s="2" t="str">
        <x:v>Central Market</x:v>
      </x:c>
      <x:c r="I1498" s="2" t="n">
        <x:v>11</x:v>
      </x:c>
      <x:c r="J1498" s="2" t="n">
        <x:v>0</x:v>
      </x:c>
      <x:c r="K1498" s="2" t="n">
        <x:f>I1498-J1498</x:f>
        <x:v>11</x:v>
      </x:c>
      <x:c r="L1498" s="16" t="n">
        <x:v>16</x:v>
      </x:c>
      <x:c r="M1498" s="16" t="n">
        <x:v>16</x:v>
      </x:c>
      <x:c r="N1498" s="16" t="n">
        <x:v>5.76</x:v>
      </x:c>
      <x:c r="O1498" s="16" t="n">
        <x:f>K1498*M1498</x:f>
        <x:v>176</x:v>
      </x:c>
      <x:c r="P1498" s="16" t="n">
        <x:f>K1498*N1498</x:f>
        <x:v>63.36</x:v>
      </x:c>
      <x:c r="Q1498" s="16" t="n">
        <x:f>O1498-P1498</x:f>
        <x:v>112.64</x:v>
      </x:c>
      <x:c r="R1498" s="2" t="n">
        <x:v>104</x:v>
      </x:c>
      <x:c r="S1498" s="2" t="n">
        <x:v>46</x:v>
      </x:c>
      <x:c r="T1498" s="2" t="n">
        <x:f>R1498+S1498+J1498-I1498</x:f>
        <x:v>139</x:v>
      </x:c>
      <x:c r="U1498" s="2" t="n">
        <x:v>0</x:v>
      </x:c>
      <x:c r="V1498" s="2" t="n">
        <x:v>2</x:v>
      </x:c>
      <x:c r="W1498" s="2" t="n">
        <x:v>10</x:v>
      </x:c>
      <x:c r="X1498" s="14" t="b">
        <x:v>0</x:v>
      </x:c>
      <x:c r="Y1498" s="14" t="b">
        <x:v>0</x:v>
      </x:c>
      <x:c r="Z1498" s="2" t="n">
        <x:f>ABS(T1498-AA1498)</x:f>
        <x:v>0</x:v>
      </x:c>
      <x:c r="AA1498" s="2" t="n">
        <x:v>139</x:v>
      </x:c>
      <x:c r="AB1498" s="2" t="n">
        <x:f>ABS(K1498-W1498)</x:f>
        <x:v>1</x:v>
      </x:c>
      <x:c r="AC1498" s="2" t="n">
        <x:f>COUNTIF($A$2:$A$1921,A1498)-1</x:f>
        <x:v>0</x:v>
      </x:c>
      <x:c r="AD1498" s="2" t="n">
        <x:f>IF(AND(D1498=D1497,H1498=H1497,C1498=C1497+1),ABS(R1498-T1497),0)</x:f>
        <x:v>0</x:v>
      </x:c>
    </x:row>
    <x:row r="1499" ht="23" customHeight="1">
      <x:c r="A1499" s="2" t="str">
        <x:v>DEMO-401-2-18</x:v>
      </x:c>
      <x:c r="B1499" s="15" t="d">
        <x:v>2026-08-31T00:00:00.000Z</x:v>
      </x:c>
      <x:c r="C1499" s="2" t="n">
        <x:v>18</x:v>
      </x:c>
      <x:c r="D1499" s="2" t="str">
        <x:v>DEMO-401</x:v>
      </x:c>
      <x:c r="E1499" s="2" t="str">
        <x:v>Loop Pouch</x:v>
      </x:c>
      <x:c r="F1499" s="2" t="str">
        <x:v>Accessories</x:v>
      </x:c>
      <x:c r="G1499" s="2" t="str">
        <x:v>Stores</x:v>
      </x:c>
      <x:c r="H1499" s="2" t="str">
        <x:v>Central Market</x:v>
      </x:c>
      <x:c r="I1499" s="2" t="n">
        <x:v>12</x:v>
      </x:c>
      <x:c r="J1499" s="2" t="n">
        <x:v>0</x:v>
      </x:c>
      <x:c r="K1499" s="2" t="n">
        <x:f>I1499-J1499</x:f>
        <x:v>12</x:v>
      </x:c>
      <x:c r="L1499" s="16" t="n">
        <x:v>16</x:v>
      </x:c>
      <x:c r="M1499" s="16" t="n">
        <x:v>16</x:v>
      </x:c>
      <x:c r="N1499" s="16" t="n">
        <x:v>5.76</x:v>
      </x:c>
      <x:c r="O1499" s="16" t="n">
        <x:f>K1499*M1499</x:f>
        <x:v>192</x:v>
      </x:c>
      <x:c r="P1499" s="16" t="n">
        <x:f>K1499*N1499</x:f>
        <x:v>69.12</x:v>
      </x:c>
      <x:c r="Q1499" s="16" t="n">
        <x:f>O1499-P1499</x:f>
        <x:v>122.88</x:v>
      </x:c>
      <x:c r="R1499" s="2" t="n">
        <x:v>139</x:v>
      </x:c>
      <x:c r="S1499" s="2" t="n">
        <x:v>0</x:v>
      </x:c>
      <x:c r="T1499" s="2" t="n">
        <x:f>R1499+S1499+J1499-I1499</x:f>
        <x:v>127</x:v>
      </x:c>
      <x:c r="U1499" s="2" t="n">
        <x:v>0</x:v>
      </x:c>
      <x:c r="V1499" s="2" t="n">
        <x:v>2</x:v>
      </x:c>
      <x:c r="W1499" s="2" t="n">
        <x:v>11</x:v>
      </x:c>
      <x:c r="X1499" s="14" t="b">
        <x:v>0</x:v>
      </x:c>
      <x:c r="Y1499" s="14" t="b">
        <x:v>0</x:v>
      </x:c>
      <x:c r="Z1499" s="2" t="n">
        <x:f>ABS(T1499-AA1499)</x:f>
        <x:v>0</x:v>
      </x:c>
      <x:c r="AA1499" s="2" t="n">
        <x:v>127</x:v>
      </x:c>
      <x:c r="AB1499" s="2" t="n">
        <x:f>ABS(K1499-W1499)</x:f>
        <x:v>1</x:v>
      </x:c>
      <x:c r="AC1499" s="2" t="n">
        <x:f>COUNTIF($A$2:$A$1921,A1499)-1</x:f>
        <x:v>0</x:v>
      </x:c>
      <x:c r="AD1499" s="2" t="n">
        <x:f>IF(AND(D1499=D1498,H1499=H1498,C1499=C1498+1),ABS(R1499-T1498),0)</x:f>
        <x:v>0</x:v>
      </x:c>
    </x:row>
    <x:row r="1500" ht="23" customHeight="1">
      <x:c r="A1500" s="2" t="str">
        <x:v>DEMO-401-2-19</x:v>
      </x:c>
      <x:c r="B1500" s="15" t="d">
        <x:v>2026-09-07T00:00:00.000Z</x:v>
      </x:c>
      <x:c r="C1500" s="2" t="n">
        <x:v>19</x:v>
      </x:c>
      <x:c r="D1500" s="2" t="str">
        <x:v>DEMO-401</x:v>
      </x:c>
      <x:c r="E1500" s="2" t="str">
        <x:v>Loop Pouch</x:v>
      </x:c>
      <x:c r="F1500" s="2" t="str">
        <x:v>Accessories</x:v>
      </x:c>
      <x:c r="G1500" s="2" t="str">
        <x:v>Stores</x:v>
      </x:c>
      <x:c r="H1500" s="2" t="str">
        <x:v>Central Market</x:v>
      </x:c>
      <x:c r="I1500" s="2" t="n">
        <x:v>10</x:v>
      </x:c>
      <x:c r="J1500" s="2" t="n">
        <x:v>0</x:v>
      </x:c>
      <x:c r="K1500" s="2" t="n">
        <x:f>I1500-J1500</x:f>
        <x:v>10</x:v>
      </x:c>
      <x:c r="L1500" s="16" t="n">
        <x:v>16</x:v>
      </x:c>
      <x:c r="M1500" s="16" t="n">
        <x:v>16</x:v>
      </x:c>
      <x:c r="N1500" s="16" t="n">
        <x:v>5.76</x:v>
      </x:c>
      <x:c r="O1500" s="16" t="n">
        <x:f>K1500*M1500</x:f>
        <x:v>160</x:v>
      </x:c>
      <x:c r="P1500" s="16" t="n">
        <x:f>K1500*N1500</x:f>
        <x:v>57.599999999999994</x:v>
      </x:c>
      <x:c r="Q1500" s="16" t="n">
        <x:f>O1500-P1500</x:f>
        <x:v>102.4</x:v>
      </x:c>
      <x:c r="R1500" s="2" t="n">
        <x:v>127</x:v>
      </x:c>
      <x:c r="S1500" s="2" t="n">
        <x:v>0</x:v>
      </x:c>
      <x:c r="T1500" s="2" t="n">
        <x:f>R1500+S1500+J1500-I1500</x:f>
        <x:v>117</x:v>
      </x:c>
      <x:c r="U1500" s="2" t="n">
        <x:v>0</x:v>
      </x:c>
      <x:c r="V1500" s="2" t="n">
        <x:v>2</x:v>
      </x:c>
      <x:c r="W1500" s="2" t="n">
        <x:v>11</x:v>
      </x:c>
      <x:c r="X1500" s="14" t="b">
        <x:v>0</x:v>
      </x:c>
      <x:c r="Y1500" s="14" t="b">
        <x:v>0</x:v>
      </x:c>
      <x:c r="Z1500" s="2" t="n">
        <x:f>ABS(T1500-AA1500)</x:f>
        <x:v>0</x:v>
      </x:c>
      <x:c r="AA1500" s="2" t="n">
        <x:v>117</x:v>
      </x:c>
      <x:c r="AB1500" s="2" t="n">
        <x:f>ABS(K1500-W1500)</x:f>
        <x:v>1</x:v>
      </x:c>
      <x:c r="AC1500" s="2" t="n">
        <x:f>COUNTIF($A$2:$A$1921,A1500)-1</x:f>
        <x:v>0</x:v>
      </x:c>
      <x:c r="AD1500" s="2" t="n">
        <x:f>IF(AND(D1500=D1499,H1500=H1499,C1500=C1499+1),ABS(R1500-T1499),0)</x:f>
        <x:v>0</x:v>
      </x:c>
    </x:row>
    <x:row r="1501" ht="23" customHeight="1">
      <x:c r="A1501" s="2" t="str">
        <x:v>DEMO-401-2-20</x:v>
      </x:c>
      <x:c r="B1501" s="15" t="d">
        <x:v>2026-09-14T00:00:00.000Z</x:v>
      </x:c>
      <x:c r="C1501" s="2" t="n">
        <x:v>20</x:v>
      </x:c>
      <x:c r="D1501" s="2" t="str">
        <x:v>DEMO-401</x:v>
      </x:c>
      <x:c r="E1501" s="2" t="str">
        <x:v>Loop Pouch</x:v>
      </x:c>
      <x:c r="F1501" s="2" t="str">
        <x:v>Accessories</x:v>
      </x:c>
      <x:c r="G1501" s="2" t="str">
        <x:v>Stores</x:v>
      </x:c>
      <x:c r="H1501" s="2" t="str">
        <x:v>Central Market</x:v>
      </x:c>
      <x:c r="I1501" s="2" t="n">
        <x:v>12</x:v>
      </x:c>
      <x:c r="J1501" s="2" t="n">
        <x:v>1</x:v>
      </x:c>
      <x:c r="K1501" s="2" t="n">
        <x:f>I1501-J1501</x:f>
        <x:v>11</x:v>
      </x:c>
      <x:c r="L1501" s="16" t="n">
        <x:v>16</x:v>
      </x:c>
      <x:c r="M1501" s="16" t="n">
        <x:v>16</x:v>
      </x:c>
      <x:c r="N1501" s="16" t="n">
        <x:v>5.76</x:v>
      </x:c>
      <x:c r="O1501" s="16" t="n">
        <x:f>K1501*M1501</x:f>
        <x:v>176</x:v>
      </x:c>
      <x:c r="P1501" s="16" t="n">
        <x:f>K1501*N1501</x:f>
        <x:v>63.36</x:v>
      </x:c>
      <x:c r="Q1501" s="16" t="n">
        <x:f>O1501-P1501</x:f>
        <x:v>112.64</x:v>
      </x:c>
      <x:c r="R1501" s="2" t="n">
        <x:v>117</x:v>
      </x:c>
      <x:c r="S1501" s="2" t="n">
        <x:v>0</x:v>
      </x:c>
      <x:c r="T1501" s="2" t="n">
        <x:f>R1501+S1501+J1501-I1501</x:f>
        <x:v>106</x:v>
      </x:c>
      <x:c r="U1501" s="2" t="n">
        <x:v>18</x:v>
      </x:c>
      <x:c r="V1501" s="2" t="n">
        <x:v>2</x:v>
      </x:c>
      <x:c r="W1501" s="2" t="n">
        <x:v>11</x:v>
      </x:c>
      <x:c r="X1501" s="14" t="b">
        <x:v>0</x:v>
      </x:c>
      <x:c r="Y1501" s="14" t="b">
        <x:v>0</x:v>
      </x:c>
      <x:c r="Z1501" s="2" t="n">
        <x:f>ABS(T1501-AA1501)</x:f>
        <x:v>0</x:v>
      </x:c>
      <x:c r="AA1501" s="2" t="n">
        <x:v>106</x:v>
      </x:c>
      <x:c r="AB1501" s="2" t="n">
        <x:f>ABS(K1501-W1501)</x:f>
        <x:v>0</x:v>
      </x:c>
      <x:c r="AC1501" s="2" t="n">
        <x:f>COUNTIF($A$2:$A$1921,A1501)-1</x:f>
        <x:v>0</x:v>
      </x:c>
      <x:c r="AD1501" s="2" t="n">
        <x:f>IF(AND(D1501=D1500,H1501=H1500,C1501=C1500+1),ABS(R1501-T1500),0)</x:f>
        <x:v>0</x:v>
      </x:c>
    </x:row>
    <x:row r="1502" ht="23" customHeight="1">
      <x:c r="A1502" s="2" t="str">
        <x:v>DEMO-401-3-1</x:v>
      </x:c>
      <x:c r="B1502" s="15" t="d">
        <x:v>2026-05-04T00:00:00.000Z</x:v>
      </x:c>
      <x:c r="C1502" s="2" t="n">
        <x:v>1</x:v>
      </x:c>
      <x:c r="D1502" s="2" t="str">
        <x:v>DEMO-401</x:v>
      </x:c>
      <x:c r="E1502" s="2" t="str">
        <x:v>Loop Pouch</x:v>
      </x:c>
      <x:c r="F1502" s="2" t="str">
        <x:v>Accessories</x:v>
      </x:c>
      <x:c r="G1502" s="2" t="str">
        <x:v>Online</x:v>
      </x:c>
      <x:c r="H1502" s="2" t="str">
        <x:v>Online</x:v>
      </x:c>
      <x:c r="I1502" s="2" t="n">
        <x:v>19</x:v>
      </x:c>
      <x:c r="J1502" s="2" t="n">
        <x:v>0</x:v>
      </x:c>
      <x:c r="K1502" s="2" t="n">
        <x:f>I1502-J1502</x:f>
        <x:v>19</x:v>
      </x:c>
      <x:c r="L1502" s="16" t="n">
        <x:v>16</x:v>
      </x:c>
      <x:c r="M1502" s="16" t="n">
        <x:v>16</x:v>
      </x:c>
      <x:c r="N1502" s="16" t="n">
        <x:v>5.76</x:v>
      </x:c>
      <x:c r="O1502" s="16" t="n">
        <x:f>K1502*M1502</x:f>
        <x:v>304</x:v>
      </x:c>
      <x:c r="P1502" s="16" t="n">
        <x:f>K1502*N1502</x:f>
        <x:v>109.44</x:v>
      </x:c>
      <x:c r="Q1502" s="16" t="n">
        <x:f>O1502-P1502</x:f>
        <x:v>194.56</x:v>
      </x:c>
      <x:c r="R1502" s="2" t="n">
        <x:v>90</x:v>
      </x:c>
      <x:c r="S1502" s="2" t="n">
        <x:v>79</x:v>
      </x:c>
      <x:c r="T1502" s="2" t="n">
        <x:f>R1502+S1502+J1502-I1502</x:f>
        <x:v>150</x:v>
      </x:c>
      <x:c r="U1502" s="2" t="n">
        <x:v>0</x:v>
      </x:c>
      <x:c r="V1502" s="2" t="n">
        <x:v>2</x:v>
      </x:c>
      <x:c r="W1502" s="2" t="n">
        <x:v>19</x:v>
      </x:c>
      <x:c r="X1502" s="14" t="b">
        <x:v>0</x:v>
      </x:c>
      <x:c r="Y1502" s="14" t="b">
        <x:v>0</x:v>
      </x:c>
      <x:c r="Z1502" s="2" t="n">
        <x:f>ABS(T1502-AA1502)</x:f>
        <x:v>0</x:v>
      </x:c>
      <x:c r="AA1502" s="2" t="n">
        <x:v>150</x:v>
      </x:c>
      <x:c r="AB1502" s="2" t="n">
        <x:f>ABS(K1502-W1502)</x:f>
        <x:v>0</x:v>
      </x:c>
      <x:c r="AC1502" s="2" t="n">
        <x:f>COUNTIF($A$2:$A$1921,A1502)-1</x:f>
        <x:v>0</x:v>
      </x:c>
      <x:c r="AD1502" s="2" t="n">
        <x:f>IF(AND(D1502=D1501,H1502=H1501,C1502=C1501+1),ABS(R1502-T1501),0)</x:f>
        <x:v>0</x:v>
      </x:c>
    </x:row>
    <x:row r="1503" ht="23" customHeight="1">
      <x:c r="A1503" s="2" t="str">
        <x:v>DEMO-401-3-2</x:v>
      </x:c>
      <x:c r="B1503" s="15" t="d">
        <x:v>2026-05-11T00:00:00.000Z</x:v>
      </x:c>
      <x:c r="C1503" s="2" t="n">
        <x:v>2</x:v>
      </x:c>
      <x:c r="D1503" s="2" t="str">
        <x:v>DEMO-401</x:v>
      </x:c>
      <x:c r="E1503" s="2" t="str">
        <x:v>Loop Pouch</x:v>
      </x:c>
      <x:c r="F1503" s="2" t="str">
        <x:v>Accessories</x:v>
      </x:c>
      <x:c r="G1503" s="2" t="str">
        <x:v>Online</x:v>
      </x:c>
      <x:c r="H1503" s="2" t="str">
        <x:v>Online</x:v>
      </x:c>
      <x:c r="I1503" s="2" t="n">
        <x:v>18</x:v>
      </x:c>
      <x:c r="J1503" s="2" t="n">
        <x:v>0</x:v>
      </x:c>
      <x:c r="K1503" s="2" t="n">
        <x:f>I1503-J1503</x:f>
        <x:v>18</x:v>
      </x:c>
      <x:c r="L1503" s="16" t="n">
        <x:v>16</x:v>
      </x:c>
      <x:c r="M1503" s="16" t="n">
        <x:v>16</x:v>
      </x:c>
      <x:c r="N1503" s="16" t="n">
        <x:v>5.76</x:v>
      </x:c>
      <x:c r="O1503" s="16" t="n">
        <x:f>K1503*M1503</x:f>
        <x:v>288</x:v>
      </x:c>
      <x:c r="P1503" s="16" t="n">
        <x:f>K1503*N1503</x:f>
        <x:v>103.67999999999999</x:v>
      </x:c>
      <x:c r="Q1503" s="16" t="n">
        <x:f>O1503-P1503</x:f>
        <x:v>184.32</x:v>
      </x:c>
      <x:c r="R1503" s="2" t="n">
        <x:v>150</x:v>
      </x:c>
      <x:c r="S1503" s="2" t="n">
        <x:v>0</x:v>
      </x:c>
      <x:c r="T1503" s="2" t="n">
        <x:f>R1503+S1503+J1503-I1503</x:f>
        <x:v>132</x:v>
      </x:c>
      <x:c r="U1503" s="2" t="n">
        <x:v>0</x:v>
      </x:c>
      <x:c r="V1503" s="2" t="n">
        <x:v>2</x:v>
      </x:c>
      <x:c r="W1503" s="2" t="n">
        <x:v>19</x:v>
      </x:c>
      <x:c r="X1503" s="14" t="b">
        <x:v>0</x:v>
      </x:c>
      <x:c r="Y1503" s="14" t="b">
        <x:v>0</x:v>
      </x:c>
      <x:c r="Z1503" s="2" t="n">
        <x:f>ABS(T1503-AA1503)</x:f>
        <x:v>0</x:v>
      </x:c>
      <x:c r="AA1503" s="2" t="n">
        <x:v>132</x:v>
      </x:c>
      <x:c r="AB1503" s="2" t="n">
        <x:f>ABS(K1503-W1503)</x:f>
        <x:v>1</x:v>
      </x:c>
      <x:c r="AC1503" s="2" t="n">
        <x:f>COUNTIF($A$2:$A$1921,A1503)-1</x:f>
        <x:v>0</x:v>
      </x:c>
      <x:c r="AD1503" s="2" t="n">
        <x:f>IF(AND(D1503=D1502,H1503=H1502,C1503=C1502+1),ABS(R1503-T1502),0)</x:f>
        <x:v>0</x:v>
      </x:c>
    </x:row>
    <x:row r="1504" ht="23" customHeight="1">
      <x:c r="A1504" s="2" t="str">
        <x:v>DEMO-401-3-3</x:v>
      </x:c>
      <x:c r="B1504" s="15" t="d">
        <x:v>2026-05-18T00:00:00.000Z</x:v>
      </x:c>
      <x:c r="C1504" s="2" t="n">
        <x:v>3</x:v>
      </x:c>
      <x:c r="D1504" s="2" t="str">
        <x:v>DEMO-401</x:v>
      </x:c>
      <x:c r="E1504" s="2" t="str">
        <x:v>Loop Pouch</x:v>
      </x:c>
      <x:c r="F1504" s="2" t="str">
        <x:v>Accessories</x:v>
      </x:c>
      <x:c r="G1504" s="2" t="str">
        <x:v>Online</x:v>
      </x:c>
      <x:c r="H1504" s="2" t="str">
        <x:v>Online</x:v>
      </x:c>
      <x:c r="I1504" s="2" t="n">
        <x:v>19</x:v>
      </x:c>
      <x:c r="J1504" s="2" t="n">
        <x:v>0</x:v>
      </x:c>
      <x:c r="K1504" s="2" t="n">
        <x:f>I1504-J1504</x:f>
        <x:v>19</x:v>
      </x:c>
      <x:c r="L1504" s="16" t="n">
        <x:v>16</x:v>
      </x:c>
      <x:c r="M1504" s="16" t="n">
        <x:v>16</x:v>
      </x:c>
      <x:c r="N1504" s="16" t="n">
        <x:v>5.76</x:v>
      </x:c>
      <x:c r="O1504" s="16" t="n">
        <x:f>K1504*M1504</x:f>
        <x:v>304</x:v>
      </x:c>
      <x:c r="P1504" s="16" t="n">
        <x:f>K1504*N1504</x:f>
        <x:v>109.44</x:v>
      </x:c>
      <x:c r="Q1504" s="16" t="n">
        <x:f>O1504-P1504</x:f>
        <x:v>194.56</x:v>
      </x:c>
      <x:c r="R1504" s="2" t="n">
        <x:v>132</x:v>
      </x:c>
      <x:c r="S1504" s="2" t="n">
        <x:v>0</x:v>
      </x:c>
      <x:c r="T1504" s="2" t="n">
        <x:f>R1504+S1504+J1504-I1504</x:f>
        <x:v>113</x:v>
      </x:c>
      <x:c r="U1504" s="2" t="n">
        <x:v>0</x:v>
      </x:c>
      <x:c r="V1504" s="2" t="n">
        <x:v>2</x:v>
      </x:c>
      <x:c r="W1504" s="2" t="n">
        <x:v>19</x:v>
      </x:c>
      <x:c r="X1504" s="14" t="b">
        <x:v>0</x:v>
      </x:c>
      <x:c r="Y1504" s="14" t="b">
        <x:v>0</x:v>
      </x:c>
      <x:c r="Z1504" s="2" t="n">
        <x:f>ABS(T1504-AA1504)</x:f>
        <x:v>0</x:v>
      </x:c>
      <x:c r="AA1504" s="2" t="n">
        <x:v>113</x:v>
      </x:c>
      <x:c r="AB1504" s="2" t="n">
        <x:f>ABS(K1504-W1504)</x:f>
        <x:v>0</x:v>
      </x:c>
      <x:c r="AC1504" s="2" t="n">
        <x:f>COUNTIF($A$2:$A$1921,A1504)-1</x:f>
        <x:v>0</x:v>
      </x:c>
      <x:c r="AD1504" s="2" t="n">
        <x:f>IF(AND(D1504=D1503,H1504=H1503,C1504=C1503+1),ABS(R1504-T1503),0)</x:f>
        <x:v>0</x:v>
      </x:c>
    </x:row>
    <x:row r="1505" ht="23" customHeight="1">
      <x:c r="A1505" s="2" t="str">
        <x:v>DEMO-401-3-4</x:v>
      </x:c>
      <x:c r="B1505" s="15" t="d">
        <x:v>2026-05-25T00:00:00.000Z</x:v>
      </x:c>
      <x:c r="C1505" s="2" t="n">
        <x:v>4</x:v>
      </x:c>
      <x:c r="D1505" s="2" t="str">
        <x:v>DEMO-401</x:v>
      </x:c>
      <x:c r="E1505" s="2" t="str">
        <x:v>Loop Pouch</x:v>
      </x:c>
      <x:c r="F1505" s="2" t="str">
        <x:v>Accessories</x:v>
      </x:c>
      <x:c r="G1505" s="2" t="str">
        <x:v>Online</x:v>
      </x:c>
      <x:c r="H1505" s="2" t="str">
        <x:v>Online</x:v>
      </x:c>
      <x:c r="I1505" s="2" t="n">
        <x:v>19</x:v>
      </x:c>
      <x:c r="J1505" s="2" t="n">
        <x:v>1</x:v>
      </x:c>
      <x:c r="K1505" s="2" t="n">
        <x:f>I1505-J1505</x:f>
        <x:v>18</x:v>
      </x:c>
      <x:c r="L1505" s="16" t="n">
        <x:v>16</x:v>
      </x:c>
      <x:c r="M1505" s="16" t="n">
        <x:v>16</x:v>
      </x:c>
      <x:c r="N1505" s="16" t="n">
        <x:v>5.76</x:v>
      </x:c>
      <x:c r="O1505" s="16" t="n">
        <x:f>K1505*M1505</x:f>
        <x:v>288</x:v>
      </x:c>
      <x:c r="P1505" s="16" t="n">
        <x:f>K1505*N1505</x:f>
        <x:v>103.67999999999999</x:v>
      </x:c>
      <x:c r="Q1505" s="16" t="n">
        <x:f>O1505-P1505</x:f>
        <x:v>184.32</x:v>
      </x:c>
      <x:c r="R1505" s="2" t="n">
        <x:v>113</x:v>
      </x:c>
      <x:c r="S1505" s="2" t="n">
        <x:v>0</x:v>
      </x:c>
      <x:c r="T1505" s="2" t="n">
        <x:f>R1505+S1505+J1505-I1505</x:f>
        <x:v>95</x:v>
      </x:c>
      <x:c r="U1505" s="2" t="n">
        <x:v>0</x:v>
      </x:c>
      <x:c r="V1505" s="2" t="n">
        <x:v>2</x:v>
      </x:c>
      <x:c r="W1505" s="2" t="n">
        <x:v>19</x:v>
      </x:c>
      <x:c r="X1505" s="14" t="b">
        <x:v>0</x:v>
      </x:c>
      <x:c r="Y1505" s="14" t="b">
        <x:v>0</x:v>
      </x:c>
      <x:c r="Z1505" s="2" t="n">
        <x:f>ABS(T1505-AA1505)</x:f>
        <x:v>0</x:v>
      </x:c>
      <x:c r="AA1505" s="2" t="n">
        <x:v>95</x:v>
      </x:c>
      <x:c r="AB1505" s="2" t="n">
        <x:f>ABS(K1505-W1505)</x:f>
        <x:v>1</x:v>
      </x:c>
      <x:c r="AC1505" s="2" t="n">
        <x:f>COUNTIF($A$2:$A$1921,A1505)-1</x:f>
        <x:v>0</x:v>
      </x:c>
      <x:c r="AD1505" s="2" t="n">
        <x:f>IF(AND(D1505=D1504,H1505=H1504,C1505=C1504+1),ABS(R1505-T1504),0)</x:f>
        <x:v>0</x:v>
      </x:c>
    </x:row>
    <x:row r="1506" ht="23" customHeight="1">
      <x:c r="A1506" s="2" t="str">
        <x:v>DEMO-401-3-5</x:v>
      </x:c>
      <x:c r="B1506" s="15" t="d">
        <x:v>2026-06-01T00:00:00.000Z</x:v>
      </x:c>
      <x:c r="C1506" s="2" t="n">
        <x:v>5</x:v>
      </x:c>
      <x:c r="D1506" s="2" t="str">
        <x:v>DEMO-401</x:v>
      </x:c>
      <x:c r="E1506" s="2" t="str">
        <x:v>Loop Pouch</x:v>
      </x:c>
      <x:c r="F1506" s="2" t="str">
        <x:v>Accessories</x:v>
      </x:c>
      <x:c r="G1506" s="2" t="str">
        <x:v>Online</x:v>
      </x:c>
      <x:c r="H1506" s="2" t="str">
        <x:v>Online</x:v>
      </x:c>
      <x:c r="I1506" s="2" t="n">
        <x:v>17</x:v>
      </x:c>
      <x:c r="J1506" s="2" t="n">
        <x:v>0</x:v>
      </x:c>
      <x:c r="K1506" s="2" t="n">
        <x:f>I1506-J1506</x:f>
        <x:v>17</x:v>
      </x:c>
      <x:c r="L1506" s="16" t="n">
        <x:v>16</x:v>
      </x:c>
      <x:c r="M1506" s="16" t="n">
        <x:v>16</x:v>
      </x:c>
      <x:c r="N1506" s="16" t="n">
        <x:v>5.76</x:v>
      </x:c>
      <x:c r="O1506" s="16" t="n">
        <x:f>K1506*M1506</x:f>
        <x:v>272</x:v>
      </x:c>
      <x:c r="P1506" s="16" t="n">
        <x:f>K1506*N1506</x:f>
        <x:v>97.92</x:v>
      </x:c>
      <x:c r="Q1506" s="16" t="n">
        <x:f>O1506-P1506</x:f>
        <x:v>174.07999999999998</x:v>
      </x:c>
      <x:c r="R1506" s="2" t="n">
        <x:v>95</x:v>
      </x:c>
      <x:c r="S1506" s="2" t="n">
        <x:v>79</x:v>
      </x:c>
      <x:c r="T1506" s="2" t="n">
        <x:f>R1506+S1506+J1506-I1506</x:f>
        <x:v>157</x:v>
      </x:c>
      <x:c r="U1506" s="2" t="n">
        <x:v>0</x:v>
      </x:c>
      <x:c r="V1506" s="2" t="n">
        <x:v>2</x:v>
      </x:c>
      <x:c r="W1506" s="2" t="n">
        <x:v>19</x:v>
      </x:c>
      <x:c r="X1506" s="14" t="b">
        <x:v>0</x:v>
      </x:c>
      <x:c r="Y1506" s="14" t="b">
        <x:v>0</x:v>
      </x:c>
      <x:c r="Z1506" s="2" t="n">
        <x:f>ABS(T1506-AA1506)</x:f>
        <x:v>0</x:v>
      </x:c>
      <x:c r="AA1506" s="2" t="n">
        <x:v>157</x:v>
      </x:c>
      <x:c r="AB1506" s="2" t="n">
        <x:f>ABS(K1506-W1506)</x:f>
        <x:v>2</x:v>
      </x:c>
      <x:c r="AC1506" s="2" t="n">
        <x:f>COUNTIF($A$2:$A$1921,A1506)-1</x:f>
        <x:v>0</x:v>
      </x:c>
      <x:c r="AD1506" s="2" t="n">
        <x:f>IF(AND(D1506=D1505,H1506=H1505,C1506=C1505+1),ABS(R1506-T1505),0)</x:f>
        <x:v>0</x:v>
      </x:c>
    </x:row>
    <x:row r="1507" ht="23" customHeight="1">
      <x:c r="A1507" s="2" t="str">
        <x:v>DEMO-401-3-6</x:v>
      </x:c>
      <x:c r="B1507" s="15" t="d">
        <x:v>2026-06-08T00:00:00.000Z</x:v>
      </x:c>
      <x:c r="C1507" s="2" t="n">
        <x:v>6</x:v>
      </x:c>
      <x:c r="D1507" s="2" t="str">
        <x:v>DEMO-401</x:v>
      </x:c>
      <x:c r="E1507" s="2" t="str">
        <x:v>Loop Pouch</x:v>
      </x:c>
      <x:c r="F1507" s="2" t="str">
        <x:v>Accessories</x:v>
      </x:c>
      <x:c r="G1507" s="2" t="str">
        <x:v>Online</x:v>
      </x:c>
      <x:c r="H1507" s="2" t="str">
        <x:v>Online</x:v>
      </x:c>
      <x:c r="I1507" s="2" t="n">
        <x:v>19</x:v>
      </x:c>
      <x:c r="J1507" s="2" t="n">
        <x:v>0</x:v>
      </x:c>
      <x:c r="K1507" s="2" t="n">
        <x:f>I1507-J1507</x:f>
        <x:v>19</x:v>
      </x:c>
      <x:c r="L1507" s="16" t="n">
        <x:v>16</x:v>
      </x:c>
      <x:c r="M1507" s="16" t="n">
        <x:v>16</x:v>
      </x:c>
      <x:c r="N1507" s="16" t="n">
        <x:v>5.76</x:v>
      </x:c>
      <x:c r="O1507" s="16" t="n">
        <x:f>K1507*M1507</x:f>
        <x:v>304</x:v>
      </x:c>
      <x:c r="P1507" s="16" t="n">
        <x:f>K1507*N1507</x:f>
        <x:v>109.44</x:v>
      </x:c>
      <x:c r="Q1507" s="16" t="n">
        <x:f>O1507-P1507</x:f>
        <x:v>194.56</x:v>
      </x:c>
      <x:c r="R1507" s="2" t="n">
        <x:v>157</x:v>
      </x:c>
      <x:c r="S1507" s="2" t="n">
        <x:v>0</x:v>
      </x:c>
      <x:c r="T1507" s="2" t="n">
        <x:f>R1507+S1507+J1507-I1507</x:f>
        <x:v>138</x:v>
      </x:c>
      <x:c r="U1507" s="2" t="n">
        <x:v>0</x:v>
      </x:c>
      <x:c r="V1507" s="2" t="n">
        <x:v>2</x:v>
      </x:c>
      <x:c r="W1507" s="2" t="n">
        <x:v>18</x:v>
      </x:c>
      <x:c r="X1507" s="14" t="b">
        <x:v>0</x:v>
      </x:c>
      <x:c r="Y1507" s="14" t="b">
        <x:v>0</x:v>
      </x:c>
      <x:c r="Z1507" s="2" t="n">
        <x:f>ABS(T1507-AA1507)</x:f>
        <x:v>0</x:v>
      </x:c>
      <x:c r="AA1507" s="2" t="n">
        <x:v>138</x:v>
      </x:c>
      <x:c r="AB1507" s="2" t="n">
        <x:f>ABS(K1507-W1507)</x:f>
        <x:v>1</x:v>
      </x:c>
      <x:c r="AC1507" s="2" t="n">
        <x:f>COUNTIF($A$2:$A$1921,A1507)-1</x:f>
        <x:v>0</x:v>
      </x:c>
      <x:c r="AD1507" s="2" t="n">
        <x:f>IF(AND(D1507=D1506,H1507=H1506,C1507=C1506+1),ABS(R1507-T1506),0)</x:f>
        <x:v>0</x:v>
      </x:c>
    </x:row>
    <x:row r="1508" ht="23" customHeight="1">
      <x:c r="A1508" s="2" t="str">
        <x:v>DEMO-401-3-7</x:v>
      </x:c>
      <x:c r="B1508" s="15" t="d">
        <x:v>2026-06-15T00:00:00.000Z</x:v>
      </x:c>
      <x:c r="C1508" s="2" t="n">
        <x:v>7</x:v>
      </x:c>
      <x:c r="D1508" s="2" t="str">
        <x:v>DEMO-401</x:v>
      </x:c>
      <x:c r="E1508" s="2" t="str">
        <x:v>Loop Pouch</x:v>
      </x:c>
      <x:c r="F1508" s="2" t="str">
        <x:v>Accessories</x:v>
      </x:c>
      <x:c r="G1508" s="2" t="str">
        <x:v>Online</x:v>
      </x:c>
      <x:c r="H1508" s="2" t="str">
        <x:v>Online</x:v>
      </x:c>
      <x:c r="I1508" s="2" t="n">
        <x:v>21</x:v>
      </x:c>
      <x:c r="J1508" s="2" t="n">
        <x:v>1</x:v>
      </x:c>
      <x:c r="K1508" s="2" t="n">
        <x:f>I1508-J1508</x:f>
        <x:v>20</x:v>
      </x:c>
      <x:c r="L1508" s="16" t="n">
        <x:v>16</x:v>
      </x:c>
      <x:c r="M1508" s="16" t="n">
        <x:v>16</x:v>
      </x:c>
      <x:c r="N1508" s="16" t="n">
        <x:v>5.76</x:v>
      </x:c>
      <x:c r="O1508" s="16" t="n">
        <x:f>K1508*M1508</x:f>
        <x:v>320</x:v>
      </x:c>
      <x:c r="P1508" s="16" t="n">
        <x:f>K1508*N1508</x:f>
        <x:v>115.19999999999999</x:v>
      </x:c>
      <x:c r="Q1508" s="16" t="n">
        <x:f>O1508-P1508</x:f>
        <x:v>204.8</x:v>
      </x:c>
      <x:c r="R1508" s="2" t="n">
        <x:v>138</x:v>
      </x:c>
      <x:c r="S1508" s="2" t="n">
        <x:v>0</x:v>
      </x:c>
      <x:c r="T1508" s="2" t="n">
        <x:f>R1508+S1508+J1508-I1508</x:f>
        <x:v>118</x:v>
      </x:c>
      <x:c r="U1508" s="2" t="n">
        <x:v>0</x:v>
      </x:c>
      <x:c r="V1508" s="2" t="n">
        <x:v>2</x:v>
      </x:c>
      <x:c r="W1508" s="2" t="n">
        <x:v>18</x:v>
      </x:c>
      <x:c r="X1508" s="14" t="b">
        <x:v>0</x:v>
      </x:c>
      <x:c r="Y1508" s="14" t="b">
        <x:v>0</x:v>
      </x:c>
      <x:c r="Z1508" s="2" t="n">
        <x:f>ABS(T1508-AA1508)</x:f>
        <x:v>0</x:v>
      </x:c>
      <x:c r="AA1508" s="2" t="n">
        <x:v>118</x:v>
      </x:c>
      <x:c r="AB1508" s="2" t="n">
        <x:f>ABS(K1508-W1508)</x:f>
        <x:v>2</x:v>
      </x:c>
      <x:c r="AC1508" s="2" t="n">
        <x:f>COUNTIF($A$2:$A$1921,A1508)-1</x:f>
        <x:v>0</x:v>
      </x:c>
      <x:c r="AD1508" s="2" t="n">
        <x:f>IF(AND(D1508=D1507,H1508=H1507,C1508=C1507+1),ABS(R1508-T1507),0)</x:f>
        <x:v>0</x:v>
      </x:c>
    </x:row>
    <x:row r="1509" ht="23" customHeight="1">
      <x:c r="A1509" s="2" t="str">
        <x:v>DEMO-401-3-8</x:v>
      </x:c>
      <x:c r="B1509" s="15" t="d">
        <x:v>2026-06-22T00:00:00.000Z</x:v>
      </x:c>
      <x:c r="C1509" s="2" t="n">
        <x:v>8</x:v>
      </x:c>
      <x:c r="D1509" s="2" t="str">
        <x:v>DEMO-401</x:v>
      </x:c>
      <x:c r="E1509" s="2" t="str">
        <x:v>Loop Pouch</x:v>
      </x:c>
      <x:c r="F1509" s="2" t="str">
        <x:v>Accessories</x:v>
      </x:c>
      <x:c r="G1509" s="2" t="str">
        <x:v>Online</x:v>
      </x:c>
      <x:c r="H1509" s="2" t="str">
        <x:v>Online</x:v>
      </x:c>
      <x:c r="I1509" s="2" t="n">
        <x:v>21</x:v>
      </x:c>
      <x:c r="J1509" s="2" t="n">
        <x:v>0</x:v>
      </x:c>
      <x:c r="K1509" s="2" t="n">
        <x:f>I1509-J1509</x:f>
        <x:v>21</x:v>
      </x:c>
      <x:c r="L1509" s="16" t="n">
        <x:v>16</x:v>
      </x:c>
      <x:c r="M1509" s="16" t="n">
        <x:v>16</x:v>
      </x:c>
      <x:c r="N1509" s="16" t="n">
        <x:v>5.76</x:v>
      </x:c>
      <x:c r="O1509" s="16" t="n">
        <x:f>K1509*M1509</x:f>
        <x:v>336</x:v>
      </x:c>
      <x:c r="P1509" s="16" t="n">
        <x:f>K1509*N1509</x:f>
        <x:v>120.96</x:v>
      </x:c>
      <x:c r="Q1509" s="16" t="n">
        <x:f>O1509-P1509</x:f>
        <x:v>215.04000000000002</x:v>
      </x:c>
      <x:c r="R1509" s="2" t="n">
        <x:v>118</x:v>
      </x:c>
      <x:c r="S1509" s="2" t="n">
        <x:v>0</x:v>
      </x:c>
      <x:c r="T1509" s="2" t="n">
        <x:f>R1509+S1509+J1509-I1509</x:f>
        <x:v>97</x:v>
      </x:c>
      <x:c r="U1509" s="2" t="n">
        <x:v>0</x:v>
      </x:c>
      <x:c r="V1509" s="2" t="n">
        <x:v>2</x:v>
      </x:c>
      <x:c r="W1509" s="2" t="n">
        <x:v>19</x:v>
      </x:c>
      <x:c r="X1509" s="14" t="b">
        <x:v>0</x:v>
      </x:c>
      <x:c r="Y1509" s="14" t="b">
        <x:v>0</x:v>
      </x:c>
      <x:c r="Z1509" s="2" t="n">
        <x:f>ABS(T1509-AA1509)</x:f>
        <x:v>0</x:v>
      </x:c>
      <x:c r="AA1509" s="2" t="n">
        <x:v>97</x:v>
      </x:c>
      <x:c r="AB1509" s="2" t="n">
        <x:f>ABS(K1509-W1509)</x:f>
        <x:v>2</x:v>
      </x:c>
      <x:c r="AC1509" s="2" t="n">
        <x:f>COUNTIF($A$2:$A$1921,A1509)-1</x:f>
        <x:v>0</x:v>
      </x:c>
      <x:c r="AD1509" s="2" t="n">
        <x:f>IF(AND(D1509=D1508,H1509=H1508,C1509=C1508+1),ABS(R1509-T1508),0)</x:f>
        <x:v>0</x:v>
      </x:c>
    </x:row>
    <x:row r="1510" ht="23" customHeight="1">
      <x:c r="A1510" s="2" t="str">
        <x:v>DEMO-401-3-9</x:v>
      </x:c>
      <x:c r="B1510" s="15" t="d">
        <x:v>2026-06-29T00:00:00.000Z</x:v>
      </x:c>
      <x:c r="C1510" s="2" t="n">
        <x:v>9</x:v>
      </x:c>
      <x:c r="D1510" s="2" t="str">
        <x:v>DEMO-401</x:v>
      </x:c>
      <x:c r="E1510" s="2" t="str">
        <x:v>Loop Pouch</x:v>
      </x:c>
      <x:c r="F1510" s="2" t="str">
        <x:v>Accessories</x:v>
      </x:c>
      <x:c r="G1510" s="2" t="str">
        <x:v>Online</x:v>
      </x:c>
      <x:c r="H1510" s="2" t="str">
        <x:v>Online</x:v>
      </x:c>
      <x:c r="I1510" s="2" t="n">
        <x:v>15</x:v>
      </x:c>
      <x:c r="J1510" s="2" t="n">
        <x:v>0</x:v>
      </x:c>
      <x:c r="K1510" s="2" t="n">
        <x:f>I1510-J1510</x:f>
        <x:v>15</x:v>
      </x:c>
      <x:c r="L1510" s="16" t="n">
        <x:v>16</x:v>
      </x:c>
      <x:c r="M1510" s="16" t="n">
        <x:v>16</x:v>
      </x:c>
      <x:c r="N1510" s="16" t="n">
        <x:v>5.76</x:v>
      </x:c>
      <x:c r="O1510" s="16" t="n">
        <x:f>K1510*M1510</x:f>
        <x:v>240</x:v>
      </x:c>
      <x:c r="P1510" s="16" t="n">
        <x:f>K1510*N1510</x:f>
        <x:v>86.39999999999999</x:v>
      </x:c>
      <x:c r="Q1510" s="16" t="n">
        <x:f>O1510-P1510</x:f>
        <x:v>153.60000000000002</x:v>
      </x:c>
      <x:c r="R1510" s="2" t="n">
        <x:v>97</x:v>
      </x:c>
      <x:c r="S1510" s="2" t="n">
        <x:v>79</x:v>
      </x:c>
      <x:c r="T1510" s="2" t="n">
        <x:f>R1510+S1510+J1510-I1510</x:f>
        <x:v>161</x:v>
      </x:c>
      <x:c r="U1510" s="2" t="n">
        <x:v>0</x:v>
      </x:c>
      <x:c r="V1510" s="2" t="n">
        <x:v>2</x:v>
      </x:c>
      <x:c r="W1510" s="2" t="n">
        <x:v>19</x:v>
      </x:c>
      <x:c r="X1510" s="14" t="b">
        <x:v>0</x:v>
      </x:c>
      <x:c r="Y1510" s="14" t="b">
        <x:v>0</x:v>
      </x:c>
      <x:c r="Z1510" s="2" t="n">
        <x:f>ABS(T1510-AA1510)</x:f>
        <x:v>0</x:v>
      </x:c>
      <x:c r="AA1510" s="2" t="n">
        <x:v>161</x:v>
      </x:c>
      <x:c r="AB1510" s="2" t="n">
        <x:f>ABS(K1510-W1510)</x:f>
        <x:v>4</x:v>
      </x:c>
      <x:c r="AC1510" s="2" t="n">
        <x:f>COUNTIF($A$2:$A$1921,A1510)-1</x:f>
        <x:v>0</x:v>
      </x:c>
      <x:c r="AD1510" s="2" t="n">
        <x:f>IF(AND(D1510=D1509,H1510=H1509,C1510=C1509+1),ABS(R1510-T1509),0)</x:f>
        <x:v>0</x:v>
      </x:c>
    </x:row>
    <x:row r="1511" ht="23" customHeight="1">
      <x:c r="A1511" s="2" t="str">
        <x:v>DEMO-401-3-10</x:v>
      </x:c>
      <x:c r="B1511" s="15" t="d">
        <x:v>2026-07-06T00:00:00.000Z</x:v>
      </x:c>
      <x:c r="C1511" s="2" t="n">
        <x:v>10</x:v>
      </x:c>
      <x:c r="D1511" s="2" t="str">
        <x:v>DEMO-401</x:v>
      </x:c>
      <x:c r="E1511" s="2" t="str">
        <x:v>Loop Pouch</x:v>
      </x:c>
      <x:c r="F1511" s="2" t="str">
        <x:v>Accessories</x:v>
      </x:c>
      <x:c r="G1511" s="2" t="str">
        <x:v>Online</x:v>
      </x:c>
      <x:c r="H1511" s="2" t="str">
        <x:v>Online</x:v>
      </x:c>
      <x:c r="I1511" s="2" t="n">
        <x:v>16</x:v>
      </x:c>
      <x:c r="J1511" s="2" t="n">
        <x:v>1</x:v>
      </x:c>
      <x:c r="K1511" s="2" t="n">
        <x:f>I1511-J1511</x:f>
        <x:v>15</x:v>
      </x:c>
      <x:c r="L1511" s="16" t="n">
        <x:v>16</x:v>
      </x:c>
      <x:c r="M1511" s="16" t="n">
        <x:v>16</x:v>
      </x:c>
      <x:c r="N1511" s="16" t="n">
        <x:v>5.76</x:v>
      </x:c>
      <x:c r="O1511" s="16" t="n">
        <x:f>K1511*M1511</x:f>
        <x:v>240</x:v>
      </x:c>
      <x:c r="P1511" s="16" t="n">
        <x:f>K1511*N1511</x:f>
        <x:v>86.39999999999999</x:v>
      </x:c>
      <x:c r="Q1511" s="16" t="n">
        <x:f>O1511-P1511</x:f>
        <x:v>153.60000000000002</x:v>
      </x:c>
      <x:c r="R1511" s="2" t="n">
        <x:v>161</x:v>
      </x:c>
      <x:c r="S1511" s="2" t="n">
        <x:v>0</x:v>
      </x:c>
      <x:c r="T1511" s="2" t="n">
        <x:f>R1511+S1511+J1511-I1511</x:f>
        <x:v>146</x:v>
      </x:c>
      <x:c r="U1511" s="2" t="n">
        <x:v>0</x:v>
      </x:c>
      <x:c r="V1511" s="2" t="n">
        <x:v>2</x:v>
      </x:c>
      <x:c r="W1511" s="2" t="n">
        <x:v>19</x:v>
      </x:c>
      <x:c r="X1511" s="14" t="b">
        <x:v>0</x:v>
      </x:c>
      <x:c r="Y1511" s="14" t="b">
        <x:v>0</x:v>
      </x:c>
      <x:c r="Z1511" s="2" t="n">
        <x:f>ABS(T1511-AA1511)</x:f>
        <x:v>0</x:v>
      </x:c>
      <x:c r="AA1511" s="2" t="n">
        <x:v>146</x:v>
      </x:c>
      <x:c r="AB1511" s="2" t="n">
        <x:f>ABS(K1511-W1511)</x:f>
        <x:v>4</x:v>
      </x:c>
      <x:c r="AC1511" s="2" t="n">
        <x:f>COUNTIF($A$2:$A$1921,A1511)-1</x:f>
        <x:v>0</x:v>
      </x:c>
      <x:c r="AD1511" s="2" t="n">
        <x:f>IF(AND(D1511=D1510,H1511=H1510,C1511=C1510+1),ABS(R1511-T1510),0)</x:f>
        <x:v>0</x:v>
      </x:c>
    </x:row>
    <x:row r="1512" ht="23" customHeight="1">
      <x:c r="A1512" s="2" t="str">
        <x:v>DEMO-401-3-11</x:v>
      </x:c>
      <x:c r="B1512" s="15" t="d">
        <x:v>2026-07-13T00:00:00.000Z</x:v>
      </x:c>
      <x:c r="C1512" s="2" t="n">
        <x:v>11</x:v>
      </x:c>
      <x:c r="D1512" s="2" t="str">
        <x:v>DEMO-401</x:v>
      </x:c>
      <x:c r="E1512" s="2" t="str">
        <x:v>Loop Pouch</x:v>
      </x:c>
      <x:c r="F1512" s="2" t="str">
        <x:v>Accessories</x:v>
      </x:c>
      <x:c r="G1512" s="2" t="str">
        <x:v>Online</x:v>
      </x:c>
      <x:c r="H1512" s="2" t="str">
        <x:v>Online</x:v>
      </x:c>
      <x:c r="I1512" s="2" t="n">
        <x:v>19</x:v>
      </x:c>
      <x:c r="J1512" s="2" t="n">
        <x:v>0</x:v>
      </x:c>
      <x:c r="K1512" s="2" t="n">
        <x:f>I1512-J1512</x:f>
        <x:v>19</x:v>
      </x:c>
      <x:c r="L1512" s="16" t="n">
        <x:v>16</x:v>
      </x:c>
      <x:c r="M1512" s="16" t="n">
        <x:v>16</x:v>
      </x:c>
      <x:c r="N1512" s="16" t="n">
        <x:v>5.76</x:v>
      </x:c>
      <x:c r="O1512" s="16" t="n">
        <x:f>K1512*M1512</x:f>
        <x:v>304</x:v>
      </x:c>
      <x:c r="P1512" s="16" t="n">
        <x:f>K1512*N1512</x:f>
        <x:v>109.44</x:v>
      </x:c>
      <x:c r="Q1512" s="16" t="n">
        <x:f>O1512-P1512</x:f>
        <x:v>194.56</x:v>
      </x:c>
      <x:c r="R1512" s="2" t="n">
        <x:v>146</x:v>
      </x:c>
      <x:c r="S1512" s="2" t="n">
        <x:v>0</x:v>
      </x:c>
      <x:c r="T1512" s="2" t="n">
        <x:f>R1512+S1512+J1512-I1512</x:f>
        <x:v>127</x:v>
      </x:c>
      <x:c r="U1512" s="2" t="n">
        <x:v>0</x:v>
      </x:c>
      <x:c r="V1512" s="2" t="n">
        <x:v>2</x:v>
      </x:c>
      <x:c r="W1512" s="2" t="n">
        <x:v>18</x:v>
      </x:c>
      <x:c r="X1512" s="14" t="b">
        <x:v>0</x:v>
      </x:c>
      <x:c r="Y1512" s="14" t="b">
        <x:v>0</x:v>
      </x:c>
      <x:c r="Z1512" s="2" t="n">
        <x:f>ABS(T1512-AA1512)</x:f>
        <x:v>0</x:v>
      </x:c>
      <x:c r="AA1512" s="2" t="n">
        <x:v>127</x:v>
      </x:c>
      <x:c r="AB1512" s="2" t="n">
        <x:f>ABS(K1512-W1512)</x:f>
        <x:v>1</x:v>
      </x:c>
      <x:c r="AC1512" s="2" t="n">
        <x:f>COUNTIF($A$2:$A$1921,A1512)-1</x:f>
        <x:v>0</x:v>
      </x:c>
      <x:c r="AD1512" s="2" t="n">
        <x:f>IF(AND(D1512=D1511,H1512=H1511,C1512=C1511+1),ABS(R1512-T1511),0)</x:f>
        <x:v>0</x:v>
      </x:c>
    </x:row>
    <x:row r="1513" ht="23" customHeight="1">
      <x:c r="A1513" s="2" t="str">
        <x:v>DEMO-401-3-12</x:v>
      </x:c>
      <x:c r="B1513" s="15" t="d">
        <x:v>2026-07-20T00:00:00.000Z</x:v>
      </x:c>
      <x:c r="C1513" s="2" t="n">
        <x:v>12</x:v>
      </x:c>
      <x:c r="D1513" s="2" t="str">
        <x:v>DEMO-401</x:v>
      </x:c>
      <x:c r="E1513" s="2" t="str">
        <x:v>Loop Pouch</x:v>
      </x:c>
      <x:c r="F1513" s="2" t="str">
        <x:v>Accessories</x:v>
      </x:c>
      <x:c r="G1513" s="2" t="str">
        <x:v>Online</x:v>
      </x:c>
      <x:c r="H1513" s="2" t="str">
        <x:v>Online</x:v>
      </x:c>
      <x:c r="I1513" s="2" t="n">
        <x:v>19</x:v>
      </x:c>
      <x:c r="J1513" s="2" t="n">
        <x:v>1</x:v>
      </x:c>
      <x:c r="K1513" s="2" t="n">
        <x:f>I1513-J1513</x:f>
        <x:v>18</x:v>
      </x:c>
      <x:c r="L1513" s="16" t="n">
        <x:v>16</x:v>
      </x:c>
      <x:c r="M1513" s="16" t="n">
        <x:v>16</x:v>
      </x:c>
      <x:c r="N1513" s="16" t="n">
        <x:v>5.76</x:v>
      </x:c>
      <x:c r="O1513" s="16" t="n">
        <x:f>K1513*M1513</x:f>
        <x:v>288</x:v>
      </x:c>
      <x:c r="P1513" s="16" t="n">
        <x:f>K1513*N1513</x:f>
        <x:v>103.67999999999999</x:v>
      </x:c>
      <x:c r="Q1513" s="16" t="n">
        <x:f>O1513-P1513</x:f>
        <x:v>184.32</x:v>
      </x:c>
      <x:c r="R1513" s="2" t="n">
        <x:v>127</x:v>
      </x:c>
      <x:c r="S1513" s="2" t="n">
        <x:v>0</x:v>
      </x:c>
      <x:c r="T1513" s="2" t="n">
        <x:f>R1513+S1513+J1513-I1513</x:f>
        <x:v>109</x:v>
      </x:c>
      <x:c r="U1513" s="2" t="n">
        <x:v>0</x:v>
      </x:c>
      <x:c r="V1513" s="2" t="n">
        <x:v>2</x:v>
      </x:c>
      <x:c r="W1513" s="2" t="n">
        <x:v>18</x:v>
      </x:c>
      <x:c r="X1513" s="14" t="b">
        <x:v>0</x:v>
      </x:c>
      <x:c r="Y1513" s="14" t="b">
        <x:v>0</x:v>
      </x:c>
      <x:c r="Z1513" s="2" t="n">
        <x:f>ABS(T1513-AA1513)</x:f>
        <x:v>0</x:v>
      </x:c>
      <x:c r="AA1513" s="2" t="n">
        <x:v>109</x:v>
      </x:c>
      <x:c r="AB1513" s="2" t="n">
        <x:f>ABS(K1513-W1513)</x:f>
        <x:v>0</x:v>
      </x:c>
      <x:c r="AC1513" s="2" t="n">
        <x:f>COUNTIF($A$2:$A$1921,A1513)-1</x:f>
        <x:v>0</x:v>
      </x:c>
      <x:c r="AD1513" s="2" t="n">
        <x:f>IF(AND(D1513=D1512,H1513=H1512,C1513=C1512+1),ABS(R1513-T1512),0)</x:f>
        <x:v>0</x:v>
      </x:c>
    </x:row>
    <x:row r="1514" ht="23" customHeight="1">
      <x:c r="A1514" s="2" t="str">
        <x:v>DEMO-401-3-13</x:v>
      </x:c>
      <x:c r="B1514" s="15" t="d">
        <x:v>2026-07-27T00:00:00.000Z</x:v>
      </x:c>
      <x:c r="C1514" s="2" t="n">
        <x:v>13</x:v>
      </x:c>
      <x:c r="D1514" s="2" t="str">
        <x:v>DEMO-401</x:v>
      </x:c>
      <x:c r="E1514" s="2" t="str">
        <x:v>Loop Pouch</x:v>
      </x:c>
      <x:c r="F1514" s="2" t="str">
        <x:v>Accessories</x:v>
      </x:c>
      <x:c r="G1514" s="2" t="str">
        <x:v>Online</x:v>
      </x:c>
      <x:c r="H1514" s="2" t="str">
        <x:v>Online</x:v>
      </x:c>
      <x:c r="I1514" s="2" t="n">
        <x:v>16</x:v>
      </x:c>
      <x:c r="J1514" s="2" t="n">
        <x:v>0</x:v>
      </x:c>
      <x:c r="K1514" s="2" t="n">
        <x:f>I1514-J1514</x:f>
        <x:v>16</x:v>
      </x:c>
      <x:c r="L1514" s="16" t="n">
        <x:v>16</x:v>
      </x:c>
      <x:c r="M1514" s="16" t="n">
        <x:v>16</x:v>
      </x:c>
      <x:c r="N1514" s="16" t="n">
        <x:v>5.76</x:v>
      </x:c>
      <x:c r="O1514" s="16" t="n">
        <x:f>K1514*M1514</x:f>
        <x:v>256</x:v>
      </x:c>
      <x:c r="P1514" s="16" t="n">
        <x:f>K1514*N1514</x:f>
        <x:v>92.16</x:v>
      </x:c>
      <x:c r="Q1514" s="16" t="n">
        <x:f>O1514-P1514</x:f>
        <x:v>163.84</x:v>
      </x:c>
      <x:c r="R1514" s="2" t="n">
        <x:v>109</x:v>
      </x:c>
      <x:c r="S1514" s="2" t="n">
        <x:v>79</x:v>
      </x:c>
      <x:c r="T1514" s="2" t="n">
        <x:f>R1514+S1514+J1514-I1514</x:f>
        <x:v>172</x:v>
      </x:c>
      <x:c r="U1514" s="2" t="n">
        <x:v>0</x:v>
      </x:c>
      <x:c r="V1514" s="2" t="n">
        <x:v>2</x:v>
      </x:c>
      <x:c r="W1514" s="2" t="n">
        <x:v>17</x:v>
      </x:c>
      <x:c r="X1514" s="14" t="b">
        <x:v>0</x:v>
      </x:c>
      <x:c r="Y1514" s="14" t="b">
        <x:v>0</x:v>
      </x:c>
      <x:c r="Z1514" s="2" t="n">
        <x:f>ABS(T1514-AA1514)</x:f>
        <x:v>0</x:v>
      </x:c>
      <x:c r="AA1514" s="2" t="n">
        <x:v>172</x:v>
      </x:c>
      <x:c r="AB1514" s="2" t="n">
        <x:f>ABS(K1514-W1514)</x:f>
        <x:v>1</x:v>
      </x:c>
      <x:c r="AC1514" s="2" t="n">
        <x:f>COUNTIF($A$2:$A$1921,A1514)-1</x:f>
        <x:v>0</x:v>
      </x:c>
      <x:c r="AD1514" s="2" t="n">
        <x:f>IF(AND(D1514=D1513,H1514=H1513,C1514=C1513+1),ABS(R1514-T1513),0)</x:f>
        <x:v>0</x:v>
      </x:c>
    </x:row>
    <x:row r="1515" ht="23" customHeight="1">
      <x:c r="A1515" s="2" t="str">
        <x:v>DEMO-401-3-14</x:v>
      </x:c>
      <x:c r="B1515" s="15" t="d">
        <x:v>2026-08-03T00:00:00.000Z</x:v>
      </x:c>
      <x:c r="C1515" s="2" t="n">
        <x:v>14</x:v>
      </x:c>
      <x:c r="D1515" s="2" t="str">
        <x:v>DEMO-401</x:v>
      </x:c>
      <x:c r="E1515" s="2" t="str">
        <x:v>Loop Pouch</x:v>
      </x:c>
      <x:c r="F1515" s="2" t="str">
        <x:v>Accessories</x:v>
      </x:c>
      <x:c r="G1515" s="2" t="str">
        <x:v>Online</x:v>
      </x:c>
      <x:c r="H1515" s="2" t="str">
        <x:v>Online</x:v>
      </x:c>
      <x:c r="I1515" s="2" t="n">
        <x:v>18</x:v>
      </x:c>
      <x:c r="J1515" s="2" t="n">
        <x:v>0</x:v>
      </x:c>
      <x:c r="K1515" s="2" t="n">
        <x:f>I1515-J1515</x:f>
        <x:v>18</x:v>
      </x:c>
      <x:c r="L1515" s="16" t="n">
        <x:v>16</x:v>
      </x:c>
      <x:c r="M1515" s="16" t="n">
        <x:v>16</x:v>
      </x:c>
      <x:c r="N1515" s="16" t="n">
        <x:v>5.76</x:v>
      </x:c>
      <x:c r="O1515" s="16" t="n">
        <x:f>K1515*M1515</x:f>
        <x:v>288</x:v>
      </x:c>
      <x:c r="P1515" s="16" t="n">
        <x:f>K1515*N1515</x:f>
        <x:v>103.67999999999999</x:v>
      </x:c>
      <x:c r="Q1515" s="16" t="n">
        <x:f>O1515-P1515</x:f>
        <x:v>184.32</x:v>
      </x:c>
      <x:c r="R1515" s="2" t="n">
        <x:v>172</x:v>
      </x:c>
      <x:c r="S1515" s="2" t="n">
        <x:v>0</x:v>
      </x:c>
      <x:c r="T1515" s="2" t="n">
        <x:f>R1515+S1515+J1515-I1515</x:f>
        <x:v>154</x:v>
      </x:c>
      <x:c r="U1515" s="2" t="n">
        <x:v>0</x:v>
      </x:c>
      <x:c r="V1515" s="2" t="n">
        <x:v>2</x:v>
      </x:c>
      <x:c r="W1515" s="2" t="n">
        <x:v>17</x:v>
      </x:c>
      <x:c r="X1515" s="14" t="b">
        <x:v>0</x:v>
      </x:c>
      <x:c r="Y1515" s="14" t="b">
        <x:v>0</x:v>
      </x:c>
      <x:c r="Z1515" s="2" t="n">
        <x:f>ABS(T1515-AA1515)</x:f>
        <x:v>0</x:v>
      </x:c>
      <x:c r="AA1515" s="2" t="n">
        <x:v>154</x:v>
      </x:c>
      <x:c r="AB1515" s="2" t="n">
        <x:f>ABS(K1515-W1515)</x:f>
        <x:v>1</x:v>
      </x:c>
      <x:c r="AC1515" s="2" t="n">
        <x:f>COUNTIF($A$2:$A$1921,A1515)-1</x:f>
        <x:v>0</x:v>
      </x:c>
      <x:c r="AD1515" s="2" t="n">
        <x:f>IF(AND(D1515=D1514,H1515=H1514,C1515=C1514+1),ABS(R1515-T1514),0)</x:f>
        <x:v>0</x:v>
      </x:c>
    </x:row>
    <x:row r="1516" ht="23" customHeight="1">
      <x:c r="A1516" s="2" t="str">
        <x:v>DEMO-401-3-15</x:v>
      </x:c>
      <x:c r="B1516" s="15" t="d">
        <x:v>2026-08-10T00:00:00.000Z</x:v>
      </x:c>
      <x:c r="C1516" s="2" t="n">
        <x:v>15</x:v>
      </x:c>
      <x:c r="D1516" s="2" t="str">
        <x:v>DEMO-401</x:v>
      </x:c>
      <x:c r="E1516" s="2" t="str">
        <x:v>Loop Pouch</x:v>
      </x:c>
      <x:c r="F1516" s="2" t="str">
        <x:v>Accessories</x:v>
      </x:c>
      <x:c r="G1516" s="2" t="str">
        <x:v>Online</x:v>
      </x:c>
      <x:c r="H1516" s="2" t="str">
        <x:v>Online</x:v>
      </x:c>
      <x:c r="I1516" s="2" t="n">
        <x:v>17</x:v>
      </x:c>
      <x:c r="J1516" s="2" t="n">
        <x:v>0</x:v>
      </x:c>
      <x:c r="K1516" s="2" t="n">
        <x:f>I1516-J1516</x:f>
        <x:v>17</x:v>
      </x:c>
      <x:c r="L1516" s="16" t="n">
        <x:v>16</x:v>
      </x:c>
      <x:c r="M1516" s="16" t="n">
        <x:v>16</x:v>
      </x:c>
      <x:c r="N1516" s="16" t="n">
        <x:v>5.76</x:v>
      </x:c>
      <x:c r="O1516" s="16" t="n">
        <x:f>K1516*M1516</x:f>
        <x:v>272</x:v>
      </x:c>
      <x:c r="P1516" s="16" t="n">
        <x:f>K1516*N1516</x:f>
        <x:v>97.92</x:v>
      </x:c>
      <x:c r="Q1516" s="16" t="n">
        <x:f>O1516-P1516</x:f>
        <x:v>174.07999999999998</x:v>
      </x:c>
      <x:c r="R1516" s="2" t="n">
        <x:v>154</x:v>
      </x:c>
      <x:c r="S1516" s="2" t="n">
        <x:v>0</x:v>
      </x:c>
      <x:c r="T1516" s="2" t="n">
        <x:f>R1516+S1516+J1516-I1516</x:f>
        <x:v>137</x:v>
      </x:c>
      <x:c r="U1516" s="2" t="n">
        <x:v>0</x:v>
      </x:c>
      <x:c r="V1516" s="2" t="n">
        <x:v>2</x:v>
      </x:c>
      <x:c r="W1516" s="2" t="n">
        <x:v>18</x:v>
      </x:c>
      <x:c r="X1516" s="14" t="b">
        <x:v>0</x:v>
      </x:c>
      <x:c r="Y1516" s="14" t="b">
        <x:v>0</x:v>
      </x:c>
      <x:c r="Z1516" s="2" t="n">
        <x:f>ABS(T1516-AA1516)</x:f>
        <x:v>0</x:v>
      </x:c>
      <x:c r="AA1516" s="2" t="n">
        <x:v>137</x:v>
      </x:c>
      <x:c r="AB1516" s="2" t="n">
        <x:f>ABS(K1516-W1516)</x:f>
        <x:v>1</x:v>
      </x:c>
      <x:c r="AC1516" s="2" t="n">
        <x:f>COUNTIF($A$2:$A$1921,A1516)-1</x:f>
        <x:v>0</x:v>
      </x:c>
      <x:c r="AD1516" s="2" t="n">
        <x:f>IF(AND(D1516=D1515,H1516=H1515,C1516=C1515+1),ABS(R1516-T1515),0)</x:f>
        <x:v>0</x:v>
      </x:c>
    </x:row>
    <x:row r="1517" ht="23" customHeight="1">
      <x:c r="A1517" s="2" t="str">
        <x:v>DEMO-401-3-16</x:v>
      </x:c>
      <x:c r="B1517" s="15" t="d">
        <x:v>2026-08-17T00:00:00.000Z</x:v>
      </x:c>
      <x:c r="C1517" s="2" t="n">
        <x:v>16</x:v>
      </x:c>
      <x:c r="D1517" s="2" t="str">
        <x:v>DEMO-401</x:v>
      </x:c>
      <x:c r="E1517" s="2" t="str">
        <x:v>Loop Pouch</x:v>
      </x:c>
      <x:c r="F1517" s="2" t="str">
        <x:v>Accessories</x:v>
      </x:c>
      <x:c r="G1517" s="2" t="str">
        <x:v>Online</x:v>
      </x:c>
      <x:c r="H1517" s="2" t="str">
        <x:v>Online</x:v>
      </x:c>
      <x:c r="I1517" s="2" t="n">
        <x:v>15</x:v>
      </x:c>
      <x:c r="J1517" s="2" t="n">
        <x:v>0</x:v>
      </x:c>
      <x:c r="K1517" s="2" t="n">
        <x:f>I1517-J1517</x:f>
        <x:v>15</x:v>
      </x:c>
      <x:c r="L1517" s="16" t="n">
        <x:v>16</x:v>
      </x:c>
      <x:c r="M1517" s="16" t="n">
        <x:v>16</x:v>
      </x:c>
      <x:c r="N1517" s="16" t="n">
        <x:v>5.76</x:v>
      </x:c>
      <x:c r="O1517" s="16" t="n">
        <x:f>K1517*M1517</x:f>
        <x:v>240</x:v>
      </x:c>
      <x:c r="P1517" s="16" t="n">
        <x:f>K1517*N1517</x:f>
        <x:v>86.39999999999999</x:v>
      </x:c>
      <x:c r="Q1517" s="16" t="n">
        <x:f>O1517-P1517</x:f>
        <x:v>153.60000000000002</x:v>
      </x:c>
      <x:c r="R1517" s="2" t="n">
        <x:v>137</x:v>
      </x:c>
      <x:c r="S1517" s="2" t="n">
        <x:v>0</x:v>
      </x:c>
      <x:c r="T1517" s="2" t="n">
        <x:f>R1517+S1517+J1517-I1517</x:f>
        <x:v>122</x:v>
      </x:c>
      <x:c r="U1517" s="2" t="n">
        <x:v>0</x:v>
      </x:c>
      <x:c r="V1517" s="2" t="n">
        <x:v>2</x:v>
      </x:c>
      <x:c r="W1517" s="2" t="n">
        <x:v>17</x:v>
      </x:c>
      <x:c r="X1517" s="14" t="b">
        <x:v>0</x:v>
      </x:c>
      <x:c r="Y1517" s="14" t="b">
        <x:v>0</x:v>
      </x:c>
      <x:c r="Z1517" s="2" t="n">
        <x:f>ABS(T1517-AA1517)</x:f>
        <x:v>0</x:v>
      </x:c>
      <x:c r="AA1517" s="2" t="n">
        <x:v>122</x:v>
      </x:c>
      <x:c r="AB1517" s="2" t="n">
        <x:f>ABS(K1517-W1517)</x:f>
        <x:v>2</x:v>
      </x:c>
      <x:c r="AC1517" s="2" t="n">
        <x:f>COUNTIF($A$2:$A$1921,A1517)-1</x:f>
        <x:v>0</x:v>
      </x:c>
      <x:c r="AD1517" s="2" t="n">
        <x:f>IF(AND(D1517=D1516,H1517=H1516,C1517=C1516+1),ABS(R1517-T1516),0)</x:f>
        <x:v>0</x:v>
      </x:c>
    </x:row>
    <x:row r="1518" ht="23" customHeight="1">
      <x:c r="A1518" s="2" t="str">
        <x:v>DEMO-401-3-17</x:v>
      </x:c>
      <x:c r="B1518" s="15" t="d">
        <x:v>2026-08-24T00:00:00.000Z</x:v>
      </x:c>
      <x:c r="C1518" s="2" t="n">
        <x:v>17</x:v>
      </x:c>
      <x:c r="D1518" s="2" t="str">
        <x:v>DEMO-401</x:v>
      </x:c>
      <x:c r="E1518" s="2" t="str">
        <x:v>Loop Pouch</x:v>
      </x:c>
      <x:c r="F1518" s="2" t="str">
        <x:v>Accessories</x:v>
      </x:c>
      <x:c r="G1518" s="2" t="str">
        <x:v>Online</x:v>
      </x:c>
      <x:c r="H1518" s="2" t="str">
        <x:v>Online</x:v>
      </x:c>
      <x:c r="I1518" s="2" t="n">
        <x:v>18</x:v>
      </x:c>
      <x:c r="J1518" s="2" t="n">
        <x:v>0</x:v>
      </x:c>
      <x:c r="K1518" s="2" t="n">
        <x:f>I1518-J1518</x:f>
        <x:v>18</x:v>
      </x:c>
      <x:c r="L1518" s="16" t="n">
        <x:v>16</x:v>
      </x:c>
      <x:c r="M1518" s="16" t="n">
        <x:v>16</x:v>
      </x:c>
      <x:c r="N1518" s="16" t="n">
        <x:v>5.76</x:v>
      </x:c>
      <x:c r="O1518" s="16" t="n">
        <x:f>K1518*M1518</x:f>
        <x:v>288</x:v>
      </x:c>
      <x:c r="P1518" s="16" t="n">
        <x:f>K1518*N1518</x:f>
        <x:v>103.67999999999999</x:v>
      </x:c>
      <x:c r="Q1518" s="16" t="n">
        <x:f>O1518-P1518</x:f>
        <x:v>184.32</x:v>
      </x:c>
      <x:c r="R1518" s="2" t="n">
        <x:v>122</x:v>
      </x:c>
      <x:c r="S1518" s="2" t="n">
        <x:v>79</x:v>
      </x:c>
      <x:c r="T1518" s="2" t="n">
        <x:f>R1518+S1518+J1518-I1518</x:f>
        <x:v>183</x:v>
      </x:c>
      <x:c r="U1518" s="2" t="n">
        <x:v>0</x:v>
      </x:c>
      <x:c r="V1518" s="2" t="n">
        <x:v>2</x:v>
      </x:c>
      <x:c r="W1518" s="2" t="n">
        <x:v>17</x:v>
      </x:c>
      <x:c r="X1518" s="14" t="b">
        <x:v>0</x:v>
      </x:c>
      <x:c r="Y1518" s="14" t="b">
        <x:v>0</x:v>
      </x:c>
      <x:c r="Z1518" s="2" t="n">
        <x:f>ABS(T1518-AA1518)</x:f>
        <x:v>0</x:v>
      </x:c>
      <x:c r="AA1518" s="2" t="n">
        <x:v>183</x:v>
      </x:c>
      <x:c r="AB1518" s="2" t="n">
        <x:f>ABS(K1518-W1518)</x:f>
        <x:v>1</x:v>
      </x:c>
      <x:c r="AC1518" s="2" t="n">
        <x:f>COUNTIF($A$2:$A$1921,A1518)-1</x:f>
        <x:v>0</x:v>
      </x:c>
      <x:c r="AD1518" s="2" t="n">
        <x:f>IF(AND(D1518=D1517,H1518=H1517,C1518=C1517+1),ABS(R1518-T1517),0)</x:f>
        <x:v>0</x:v>
      </x:c>
    </x:row>
    <x:row r="1519" ht="23" customHeight="1">
      <x:c r="A1519" s="2" t="str">
        <x:v>DEMO-401-3-18</x:v>
      </x:c>
      <x:c r="B1519" s="15" t="d">
        <x:v>2026-08-31T00:00:00.000Z</x:v>
      </x:c>
      <x:c r="C1519" s="2" t="n">
        <x:v>18</x:v>
      </x:c>
      <x:c r="D1519" s="2" t="str">
        <x:v>DEMO-401</x:v>
      </x:c>
      <x:c r="E1519" s="2" t="str">
        <x:v>Loop Pouch</x:v>
      </x:c>
      <x:c r="F1519" s="2" t="str">
        <x:v>Accessories</x:v>
      </x:c>
      <x:c r="G1519" s="2" t="str">
        <x:v>Online</x:v>
      </x:c>
      <x:c r="H1519" s="2" t="str">
        <x:v>Online</x:v>
      </x:c>
      <x:c r="I1519" s="2" t="n">
        <x:v>16</x:v>
      </x:c>
      <x:c r="J1519" s="2" t="n">
        <x:v>1</x:v>
      </x:c>
      <x:c r="K1519" s="2" t="n">
        <x:f>I1519-J1519</x:f>
        <x:v>15</x:v>
      </x:c>
      <x:c r="L1519" s="16" t="n">
        <x:v>16</x:v>
      </x:c>
      <x:c r="M1519" s="16" t="n">
        <x:v>16</x:v>
      </x:c>
      <x:c r="N1519" s="16" t="n">
        <x:v>5.76</x:v>
      </x:c>
      <x:c r="O1519" s="16" t="n">
        <x:f>K1519*M1519</x:f>
        <x:v>240</x:v>
      </x:c>
      <x:c r="P1519" s="16" t="n">
        <x:f>K1519*N1519</x:f>
        <x:v>86.39999999999999</x:v>
      </x:c>
      <x:c r="Q1519" s="16" t="n">
        <x:f>O1519-P1519</x:f>
        <x:v>153.60000000000002</x:v>
      </x:c>
      <x:c r="R1519" s="2" t="n">
        <x:v>183</x:v>
      </x:c>
      <x:c r="S1519" s="2" t="n">
        <x:v>0</x:v>
      </x:c>
      <x:c r="T1519" s="2" t="n">
        <x:f>R1519+S1519+J1519-I1519</x:f>
        <x:v>168</x:v>
      </x:c>
      <x:c r="U1519" s="2" t="n">
        <x:v>0</x:v>
      </x:c>
      <x:c r="V1519" s="2" t="n">
        <x:v>2</x:v>
      </x:c>
      <x:c r="W1519" s="2" t="n">
        <x:v>17</x:v>
      </x:c>
      <x:c r="X1519" s="14" t="b">
        <x:v>0</x:v>
      </x:c>
      <x:c r="Y1519" s="14" t="b">
        <x:v>0</x:v>
      </x:c>
      <x:c r="Z1519" s="2" t="n">
        <x:f>ABS(T1519-AA1519)</x:f>
        <x:v>0</x:v>
      </x:c>
      <x:c r="AA1519" s="2" t="n">
        <x:v>168</x:v>
      </x:c>
      <x:c r="AB1519" s="2" t="n">
        <x:f>ABS(K1519-W1519)</x:f>
        <x:v>2</x:v>
      </x:c>
      <x:c r="AC1519" s="2" t="n">
        <x:f>COUNTIF($A$2:$A$1921,A1519)-1</x:f>
        <x:v>0</x:v>
      </x:c>
      <x:c r="AD1519" s="2" t="n">
        <x:f>IF(AND(D1519=D1518,H1519=H1518,C1519=C1518+1),ABS(R1519-T1518),0)</x:f>
        <x:v>0</x:v>
      </x:c>
    </x:row>
    <x:row r="1520" ht="23" customHeight="1">
      <x:c r="A1520" s="2" t="str">
        <x:v>DEMO-401-3-19</x:v>
      </x:c>
      <x:c r="B1520" s="15" t="d">
        <x:v>2026-09-07T00:00:00.000Z</x:v>
      </x:c>
      <x:c r="C1520" s="2" t="n">
        <x:v>19</x:v>
      </x:c>
      <x:c r="D1520" s="2" t="str">
        <x:v>DEMO-401</x:v>
      </x:c>
      <x:c r="E1520" s="2" t="str">
        <x:v>Loop Pouch</x:v>
      </x:c>
      <x:c r="F1520" s="2" t="str">
        <x:v>Accessories</x:v>
      </x:c>
      <x:c r="G1520" s="2" t="str">
        <x:v>Online</x:v>
      </x:c>
      <x:c r="H1520" s="2" t="str">
        <x:v>Online</x:v>
      </x:c>
      <x:c r="I1520" s="2" t="n">
        <x:v>17</x:v>
      </x:c>
      <x:c r="J1520" s="2" t="n">
        <x:v>1</x:v>
      </x:c>
      <x:c r="K1520" s="2" t="n">
        <x:f>I1520-J1520</x:f>
        <x:v>16</x:v>
      </x:c>
      <x:c r="L1520" s="16" t="n">
        <x:v>16</x:v>
      </x:c>
      <x:c r="M1520" s="16" t="n">
        <x:v>16</x:v>
      </x:c>
      <x:c r="N1520" s="16" t="n">
        <x:v>5.76</x:v>
      </x:c>
      <x:c r="O1520" s="16" t="n">
        <x:f>K1520*M1520</x:f>
        <x:v>256</x:v>
      </x:c>
      <x:c r="P1520" s="16" t="n">
        <x:f>K1520*N1520</x:f>
        <x:v>92.16</x:v>
      </x:c>
      <x:c r="Q1520" s="16" t="n">
        <x:f>O1520-P1520</x:f>
        <x:v>163.84</x:v>
      </x:c>
      <x:c r="R1520" s="2" t="n">
        <x:v>168</x:v>
      </x:c>
      <x:c r="S1520" s="2" t="n">
        <x:v>0</x:v>
      </x:c>
      <x:c r="T1520" s="2" t="n">
        <x:f>R1520+S1520+J1520-I1520</x:f>
        <x:v>152</x:v>
      </x:c>
      <x:c r="U1520" s="2" t="n">
        <x:v>0</x:v>
      </x:c>
      <x:c r="V1520" s="2" t="n">
        <x:v>2</x:v>
      </x:c>
      <x:c r="W1520" s="2" t="n">
        <x:v>16</x:v>
      </x:c>
      <x:c r="X1520" s="14" t="b">
        <x:v>0</x:v>
      </x:c>
      <x:c r="Y1520" s="14" t="b">
        <x:v>0</x:v>
      </x:c>
      <x:c r="Z1520" s="2" t="n">
        <x:f>ABS(T1520-AA1520)</x:f>
        <x:v>0</x:v>
      </x:c>
      <x:c r="AA1520" s="2" t="n">
        <x:v>152</x:v>
      </x:c>
      <x:c r="AB1520" s="2" t="n">
        <x:f>ABS(K1520-W1520)</x:f>
        <x:v>0</x:v>
      </x:c>
      <x:c r="AC1520" s="2" t="n">
        <x:f>COUNTIF($A$2:$A$1921,A1520)-1</x:f>
        <x:v>0</x:v>
      </x:c>
      <x:c r="AD1520" s="2" t="n">
        <x:f>IF(AND(D1520=D1519,H1520=H1519,C1520=C1519+1),ABS(R1520-T1519),0)</x:f>
        <x:v>0</x:v>
      </x:c>
    </x:row>
    <x:row r="1521" ht="23" customHeight="1">
      <x:c r="A1521" s="2" t="str">
        <x:v>DEMO-401-3-20</x:v>
      </x:c>
      <x:c r="B1521" s="15" t="d">
        <x:v>2026-09-14T00:00:00.000Z</x:v>
      </x:c>
      <x:c r="C1521" s="2" t="n">
        <x:v>20</x:v>
      </x:c>
      <x:c r="D1521" s="2" t="str">
        <x:v>DEMO-401</x:v>
      </x:c>
      <x:c r="E1521" s="2" t="str">
        <x:v>Loop Pouch</x:v>
      </x:c>
      <x:c r="F1521" s="2" t="str">
        <x:v>Accessories</x:v>
      </x:c>
      <x:c r="G1521" s="2" t="str">
        <x:v>Online</x:v>
      </x:c>
      <x:c r="H1521" s="2" t="str">
        <x:v>Online</x:v>
      </x:c>
      <x:c r="I1521" s="2" t="n">
        <x:v>21</x:v>
      </x:c>
      <x:c r="J1521" s="2" t="n">
        <x:v>0</x:v>
      </x:c>
      <x:c r="K1521" s="2" t="n">
        <x:f>I1521-J1521</x:f>
        <x:v>21</x:v>
      </x:c>
      <x:c r="L1521" s="16" t="n">
        <x:v>16</x:v>
      </x:c>
      <x:c r="M1521" s="16" t="n">
        <x:v>16</x:v>
      </x:c>
      <x:c r="N1521" s="16" t="n">
        <x:v>5.76</x:v>
      </x:c>
      <x:c r="O1521" s="16" t="n">
        <x:f>K1521*M1521</x:f>
        <x:v>336</x:v>
      </x:c>
      <x:c r="P1521" s="16" t="n">
        <x:f>K1521*N1521</x:f>
        <x:v>120.96</x:v>
      </x:c>
      <x:c r="Q1521" s="16" t="n">
        <x:f>O1521-P1521</x:f>
        <x:v>215.04000000000002</x:v>
      </x:c>
      <x:c r="R1521" s="2" t="n">
        <x:v>152</x:v>
      </x:c>
      <x:c r="S1521" s="2" t="n">
        <x:v>0</x:v>
      </x:c>
      <x:c r="T1521" s="2" t="n">
        <x:f>R1521+S1521+J1521-I1521</x:f>
        <x:v>131</x:v>
      </x:c>
      <x:c r="U1521" s="2" t="n">
        <x:v>18</x:v>
      </x:c>
      <x:c r="V1521" s="2" t="n">
        <x:v>2</x:v>
      </x:c>
      <x:c r="W1521" s="2" t="n">
        <x:v>16</x:v>
      </x:c>
      <x:c r="X1521" s="14" t="b">
        <x:v>0</x:v>
      </x:c>
      <x:c r="Y1521" s="14" t="b">
        <x:v>0</x:v>
      </x:c>
      <x:c r="Z1521" s="2" t="n">
        <x:f>ABS(T1521-AA1521)</x:f>
        <x:v>0</x:v>
      </x:c>
      <x:c r="AA1521" s="2" t="n">
        <x:v>131</x:v>
      </x:c>
      <x:c r="AB1521" s="2" t="n">
        <x:f>ABS(K1521-W1521)</x:f>
        <x:v>5</x:v>
      </x:c>
      <x:c r="AC1521" s="2" t="n">
        <x:f>COUNTIF($A$2:$A$1921,A1521)-1</x:f>
        <x:v>0</x:v>
      </x:c>
      <x:c r="AD1521" s="2" t="n">
        <x:f>IF(AND(D1521=D1520,H1521=H1520,C1521=C1520+1),ABS(R1521-T1520),0)</x:f>
        <x:v>0</x:v>
      </x:c>
    </x:row>
    <x:row r="1522" ht="23" customHeight="1">
      <x:c r="A1522" s="2" t="str">
        <x:v>DEMO-402-0-1</x:v>
      </x:c>
      <x:c r="B1522" s="15" t="d">
        <x:v>2026-05-04T00:00:00.000Z</x:v>
      </x:c>
      <x:c r="C1522" s="2" t="n">
        <x:v>1</x:v>
      </x:c>
      <x:c r="D1522" s="2" t="str">
        <x:v>DEMO-402</x:v>
      </x:c>
      <x:c r="E1522" s="2" t="str">
        <x:v>Canvas Carryall</x:v>
      </x:c>
      <x:c r="F1522" s="2" t="str">
        <x:v>Accessories</x:v>
      </x:c>
      <x:c r="G1522" s="2" t="str">
        <x:v>Stores</x:v>
      </x:c>
      <x:c r="H1522" s="2" t="str">
        <x:v>North Arcade</x:v>
      </x:c>
      <x:c r="I1522" s="2" t="n">
        <x:v>15</x:v>
      </x:c>
      <x:c r="J1522" s="2" t="n">
        <x:v>1</x:v>
      </x:c>
      <x:c r="K1522" s="2" t="n">
        <x:f>I1522-J1522</x:f>
        <x:v>14</x:v>
      </x:c>
      <x:c r="L1522" s="16" t="n">
        <x:v>18</x:v>
      </x:c>
      <x:c r="M1522" s="16" t="n">
        <x:v>18</x:v>
      </x:c>
      <x:c r="N1522" s="16" t="n">
        <x:v>6.93</x:v>
      </x:c>
      <x:c r="O1522" s="16" t="n">
        <x:f>K1522*M1522</x:f>
        <x:v>252</x:v>
      </x:c>
      <x:c r="P1522" s="16" t="n">
        <x:f>K1522*N1522</x:f>
        <x:v>97.02</x:v>
      </x:c>
      <x:c r="Q1522" s="16" t="n">
        <x:f>O1522-P1522</x:f>
        <x:v>154.98000000000002</x:v>
      </x:c>
      <x:c r="R1522" s="2" t="n">
        <x:v>90</x:v>
      </x:c>
      <x:c r="S1522" s="2" t="n">
        <x:v>59</x:v>
      </x:c>
      <x:c r="T1522" s="2" t="n">
        <x:f>R1522+S1522+J1522-I1522</x:f>
        <x:v>135</x:v>
      </x:c>
      <x:c r="U1522" s="2" t="n">
        <x:v>0</x:v>
      </x:c>
      <x:c r="V1522" s="2" t="n">
        <x:v>3</x:v>
      </x:c>
      <x:c r="W1522" s="2" t="n">
        <x:v>14</x:v>
      </x:c>
      <x:c r="X1522" s="14" t="b">
        <x:v>0</x:v>
      </x:c>
      <x:c r="Y1522" s="14" t="b">
        <x:v>0</x:v>
      </x:c>
      <x:c r="Z1522" s="2" t="n">
        <x:f>ABS(T1522-AA1522)</x:f>
        <x:v>0</x:v>
      </x:c>
      <x:c r="AA1522" s="2" t="n">
        <x:v>135</x:v>
      </x:c>
      <x:c r="AB1522" s="2" t="n">
        <x:f>ABS(K1522-W1522)</x:f>
        <x:v>0</x:v>
      </x:c>
      <x:c r="AC1522" s="2" t="n">
        <x:f>COUNTIF($A$2:$A$1921,A1522)-1</x:f>
        <x:v>0</x:v>
      </x:c>
      <x:c r="AD1522" s="2" t="n">
        <x:f>IF(AND(D1522=D1521,H1522=H1521,C1522=C1521+1),ABS(R1522-T1521),0)</x:f>
        <x:v>0</x:v>
      </x:c>
    </x:row>
    <x:row r="1523" ht="23" customHeight="1">
      <x:c r="A1523" s="2" t="str">
        <x:v>DEMO-402-0-2</x:v>
      </x:c>
      <x:c r="B1523" s="15" t="d">
        <x:v>2026-05-11T00:00:00.000Z</x:v>
      </x:c>
      <x:c r="C1523" s="2" t="n">
        <x:v>2</x:v>
      </x:c>
      <x:c r="D1523" s="2" t="str">
        <x:v>DEMO-402</x:v>
      </x:c>
      <x:c r="E1523" s="2" t="str">
        <x:v>Canvas Carryall</x:v>
      </x:c>
      <x:c r="F1523" s="2" t="str">
        <x:v>Accessories</x:v>
      </x:c>
      <x:c r="G1523" s="2" t="str">
        <x:v>Stores</x:v>
      </x:c>
      <x:c r="H1523" s="2" t="str">
        <x:v>North Arcade</x:v>
      </x:c>
      <x:c r="I1523" s="2" t="n">
        <x:v>14</x:v>
      </x:c>
      <x:c r="J1523" s="2" t="n">
        <x:v>0</x:v>
      </x:c>
      <x:c r="K1523" s="2" t="n">
        <x:f>I1523-J1523</x:f>
        <x:v>14</x:v>
      </x:c>
      <x:c r="L1523" s="16" t="n">
        <x:v>18</x:v>
      </x:c>
      <x:c r="M1523" s="16" t="n">
        <x:v>18</x:v>
      </x:c>
      <x:c r="N1523" s="16" t="n">
        <x:v>6.93</x:v>
      </x:c>
      <x:c r="O1523" s="16" t="n">
        <x:f>K1523*M1523</x:f>
        <x:v>252</x:v>
      </x:c>
      <x:c r="P1523" s="16" t="n">
        <x:f>K1523*N1523</x:f>
        <x:v>97.02</x:v>
      </x:c>
      <x:c r="Q1523" s="16" t="n">
        <x:f>O1523-P1523</x:f>
        <x:v>154.98000000000002</x:v>
      </x:c>
      <x:c r="R1523" s="2" t="n">
        <x:v>135</x:v>
      </x:c>
      <x:c r="S1523" s="2" t="n">
        <x:v>0</x:v>
      </x:c>
      <x:c r="T1523" s="2" t="n">
        <x:f>R1523+S1523+J1523-I1523</x:f>
        <x:v>121</x:v>
      </x:c>
      <x:c r="U1523" s="2" t="n">
        <x:v>0</x:v>
      </x:c>
      <x:c r="V1523" s="2" t="n">
        <x:v>3</x:v>
      </x:c>
      <x:c r="W1523" s="2" t="n">
        <x:v>14</x:v>
      </x:c>
      <x:c r="X1523" s="14" t="b">
        <x:v>0</x:v>
      </x:c>
      <x:c r="Y1523" s="14" t="b">
        <x:v>0</x:v>
      </x:c>
      <x:c r="Z1523" s="2" t="n">
        <x:f>ABS(T1523-AA1523)</x:f>
        <x:v>0</x:v>
      </x:c>
      <x:c r="AA1523" s="2" t="n">
        <x:v>121</x:v>
      </x:c>
      <x:c r="AB1523" s="2" t="n">
        <x:f>ABS(K1523-W1523)</x:f>
        <x:v>0</x:v>
      </x:c>
      <x:c r="AC1523" s="2" t="n">
        <x:f>COUNTIF($A$2:$A$1921,A1523)-1</x:f>
        <x:v>0</x:v>
      </x:c>
      <x:c r="AD1523" s="2" t="n">
        <x:f>IF(AND(D1523=D1522,H1523=H1522,C1523=C1522+1),ABS(R1523-T1522),0)</x:f>
        <x:v>0</x:v>
      </x:c>
    </x:row>
    <x:row r="1524" ht="23" customHeight="1">
      <x:c r="A1524" s="2" t="str">
        <x:v>DEMO-402-0-3</x:v>
      </x:c>
      <x:c r="B1524" s="15" t="d">
        <x:v>2026-05-18T00:00:00.000Z</x:v>
      </x:c>
      <x:c r="C1524" s="2" t="n">
        <x:v>3</x:v>
      </x:c>
      <x:c r="D1524" s="2" t="str">
        <x:v>DEMO-402</x:v>
      </x:c>
      <x:c r="E1524" s="2" t="str">
        <x:v>Canvas Carryall</x:v>
      </x:c>
      <x:c r="F1524" s="2" t="str">
        <x:v>Accessories</x:v>
      </x:c>
      <x:c r="G1524" s="2" t="str">
        <x:v>Stores</x:v>
      </x:c>
      <x:c r="H1524" s="2" t="str">
        <x:v>North Arcade</x:v>
      </x:c>
      <x:c r="I1524" s="2" t="n">
        <x:v>12</x:v>
      </x:c>
      <x:c r="J1524" s="2" t="n">
        <x:v>0</x:v>
      </x:c>
      <x:c r="K1524" s="2" t="n">
        <x:f>I1524-J1524</x:f>
        <x:v>12</x:v>
      </x:c>
      <x:c r="L1524" s="16" t="n">
        <x:v>18</x:v>
      </x:c>
      <x:c r="M1524" s="16" t="n">
        <x:v>18</x:v>
      </x:c>
      <x:c r="N1524" s="16" t="n">
        <x:v>6.93</x:v>
      </x:c>
      <x:c r="O1524" s="16" t="n">
        <x:f>K1524*M1524</x:f>
        <x:v>216</x:v>
      </x:c>
      <x:c r="P1524" s="16" t="n">
        <x:f>K1524*N1524</x:f>
        <x:v>83.16</x:v>
      </x:c>
      <x:c r="Q1524" s="16" t="n">
        <x:f>O1524-P1524</x:f>
        <x:v>132.84</x:v>
      </x:c>
      <x:c r="R1524" s="2" t="n">
        <x:v>121</x:v>
      </x:c>
      <x:c r="S1524" s="2" t="n">
        <x:v>0</x:v>
      </x:c>
      <x:c r="T1524" s="2" t="n">
        <x:f>R1524+S1524+J1524-I1524</x:f>
        <x:v>109</x:v>
      </x:c>
      <x:c r="U1524" s="2" t="n">
        <x:v>0</x:v>
      </x:c>
      <x:c r="V1524" s="2" t="n">
        <x:v>3</x:v>
      </x:c>
      <x:c r="W1524" s="2" t="n">
        <x:v>14</x:v>
      </x:c>
      <x:c r="X1524" s="14" t="b">
        <x:v>0</x:v>
      </x:c>
      <x:c r="Y1524" s="14" t="b">
        <x:v>0</x:v>
      </x:c>
      <x:c r="Z1524" s="2" t="n">
        <x:f>ABS(T1524-AA1524)</x:f>
        <x:v>0</x:v>
      </x:c>
      <x:c r="AA1524" s="2" t="n">
        <x:v>109</x:v>
      </x:c>
      <x:c r="AB1524" s="2" t="n">
        <x:f>ABS(K1524-W1524)</x:f>
        <x:v>2</x:v>
      </x:c>
      <x:c r="AC1524" s="2" t="n">
        <x:f>COUNTIF($A$2:$A$1921,A1524)-1</x:f>
        <x:v>0</x:v>
      </x:c>
      <x:c r="AD1524" s="2" t="n">
        <x:f>IF(AND(D1524=D1523,H1524=H1523,C1524=C1523+1),ABS(R1524-T1523),0)</x:f>
        <x:v>0</x:v>
      </x:c>
    </x:row>
    <x:row r="1525" ht="23" customHeight="1">
      <x:c r="A1525" s="2" t="str">
        <x:v>DEMO-402-0-4</x:v>
      </x:c>
      <x:c r="B1525" s="15" t="d">
        <x:v>2026-05-25T00:00:00.000Z</x:v>
      </x:c>
      <x:c r="C1525" s="2" t="n">
        <x:v>4</x:v>
      </x:c>
      <x:c r="D1525" s="2" t="str">
        <x:v>DEMO-402</x:v>
      </x:c>
      <x:c r="E1525" s="2" t="str">
        <x:v>Canvas Carryall</x:v>
      </x:c>
      <x:c r="F1525" s="2" t="str">
        <x:v>Accessories</x:v>
      </x:c>
      <x:c r="G1525" s="2" t="str">
        <x:v>Stores</x:v>
      </x:c>
      <x:c r="H1525" s="2" t="str">
        <x:v>North Arcade</x:v>
      </x:c>
      <x:c r="I1525" s="2" t="n">
        <x:v>12</x:v>
      </x:c>
      <x:c r="J1525" s="2" t="n">
        <x:v>0</x:v>
      </x:c>
      <x:c r="K1525" s="2" t="n">
        <x:f>I1525-J1525</x:f>
        <x:v>12</x:v>
      </x:c>
      <x:c r="L1525" s="16" t="n">
        <x:v>18</x:v>
      </x:c>
      <x:c r="M1525" s="16" t="n">
        <x:v>18</x:v>
      </x:c>
      <x:c r="N1525" s="16" t="n">
        <x:v>6.93</x:v>
      </x:c>
      <x:c r="O1525" s="16" t="n">
        <x:f>K1525*M1525</x:f>
        <x:v>216</x:v>
      </x:c>
      <x:c r="P1525" s="16" t="n">
        <x:f>K1525*N1525</x:f>
        <x:v>83.16</x:v>
      </x:c>
      <x:c r="Q1525" s="16" t="n">
        <x:f>O1525-P1525</x:f>
        <x:v>132.84</x:v>
      </x:c>
      <x:c r="R1525" s="2" t="n">
        <x:v>109</x:v>
      </x:c>
      <x:c r="S1525" s="2" t="n">
        <x:v>0</x:v>
      </x:c>
      <x:c r="T1525" s="2" t="n">
        <x:f>R1525+S1525+J1525-I1525</x:f>
        <x:v>97</x:v>
      </x:c>
      <x:c r="U1525" s="2" t="n">
        <x:v>0</x:v>
      </x:c>
      <x:c r="V1525" s="2" t="n">
        <x:v>3</x:v>
      </x:c>
      <x:c r="W1525" s="2" t="n">
        <x:v>13</x:v>
      </x:c>
      <x:c r="X1525" s="14" t="b">
        <x:v>0</x:v>
      </x:c>
      <x:c r="Y1525" s="14" t="b">
        <x:v>0</x:v>
      </x:c>
      <x:c r="Z1525" s="2" t="n">
        <x:f>ABS(T1525-AA1525)</x:f>
        <x:v>0</x:v>
      </x:c>
      <x:c r="AA1525" s="2" t="n">
        <x:v>97</x:v>
      </x:c>
      <x:c r="AB1525" s="2" t="n">
        <x:f>ABS(K1525-W1525)</x:f>
        <x:v>1</x:v>
      </x:c>
      <x:c r="AC1525" s="2" t="n">
        <x:f>COUNTIF($A$2:$A$1921,A1525)-1</x:f>
        <x:v>0</x:v>
      </x:c>
      <x:c r="AD1525" s="2" t="n">
        <x:f>IF(AND(D1525=D1524,H1525=H1524,C1525=C1524+1),ABS(R1525-T1524),0)</x:f>
        <x:v>0</x:v>
      </x:c>
    </x:row>
    <x:row r="1526" ht="23" customHeight="1">
      <x:c r="A1526" s="2" t="str">
        <x:v>DEMO-402-0-5</x:v>
      </x:c>
      <x:c r="B1526" s="15" t="d">
        <x:v>2026-06-01T00:00:00.000Z</x:v>
      </x:c>
      <x:c r="C1526" s="2" t="n">
        <x:v>5</x:v>
      </x:c>
      <x:c r="D1526" s="2" t="str">
        <x:v>DEMO-402</x:v>
      </x:c>
      <x:c r="E1526" s="2" t="str">
        <x:v>Canvas Carryall</x:v>
      </x:c>
      <x:c r="F1526" s="2" t="str">
        <x:v>Accessories</x:v>
      </x:c>
      <x:c r="G1526" s="2" t="str">
        <x:v>Stores</x:v>
      </x:c>
      <x:c r="H1526" s="2" t="str">
        <x:v>North Arcade</x:v>
      </x:c>
      <x:c r="I1526" s="2" t="n">
        <x:v>16</x:v>
      </x:c>
      <x:c r="J1526" s="2" t="n">
        <x:v>0</x:v>
      </x:c>
      <x:c r="K1526" s="2" t="n">
        <x:f>I1526-J1526</x:f>
        <x:v>16</x:v>
      </x:c>
      <x:c r="L1526" s="16" t="n">
        <x:v>18</x:v>
      </x:c>
      <x:c r="M1526" s="16" t="n">
        <x:v>18</x:v>
      </x:c>
      <x:c r="N1526" s="16" t="n">
        <x:v>6.93</x:v>
      </x:c>
      <x:c r="O1526" s="16" t="n">
        <x:f>K1526*M1526</x:f>
        <x:v>288</x:v>
      </x:c>
      <x:c r="P1526" s="16" t="n">
        <x:f>K1526*N1526</x:f>
        <x:v>110.88</x:v>
      </x:c>
      <x:c r="Q1526" s="16" t="n">
        <x:f>O1526-P1526</x:f>
        <x:v>177.12</x:v>
      </x:c>
      <x:c r="R1526" s="2" t="n">
        <x:v>97</x:v>
      </x:c>
      <x:c r="S1526" s="2" t="n">
        <x:v>59</x:v>
      </x:c>
      <x:c r="T1526" s="2" t="n">
        <x:f>R1526+S1526+J1526-I1526</x:f>
        <x:v>140</x:v>
      </x:c>
      <x:c r="U1526" s="2" t="n">
        <x:v>0</x:v>
      </x:c>
      <x:c r="V1526" s="2" t="n">
        <x:v>3</x:v>
      </x:c>
      <x:c r="W1526" s="2" t="n">
        <x:v>13</x:v>
      </x:c>
      <x:c r="X1526" s="14" t="b">
        <x:v>0</x:v>
      </x:c>
      <x:c r="Y1526" s="14" t="b">
        <x:v>0</x:v>
      </x:c>
      <x:c r="Z1526" s="2" t="n">
        <x:f>ABS(T1526-AA1526)</x:f>
        <x:v>0</x:v>
      </x:c>
      <x:c r="AA1526" s="2" t="n">
        <x:v>140</x:v>
      </x:c>
      <x:c r="AB1526" s="2" t="n">
        <x:f>ABS(K1526-W1526)</x:f>
        <x:v>3</x:v>
      </x:c>
      <x:c r="AC1526" s="2" t="n">
        <x:f>COUNTIF($A$2:$A$1921,A1526)-1</x:f>
        <x:v>0</x:v>
      </x:c>
      <x:c r="AD1526" s="2" t="n">
        <x:f>IF(AND(D1526=D1525,H1526=H1525,C1526=C1525+1),ABS(R1526-T1525),0)</x:f>
        <x:v>0</x:v>
      </x:c>
    </x:row>
    <x:row r="1527" ht="23" customHeight="1">
      <x:c r="A1527" s="2" t="str">
        <x:v>DEMO-402-0-6</x:v>
      </x:c>
      <x:c r="B1527" s="15" t="d">
        <x:v>2026-06-08T00:00:00.000Z</x:v>
      </x:c>
      <x:c r="C1527" s="2" t="n">
        <x:v>6</x:v>
      </x:c>
      <x:c r="D1527" s="2" t="str">
        <x:v>DEMO-402</x:v>
      </x:c>
      <x:c r="E1527" s="2" t="str">
        <x:v>Canvas Carryall</x:v>
      </x:c>
      <x:c r="F1527" s="2" t="str">
        <x:v>Accessories</x:v>
      </x:c>
      <x:c r="G1527" s="2" t="str">
        <x:v>Stores</x:v>
      </x:c>
      <x:c r="H1527" s="2" t="str">
        <x:v>North Arcade</x:v>
      </x:c>
      <x:c r="I1527" s="2" t="n">
        <x:v>12</x:v>
      </x:c>
      <x:c r="J1527" s="2" t="n">
        <x:v>0</x:v>
      </x:c>
      <x:c r="K1527" s="2" t="n">
        <x:f>I1527-J1527</x:f>
        <x:v>12</x:v>
      </x:c>
      <x:c r="L1527" s="16" t="n">
        <x:v>18</x:v>
      </x:c>
      <x:c r="M1527" s="16" t="n">
        <x:v>18</x:v>
      </x:c>
      <x:c r="N1527" s="16" t="n">
        <x:v>6.93</x:v>
      </x:c>
      <x:c r="O1527" s="16" t="n">
        <x:f>K1527*M1527</x:f>
        <x:v>216</x:v>
      </x:c>
      <x:c r="P1527" s="16" t="n">
        <x:f>K1527*N1527</x:f>
        <x:v>83.16</x:v>
      </x:c>
      <x:c r="Q1527" s="16" t="n">
        <x:f>O1527-P1527</x:f>
        <x:v>132.84</x:v>
      </x:c>
      <x:c r="R1527" s="2" t="n">
        <x:v>140</x:v>
      </x:c>
      <x:c r="S1527" s="2" t="n">
        <x:v>0</x:v>
      </x:c>
      <x:c r="T1527" s="2" t="n">
        <x:f>R1527+S1527+J1527-I1527</x:f>
        <x:v>128</x:v>
      </x:c>
      <x:c r="U1527" s="2" t="n">
        <x:v>0</x:v>
      </x:c>
      <x:c r="V1527" s="2" t="n">
        <x:v>3</x:v>
      </x:c>
      <x:c r="W1527" s="2" t="n">
        <x:v>14</x:v>
      </x:c>
      <x:c r="X1527" s="14" t="b">
        <x:v>0</x:v>
      </x:c>
      <x:c r="Y1527" s="14" t="b">
        <x:v>0</x:v>
      </x:c>
      <x:c r="Z1527" s="2" t="n">
        <x:f>ABS(T1527-AA1527)</x:f>
        <x:v>0</x:v>
      </x:c>
      <x:c r="AA1527" s="2" t="n">
        <x:v>128</x:v>
      </x:c>
      <x:c r="AB1527" s="2" t="n">
        <x:f>ABS(K1527-W1527)</x:f>
        <x:v>2</x:v>
      </x:c>
      <x:c r="AC1527" s="2" t="n">
        <x:f>COUNTIF($A$2:$A$1921,A1527)-1</x:f>
        <x:v>0</x:v>
      </x:c>
      <x:c r="AD1527" s="2" t="n">
        <x:f>IF(AND(D1527=D1526,H1527=H1526,C1527=C1526+1),ABS(R1527-T1526),0)</x:f>
        <x:v>0</x:v>
      </x:c>
    </x:row>
    <x:row r="1528" ht="23" customHeight="1">
      <x:c r="A1528" s="2" t="str">
        <x:v>DEMO-402-0-7</x:v>
      </x:c>
      <x:c r="B1528" s="15" t="d">
        <x:v>2026-06-15T00:00:00.000Z</x:v>
      </x:c>
      <x:c r="C1528" s="2" t="n">
        <x:v>7</x:v>
      </x:c>
      <x:c r="D1528" s="2" t="str">
        <x:v>DEMO-402</x:v>
      </x:c>
      <x:c r="E1528" s="2" t="str">
        <x:v>Canvas Carryall</x:v>
      </x:c>
      <x:c r="F1528" s="2" t="str">
        <x:v>Accessories</x:v>
      </x:c>
      <x:c r="G1528" s="2" t="str">
        <x:v>Stores</x:v>
      </x:c>
      <x:c r="H1528" s="2" t="str">
        <x:v>North Arcade</x:v>
      </x:c>
      <x:c r="I1528" s="2" t="n">
        <x:v>13</x:v>
      </x:c>
      <x:c r="J1528" s="2" t="n">
        <x:v>0</x:v>
      </x:c>
      <x:c r="K1528" s="2" t="n">
        <x:f>I1528-J1528</x:f>
        <x:v>13</x:v>
      </x:c>
      <x:c r="L1528" s="16" t="n">
        <x:v>18</x:v>
      </x:c>
      <x:c r="M1528" s="16" t="n">
        <x:v>18</x:v>
      </x:c>
      <x:c r="N1528" s="16" t="n">
        <x:v>6.93</x:v>
      </x:c>
      <x:c r="O1528" s="16" t="n">
        <x:f>K1528*M1528</x:f>
        <x:v>234</x:v>
      </x:c>
      <x:c r="P1528" s="16" t="n">
        <x:f>K1528*N1528</x:f>
        <x:v>90.09</x:v>
      </x:c>
      <x:c r="Q1528" s="16" t="n">
        <x:f>O1528-P1528</x:f>
        <x:v>143.91</x:v>
      </x:c>
      <x:c r="R1528" s="2" t="n">
        <x:v>128</x:v>
      </x:c>
      <x:c r="S1528" s="2" t="n">
        <x:v>0</x:v>
      </x:c>
      <x:c r="T1528" s="2" t="n">
        <x:f>R1528+S1528+J1528-I1528</x:f>
        <x:v>115</x:v>
      </x:c>
      <x:c r="U1528" s="2" t="n">
        <x:v>0</x:v>
      </x:c>
      <x:c r="V1528" s="2" t="n">
        <x:v>3</x:v>
      </x:c>
      <x:c r="W1528" s="2" t="n">
        <x:v>13</x:v>
      </x:c>
      <x:c r="X1528" s="14" t="b">
        <x:v>0</x:v>
      </x:c>
      <x:c r="Y1528" s="14" t="b">
        <x:v>0</x:v>
      </x:c>
      <x:c r="Z1528" s="2" t="n">
        <x:f>ABS(T1528-AA1528)</x:f>
        <x:v>0</x:v>
      </x:c>
      <x:c r="AA1528" s="2" t="n">
        <x:v>115</x:v>
      </x:c>
      <x:c r="AB1528" s="2" t="n">
        <x:f>ABS(K1528-W1528)</x:f>
        <x:v>0</x:v>
      </x:c>
      <x:c r="AC1528" s="2" t="n">
        <x:f>COUNTIF($A$2:$A$1921,A1528)-1</x:f>
        <x:v>0</x:v>
      </x:c>
      <x:c r="AD1528" s="2" t="n">
        <x:f>IF(AND(D1528=D1527,H1528=H1527,C1528=C1527+1),ABS(R1528-T1527),0)</x:f>
        <x:v>0</x:v>
      </x:c>
    </x:row>
    <x:row r="1529" ht="23" customHeight="1">
      <x:c r="A1529" s="2" t="str">
        <x:v>DEMO-402-0-8</x:v>
      </x:c>
      <x:c r="B1529" s="15" t="d">
        <x:v>2026-06-22T00:00:00.000Z</x:v>
      </x:c>
      <x:c r="C1529" s="2" t="n">
        <x:v>8</x:v>
      </x:c>
      <x:c r="D1529" s="2" t="str">
        <x:v>DEMO-402</x:v>
      </x:c>
      <x:c r="E1529" s="2" t="str">
        <x:v>Canvas Carryall</x:v>
      </x:c>
      <x:c r="F1529" s="2" t="str">
        <x:v>Accessories</x:v>
      </x:c>
      <x:c r="G1529" s="2" t="str">
        <x:v>Stores</x:v>
      </x:c>
      <x:c r="H1529" s="2" t="str">
        <x:v>North Arcade</x:v>
      </x:c>
      <x:c r="I1529" s="2" t="n">
        <x:v>12</x:v>
      </x:c>
      <x:c r="J1529" s="2" t="n">
        <x:v>0</x:v>
      </x:c>
      <x:c r="K1529" s="2" t="n">
        <x:f>I1529-J1529</x:f>
        <x:v>12</x:v>
      </x:c>
      <x:c r="L1529" s="16" t="n">
        <x:v>18</x:v>
      </x:c>
      <x:c r="M1529" s="16" t="n">
        <x:v>18</x:v>
      </x:c>
      <x:c r="N1529" s="16" t="n">
        <x:v>6.93</x:v>
      </x:c>
      <x:c r="O1529" s="16" t="n">
        <x:f>K1529*M1529</x:f>
        <x:v>216</x:v>
      </x:c>
      <x:c r="P1529" s="16" t="n">
        <x:f>K1529*N1529</x:f>
        <x:v>83.16</x:v>
      </x:c>
      <x:c r="Q1529" s="16" t="n">
        <x:f>O1529-P1529</x:f>
        <x:v>132.84</x:v>
      </x:c>
      <x:c r="R1529" s="2" t="n">
        <x:v>115</x:v>
      </x:c>
      <x:c r="S1529" s="2" t="n">
        <x:v>0</x:v>
      </x:c>
      <x:c r="T1529" s="2" t="n">
        <x:f>R1529+S1529+J1529-I1529</x:f>
        <x:v>103</x:v>
      </x:c>
      <x:c r="U1529" s="2" t="n">
        <x:v>0</x:v>
      </x:c>
      <x:c r="V1529" s="2" t="n">
        <x:v>3</x:v>
      </x:c>
      <x:c r="W1529" s="2" t="n">
        <x:v>13</x:v>
      </x:c>
      <x:c r="X1529" s="14" t="b">
        <x:v>0</x:v>
      </x:c>
      <x:c r="Y1529" s="14" t="b">
        <x:v>0</x:v>
      </x:c>
      <x:c r="Z1529" s="2" t="n">
        <x:f>ABS(T1529-AA1529)</x:f>
        <x:v>0</x:v>
      </x:c>
      <x:c r="AA1529" s="2" t="n">
        <x:v>103</x:v>
      </x:c>
      <x:c r="AB1529" s="2" t="n">
        <x:f>ABS(K1529-W1529)</x:f>
        <x:v>1</x:v>
      </x:c>
      <x:c r="AC1529" s="2" t="n">
        <x:f>COUNTIF($A$2:$A$1921,A1529)-1</x:f>
        <x:v>0</x:v>
      </x:c>
      <x:c r="AD1529" s="2" t="n">
        <x:f>IF(AND(D1529=D1528,H1529=H1528,C1529=C1528+1),ABS(R1529-T1528),0)</x:f>
        <x:v>0</x:v>
      </x:c>
    </x:row>
    <x:row r="1530" ht="23" customHeight="1">
      <x:c r="A1530" s="2" t="str">
        <x:v>DEMO-402-0-9</x:v>
      </x:c>
      <x:c r="B1530" s="15" t="d">
        <x:v>2026-06-29T00:00:00.000Z</x:v>
      </x:c>
      <x:c r="C1530" s="2" t="n">
        <x:v>9</x:v>
      </x:c>
      <x:c r="D1530" s="2" t="str">
        <x:v>DEMO-402</x:v>
      </x:c>
      <x:c r="E1530" s="2" t="str">
        <x:v>Canvas Carryall</x:v>
      </x:c>
      <x:c r="F1530" s="2" t="str">
        <x:v>Accessories</x:v>
      </x:c>
      <x:c r="G1530" s="2" t="str">
        <x:v>Stores</x:v>
      </x:c>
      <x:c r="H1530" s="2" t="str">
        <x:v>North Arcade</x:v>
      </x:c>
      <x:c r="I1530" s="2" t="n">
        <x:v>17</x:v>
      </x:c>
      <x:c r="J1530" s="2" t="n">
        <x:v>0</x:v>
      </x:c>
      <x:c r="K1530" s="2" t="n">
        <x:f>I1530-J1530</x:f>
        <x:v>17</x:v>
      </x:c>
      <x:c r="L1530" s="16" t="n">
        <x:v>18</x:v>
      </x:c>
      <x:c r="M1530" s="16" t="n">
        <x:v>18</x:v>
      </x:c>
      <x:c r="N1530" s="16" t="n">
        <x:v>6.93</x:v>
      </x:c>
      <x:c r="O1530" s="16" t="n">
        <x:f>K1530*M1530</x:f>
        <x:v>306</x:v>
      </x:c>
      <x:c r="P1530" s="16" t="n">
        <x:f>K1530*N1530</x:f>
        <x:v>117.81</x:v>
      </x:c>
      <x:c r="Q1530" s="16" t="n">
        <x:f>O1530-P1530</x:f>
        <x:v>188.19</x:v>
      </x:c>
      <x:c r="R1530" s="2" t="n">
        <x:v>103</x:v>
      </x:c>
      <x:c r="S1530" s="2" t="n">
        <x:v>59</x:v>
      </x:c>
      <x:c r="T1530" s="2" t="n">
        <x:f>R1530+S1530+J1530-I1530</x:f>
        <x:v>145</x:v>
      </x:c>
      <x:c r="U1530" s="2" t="n">
        <x:v>0</x:v>
      </x:c>
      <x:c r="V1530" s="2" t="n">
        <x:v>3</x:v>
      </x:c>
      <x:c r="W1530" s="2" t="n">
        <x:v>13</x:v>
      </x:c>
      <x:c r="X1530" s="14" t="b">
        <x:v>0</x:v>
      </x:c>
      <x:c r="Y1530" s="14" t="b">
        <x:v>0</x:v>
      </x:c>
      <x:c r="Z1530" s="2" t="n">
        <x:f>ABS(T1530-AA1530)</x:f>
        <x:v>0</x:v>
      </x:c>
      <x:c r="AA1530" s="2" t="n">
        <x:v>145</x:v>
      </x:c>
      <x:c r="AB1530" s="2" t="n">
        <x:f>ABS(K1530-W1530)</x:f>
        <x:v>4</x:v>
      </x:c>
      <x:c r="AC1530" s="2" t="n">
        <x:f>COUNTIF($A$2:$A$1921,A1530)-1</x:f>
        <x:v>0</x:v>
      </x:c>
      <x:c r="AD1530" s="2" t="n">
        <x:f>IF(AND(D1530=D1529,H1530=H1529,C1530=C1529+1),ABS(R1530-T1529),0)</x:f>
        <x:v>0</x:v>
      </x:c>
    </x:row>
    <x:row r="1531" ht="23" customHeight="1">
      <x:c r="A1531" s="2" t="str">
        <x:v>DEMO-402-0-10</x:v>
      </x:c>
      <x:c r="B1531" s="15" t="d">
        <x:v>2026-07-06T00:00:00.000Z</x:v>
      </x:c>
      <x:c r="C1531" s="2" t="n">
        <x:v>10</x:v>
      </x:c>
      <x:c r="D1531" s="2" t="str">
        <x:v>DEMO-402</x:v>
      </x:c>
      <x:c r="E1531" s="2" t="str">
        <x:v>Canvas Carryall</x:v>
      </x:c>
      <x:c r="F1531" s="2" t="str">
        <x:v>Accessories</x:v>
      </x:c>
      <x:c r="G1531" s="2" t="str">
        <x:v>Stores</x:v>
      </x:c>
      <x:c r="H1531" s="2" t="str">
        <x:v>North Arcade</x:v>
      </x:c>
      <x:c r="I1531" s="2" t="n">
        <x:v>13</x:v>
      </x:c>
      <x:c r="J1531" s="2" t="n">
        <x:v>0</x:v>
      </x:c>
      <x:c r="K1531" s="2" t="n">
        <x:f>I1531-J1531</x:f>
        <x:v>13</x:v>
      </x:c>
      <x:c r="L1531" s="16" t="n">
        <x:v>18</x:v>
      </x:c>
      <x:c r="M1531" s="16" t="n">
        <x:v>18</x:v>
      </x:c>
      <x:c r="N1531" s="16" t="n">
        <x:v>6.93</x:v>
      </x:c>
      <x:c r="O1531" s="16" t="n">
        <x:f>K1531*M1531</x:f>
        <x:v>234</x:v>
      </x:c>
      <x:c r="P1531" s="16" t="n">
        <x:f>K1531*N1531</x:f>
        <x:v>90.09</x:v>
      </x:c>
      <x:c r="Q1531" s="16" t="n">
        <x:f>O1531-P1531</x:f>
        <x:v>143.91</x:v>
      </x:c>
      <x:c r="R1531" s="2" t="n">
        <x:v>145</x:v>
      </x:c>
      <x:c r="S1531" s="2" t="n">
        <x:v>0</x:v>
      </x:c>
      <x:c r="T1531" s="2" t="n">
        <x:f>R1531+S1531+J1531-I1531</x:f>
        <x:v>132</x:v>
      </x:c>
      <x:c r="U1531" s="2" t="n">
        <x:v>0</x:v>
      </x:c>
      <x:c r="V1531" s="2" t="n">
        <x:v>3</x:v>
      </x:c>
      <x:c r="W1531" s="2" t="n">
        <x:v>14</x:v>
      </x:c>
      <x:c r="X1531" s="14" t="b">
        <x:v>0</x:v>
      </x:c>
      <x:c r="Y1531" s="14" t="b">
        <x:v>0</x:v>
      </x:c>
      <x:c r="Z1531" s="2" t="n">
        <x:f>ABS(T1531-AA1531)</x:f>
        <x:v>0</x:v>
      </x:c>
      <x:c r="AA1531" s="2" t="n">
        <x:v>132</x:v>
      </x:c>
      <x:c r="AB1531" s="2" t="n">
        <x:f>ABS(K1531-W1531)</x:f>
        <x:v>1</x:v>
      </x:c>
      <x:c r="AC1531" s="2" t="n">
        <x:f>COUNTIF($A$2:$A$1921,A1531)-1</x:f>
        <x:v>0</x:v>
      </x:c>
      <x:c r="AD1531" s="2" t="n">
        <x:f>IF(AND(D1531=D1530,H1531=H1530,C1531=C1530+1),ABS(R1531-T1530),0)</x:f>
        <x:v>0</x:v>
      </x:c>
    </x:row>
    <x:row r="1532" ht="23" customHeight="1">
      <x:c r="A1532" s="2" t="str">
        <x:v>DEMO-402-0-11</x:v>
      </x:c>
      <x:c r="B1532" s="15" t="d">
        <x:v>2026-07-13T00:00:00.000Z</x:v>
      </x:c>
      <x:c r="C1532" s="2" t="n">
        <x:v>11</x:v>
      </x:c>
      <x:c r="D1532" s="2" t="str">
        <x:v>DEMO-402</x:v>
      </x:c>
      <x:c r="E1532" s="2" t="str">
        <x:v>Canvas Carryall</x:v>
      </x:c>
      <x:c r="F1532" s="2" t="str">
        <x:v>Accessories</x:v>
      </x:c>
      <x:c r="G1532" s="2" t="str">
        <x:v>Stores</x:v>
      </x:c>
      <x:c r="H1532" s="2" t="str">
        <x:v>North Arcade</x:v>
      </x:c>
      <x:c r="I1532" s="2" t="n">
        <x:v>14</x:v>
      </x:c>
      <x:c r="J1532" s="2" t="n">
        <x:v>0</x:v>
      </x:c>
      <x:c r="K1532" s="2" t="n">
        <x:f>I1532-J1532</x:f>
        <x:v>14</x:v>
      </x:c>
      <x:c r="L1532" s="16" t="n">
        <x:v>18</x:v>
      </x:c>
      <x:c r="M1532" s="16" t="n">
        <x:v>18</x:v>
      </x:c>
      <x:c r="N1532" s="16" t="n">
        <x:v>6.93</x:v>
      </x:c>
      <x:c r="O1532" s="16" t="n">
        <x:f>K1532*M1532</x:f>
        <x:v>252</x:v>
      </x:c>
      <x:c r="P1532" s="16" t="n">
        <x:f>K1532*N1532</x:f>
        <x:v>97.02</x:v>
      </x:c>
      <x:c r="Q1532" s="16" t="n">
        <x:f>O1532-P1532</x:f>
        <x:v>154.98000000000002</x:v>
      </x:c>
      <x:c r="R1532" s="2" t="n">
        <x:v>132</x:v>
      </x:c>
      <x:c r="S1532" s="2" t="n">
        <x:v>0</x:v>
      </x:c>
      <x:c r="T1532" s="2" t="n">
        <x:f>R1532+S1532+J1532-I1532</x:f>
        <x:v>118</x:v>
      </x:c>
      <x:c r="U1532" s="2" t="n">
        <x:v>0</x:v>
      </x:c>
      <x:c r="V1532" s="2" t="n">
        <x:v>3</x:v>
      </x:c>
      <x:c r="W1532" s="2" t="n">
        <x:v>14</x:v>
      </x:c>
      <x:c r="X1532" s="14" t="b">
        <x:v>0</x:v>
      </x:c>
      <x:c r="Y1532" s="14" t="b">
        <x:v>0</x:v>
      </x:c>
      <x:c r="Z1532" s="2" t="n">
        <x:f>ABS(T1532-AA1532)</x:f>
        <x:v>0</x:v>
      </x:c>
      <x:c r="AA1532" s="2" t="n">
        <x:v>118</x:v>
      </x:c>
      <x:c r="AB1532" s="2" t="n">
        <x:f>ABS(K1532-W1532)</x:f>
        <x:v>0</x:v>
      </x:c>
      <x:c r="AC1532" s="2" t="n">
        <x:f>COUNTIF($A$2:$A$1921,A1532)-1</x:f>
        <x:v>0</x:v>
      </x:c>
      <x:c r="AD1532" s="2" t="n">
        <x:f>IF(AND(D1532=D1531,H1532=H1531,C1532=C1531+1),ABS(R1532-T1531),0)</x:f>
        <x:v>0</x:v>
      </x:c>
    </x:row>
    <x:row r="1533" ht="23" customHeight="1">
      <x:c r="A1533" s="2" t="str">
        <x:v>DEMO-402-0-12</x:v>
      </x:c>
      <x:c r="B1533" s="15" t="d">
        <x:v>2026-07-20T00:00:00.000Z</x:v>
      </x:c>
      <x:c r="C1533" s="2" t="n">
        <x:v>12</x:v>
      </x:c>
      <x:c r="D1533" s="2" t="str">
        <x:v>DEMO-402</x:v>
      </x:c>
      <x:c r="E1533" s="2" t="str">
        <x:v>Canvas Carryall</x:v>
      </x:c>
      <x:c r="F1533" s="2" t="str">
        <x:v>Accessories</x:v>
      </x:c>
      <x:c r="G1533" s="2" t="str">
        <x:v>Stores</x:v>
      </x:c>
      <x:c r="H1533" s="2" t="str">
        <x:v>North Arcade</x:v>
      </x:c>
      <x:c r="I1533" s="2" t="n">
        <x:v>11</x:v>
      </x:c>
      <x:c r="J1533" s="2" t="n">
        <x:v>0</x:v>
      </x:c>
      <x:c r="K1533" s="2" t="n">
        <x:f>I1533-J1533</x:f>
        <x:v>11</x:v>
      </x:c>
      <x:c r="L1533" s="16" t="n">
        <x:v>18</x:v>
      </x:c>
      <x:c r="M1533" s="16" t="n">
        <x:v>18</x:v>
      </x:c>
      <x:c r="N1533" s="16" t="n">
        <x:v>6.93</x:v>
      </x:c>
      <x:c r="O1533" s="16" t="n">
        <x:f>K1533*M1533</x:f>
        <x:v>198</x:v>
      </x:c>
      <x:c r="P1533" s="16" t="n">
        <x:f>K1533*N1533</x:f>
        <x:v>76.22999999999999</x:v>
      </x:c>
      <x:c r="Q1533" s="16" t="n">
        <x:f>O1533-P1533</x:f>
        <x:v>121.77000000000001</x:v>
      </x:c>
      <x:c r="R1533" s="2" t="n">
        <x:v>118</x:v>
      </x:c>
      <x:c r="S1533" s="2" t="n">
        <x:v>0</x:v>
      </x:c>
      <x:c r="T1533" s="2" t="n">
        <x:f>R1533+S1533+J1533-I1533</x:f>
        <x:v>107</x:v>
      </x:c>
      <x:c r="U1533" s="2" t="n">
        <x:v>0</x:v>
      </x:c>
      <x:c r="V1533" s="2" t="n">
        <x:v>3</x:v>
      </x:c>
      <x:c r="W1533" s="2" t="n">
        <x:v>14</x:v>
      </x:c>
      <x:c r="X1533" s="14" t="b">
        <x:v>0</x:v>
      </x:c>
      <x:c r="Y1533" s="14" t="b">
        <x:v>0</x:v>
      </x:c>
      <x:c r="Z1533" s="2" t="n">
        <x:f>ABS(T1533-AA1533)</x:f>
        <x:v>0</x:v>
      </x:c>
      <x:c r="AA1533" s="2" t="n">
        <x:v>107</x:v>
      </x:c>
      <x:c r="AB1533" s="2" t="n">
        <x:f>ABS(K1533-W1533)</x:f>
        <x:v>3</x:v>
      </x:c>
      <x:c r="AC1533" s="2" t="n">
        <x:f>COUNTIF($A$2:$A$1921,A1533)-1</x:f>
        <x:v>0</x:v>
      </x:c>
      <x:c r="AD1533" s="2" t="n">
        <x:f>IF(AND(D1533=D1532,H1533=H1532,C1533=C1532+1),ABS(R1533-T1532),0)</x:f>
        <x:v>0</x:v>
      </x:c>
    </x:row>
    <x:row r="1534" ht="23" customHeight="1">
      <x:c r="A1534" s="2" t="str">
        <x:v>DEMO-402-0-13</x:v>
      </x:c>
      <x:c r="B1534" s="15" t="d">
        <x:v>2026-07-27T00:00:00.000Z</x:v>
      </x:c>
      <x:c r="C1534" s="2" t="n">
        <x:v>13</x:v>
      </x:c>
      <x:c r="D1534" s="2" t="str">
        <x:v>DEMO-402</x:v>
      </x:c>
      <x:c r="E1534" s="2" t="str">
        <x:v>Canvas Carryall</x:v>
      </x:c>
      <x:c r="F1534" s="2" t="str">
        <x:v>Accessories</x:v>
      </x:c>
      <x:c r="G1534" s="2" t="str">
        <x:v>Stores</x:v>
      </x:c>
      <x:c r="H1534" s="2" t="str">
        <x:v>North Arcade</x:v>
      </x:c>
      <x:c r="I1534" s="2" t="n">
        <x:v>15</x:v>
      </x:c>
      <x:c r="J1534" s="2" t="n">
        <x:v>0</x:v>
      </x:c>
      <x:c r="K1534" s="2" t="n">
        <x:f>I1534-J1534</x:f>
        <x:v>15</x:v>
      </x:c>
      <x:c r="L1534" s="16" t="n">
        <x:v>18</x:v>
      </x:c>
      <x:c r="M1534" s="16" t="n">
        <x:v>18</x:v>
      </x:c>
      <x:c r="N1534" s="16" t="n">
        <x:v>6.93</x:v>
      </x:c>
      <x:c r="O1534" s="16" t="n">
        <x:f>K1534*M1534</x:f>
        <x:v>270</x:v>
      </x:c>
      <x:c r="P1534" s="16" t="n">
        <x:f>K1534*N1534</x:f>
        <x:v>103.94999999999999</x:v>
      </x:c>
      <x:c r="Q1534" s="16" t="n">
        <x:f>O1534-P1534</x:f>
        <x:v>166.05</x:v>
      </x:c>
      <x:c r="R1534" s="2" t="n">
        <x:v>107</x:v>
      </x:c>
      <x:c r="S1534" s="2" t="n">
        <x:v>59</x:v>
      </x:c>
      <x:c r="T1534" s="2" t="n">
        <x:f>R1534+S1534+J1534-I1534</x:f>
        <x:v>151</x:v>
      </x:c>
      <x:c r="U1534" s="2" t="n">
        <x:v>0</x:v>
      </x:c>
      <x:c r="V1534" s="2" t="n">
        <x:v>3</x:v>
      </x:c>
      <x:c r="W1534" s="2" t="n">
        <x:v>14</x:v>
      </x:c>
      <x:c r="X1534" s="14" t="b">
        <x:v>0</x:v>
      </x:c>
      <x:c r="Y1534" s="14" t="b">
        <x:v>0</x:v>
      </x:c>
      <x:c r="Z1534" s="2" t="n">
        <x:f>ABS(T1534-AA1534)</x:f>
        <x:v>0</x:v>
      </x:c>
      <x:c r="AA1534" s="2" t="n">
        <x:v>151</x:v>
      </x:c>
      <x:c r="AB1534" s="2" t="n">
        <x:f>ABS(K1534-W1534)</x:f>
        <x:v>1</x:v>
      </x:c>
      <x:c r="AC1534" s="2" t="n">
        <x:f>COUNTIF($A$2:$A$1921,A1534)-1</x:f>
        <x:v>0</x:v>
      </x:c>
      <x:c r="AD1534" s="2" t="n">
        <x:f>IF(AND(D1534=D1533,H1534=H1533,C1534=C1533+1),ABS(R1534-T1533),0)</x:f>
        <x:v>0</x:v>
      </x:c>
    </x:row>
    <x:row r="1535" ht="23" customHeight="1">
      <x:c r="A1535" s="2" t="str">
        <x:v>DEMO-402-0-14</x:v>
      </x:c>
      <x:c r="B1535" s="15" t="d">
        <x:v>2026-08-03T00:00:00.000Z</x:v>
      </x:c>
      <x:c r="C1535" s="2" t="n">
        <x:v>14</x:v>
      </x:c>
      <x:c r="D1535" s="2" t="str">
        <x:v>DEMO-402</x:v>
      </x:c>
      <x:c r="E1535" s="2" t="str">
        <x:v>Canvas Carryall</x:v>
      </x:c>
      <x:c r="F1535" s="2" t="str">
        <x:v>Accessories</x:v>
      </x:c>
      <x:c r="G1535" s="2" t="str">
        <x:v>Stores</x:v>
      </x:c>
      <x:c r="H1535" s="2" t="str">
        <x:v>North Arcade</x:v>
      </x:c>
      <x:c r="I1535" s="2" t="n">
        <x:v>13</x:v>
      </x:c>
      <x:c r="J1535" s="2" t="n">
        <x:v>0</x:v>
      </x:c>
      <x:c r="K1535" s="2" t="n">
        <x:f>I1535-J1535</x:f>
        <x:v>13</x:v>
      </x:c>
      <x:c r="L1535" s="16" t="n">
        <x:v>18</x:v>
      </x:c>
      <x:c r="M1535" s="16" t="n">
        <x:v>18</x:v>
      </x:c>
      <x:c r="N1535" s="16" t="n">
        <x:v>6.93</x:v>
      </x:c>
      <x:c r="O1535" s="16" t="n">
        <x:f>K1535*M1535</x:f>
        <x:v>234</x:v>
      </x:c>
      <x:c r="P1535" s="16" t="n">
        <x:f>K1535*N1535</x:f>
        <x:v>90.09</x:v>
      </x:c>
      <x:c r="Q1535" s="16" t="n">
        <x:f>O1535-P1535</x:f>
        <x:v>143.91</x:v>
      </x:c>
      <x:c r="R1535" s="2" t="n">
        <x:v>151</x:v>
      </x:c>
      <x:c r="S1535" s="2" t="n">
        <x:v>0</x:v>
      </x:c>
      <x:c r="T1535" s="2" t="n">
        <x:f>R1535+S1535+J1535-I1535</x:f>
        <x:v>138</x:v>
      </x:c>
      <x:c r="U1535" s="2" t="n">
        <x:v>0</x:v>
      </x:c>
      <x:c r="V1535" s="2" t="n">
        <x:v>3</x:v>
      </x:c>
      <x:c r="W1535" s="2" t="n">
        <x:v>13</x:v>
      </x:c>
      <x:c r="X1535" s="14" t="b">
        <x:v>0</x:v>
      </x:c>
      <x:c r="Y1535" s="14" t="b">
        <x:v>0</x:v>
      </x:c>
      <x:c r="Z1535" s="2" t="n">
        <x:f>ABS(T1535-AA1535)</x:f>
        <x:v>0</x:v>
      </x:c>
      <x:c r="AA1535" s="2" t="n">
        <x:v>138</x:v>
      </x:c>
      <x:c r="AB1535" s="2" t="n">
        <x:f>ABS(K1535-W1535)</x:f>
        <x:v>0</x:v>
      </x:c>
      <x:c r="AC1535" s="2" t="n">
        <x:f>COUNTIF($A$2:$A$1921,A1535)-1</x:f>
        <x:v>0</x:v>
      </x:c>
      <x:c r="AD1535" s="2" t="n">
        <x:f>IF(AND(D1535=D1534,H1535=H1534,C1535=C1534+1),ABS(R1535-T1534),0)</x:f>
        <x:v>0</x:v>
      </x:c>
    </x:row>
    <x:row r="1536" ht="23" customHeight="1">
      <x:c r="A1536" s="2" t="str">
        <x:v>DEMO-402-0-15</x:v>
      </x:c>
      <x:c r="B1536" s="15" t="d">
        <x:v>2026-08-10T00:00:00.000Z</x:v>
      </x:c>
      <x:c r="C1536" s="2" t="n">
        <x:v>15</x:v>
      </x:c>
      <x:c r="D1536" s="2" t="str">
        <x:v>DEMO-402</x:v>
      </x:c>
      <x:c r="E1536" s="2" t="str">
        <x:v>Canvas Carryall</x:v>
      </x:c>
      <x:c r="F1536" s="2" t="str">
        <x:v>Accessories</x:v>
      </x:c>
      <x:c r="G1536" s="2" t="str">
        <x:v>Stores</x:v>
      </x:c>
      <x:c r="H1536" s="2" t="str">
        <x:v>North Arcade</x:v>
      </x:c>
      <x:c r="I1536" s="2" t="n">
        <x:v>14</x:v>
      </x:c>
      <x:c r="J1536" s="2" t="n">
        <x:v>0</x:v>
      </x:c>
      <x:c r="K1536" s="2" t="n">
        <x:f>I1536-J1536</x:f>
        <x:v>14</x:v>
      </x:c>
      <x:c r="L1536" s="16" t="n">
        <x:v>18</x:v>
      </x:c>
      <x:c r="M1536" s="16" t="n">
        <x:v>18</x:v>
      </x:c>
      <x:c r="N1536" s="16" t="n">
        <x:v>6.93</x:v>
      </x:c>
      <x:c r="O1536" s="16" t="n">
        <x:f>K1536*M1536</x:f>
        <x:v>252</x:v>
      </x:c>
      <x:c r="P1536" s="16" t="n">
        <x:f>K1536*N1536</x:f>
        <x:v>97.02</x:v>
      </x:c>
      <x:c r="Q1536" s="16" t="n">
        <x:f>O1536-P1536</x:f>
        <x:v>154.98000000000002</x:v>
      </x:c>
      <x:c r="R1536" s="2" t="n">
        <x:v>138</x:v>
      </x:c>
      <x:c r="S1536" s="2" t="n">
        <x:v>0</x:v>
      </x:c>
      <x:c r="T1536" s="2" t="n">
        <x:f>R1536+S1536+J1536-I1536</x:f>
        <x:v>124</x:v>
      </x:c>
      <x:c r="U1536" s="2" t="n">
        <x:v>0</x:v>
      </x:c>
      <x:c r="V1536" s="2" t="n">
        <x:v>3</x:v>
      </x:c>
      <x:c r="W1536" s="2" t="n">
        <x:v>13</x:v>
      </x:c>
      <x:c r="X1536" s="14" t="b">
        <x:v>0</x:v>
      </x:c>
      <x:c r="Y1536" s="14" t="b">
        <x:v>0</x:v>
      </x:c>
      <x:c r="Z1536" s="2" t="n">
        <x:f>ABS(T1536-AA1536)</x:f>
        <x:v>0</x:v>
      </x:c>
      <x:c r="AA1536" s="2" t="n">
        <x:v>124</x:v>
      </x:c>
      <x:c r="AB1536" s="2" t="n">
        <x:f>ABS(K1536-W1536)</x:f>
        <x:v>1</x:v>
      </x:c>
      <x:c r="AC1536" s="2" t="n">
        <x:f>COUNTIF($A$2:$A$1921,A1536)-1</x:f>
        <x:v>0</x:v>
      </x:c>
      <x:c r="AD1536" s="2" t="n">
        <x:f>IF(AND(D1536=D1535,H1536=H1535,C1536=C1535+1),ABS(R1536-T1535),0)</x:f>
        <x:v>0</x:v>
      </x:c>
    </x:row>
    <x:row r="1537" ht="23" customHeight="1">
      <x:c r="A1537" s="2" t="str">
        <x:v>DEMO-402-0-16</x:v>
      </x:c>
      <x:c r="B1537" s="15" t="d">
        <x:v>2026-08-17T00:00:00.000Z</x:v>
      </x:c>
      <x:c r="C1537" s="2" t="n">
        <x:v>16</x:v>
      </x:c>
      <x:c r="D1537" s="2" t="str">
        <x:v>DEMO-402</x:v>
      </x:c>
      <x:c r="E1537" s="2" t="str">
        <x:v>Canvas Carryall</x:v>
      </x:c>
      <x:c r="F1537" s="2" t="str">
        <x:v>Accessories</x:v>
      </x:c>
      <x:c r="G1537" s="2" t="str">
        <x:v>Stores</x:v>
      </x:c>
      <x:c r="H1537" s="2" t="str">
        <x:v>North Arcade</x:v>
      </x:c>
      <x:c r="I1537" s="2" t="n">
        <x:v>13</x:v>
      </x:c>
      <x:c r="J1537" s="2" t="n">
        <x:v>1</x:v>
      </x:c>
      <x:c r="K1537" s="2" t="n">
        <x:f>I1537-J1537</x:f>
        <x:v>12</x:v>
      </x:c>
      <x:c r="L1537" s="16" t="n">
        <x:v>18</x:v>
      </x:c>
      <x:c r="M1537" s="16" t="n">
        <x:v>18</x:v>
      </x:c>
      <x:c r="N1537" s="16" t="n">
        <x:v>6.93</x:v>
      </x:c>
      <x:c r="O1537" s="16" t="n">
        <x:f>K1537*M1537</x:f>
        <x:v>216</x:v>
      </x:c>
      <x:c r="P1537" s="16" t="n">
        <x:f>K1537*N1537</x:f>
        <x:v>83.16</x:v>
      </x:c>
      <x:c r="Q1537" s="16" t="n">
        <x:f>O1537-P1537</x:f>
        <x:v>132.84</x:v>
      </x:c>
      <x:c r="R1537" s="2" t="n">
        <x:v>124</x:v>
      </x:c>
      <x:c r="S1537" s="2" t="n">
        <x:v>0</x:v>
      </x:c>
      <x:c r="T1537" s="2" t="n">
        <x:f>R1537+S1537+J1537-I1537</x:f>
        <x:v>112</x:v>
      </x:c>
      <x:c r="U1537" s="2" t="n">
        <x:v>0</x:v>
      </x:c>
      <x:c r="V1537" s="2" t="n">
        <x:v>3</x:v>
      </x:c>
      <x:c r="W1537" s="2" t="n">
        <x:v>13</x:v>
      </x:c>
      <x:c r="X1537" s="14" t="b">
        <x:v>0</x:v>
      </x:c>
      <x:c r="Y1537" s="14" t="b">
        <x:v>0</x:v>
      </x:c>
      <x:c r="Z1537" s="2" t="n">
        <x:f>ABS(T1537-AA1537)</x:f>
        <x:v>0</x:v>
      </x:c>
      <x:c r="AA1537" s="2" t="n">
        <x:v>112</x:v>
      </x:c>
      <x:c r="AB1537" s="2" t="n">
        <x:f>ABS(K1537-W1537)</x:f>
        <x:v>1</x:v>
      </x:c>
      <x:c r="AC1537" s="2" t="n">
        <x:f>COUNTIF($A$2:$A$1921,A1537)-1</x:f>
        <x:v>0</x:v>
      </x:c>
      <x:c r="AD1537" s="2" t="n">
        <x:f>IF(AND(D1537=D1536,H1537=H1536,C1537=C1536+1),ABS(R1537-T1536),0)</x:f>
        <x:v>0</x:v>
      </x:c>
    </x:row>
    <x:row r="1538" ht="23" customHeight="1">
      <x:c r="A1538" s="2" t="str">
        <x:v>DEMO-402-0-17</x:v>
      </x:c>
      <x:c r="B1538" s="15" t="d">
        <x:v>2026-08-24T00:00:00.000Z</x:v>
      </x:c>
      <x:c r="C1538" s="2" t="n">
        <x:v>17</x:v>
      </x:c>
      <x:c r="D1538" s="2" t="str">
        <x:v>DEMO-402</x:v>
      </x:c>
      <x:c r="E1538" s="2" t="str">
        <x:v>Canvas Carryall</x:v>
      </x:c>
      <x:c r="F1538" s="2" t="str">
        <x:v>Accessories</x:v>
      </x:c>
      <x:c r="G1538" s="2" t="str">
        <x:v>Stores</x:v>
      </x:c>
      <x:c r="H1538" s="2" t="str">
        <x:v>North Arcade</x:v>
      </x:c>
      <x:c r="I1538" s="2" t="n">
        <x:v>13</x:v>
      </x:c>
      <x:c r="J1538" s="2" t="n">
        <x:v>0</x:v>
      </x:c>
      <x:c r="K1538" s="2" t="n">
        <x:f>I1538-J1538</x:f>
        <x:v>13</x:v>
      </x:c>
      <x:c r="L1538" s="16" t="n">
        <x:v>18</x:v>
      </x:c>
      <x:c r="M1538" s="16" t="n">
        <x:v>18</x:v>
      </x:c>
      <x:c r="N1538" s="16" t="n">
        <x:v>6.93</x:v>
      </x:c>
      <x:c r="O1538" s="16" t="n">
        <x:f>K1538*M1538</x:f>
        <x:v>234</x:v>
      </x:c>
      <x:c r="P1538" s="16" t="n">
        <x:f>K1538*N1538</x:f>
        <x:v>90.09</x:v>
      </x:c>
      <x:c r="Q1538" s="16" t="n">
        <x:f>O1538-P1538</x:f>
        <x:v>143.91</x:v>
      </x:c>
      <x:c r="R1538" s="2" t="n">
        <x:v>112</x:v>
      </x:c>
      <x:c r="S1538" s="2" t="n">
        <x:v>59</x:v>
      </x:c>
      <x:c r="T1538" s="2" t="n">
        <x:f>R1538+S1538+J1538-I1538</x:f>
        <x:v>158</x:v>
      </x:c>
      <x:c r="U1538" s="2" t="n">
        <x:v>0</x:v>
      </x:c>
      <x:c r="V1538" s="2" t="n">
        <x:v>3</x:v>
      </x:c>
      <x:c r="W1538" s="2" t="n">
        <x:v>14</x:v>
      </x:c>
      <x:c r="X1538" s="14" t="b">
        <x:v>0</x:v>
      </x:c>
      <x:c r="Y1538" s="14" t="b">
        <x:v>0</x:v>
      </x:c>
      <x:c r="Z1538" s="2" t="n">
        <x:f>ABS(T1538-AA1538)</x:f>
        <x:v>0</x:v>
      </x:c>
      <x:c r="AA1538" s="2" t="n">
        <x:v>158</x:v>
      </x:c>
      <x:c r="AB1538" s="2" t="n">
        <x:f>ABS(K1538-W1538)</x:f>
        <x:v>1</x:v>
      </x:c>
      <x:c r="AC1538" s="2" t="n">
        <x:f>COUNTIF($A$2:$A$1921,A1538)-1</x:f>
        <x:v>0</x:v>
      </x:c>
      <x:c r="AD1538" s="2" t="n">
        <x:f>IF(AND(D1538=D1537,H1538=H1537,C1538=C1537+1),ABS(R1538-T1537),0)</x:f>
        <x:v>0</x:v>
      </x:c>
    </x:row>
    <x:row r="1539" ht="23" customHeight="1">
      <x:c r="A1539" s="2" t="str">
        <x:v>DEMO-402-0-18</x:v>
      </x:c>
      <x:c r="B1539" s="15" t="d">
        <x:v>2026-08-31T00:00:00.000Z</x:v>
      </x:c>
      <x:c r="C1539" s="2" t="n">
        <x:v>18</x:v>
      </x:c>
      <x:c r="D1539" s="2" t="str">
        <x:v>DEMO-402</x:v>
      </x:c>
      <x:c r="E1539" s="2" t="str">
        <x:v>Canvas Carryall</x:v>
      </x:c>
      <x:c r="F1539" s="2" t="str">
        <x:v>Accessories</x:v>
      </x:c>
      <x:c r="G1539" s="2" t="str">
        <x:v>Stores</x:v>
      </x:c>
      <x:c r="H1539" s="2" t="str">
        <x:v>North Arcade</x:v>
      </x:c>
      <x:c r="I1539" s="2" t="n">
        <x:v>17</x:v>
      </x:c>
      <x:c r="J1539" s="2" t="n">
        <x:v>0</x:v>
      </x:c>
      <x:c r="K1539" s="2" t="n">
        <x:f>I1539-J1539</x:f>
        <x:v>17</x:v>
      </x:c>
      <x:c r="L1539" s="16" t="n">
        <x:v>18</x:v>
      </x:c>
      <x:c r="M1539" s="16" t="n">
        <x:v>18</x:v>
      </x:c>
      <x:c r="N1539" s="16" t="n">
        <x:v>6.93</x:v>
      </x:c>
      <x:c r="O1539" s="16" t="n">
        <x:f>K1539*M1539</x:f>
        <x:v>306</x:v>
      </x:c>
      <x:c r="P1539" s="16" t="n">
        <x:f>K1539*N1539</x:f>
        <x:v>117.81</x:v>
      </x:c>
      <x:c r="Q1539" s="16" t="n">
        <x:f>O1539-P1539</x:f>
        <x:v>188.19</x:v>
      </x:c>
      <x:c r="R1539" s="2" t="n">
        <x:v>158</x:v>
      </x:c>
      <x:c r="S1539" s="2" t="n">
        <x:v>0</x:v>
      </x:c>
      <x:c r="T1539" s="2" t="n">
        <x:f>R1539+S1539+J1539-I1539</x:f>
        <x:v>141</x:v>
      </x:c>
      <x:c r="U1539" s="2" t="n">
        <x:v>0</x:v>
      </x:c>
      <x:c r="V1539" s="2" t="n">
        <x:v>3</x:v>
      </x:c>
      <x:c r="W1539" s="2" t="n">
        <x:v>13</x:v>
      </x:c>
      <x:c r="X1539" s="14" t="b">
        <x:v>0</x:v>
      </x:c>
      <x:c r="Y1539" s="14" t="b">
        <x:v>0</x:v>
      </x:c>
      <x:c r="Z1539" s="2" t="n">
        <x:f>ABS(T1539-AA1539)</x:f>
        <x:v>0</x:v>
      </x:c>
      <x:c r="AA1539" s="2" t="n">
        <x:v>141</x:v>
      </x:c>
      <x:c r="AB1539" s="2" t="n">
        <x:f>ABS(K1539-W1539)</x:f>
        <x:v>4</x:v>
      </x:c>
      <x:c r="AC1539" s="2" t="n">
        <x:f>COUNTIF($A$2:$A$1921,A1539)-1</x:f>
        <x:v>0</x:v>
      </x:c>
      <x:c r="AD1539" s="2" t="n">
        <x:f>IF(AND(D1539=D1538,H1539=H1538,C1539=C1538+1),ABS(R1539-T1538),0)</x:f>
        <x:v>0</x:v>
      </x:c>
    </x:row>
    <x:row r="1540" ht="23" customHeight="1">
      <x:c r="A1540" s="2" t="str">
        <x:v>DEMO-402-0-19</x:v>
      </x:c>
      <x:c r="B1540" s="15" t="d">
        <x:v>2026-09-07T00:00:00.000Z</x:v>
      </x:c>
      <x:c r="C1540" s="2" t="n">
        <x:v>19</x:v>
      </x:c>
      <x:c r="D1540" s="2" t="str">
        <x:v>DEMO-402</x:v>
      </x:c>
      <x:c r="E1540" s="2" t="str">
        <x:v>Canvas Carryall</x:v>
      </x:c>
      <x:c r="F1540" s="2" t="str">
        <x:v>Accessories</x:v>
      </x:c>
      <x:c r="G1540" s="2" t="str">
        <x:v>Stores</x:v>
      </x:c>
      <x:c r="H1540" s="2" t="str">
        <x:v>North Arcade</x:v>
      </x:c>
      <x:c r="I1540" s="2" t="n">
        <x:v>15</x:v>
      </x:c>
      <x:c r="J1540" s="2" t="n">
        <x:v>0</x:v>
      </x:c>
      <x:c r="K1540" s="2" t="n">
        <x:f>I1540-J1540</x:f>
        <x:v>15</x:v>
      </x:c>
      <x:c r="L1540" s="16" t="n">
        <x:v>18</x:v>
      </x:c>
      <x:c r="M1540" s="16" t="n">
        <x:v>18</x:v>
      </x:c>
      <x:c r="N1540" s="16" t="n">
        <x:v>6.93</x:v>
      </x:c>
      <x:c r="O1540" s="16" t="n">
        <x:f>K1540*M1540</x:f>
        <x:v>270</x:v>
      </x:c>
      <x:c r="P1540" s="16" t="n">
        <x:f>K1540*N1540</x:f>
        <x:v>103.94999999999999</x:v>
      </x:c>
      <x:c r="Q1540" s="16" t="n">
        <x:f>O1540-P1540</x:f>
        <x:v>166.05</x:v>
      </x:c>
      <x:c r="R1540" s="2" t="n">
        <x:v>141</x:v>
      </x:c>
      <x:c r="S1540" s="2" t="n">
        <x:v>0</x:v>
      </x:c>
      <x:c r="T1540" s="2" t="n">
        <x:f>R1540+S1540+J1540-I1540</x:f>
        <x:v>126</x:v>
      </x:c>
      <x:c r="U1540" s="2" t="n">
        <x:v>0</x:v>
      </x:c>
      <x:c r="V1540" s="2" t="n">
        <x:v>3</x:v>
      </x:c>
      <x:c r="W1540" s="2" t="n">
        <x:v>14</x:v>
      </x:c>
      <x:c r="X1540" s="14" t="b">
        <x:v>0</x:v>
      </x:c>
      <x:c r="Y1540" s="14" t="b">
        <x:v>0</x:v>
      </x:c>
      <x:c r="Z1540" s="2" t="n">
        <x:f>ABS(T1540-AA1540)</x:f>
        <x:v>0</x:v>
      </x:c>
      <x:c r="AA1540" s="2" t="n">
        <x:v>126</x:v>
      </x:c>
      <x:c r="AB1540" s="2" t="n">
        <x:f>ABS(K1540-W1540)</x:f>
        <x:v>1</x:v>
      </x:c>
      <x:c r="AC1540" s="2" t="n">
        <x:f>COUNTIF($A$2:$A$1921,A1540)-1</x:f>
        <x:v>0</x:v>
      </x:c>
      <x:c r="AD1540" s="2" t="n">
        <x:f>IF(AND(D1540=D1539,H1540=H1539,C1540=C1539+1),ABS(R1540-T1539),0)</x:f>
        <x:v>0</x:v>
      </x:c>
    </x:row>
    <x:row r="1541" ht="23" customHeight="1">
      <x:c r="A1541" s="2" t="str">
        <x:v>DEMO-402-0-20</x:v>
      </x:c>
      <x:c r="B1541" s="15" t="d">
        <x:v>2026-09-14T00:00:00.000Z</x:v>
      </x:c>
      <x:c r="C1541" s="2" t="n">
        <x:v>20</x:v>
      </x:c>
      <x:c r="D1541" s="2" t="str">
        <x:v>DEMO-402</x:v>
      </x:c>
      <x:c r="E1541" s="2" t="str">
        <x:v>Canvas Carryall</x:v>
      </x:c>
      <x:c r="F1541" s="2" t="str">
        <x:v>Accessories</x:v>
      </x:c>
      <x:c r="G1541" s="2" t="str">
        <x:v>Stores</x:v>
      </x:c>
      <x:c r="H1541" s="2" t="str">
        <x:v>North Arcade</x:v>
      </x:c>
      <x:c r="I1541" s="2" t="n">
        <x:v>14</x:v>
      </x:c>
      <x:c r="J1541" s="2" t="n">
        <x:v>0</x:v>
      </x:c>
      <x:c r="K1541" s="2" t="n">
        <x:f>I1541-J1541</x:f>
        <x:v>14</x:v>
      </x:c>
      <x:c r="L1541" s="16" t="n">
        <x:v>18</x:v>
      </x:c>
      <x:c r="M1541" s="16" t="n">
        <x:v>18</x:v>
      </x:c>
      <x:c r="N1541" s="16" t="n">
        <x:v>6.93</x:v>
      </x:c>
      <x:c r="O1541" s="16" t="n">
        <x:f>K1541*M1541</x:f>
        <x:v>252</x:v>
      </x:c>
      <x:c r="P1541" s="16" t="n">
        <x:f>K1541*N1541</x:f>
        <x:v>97.02</x:v>
      </x:c>
      <x:c r="Q1541" s="16" t="n">
        <x:f>O1541-P1541</x:f>
        <x:v>154.98000000000002</x:v>
      </x:c>
      <x:c r="R1541" s="2" t="n">
        <x:v>126</x:v>
      </x:c>
      <x:c r="S1541" s="2" t="n">
        <x:v>0</x:v>
      </x:c>
      <x:c r="T1541" s="2" t="n">
        <x:f>R1541+S1541+J1541-I1541</x:f>
        <x:v>112</x:v>
      </x:c>
      <x:c r="U1541" s="2" t="n">
        <x:v>18</x:v>
      </x:c>
      <x:c r="V1541" s="2" t="n">
        <x:v>3</x:v>
      </x:c>
      <x:c r="W1541" s="2" t="n">
        <x:v>14</x:v>
      </x:c>
      <x:c r="X1541" s="14" t="b">
        <x:v>0</x:v>
      </x:c>
      <x:c r="Y1541" s="14" t="b">
        <x:v>0</x:v>
      </x:c>
      <x:c r="Z1541" s="2" t="n">
        <x:f>ABS(T1541-AA1541)</x:f>
        <x:v>0</x:v>
      </x:c>
      <x:c r="AA1541" s="2" t="n">
        <x:v>112</x:v>
      </x:c>
      <x:c r="AB1541" s="2" t="n">
        <x:f>ABS(K1541-W1541)</x:f>
        <x:v>0</x:v>
      </x:c>
      <x:c r="AC1541" s="2" t="n">
        <x:f>COUNTIF($A$2:$A$1921,A1541)-1</x:f>
        <x:v>0</x:v>
      </x:c>
      <x:c r="AD1541" s="2" t="n">
        <x:f>IF(AND(D1541=D1540,H1541=H1540,C1541=C1540+1),ABS(R1541-T1540),0)</x:f>
        <x:v>0</x:v>
      </x:c>
    </x:row>
    <x:row r="1542" ht="23" customHeight="1">
      <x:c r="A1542" s="2" t="str">
        <x:v>DEMO-402-1-1</x:v>
      </x:c>
      <x:c r="B1542" s="15" t="d">
        <x:v>2026-05-04T00:00:00.000Z</x:v>
      </x:c>
      <x:c r="C1542" s="2" t="n">
        <x:v>1</x:v>
      </x:c>
      <x:c r="D1542" s="2" t="str">
        <x:v>DEMO-402</x:v>
      </x:c>
      <x:c r="E1542" s="2" t="str">
        <x:v>Canvas Carryall</x:v>
      </x:c>
      <x:c r="F1542" s="2" t="str">
        <x:v>Accessories</x:v>
      </x:c>
      <x:c r="G1542" s="2" t="str">
        <x:v>Stores</x:v>
      </x:c>
      <x:c r="H1542" s="2" t="str">
        <x:v>Riverside</x:v>
      </x:c>
      <x:c r="I1542" s="2" t="n">
        <x:v>13</x:v>
      </x:c>
      <x:c r="J1542" s="2" t="n">
        <x:v>0</x:v>
      </x:c>
      <x:c r="K1542" s="2" t="n">
        <x:f>I1542-J1542</x:f>
        <x:v>13</x:v>
      </x:c>
      <x:c r="L1542" s="16" t="n">
        <x:v>18</x:v>
      </x:c>
      <x:c r="M1542" s="16" t="n">
        <x:v>18</x:v>
      </x:c>
      <x:c r="N1542" s="16" t="n">
        <x:v>6.93</x:v>
      </x:c>
      <x:c r="O1542" s="16" t="n">
        <x:f>K1542*M1542</x:f>
        <x:v>234</x:v>
      </x:c>
      <x:c r="P1542" s="16" t="n">
        <x:f>K1542*N1542</x:f>
        <x:v>90.09</x:v>
      </x:c>
      <x:c r="Q1542" s="16" t="n">
        <x:f>O1542-P1542</x:f>
        <x:v>143.91</x:v>
      </x:c>
      <x:c r="R1542" s="2" t="n">
        <x:v>90</x:v>
      </x:c>
      <x:c r="S1542" s="2" t="n">
        <x:v>59</x:v>
      </x:c>
      <x:c r="T1542" s="2" t="n">
        <x:f>R1542+S1542+J1542-I1542</x:f>
        <x:v>136</x:v>
      </x:c>
      <x:c r="U1542" s="2" t="n">
        <x:v>0</x:v>
      </x:c>
      <x:c r="V1542" s="2" t="n">
        <x:v>3</x:v>
      </x:c>
      <x:c r="W1542" s="2" t="n">
        <x:v>14</x:v>
      </x:c>
      <x:c r="X1542" s="14" t="b">
        <x:v>0</x:v>
      </x:c>
      <x:c r="Y1542" s="14" t="b">
        <x:v>0</x:v>
      </x:c>
      <x:c r="Z1542" s="2" t="n">
        <x:f>ABS(T1542-AA1542)</x:f>
        <x:v>0</x:v>
      </x:c>
      <x:c r="AA1542" s="2" t="n">
        <x:v>136</x:v>
      </x:c>
      <x:c r="AB1542" s="2" t="n">
        <x:f>ABS(K1542-W1542)</x:f>
        <x:v>1</x:v>
      </x:c>
      <x:c r="AC1542" s="2" t="n">
        <x:f>COUNTIF($A$2:$A$1921,A1542)-1</x:f>
        <x:v>0</x:v>
      </x:c>
      <x:c r="AD1542" s="2" t="n">
        <x:f>IF(AND(D1542=D1541,H1542=H1541,C1542=C1541+1),ABS(R1542-T1541),0)</x:f>
        <x:v>0</x:v>
      </x:c>
    </x:row>
    <x:row r="1543" ht="23" customHeight="1">
      <x:c r="A1543" s="2" t="str">
        <x:v>DEMO-402-1-2</x:v>
      </x:c>
      <x:c r="B1543" s="15" t="d">
        <x:v>2026-05-11T00:00:00.000Z</x:v>
      </x:c>
      <x:c r="C1543" s="2" t="n">
        <x:v>2</x:v>
      </x:c>
      <x:c r="D1543" s="2" t="str">
        <x:v>DEMO-402</x:v>
      </x:c>
      <x:c r="E1543" s="2" t="str">
        <x:v>Canvas Carryall</x:v>
      </x:c>
      <x:c r="F1543" s="2" t="str">
        <x:v>Accessories</x:v>
      </x:c>
      <x:c r="G1543" s="2" t="str">
        <x:v>Stores</x:v>
      </x:c>
      <x:c r="H1543" s="2" t="str">
        <x:v>Riverside</x:v>
      </x:c>
      <x:c r="I1543" s="2" t="n">
        <x:v>16</x:v>
      </x:c>
      <x:c r="J1543" s="2" t="n">
        <x:v>0</x:v>
      </x:c>
      <x:c r="K1543" s="2" t="n">
        <x:f>I1543-J1543</x:f>
        <x:v>16</x:v>
      </x:c>
      <x:c r="L1543" s="16" t="n">
        <x:v>18</x:v>
      </x:c>
      <x:c r="M1543" s="16" t="n">
        <x:v>18</x:v>
      </x:c>
      <x:c r="N1543" s="16" t="n">
        <x:v>6.93</x:v>
      </x:c>
      <x:c r="O1543" s="16" t="n">
        <x:f>K1543*M1543</x:f>
        <x:v>288</x:v>
      </x:c>
      <x:c r="P1543" s="16" t="n">
        <x:f>K1543*N1543</x:f>
        <x:v>110.88</x:v>
      </x:c>
      <x:c r="Q1543" s="16" t="n">
        <x:f>O1543-P1543</x:f>
        <x:v>177.12</x:v>
      </x:c>
      <x:c r="R1543" s="2" t="n">
        <x:v>136</x:v>
      </x:c>
      <x:c r="S1543" s="2" t="n">
        <x:v>0</x:v>
      </x:c>
      <x:c r="T1543" s="2" t="n">
        <x:f>R1543+S1543+J1543-I1543</x:f>
        <x:v>120</x:v>
      </x:c>
      <x:c r="U1543" s="2" t="n">
        <x:v>0</x:v>
      </x:c>
      <x:c r="V1543" s="2" t="n">
        <x:v>3</x:v>
      </x:c>
      <x:c r="W1543" s="2" t="n">
        <x:v>13</x:v>
      </x:c>
      <x:c r="X1543" s="14" t="b">
        <x:v>0</x:v>
      </x:c>
      <x:c r="Y1543" s="14" t="b">
        <x:v>0</x:v>
      </x:c>
      <x:c r="Z1543" s="2" t="n">
        <x:f>ABS(T1543-AA1543)</x:f>
        <x:v>0</x:v>
      </x:c>
      <x:c r="AA1543" s="2" t="n">
        <x:v>120</x:v>
      </x:c>
      <x:c r="AB1543" s="2" t="n">
        <x:f>ABS(K1543-W1543)</x:f>
        <x:v>3</x:v>
      </x:c>
      <x:c r="AC1543" s="2" t="n">
        <x:f>COUNTIF($A$2:$A$1921,A1543)-1</x:f>
        <x:v>0</x:v>
      </x:c>
      <x:c r="AD1543" s="2" t="n">
        <x:f>IF(AND(D1543=D1542,H1543=H1542,C1543=C1542+1),ABS(R1543-T1542),0)</x:f>
        <x:v>0</x:v>
      </x:c>
    </x:row>
    <x:row r="1544" ht="23" customHeight="1">
      <x:c r="A1544" s="2" t="str">
        <x:v>DEMO-402-1-3</x:v>
      </x:c>
      <x:c r="B1544" s="15" t="d">
        <x:v>2026-05-18T00:00:00.000Z</x:v>
      </x:c>
      <x:c r="C1544" s="2" t="n">
        <x:v>3</x:v>
      </x:c>
      <x:c r="D1544" s="2" t="str">
        <x:v>DEMO-402</x:v>
      </x:c>
      <x:c r="E1544" s="2" t="str">
        <x:v>Canvas Carryall</x:v>
      </x:c>
      <x:c r="F1544" s="2" t="str">
        <x:v>Accessories</x:v>
      </x:c>
      <x:c r="G1544" s="2" t="str">
        <x:v>Stores</x:v>
      </x:c>
      <x:c r="H1544" s="2" t="str">
        <x:v>Riverside</x:v>
      </x:c>
      <x:c r="I1544" s="2" t="n">
        <x:v>15</x:v>
      </x:c>
      <x:c r="J1544" s="2" t="n">
        <x:v>1</x:v>
      </x:c>
      <x:c r="K1544" s="2" t="n">
        <x:f>I1544-J1544</x:f>
        <x:v>14</x:v>
      </x:c>
      <x:c r="L1544" s="16" t="n">
        <x:v>18</x:v>
      </x:c>
      <x:c r="M1544" s="16" t="n">
        <x:v>18</x:v>
      </x:c>
      <x:c r="N1544" s="16" t="n">
        <x:v>6.93</x:v>
      </x:c>
      <x:c r="O1544" s="16" t="n">
        <x:f>K1544*M1544</x:f>
        <x:v>252</x:v>
      </x:c>
      <x:c r="P1544" s="16" t="n">
        <x:f>K1544*N1544</x:f>
        <x:v>97.02</x:v>
      </x:c>
      <x:c r="Q1544" s="16" t="n">
        <x:f>O1544-P1544</x:f>
        <x:v>154.98000000000002</x:v>
      </x:c>
      <x:c r="R1544" s="2" t="n">
        <x:v>120</x:v>
      </x:c>
      <x:c r="S1544" s="2" t="n">
        <x:v>0</x:v>
      </x:c>
      <x:c r="T1544" s="2" t="n">
        <x:f>R1544+S1544+J1544-I1544</x:f>
        <x:v>106</x:v>
      </x:c>
      <x:c r="U1544" s="2" t="n">
        <x:v>0</x:v>
      </x:c>
      <x:c r="V1544" s="2" t="n">
        <x:v>3</x:v>
      </x:c>
      <x:c r="W1544" s="2" t="n">
        <x:v>15</x:v>
      </x:c>
      <x:c r="X1544" s="14" t="b">
        <x:v>0</x:v>
      </x:c>
      <x:c r="Y1544" s="14" t="b">
        <x:v>0</x:v>
      </x:c>
      <x:c r="Z1544" s="2" t="n">
        <x:f>ABS(T1544-AA1544)</x:f>
        <x:v>0</x:v>
      </x:c>
      <x:c r="AA1544" s="2" t="n">
        <x:v>106</x:v>
      </x:c>
      <x:c r="AB1544" s="2" t="n">
        <x:f>ABS(K1544-W1544)</x:f>
        <x:v>1</x:v>
      </x:c>
      <x:c r="AC1544" s="2" t="n">
        <x:f>COUNTIF($A$2:$A$1921,A1544)-1</x:f>
        <x:v>0</x:v>
      </x:c>
      <x:c r="AD1544" s="2" t="n">
        <x:f>IF(AND(D1544=D1543,H1544=H1543,C1544=C1543+1),ABS(R1544-T1543),0)</x:f>
        <x:v>0</x:v>
      </x:c>
    </x:row>
    <x:row r="1545" ht="23" customHeight="1">
      <x:c r="A1545" s="2" t="str">
        <x:v>DEMO-402-1-4</x:v>
      </x:c>
      <x:c r="B1545" s="15" t="d">
        <x:v>2026-05-25T00:00:00.000Z</x:v>
      </x:c>
      <x:c r="C1545" s="2" t="n">
        <x:v>4</x:v>
      </x:c>
      <x:c r="D1545" s="2" t="str">
        <x:v>DEMO-402</x:v>
      </x:c>
      <x:c r="E1545" s="2" t="str">
        <x:v>Canvas Carryall</x:v>
      </x:c>
      <x:c r="F1545" s="2" t="str">
        <x:v>Accessories</x:v>
      </x:c>
      <x:c r="G1545" s="2" t="str">
        <x:v>Stores</x:v>
      </x:c>
      <x:c r="H1545" s="2" t="str">
        <x:v>Riverside</x:v>
      </x:c>
      <x:c r="I1545" s="2" t="n">
        <x:v>12</x:v>
      </x:c>
      <x:c r="J1545" s="2" t="n">
        <x:v>0</x:v>
      </x:c>
      <x:c r="K1545" s="2" t="n">
        <x:f>I1545-J1545</x:f>
        <x:v>12</x:v>
      </x:c>
      <x:c r="L1545" s="16" t="n">
        <x:v>18</x:v>
      </x:c>
      <x:c r="M1545" s="16" t="n">
        <x:v>18</x:v>
      </x:c>
      <x:c r="N1545" s="16" t="n">
        <x:v>6.93</x:v>
      </x:c>
      <x:c r="O1545" s="16" t="n">
        <x:f>K1545*M1545</x:f>
        <x:v>216</x:v>
      </x:c>
      <x:c r="P1545" s="16" t="n">
        <x:f>K1545*N1545</x:f>
        <x:v>83.16</x:v>
      </x:c>
      <x:c r="Q1545" s="16" t="n">
        <x:f>O1545-P1545</x:f>
        <x:v>132.84</x:v>
      </x:c>
      <x:c r="R1545" s="2" t="n">
        <x:v>106</x:v>
      </x:c>
      <x:c r="S1545" s="2" t="n">
        <x:v>0</x:v>
      </x:c>
      <x:c r="T1545" s="2" t="n">
        <x:f>R1545+S1545+J1545-I1545</x:f>
        <x:v>94</x:v>
      </x:c>
      <x:c r="U1545" s="2" t="n">
        <x:v>0</x:v>
      </x:c>
      <x:c r="V1545" s="2" t="n">
        <x:v>3</x:v>
      </x:c>
      <x:c r="W1545" s="2" t="n">
        <x:v>14</x:v>
      </x:c>
      <x:c r="X1545" s="14" t="b">
        <x:v>0</x:v>
      </x:c>
      <x:c r="Y1545" s="14" t="b">
        <x:v>0</x:v>
      </x:c>
      <x:c r="Z1545" s="2" t="n">
        <x:f>ABS(T1545-AA1545)</x:f>
        <x:v>0</x:v>
      </x:c>
      <x:c r="AA1545" s="2" t="n">
        <x:v>94</x:v>
      </x:c>
      <x:c r="AB1545" s="2" t="n">
        <x:f>ABS(K1545-W1545)</x:f>
        <x:v>2</x:v>
      </x:c>
      <x:c r="AC1545" s="2" t="n">
        <x:f>COUNTIF($A$2:$A$1921,A1545)-1</x:f>
        <x:v>0</x:v>
      </x:c>
      <x:c r="AD1545" s="2" t="n">
        <x:f>IF(AND(D1545=D1544,H1545=H1544,C1545=C1544+1),ABS(R1545-T1544),0)</x:f>
        <x:v>0</x:v>
      </x:c>
    </x:row>
    <x:row r="1546" ht="23" customHeight="1">
      <x:c r="A1546" s="2" t="str">
        <x:v>DEMO-402-1-5</x:v>
      </x:c>
      <x:c r="B1546" s="15" t="d">
        <x:v>2026-06-01T00:00:00.000Z</x:v>
      </x:c>
      <x:c r="C1546" s="2" t="n">
        <x:v>5</x:v>
      </x:c>
      <x:c r="D1546" s="2" t="str">
        <x:v>DEMO-402</x:v>
      </x:c>
      <x:c r="E1546" s="2" t="str">
        <x:v>Canvas Carryall</x:v>
      </x:c>
      <x:c r="F1546" s="2" t="str">
        <x:v>Accessories</x:v>
      </x:c>
      <x:c r="G1546" s="2" t="str">
        <x:v>Stores</x:v>
      </x:c>
      <x:c r="H1546" s="2" t="str">
        <x:v>Riverside</x:v>
      </x:c>
      <x:c r="I1546" s="2" t="n">
        <x:v>14</x:v>
      </x:c>
      <x:c r="J1546" s="2" t="n">
        <x:v>0</x:v>
      </x:c>
      <x:c r="K1546" s="2" t="n">
        <x:f>I1546-J1546</x:f>
        <x:v>14</x:v>
      </x:c>
      <x:c r="L1546" s="16" t="n">
        <x:v>18</x:v>
      </x:c>
      <x:c r="M1546" s="16" t="n">
        <x:v>18</x:v>
      </x:c>
      <x:c r="N1546" s="16" t="n">
        <x:v>6.93</x:v>
      </x:c>
      <x:c r="O1546" s="16" t="n">
        <x:f>K1546*M1546</x:f>
        <x:v>252</x:v>
      </x:c>
      <x:c r="P1546" s="16" t="n">
        <x:f>K1546*N1546</x:f>
        <x:v>97.02</x:v>
      </x:c>
      <x:c r="Q1546" s="16" t="n">
        <x:f>O1546-P1546</x:f>
        <x:v>154.98000000000002</x:v>
      </x:c>
      <x:c r="R1546" s="2" t="n">
        <x:v>94</x:v>
      </x:c>
      <x:c r="S1546" s="2" t="n">
        <x:v>59</x:v>
      </x:c>
      <x:c r="T1546" s="2" t="n">
        <x:f>R1546+S1546+J1546-I1546</x:f>
        <x:v>139</x:v>
      </x:c>
      <x:c r="U1546" s="2" t="n">
        <x:v>0</x:v>
      </x:c>
      <x:c r="V1546" s="2" t="n">
        <x:v>3</x:v>
      </x:c>
      <x:c r="W1546" s="2" t="n">
        <x:v>14</x:v>
      </x:c>
      <x:c r="X1546" s="14" t="b">
        <x:v>0</x:v>
      </x:c>
      <x:c r="Y1546" s="14" t="b">
        <x:v>0</x:v>
      </x:c>
      <x:c r="Z1546" s="2" t="n">
        <x:f>ABS(T1546-AA1546)</x:f>
        <x:v>0</x:v>
      </x:c>
      <x:c r="AA1546" s="2" t="n">
        <x:v>139</x:v>
      </x:c>
      <x:c r="AB1546" s="2" t="n">
        <x:f>ABS(K1546-W1546)</x:f>
        <x:v>0</x:v>
      </x:c>
      <x:c r="AC1546" s="2" t="n">
        <x:f>COUNTIF($A$2:$A$1921,A1546)-1</x:f>
        <x:v>0</x:v>
      </x:c>
      <x:c r="AD1546" s="2" t="n">
        <x:f>IF(AND(D1546=D1545,H1546=H1545,C1546=C1545+1),ABS(R1546-T1545),0)</x:f>
        <x:v>0</x:v>
      </x:c>
    </x:row>
    <x:row r="1547" ht="23" customHeight="1">
      <x:c r="A1547" s="2" t="str">
        <x:v>DEMO-402-1-6</x:v>
      </x:c>
      <x:c r="B1547" s="15" t="d">
        <x:v>2026-06-08T00:00:00.000Z</x:v>
      </x:c>
      <x:c r="C1547" s="2" t="n">
        <x:v>6</x:v>
      </x:c>
      <x:c r="D1547" s="2" t="str">
        <x:v>DEMO-402</x:v>
      </x:c>
      <x:c r="E1547" s="2" t="str">
        <x:v>Canvas Carryall</x:v>
      </x:c>
      <x:c r="F1547" s="2" t="str">
        <x:v>Accessories</x:v>
      </x:c>
      <x:c r="G1547" s="2" t="str">
        <x:v>Stores</x:v>
      </x:c>
      <x:c r="H1547" s="2" t="str">
        <x:v>Riverside</x:v>
      </x:c>
      <x:c r="I1547" s="2" t="n">
        <x:v>13</x:v>
      </x:c>
      <x:c r="J1547" s="2" t="n">
        <x:v>1</x:v>
      </x:c>
      <x:c r="K1547" s="2" t="n">
        <x:f>I1547-J1547</x:f>
        <x:v>12</x:v>
      </x:c>
      <x:c r="L1547" s="16" t="n">
        <x:v>18</x:v>
      </x:c>
      <x:c r="M1547" s="16" t="n">
        <x:v>18</x:v>
      </x:c>
      <x:c r="N1547" s="16" t="n">
        <x:v>6.93</x:v>
      </x:c>
      <x:c r="O1547" s="16" t="n">
        <x:f>K1547*M1547</x:f>
        <x:v>216</x:v>
      </x:c>
      <x:c r="P1547" s="16" t="n">
        <x:f>K1547*N1547</x:f>
        <x:v>83.16</x:v>
      </x:c>
      <x:c r="Q1547" s="16" t="n">
        <x:f>O1547-P1547</x:f>
        <x:v>132.84</x:v>
      </x:c>
      <x:c r="R1547" s="2" t="n">
        <x:v>139</x:v>
      </x:c>
      <x:c r="S1547" s="2" t="n">
        <x:v>0</x:v>
      </x:c>
      <x:c r="T1547" s="2" t="n">
        <x:f>R1547+S1547+J1547-I1547</x:f>
        <x:v>127</x:v>
      </x:c>
      <x:c r="U1547" s="2" t="n">
        <x:v>0</x:v>
      </x:c>
      <x:c r="V1547" s="2" t="n">
        <x:v>3</x:v>
      </x:c>
      <x:c r="W1547" s="2" t="n">
        <x:v>14</x:v>
      </x:c>
      <x:c r="X1547" s="14" t="b">
        <x:v>0</x:v>
      </x:c>
      <x:c r="Y1547" s="14" t="b">
        <x:v>0</x:v>
      </x:c>
      <x:c r="Z1547" s="2" t="n">
        <x:f>ABS(T1547-AA1547)</x:f>
        <x:v>0</x:v>
      </x:c>
      <x:c r="AA1547" s="2" t="n">
        <x:v>127</x:v>
      </x:c>
      <x:c r="AB1547" s="2" t="n">
        <x:f>ABS(K1547-W1547)</x:f>
        <x:v>2</x:v>
      </x:c>
      <x:c r="AC1547" s="2" t="n">
        <x:f>COUNTIF($A$2:$A$1921,A1547)-1</x:f>
        <x:v>0</x:v>
      </x:c>
      <x:c r="AD1547" s="2" t="n">
        <x:f>IF(AND(D1547=D1546,H1547=H1546,C1547=C1546+1),ABS(R1547-T1546),0)</x:f>
        <x:v>0</x:v>
      </x:c>
    </x:row>
    <x:row r="1548" ht="23" customHeight="1">
      <x:c r="A1548" s="2" t="str">
        <x:v>DEMO-402-1-7</x:v>
      </x:c>
      <x:c r="B1548" s="15" t="d">
        <x:v>2026-06-15T00:00:00.000Z</x:v>
      </x:c>
      <x:c r="C1548" s="2" t="n">
        <x:v>7</x:v>
      </x:c>
      <x:c r="D1548" s="2" t="str">
        <x:v>DEMO-402</x:v>
      </x:c>
      <x:c r="E1548" s="2" t="str">
        <x:v>Canvas Carryall</x:v>
      </x:c>
      <x:c r="F1548" s="2" t="str">
        <x:v>Accessories</x:v>
      </x:c>
      <x:c r="G1548" s="2" t="str">
        <x:v>Stores</x:v>
      </x:c>
      <x:c r="H1548" s="2" t="str">
        <x:v>Riverside</x:v>
      </x:c>
      <x:c r="I1548" s="2" t="n">
        <x:v>16</x:v>
      </x:c>
      <x:c r="J1548" s="2" t="n">
        <x:v>0</x:v>
      </x:c>
      <x:c r="K1548" s="2" t="n">
        <x:f>I1548-J1548</x:f>
        <x:v>16</x:v>
      </x:c>
      <x:c r="L1548" s="16" t="n">
        <x:v>18</x:v>
      </x:c>
      <x:c r="M1548" s="16" t="n">
        <x:v>18</x:v>
      </x:c>
      <x:c r="N1548" s="16" t="n">
        <x:v>6.93</x:v>
      </x:c>
      <x:c r="O1548" s="16" t="n">
        <x:f>K1548*M1548</x:f>
        <x:v>288</x:v>
      </x:c>
      <x:c r="P1548" s="16" t="n">
        <x:f>K1548*N1548</x:f>
        <x:v>110.88</x:v>
      </x:c>
      <x:c r="Q1548" s="16" t="n">
        <x:f>O1548-P1548</x:f>
        <x:v>177.12</x:v>
      </x:c>
      <x:c r="R1548" s="2" t="n">
        <x:v>127</x:v>
      </x:c>
      <x:c r="S1548" s="2" t="n">
        <x:v>0</x:v>
      </x:c>
      <x:c r="T1548" s="2" t="n">
        <x:f>R1548+S1548+J1548-I1548</x:f>
        <x:v>111</x:v>
      </x:c>
      <x:c r="U1548" s="2" t="n">
        <x:v>0</x:v>
      </x:c>
      <x:c r="V1548" s="2" t="n">
        <x:v>3</x:v>
      </x:c>
      <x:c r="W1548" s="2" t="n">
        <x:v>13</x:v>
      </x:c>
      <x:c r="X1548" s="14" t="b">
        <x:v>0</x:v>
      </x:c>
      <x:c r="Y1548" s="14" t="b">
        <x:v>0</x:v>
      </x:c>
      <x:c r="Z1548" s="2" t="n">
        <x:f>ABS(T1548-AA1548)</x:f>
        <x:v>0</x:v>
      </x:c>
      <x:c r="AA1548" s="2" t="n">
        <x:v>111</x:v>
      </x:c>
      <x:c r="AB1548" s="2" t="n">
        <x:f>ABS(K1548-W1548)</x:f>
        <x:v>3</x:v>
      </x:c>
      <x:c r="AC1548" s="2" t="n">
        <x:f>COUNTIF($A$2:$A$1921,A1548)-1</x:f>
        <x:v>0</x:v>
      </x:c>
      <x:c r="AD1548" s="2" t="n">
        <x:f>IF(AND(D1548=D1547,H1548=H1547,C1548=C1547+1),ABS(R1548-T1547),0)</x:f>
        <x:v>0</x:v>
      </x:c>
    </x:row>
    <x:row r="1549" ht="23" customHeight="1">
      <x:c r="A1549" s="2" t="str">
        <x:v>DEMO-402-1-8</x:v>
      </x:c>
      <x:c r="B1549" s="15" t="d">
        <x:v>2026-06-22T00:00:00.000Z</x:v>
      </x:c>
      <x:c r="C1549" s="2" t="n">
        <x:v>8</x:v>
      </x:c>
      <x:c r="D1549" s="2" t="str">
        <x:v>DEMO-402</x:v>
      </x:c>
      <x:c r="E1549" s="2" t="str">
        <x:v>Canvas Carryall</x:v>
      </x:c>
      <x:c r="F1549" s="2" t="str">
        <x:v>Accessories</x:v>
      </x:c>
      <x:c r="G1549" s="2" t="str">
        <x:v>Stores</x:v>
      </x:c>
      <x:c r="H1549" s="2" t="str">
        <x:v>Riverside</x:v>
      </x:c>
      <x:c r="I1549" s="2" t="n">
        <x:v>12</x:v>
      </x:c>
      <x:c r="J1549" s="2" t="n">
        <x:v>1</x:v>
      </x:c>
      <x:c r="K1549" s="2" t="n">
        <x:f>I1549-J1549</x:f>
        <x:v>11</x:v>
      </x:c>
      <x:c r="L1549" s="16" t="n">
        <x:v>18</x:v>
      </x:c>
      <x:c r="M1549" s="16" t="n">
        <x:v>18</x:v>
      </x:c>
      <x:c r="N1549" s="16" t="n">
        <x:v>6.93</x:v>
      </x:c>
      <x:c r="O1549" s="16" t="n">
        <x:f>K1549*M1549</x:f>
        <x:v>198</x:v>
      </x:c>
      <x:c r="P1549" s="16" t="n">
        <x:f>K1549*N1549</x:f>
        <x:v>76.22999999999999</x:v>
      </x:c>
      <x:c r="Q1549" s="16" t="n">
        <x:f>O1549-P1549</x:f>
        <x:v>121.77000000000001</x:v>
      </x:c>
      <x:c r="R1549" s="2" t="n">
        <x:v>111</x:v>
      </x:c>
      <x:c r="S1549" s="2" t="n">
        <x:v>0</x:v>
      </x:c>
      <x:c r="T1549" s="2" t="n">
        <x:f>R1549+S1549+J1549-I1549</x:f>
        <x:v>100</x:v>
      </x:c>
      <x:c r="U1549" s="2" t="n">
        <x:v>0</x:v>
      </x:c>
      <x:c r="V1549" s="2" t="n">
        <x:v>3</x:v>
      </x:c>
      <x:c r="W1549" s="2" t="n">
        <x:v>14</x:v>
      </x:c>
      <x:c r="X1549" s="14" t="b">
        <x:v>0</x:v>
      </x:c>
      <x:c r="Y1549" s="14" t="b">
        <x:v>0</x:v>
      </x:c>
      <x:c r="Z1549" s="2" t="n">
        <x:f>ABS(T1549-AA1549)</x:f>
        <x:v>0</x:v>
      </x:c>
      <x:c r="AA1549" s="2" t="n">
        <x:v>100</x:v>
      </x:c>
      <x:c r="AB1549" s="2" t="n">
        <x:f>ABS(K1549-W1549)</x:f>
        <x:v>3</x:v>
      </x:c>
      <x:c r="AC1549" s="2" t="n">
        <x:f>COUNTIF($A$2:$A$1921,A1549)-1</x:f>
        <x:v>0</x:v>
      </x:c>
      <x:c r="AD1549" s="2" t="n">
        <x:f>IF(AND(D1549=D1548,H1549=H1548,C1549=C1548+1),ABS(R1549-T1548),0)</x:f>
        <x:v>0</x:v>
      </x:c>
    </x:row>
    <x:row r="1550" ht="23" customHeight="1">
      <x:c r="A1550" s="2" t="str">
        <x:v>DEMO-402-1-9</x:v>
      </x:c>
      <x:c r="B1550" s="15" t="d">
        <x:v>2026-06-29T00:00:00.000Z</x:v>
      </x:c>
      <x:c r="C1550" s="2" t="n">
        <x:v>9</x:v>
      </x:c>
      <x:c r="D1550" s="2" t="str">
        <x:v>DEMO-402</x:v>
      </x:c>
      <x:c r="E1550" s="2" t="str">
        <x:v>Canvas Carryall</x:v>
      </x:c>
      <x:c r="F1550" s="2" t="str">
        <x:v>Accessories</x:v>
      </x:c>
      <x:c r="G1550" s="2" t="str">
        <x:v>Stores</x:v>
      </x:c>
      <x:c r="H1550" s="2" t="str">
        <x:v>Riverside</x:v>
      </x:c>
      <x:c r="I1550" s="2" t="n">
        <x:v>14</x:v>
      </x:c>
      <x:c r="J1550" s="2" t="n">
        <x:v>0</x:v>
      </x:c>
      <x:c r="K1550" s="2" t="n">
        <x:f>I1550-J1550</x:f>
        <x:v>14</x:v>
      </x:c>
      <x:c r="L1550" s="16" t="n">
        <x:v>18</x:v>
      </x:c>
      <x:c r="M1550" s="16" t="n">
        <x:v>18</x:v>
      </x:c>
      <x:c r="N1550" s="16" t="n">
        <x:v>6.93</x:v>
      </x:c>
      <x:c r="O1550" s="16" t="n">
        <x:f>K1550*M1550</x:f>
        <x:v>252</x:v>
      </x:c>
      <x:c r="P1550" s="16" t="n">
        <x:f>K1550*N1550</x:f>
        <x:v>97.02</x:v>
      </x:c>
      <x:c r="Q1550" s="16" t="n">
        <x:f>O1550-P1550</x:f>
        <x:v>154.98000000000002</x:v>
      </x:c>
      <x:c r="R1550" s="2" t="n">
        <x:v>100</x:v>
      </x:c>
      <x:c r="S1550" s="2" t="n">
        <x:v>59</x:v>
      </x:c>
      <x:c r="T1550" s="2" t="n">
        <x:f>R1550+S1550+J1550-I1550</x:f>
        <x:v>145</x:v>
      </x:c>
      <x:c r="U1550" s="2" t="n">
        <x:v>0</x:v>
      </x:c>
      <x:c r="V1550" s="2" t="n">
        <x:v>3</x:v>
      </x:c>
      <x:c r="W1550" s="2" t="n">
        <x:v>13</x:v>
      </x:c>
      <x:c r="X1550" s="14" t="b">
        <x:v>0</x:v>
      </x:c>
      <x:c r="Y1550" s="14" t="b">
        <x:v>0</x:v>
      </x:c>
      <x:c r="Z1550" s="2" t="n">
        <x:f>ABS(T1550-AA1550)</x:f>
        <x:v>0</x:v>
      </x:c>
      <x:c r="AA1550" s="2" t="n">
        <x:v>145</x:v>
      </x:c>
      <x:c r="AB1550" s="2" t="n">
        <x:f>ABS(K1550-W1550)</x:f>
        <x:v>1</x:v>
      </x:c>
      <x:c r="AC1550" s="2" t="n">
        <x:f>COUNTIF($A$2:$A$1921,A1550)-1</x:f>
        <x:v>0</x:v>
      </x:c>
      <x:c r="AD1550" s="2" t="n">
        <x:f>IF(AND(D1550=D1549,H1550=H1549,C1550=C1549+1),ABS(R1550-T1549),0)</x:f>
        <x:v>0</x:v>
      </x:c>
    </x:row>
    <x:row r="1551" ht="23" customHeight="1">
      <x:c r="A1551" s="2" t="str">
        <x:v>DEMO-402-1-10</x:v>
      </x:c>
      <x:c r="B1551" s="15" t="d">
        <x:v>2026-07-06T00:00:00.000Z</x:v>
      </x:c>
      <x:c r="C1551" s="2" t="n">
        <x:v>10</x:v>
      </x:c>
      <x:c r="D1551" s="2" t="str">
        <x:v>DEMO-402</x:v>
      </x:c>
      <x:c r="E1551" s="2" t="str">
        <x:v>Canvas Carryall</x:v>
      </x:c>
      <x:c r="F1551" s="2" t="str">
        <x:v>Accessories</x:v>
      </x:c>
      <x:c r="G1551" s="2" t="str">
        <x:v>Stores</x:v>
      </x:c>
      <x:c r="H1551" s="2" t="str">
        <x:v>Riverside</x:v>
      </x:c>
      <x:c r="I1551" s="2" t="n">
        <x:v>16</x:v>
      </x:c>
      <x:c r="J1551" s="2" t="n">
        <x:v>0</x:v>
      </x:c>
      <x:c r="K1551" s="2" t="n">
        <x:f>I1551-J1551</x:f>
        <x:v>16</x:v>
      </x:c>
      <x:c r="L1551" s="16" t="n">
        <x:v>18</x:v>
      </x:c>
      <x:c r="M1551" s="16" t="n">
        <x:v>18</x:v>
      </x:c>
      <x:c r="N1551" s="16" t="n">
        <x:v>6.93</x:v>
      </x:c>
      <x:c r="O1551" s="16" t="n">
        <x:f>K1551*M1551</x:f>
        <x:v>288</x:v>
      </x:c>
      <x:c r="P1551" s="16" t="n">
        <x:f>K1551*N1551</x:f>
        <x:v>110.88</x:v>
      </x:c>
      <x:c r="Q1551" s="16" t="n">
        <x:f>O1551-P1551</x:f>
        <x:v>177.12</x:v>
      </x:c>
      <x:c r="R1551" s="2" t="n">
        <x:v>145</x:v>
      </x:c>
      <x:c r="S1551" s="2" t="n">
        <x:v>0</x:v>
      </x:c>
      <x:c r="T1551" s="2" t="n">
        <x:f>R1551+S1551+J1551-I1551</x:f>
        <x:v>129</x:v>
      </x:c>
      <x:c r="U1551" s="2" t="n">
        <x:v>0</x:v>
      </x:c>
      <x:c r="V1551" s="2" t="n">
        <x:v>3</x:v>
      </x:c>
      <x:c r="W1551" s="2" t="n">
        <x:v>13</x:v>
      </x:c>
      <x:c r="X1551" s="14" t="b">
        <x:v>0</x:v>
      </x:c>
      <x:c r="Y1551" s="14" t="b">
        <x:v>0</x:v>
      </x:c>
      <x:c r="Z1551" s="2" t="n">
        <x:f>ABS(T1551-AA1551)</x:f>
        <x:v>0</x:v>
      </x:c>
      <x:c r="AA1551" s="2" t="n">
        <x:v>129</x:v>
      </x:c>
      <x:c r="AB1551" s="2" t="n">
        <x:f>ABS(K1551-W1551)</x:f>
        <x:v>3</x:v>
      </x:c>
      <x:c r="AC1551" s="2" t="n">
        <x:f>COUNTIF($A$2:$A$1921,A1551)-1</x:f>
        <x:v>0</x:v>
      </x:c>
      <x:c r="AD1551" s="2" t="n">
        <x:f>IF(AND(D1551=D1550,H1551=H1550,C1551=C1550+1),ABS(R1551-T1550),0)</x:f>
        <x:v>0</x:v>
      </x:c>
    </x:row>
    <x:row r="1552" ht="23" customHeight="1">
      <x:c r="A1552" s="2" t="str">
        <x:v>DEMO-402-1-11</x:v>
      </x:c>
      <x:c r="B1552" s="15" t="d">
        <x:v>2026-07-13T00:00:00.000Z</x:v>
      </x:c>
      <x:c r="C1552" s="2" t="n">
        <x:v>11</x:v>
      </x:c>
      <x:c r="D1552" s="2" t="str">
        <x:v>DEMO-402</x:v>
      </x:c>
      <x:c r="E1552" s="2" t="str">
        <x:v>Canvas Carryall</x:v>
      </x:c>
      <x:c r="F1552" s="2" t="str">
        <x:v>Accessories</x:v>
      </x:c>
      <x:c r="G1552" s="2" t="str">
        <x:v>Stores</x:v>
      </x:c>
      <x:c r="H1552" s="2" t="str">
        <x:v>Riverside</x:v>
      </x:c>
      <x:c r="I1552" s="2" t="n">
        <x:v>14</x:v>
      </x:c>
      <x:c r="J1552" s="2" t="n">
        <x:v>0</x:v>
      </x:c>
      <x:c r="K1552" s="2" t="n">
        <x:f>I1552-J1552</x:f>
        <x:v>14</x:v>
      </x:c>
      <x:c r="L1552" s="16" t="n">
        <x:v>18</x:v>
      </x:c>
      <x:c r="M1552" s="16" t="n">
        <x:v>18</x:v>
      </x:c>
      <x:c r="N1552" s="16" t="n">
        <x:v>6.93</x:v>
      </x:c>
      <x:c r="O1552" s="16" t="n">
        <x:f>K1552*M1552</x:f>
        <x:v>252</x:v>
      </x:c>
      <x:c r="P1552" s="16" t="n">
        <x:f>K1552*N1552</x:f>
        <x:v>97.02</x:v>
      </x:c>
      <x:c r="Q1552" s="16" t="n">
        <x:f>O1552-P1552</x:f>
        <x:v>154.98000000000002</x:v>
      </x:c>
      <x:c r="R1552" s="2" t="n">
        <x:v>129</x:v>
      </x:c>
      <x:c r="S1552" s="2" t="n">
        <x:v>0</x:v>
      </x:c>
      <x:c r="T1552" s="2" t="n">
        <x:f>R1552+S1552+J1552-I1552</x:f>
        <x:v>115</x:v>
      </x:c>
      <x:c r="U1552" s="2" t="n">
        <x:v>0</x:v>
      </x:c>
      <x:c r="V1552" s="2" t="n">
        <x:v>3</x:v>
      </x:c>
      <x:c r="W1552" s="2" t="n">
        <x:v>14</x:v>
      </x:c>
      <x:c r="X1552" s="14" t="b">
        <x:v>0</x:v>
      </x:c>
      <x:c r="Y1552" s="14" t="b">
        <x:v>0</x:v>
      </x:c>
      <x:c r="Z1552" s="2" t="n">
        <x:f>ABS(T1552-AA1552)</x:f>
        <x:v>0</x:v>
      </x:c>
      <x:c r="AA1552" s="2" t="n">
        <x:v>115</x:v>
      </x:c>
      <x:c r="AB1552" s="2" t="n">
        <x:f>ABS(K1552-W1552)</x:f>
        <x:v>0</x:v>
      </x:c>
      <x:c r="AC1552" s="2" t="n">
        <x:f>COUNTIF($A$2:$A$1921,A1552)-1</x:f>
        <x:v>0</x:v>
      </x:c>
      <x:c r="AD1552" s="2" t="n">
        <x:f>IF(AND(D1552=D1551,H1552=H1551,C1552=C1551+1),ABS(R1552-T1551),0)</x:f>
        <x:v>0</x:v>
      </x:c>
    </x:row>
    <x:row r="1553" ht="23" customHeight="1">
      <x:c r="A1553" s="2" t="str">
        <x:v>DEMO-402-1-12</x:v>
      </x:c>
      <x:c r="B1553" s="15" t="d">
        <x:v>2026-07-20T00:00:00.000Z</x:v>
      </x:c>
      <x:c r="C1553" s="2" t="n">
        <x:v>12</x:v>
      </x:c>
      <x:c r="D1553" s="2" t="str">
        <x:v>DEMO-402</x:v>
      </x:c>
      <x:c r="E1553" s="2" t="str">
        <x:v>Canvas Carryall</x:v>
      </x:c>
      <x:c r="F1553" s="2" t="str">
        <x:v>Accessories</x:v>
      </x:c>
      <x:c r="G1553" s="2" t="str">
        <x:v>Stores</x:v>
      </x:c>
      <x:c r="H1553" s="2" t="str">
        <x:v>Riverside</x:v>
      </x:c>
      <x:c r="I1553" s="2" t="n">
        <x:v>13</x:v>
      </x:c>
      <x:c r="J1553" s="2" t="n">
        <x:v>0</x:v>
      </x:c>
      <x:c r="K1553" s="2" t="n">
        <x:f>I1553-J1553</x:f>
        <x:v>13</x:v>
      </x:c>
      <x:c r="L1553" s="16" t="n">
        <x:v>18</x:v>
      </x:c>
      <x:c r="M1553" s="16" t="n">
        <x:v>18</x:v>
      </x:c>
      <x:c r="N1553" s="16" t="n">
        <x:v>6.93</x:v>
      </x:c>
      <x:c r="O1553" s="16" t="n">
        <x:f>K1553*M1553</x:f>
        <x:v>234</x:v>
      </x:c>
      <x:c r="P1553" s="16" t="n">
        <x:f>K1553*N1553</x:f>
        <x:v>90.09</x:v>
      </x:c>
      <x:c r="Q1553" s="16" t="n">
        <x:f>O1553-P1553</x:f>
        <x:v>143.91</x:v>
      </x:c>
      <x:c r="R1553" s="2" t="n">
        <x:v>115</x:v>
      </x:c>
      <x:c r="S1553" s="2" t="n">
        <x:v>0</x:v>
      </x:c>
      <x:c r="T1553" s="2" t="n">
        <x:f>R1553+S1553+J1553-I1553</x:f>
        <x:v>102</x:v>
      </x:c>
      <x:c r="U1553" s="2" t="n">
        <x:v>0</x:v>
      </x:c>
      <x:c r="V1553" s="2" t="n">
        <x:v>3</x:v>
      </x:c>
      <x:c r="W1553" s="2" t="n">
        <x:v>14</x:v>
      </x:c>
      <x:c r="X1553" s="14" t="b">
        <x:v>0</x:v>
      </x:c>
      <x:c r="Y1553" s="14" t="b">
        <x:v>0</x:v>
      </x:c>
      <x:c r="Z1553" s="2" t="n">
        <x:f>ABS(T1553-AA1553)</x:f>
        <x:v>0</x:v>
      </x:c>
      <x:c r="AA1553" s="2" t="n">
        <x:v>102</x:v>
      </x:c>
      <x:c r="AB1553" s="2" t="n">
        <x:f>ABS(K1553-W1553)</x:f>
        <x:v>1</x:v>
      </x:c>
      <x:c r="AC1553" s="2" t="n">
        <x:f>COUNTIF($A$2:$A$1921,A1553)-1</x:f>
        <x:v>0</x:v>
      </x:c>
      <x:c r="AD1553" s="2" t="n">
        <x:f>IF(AND(D1553=D1552,H1553=H1552,C1553=C1552+1),ABS(R1553-T1552),0)</x:f>
        <x:v>0</x:v>
      </x:c>
    </x:row>
    <x:row r="1554" ht="23" customHeight="1">
      <x:c r="A1554" s="2" t="str">
        <x:v>DEMO-402-1-13</x:v>
      </x:c>
      <x:c r="B1554" s="15" t="d">
        <x:v>2026-07-27T00:00:00.000Z</x:v>
      </x:c>
      <x:c r="C1554" s="2" t="n">
        <x:v>13</x:v>
      </x:c>
      <x:c r="D1554" s="2" t="str">
        <x:v>DEMO-402</x:v>
      </x:c>
      <x:c r="E1554" s="2" t="str">
        <x:v>Canvas Carryall</x:v>
      </x:c>
      <x:c r="F1554" s="2" t="str">
        <x:v>Accessories</x:v>
      </x:c>
      <x:c r="G1554" s="2" t="str">
        <x:v>Stores</x:v>
      </x:c>
      <x:c r="H1554" s="2" t="str">
        <x:v>Riverside</x:v>
      </x:c>
      <x:c r="I1554" s="2" t="n">
        <x:v>13</x:v>
      </x:c>
      <x:c r="J1554" s="2" t="n">
        <x:v>0</x:v>
      </x:c>
      <x:c r="K1554" s="2" t="n">
        <x:f>I1554-J1554</x:f>
        <x:v>13</x:v>
      </x:c>
      <x:c r="L1554" s="16" t="n">
        <x:v>18</x:v>
      </x:c>
      <x:c r="M1554" s="16" t="n">
        <x:v>18</x:v>
      </x:c>
      <x:c r="N1554" s="16" t="n">
        <x:v>6.93</x:v>
      </x:c>
      <x:c r="O1554" s="16" t="n">
        <x:f>K1554*M1554</x:f>
        <x:v>234</x:v>
      </x:c>
      <x:c r="P1554" s="16" t="n">
        <x:f>K1554*N1554</x:f>
        <x:v>90.09</x:v>
      </x:c>
      <x:c r="Q1554" s="16" t="n">
        <x:f>O1554-P1554</x:f>
        <x:v>143.91</x:v>
      </x:c>
      <x:c r="R1554" s="2" t="n">
        <x:v>102</x:v>
      </x:c>
      <x:c r="S1554" s="2" t="n">
        <x:v>59</x:v>
      </x:c>
      <x:c r="T1554" s="2" t="n">
        <x:f>R1554+S1554+J1554-I1554</x:f>
        <x:v>148</x:v>
      </x:c>
      <x:c r="U1554" s="2" t="n">
        <x:v>0</x:v>
      </x:c>
      <x:c r="V1554" s="2" t="n">
        <x:v>3</x:v>
      </x:c>
      <x:c r="W1554" s="2" t="n">
        <x:v>14</x:v>
      </x:c>
      <x:c r="X1554" s="14" t="b">
        <x:v>0</x:v>
      </x:c>
      <x:c r="Y1554" s="14" t="b">
        <x:v>0</x:v>
      </x:c>
      <x:c r="Z1554" s="2" t="n">
        <x:f>ABS(T1554-AA1554)</x:f>
        <x:v>0</x:v>
      </x:c>
      <x:c r="AA1554" s="2" t="n">
        <x:v>148</x:v>
      </x:c>
      <x:c r="AB1554" s="2" t="n">
        <x:f>ABS(K1554-W1554)</x:f>
        <x:v>1</x:v>
      </x:c>
      <x:c r="AC1554" s="2" t="n">
        <x:f>COUNTIF($A$2:$A$1921,A1554)-1</x:f>
        <x:v>0</x:v>
      </x:c>
      <x:c r="AD1554" s="2" t="n">
        <x:f>IF(AND(D1554=D1553,H1554=H1553,C1554=C1553+1),ABS(R1554-T1553),0)</x:f>
        <x:v>0</x:v>
      </x:c>
    </x:row>
    <x:row r="1555" ht="23" customHeight="1">
      <x:c r="A1555" s="2" t="str">
        <x:v>DEMO-402-1-14</x:v>
      </x:c>
      <x:c r="B1555" s="15" t="d">
        <x:v>2026-08-03T00:00:00.000Z</x:v>
      </x:c>
      <x:c r="C1555" s="2" t="n">
        <x:v>14</x:v>
      </x:c>
      <x:c r="D1555" s="2" t="str">
        <x:v>DEMO-402</x:v>
      </x:c>
      <x:c r="E1555" s="2" t="str">
        <x:v>Canvas Carryall</x:v>
      </x:c>
      <x:c r="F1555" s="2" t="str">
        <x:v>Accessories</x:v>
      </x:c>
      <x:c r="G1555" s="2" t="str">
        <x:v>Stores</x:v>
      </x:c>
      <x:c r="H1555" s="2" t="str">
        <x:v>Riverside</x:v>
      </x:c>
      <x:c r="I1555" s="2" t="n">
        <x:v>17</x:v>
      </x:c>
      <x:c r="J1555" s="2" t="n">
        <x:v>0</x:v>
      </x:c>
      <x:c r="K1555" s="2" t="n">
        <x:f>I1555-J1555</x:f>
        <x:v>17</x:v>
      </x:c>
      <x:c r="L1555" s="16" t="n">
        <x:v>18</x:v>
      </x:c>
      <x:c r="M1555" s="16" t="n">
        <x:v>18</x:v>
      </x:c>
      <x:c r="N1555" s="16" t="n">
        <x:v>6.93</x:v>
      </x:c>
      <x:c r="O1555" s="16" t="n">
        <x:f>K1555*M1555</x:f>
        <x:v>306</x:v>
      </x:c>
      <x:c r="P1555" s="16" t="n">
        <x:f>K1555*N1555</x:f>
        <x:v>117.81</x:v>
      </x:c>
      <x:c r="Q1555" s="16" t="n">
        <x:f>O1555-P1555</x:f>
        <x:v>188.19</x:v>
      </x:c>
      <x:c r="R1555" s="2" t="n">
        <x:v>148</x:v>
      </x:c>
      <x:c r="S1555" s="2" t="n">
        <x:v>0</x:v>
      </x:c>
      <x:c r="T1555" s="2" t="n">
        <x:f>R1555+S1555+J1555-I1555</x:f>
        <x:v>131</x:v>
      </x:c>
      <x:c r="U1555" s="2" t="n">
        <x:v>0</x:v>
      </x:c>
      <x:c r="V1555" s="2" t="n">
        <x:v>3</x:v>
      </x:c>
      <x:c r="W1555" s="2" t="n">
        <x:v>14</x:v>
      </x:c>
      <x:c r="X1555" s="14" t="b">
        <x:v>0</x:v>
      </x:c>
      <x:c r="Y1555" s="14" t="b">
        <x:v>0</x:v>
      </x:c>
      <x:c r="Z1555" s="2" t="n">
        <x:f>ABS(T1555-AA1555)</x:f>
        <x:v>0</x:v>
      </x:c>
      <x:c r="AA1555" s="2" t="n">
        <x:v>131</x:v>
      </x:c>
      <x:c r="AB1555" s="2" t="n">
        <x:f>ABS(K1555-W1555)</x:f>
        <x:v>3</x:v>
      </x:c>
      <x:c r="AC1555" s="2" t="n">
        <x:f>COUNTIF($A$2:$A$1921,A1555)-1</x:f>
        <x:v>0</x:v>
      </x:c>
      <x:c r="AD1555" s="2" t="n">
        <x:f>IF(AND(D1555=D1554,H1555=H1554,C1555=C1554+1),ABS(R1555-T1554),0)</x:f>
        <x:v>0</x:v>
      </x:c>
    </x:row>
    <x:row r="1556" ht="23" customHeight="1">
      <x:c r="A1556" s="2" t="str">
        <x:v>DEMO-402-1-15</x:v>
      </x:c>
      <x:c r="B1556" s="15" t="d">
        <x:v>2026-08-10T00:00:00.000Z</x:v>
      </x:c>
      <x:c r="C1556" s="2" t="n">
        <x:v>15</x:v>
      </x:c>
      <x:c r="D1556" s="2" t="str">
        <x:v>DEMO-402</x:v>
      </x:c>
      <x:c r="E1556" s="2" t="str">
        <x:v>Canvas Carryall</x:v>
      </x:c>
      <x:c r="F1556" s="2" t="str">
        <x:v>Accessories</x:v>
      </x:c>
      <x:c r="G1556" s="2" t="str">
        <x:v>Stores</x:v>
      </x:c>
      <x:c r="H1556" s="2" t="str">
        <x:v>Riverside</x:v>
      </x:c>
      <x:c r="I1556" s="2" t="n">
        <x:v>16</x:v>
      </x:c>
      <x:c r="J1556" s="2" t="n">
        <x:v>0</x:v>
      </x:c>
      <x:c r="K1556" s="2" t="n">
        <x:f>I1556-J1556</x:f>
        <x:v>16</x:v>
      </x:c>
      <x:c r="L1556" s="16" t="n">
        <x:v>18</x:v>
      </x:c>
      <x:c r="M1556" s="16" t="n">
        <x:v>18</x:v>
      </x:c>
      <x:c r="N1556" s="16" t="n">
        <x:v>6.93</x:v>
      </x:c>
      <x:c r="O1556" s="16" t="n">
        <x:f>K1556*M1556</x:f>
        <x:v>288</x:v>
      </x:c>
      <x:c r="P1556" s="16" t="n">
        <x:f>K1556*N1556</x:f>
        <x:v>110.88</x:v>
      </x:c>
      <x:c r="Q1556" s="16" t="n">
        <x:f>O1556-P1556</x:f>
        <x:v>177.12</x:v>
      </x:c>
      <x:c r="R1556" s="2" t="n">
        <x:v>131</x:v>
      </x:c>
      <x:c r="S1556" s="2" t="n">
        <x:v>0</x:v>
      </x:c>
      <x:c r="T1556" s="2" t="n">
        <x:f>R1556+S1556+J1556-I1556</x:f>
        <x:v>115</x:v>
      </x:c>
      <x:c r="U1556" s="2" t="n">
        <x:v>0</x:v>
      </x:c>
      <x:c r="V1556" s="2" t="n">
        <x:v>3</x:v>
      </x:c>
      <x:c r="W1556" s="2" t="n">
        <x:v>14</x:v>
      </x:c>
      <x:c r="X1556" s="14" t="b">
        <x:v>0</x:v>
      </x:c>
      <x:c r="Y1556" s="14" t="b">
        <x:v>0</x:v>
      </x:c>
      <x:c r="Z1556" s="2" t="n">
        <x:f>ABS(T1556-AA1556)</x:f>
        <x:v>0</x:v>
      </x:c>
      <x:c r="AA1556" s="2" t="n">
        <x:v>115</x:v>
      </x:c>
      <x:c r="AB1556" s="2" t="n">
        <x:f>ABS(K1556-W1556)</x:f>
        <x:v>2</x:v>
      </x:c>
      <x:c r="AC1556" s="2" t="n">
        <x:f>COUNTIF($A$2:$A$1921,A1556)-1</x:f>
        <x:v>0</x:v>
      </x:c>
      <x:c r="AD1556" s="2" t="n">
        <x:f>IF(AND(D1556=D1555,H1556=H1555,C1556=C1555+1),ABS(R1556-T1555),0)</x:f>
        <x:v>0</x:v>
      </x:c>
    </x:row>
    <x:row r="1557" ht="23" customHeight="1">
      <x:c r="A1557" s="2" t="str">
        <x:v>DEMO-402-1-16</x:v>
      </x:c>
      <x:c r="B1557" s="15" t="d">
        <x:v>2026-08-17T00:00:00.000Z</x:v>
      </x:c>
      <x:c r="C1557" s="2" t="n">
        <x:v>16</x:v>
      </x:c>
      <x:c r="D1557" s="2" t="str">
        <x:v>DEMO-402</x:v>
      </x:c>
      <x:c r="E1557" s="2" t="str">
        <x:v>Canvas Carryall</x:v>
      </x:c>
      <x:c r="F1557" s="2" t="str">
        <x:v>Accessories</x:v>
      </x:c>
      <x:c r="G1557" s="2" t="str">
        <x:v>Stores</x:v>
      </x:c>
      <x:c r="H1557" s="2" t="str">
        <x:v>Riverside</x:v>
      </x:c>
      <x:c r="I1557" s="2" t="n">
        <x:v>16</x:v>
      </x:c>
      <x:c r="J1557" s="2" t="n">
        <x:v>0</x:v>
      </x:c>
      <x:c r="K1557" s="2" t="n">
        <x:f>I1557-J1557</x:f>
        <x:v>16</x:v>
      </x:c>
      <x:c r="L1557" s="16" t="n">
        <x:v>18</x:v>
      </x:c>
      <x:c r="M1557" s="16" t="n">
        <x:v>18</x:v>
      </x:c>
      <x:c r="N1557" s="16" t="n">
        <x:v>6.93</x:v>
      </x:c>
      <x:c r="O1557" s="16" t="n">
        <x:f>K1557*M1557</x:f>
        <x:v>288</x:v>
      </x:c>
      <x:c r="P1557" s="16" t="n">
        <x:f>K1557*N1557</x:f>
        <x:v>110.88</x:v>
      </x:c>
      <x:c r="Q1557" s="16" t="n">
        <x:f>O1557-P1557</x:f>
        <x:v>177.12</x:v>
      </x:c>
      <x:c r="R1557" s="2" t="n">
        <x:v>115</x:v>
      </x:c>
      <x:c r="S1557" s="2" t="n">
        <x:v>0</x:v>
      </x:c>
      <x:c r="T1557" s="2" t="n">
        <x:f>R1557+S1557+J1557-I1557</x:f>
        <x:v>99</x:v>
      </x:c>
      <x:c r="U1557" s="2" t="n">
        <x:v>0</x:v>
      </x:c>
      <x:c r="V1557" s="2" t="n">
        <x:v>3</x:v>
      </x:c>
      <x:c r="W1557" s="2" t="n">
        <x:v>15</x:v>
      </x:c>
      <x:c r="X1557" s="14" t="b">
        <x:v>0</x:v>
      </x:c>
      <x:c r="Y1557" s="14" t="b">
        <x:v>0</x:v>
      </x:c>
      <x:c r="Z1557" s="2" t="n">
        <x:f>ABS(T1557-AA1557)</x:f>
        <x:v>0</x:v>
      </x:c>
      <x:c r="AA1557" s="2" t="n">
        <x:v>99</x:v>
      </x:c>
      <x:c r="AB1557" s="2" t="n">
        <x:f>ABS(K1557-W1557)</x:f>
        <x:v>1</x:v>
      </x:c>
      <x:c r="AC1557" s="2" t="n">
        <x:f>COUNTIF($A$2:$A$1921,A1557)-1</x:f>
        <x:v>0</x:v>
      </x:c>
      <x:c r="AD1557" s="2" t="n">
        <x:f>IF(AND(D1557=D1556,H1557=H1556,C1557=C1556+1),ABS(R1557-T1556),0)</x:f>
        <x:v>0</x:v>
      </x:c>
    </x:row>
    <x:row r="1558" ht="23" customHeight="1">
      <x:c r="A1558" s="2" t="str">
        <x:v>DEMO-402-1-17</x:v>
      </x:c>
      <x:c r="B1558" s="15" t="d">
        <x:v>2026-08-24T00:00:00.000Z</x:v>
      </x:c>
      <x:c r="C1558" s="2" t="n">
        <x:v>17</x:v>
      </x:c>
      <x:c r="D1558" s="2" t="str">
        <x:v>DEMO-402</x:v>
      </x:c>
      <x:c r="E1558" s="2" t="str">
        <x:v>Canvas Carryall</x:v>
      </x:c>
      <x:c r="F1558" s="2" t="str">
        <x:v>Accessories</x:v>
      </x:c>
      <x:c r="G1558" s="2" t="str">
        <x:v>Stores</x:v>
      </x:c>
      <x:c r="H1558" s="2" t="str">
        <x:v>Riverside</x:v>
      </x:c>
      <x:c r="I1558" s="2" t="n">
        <x:v>13</x:v>
      </x:c>
      <x:c r="J1558" s="2" t="n">
        <x:v>0</x:v>
      </x:c>
      <x:c r="K1558" s="2" t="n">
        <x:f>I1558-J1558</x:f>
        <x:v>13</x:v>
      </x:c>
      <x:c r="L1558" s="16" t="n">
        <x:v>18</x:v>
      </x:c>
      <x:c r="M1558" s="16" t="n">
        <x:v>18</x:v>
      </x:c>
      <x:c r="N1558" s="16" t="n">
        <x:v>6.93</x:v>
      </x:c>
      <x:c r="O1558" s="16" t="n">
        <x:f>K1558*M1558</x:f>
        <x:v>234</x:v>
      </x:c>
      <x:c r="P1558" s="16" t="n">
        <x:f>K1558*N1558</x:f>
        <x:v>90.09</x:v>
      </x:c>
      <x:c r="Q1558" s="16" t="n">
        <x:f>O1558-P1558</x:f>
        <x:v>143.91</x:v>
      </x:c>
      <x:c r="R1558" s="2" t="n">
        <x:v>99</x:v>
      </x:c>
      <x:c r="S1558" s="2" t="n">
        <x:v>59</x:v>
      </x:c>
      <x:c r="T1558" s="2" t="n">
        <x:f>R1558+S1558+J1558-I1558</x:f>
        <x:v>145</x:v>
      </x:c>
      <x:c r="U1558" s="2" t="n">
        <x:v>0</x:v>
      </x:c>
      <x:c r="V1558" s="2" t="n">
        <x:v>3</x:v>
      </x:c>
      <x:c r="W1558" s="2" t="n">
        <x:v>16</x:v>
      </x:c>
      <x:c r="X1558" s="14" t="b">
        <x:v>0</x:v>
      </x:c>
      <x:c r="Y1558" s="14" t="b">
        <x:v>0</x:v>
      </x:c>
      <x:c r="Z1558" s="2" t="n">
        <x:f>ABS(T1558-AA1558)</x:f>
        <x:v>0</x:v>
      </x:c>
      <x:c r="AA1558" s="2" t="n">
        <x:v>145</x:v>
      </x:c>
      <x:c r="AB1558" s="2" t="n">
        <x:f>ABS(K1558-W1558)</x:f>
        <x:v>3</x:v>
      </x:c>
      <x:c r="AC1558" s="2" t="n">
        <x:f>COUNTIF($A$2:$A$1921,A1558)-1</x:f>
        <x:v>0</x:v>
      </x:c>
      <x:c r="AD1558" s="2" t="n">
        <x:f>IF(AND(D1558=D1557,H1558=H1557,C1558=C1557+1),ABS(R1558-T1557),0)</x:f>
        <x:v>0</x:v>
      </x:c>
    </x:row>
    <x:row r="1559" ht="23" customHeight="1">
      <x:c r="A1559" s="2" t="str">
        <x:v>DEMO-402-1-18</x:v>
      </x:c>
      <x:c r="B1559" s="15" t="d">
        <x:v>2026-08-31T00:00:00.000Z</x:v>
      </x:c>
      <x:c r="C1559" s="2" t="n">
        <x:v>18</x:v>
      </x:c>
      <x:c r="D1559" s="2" t="str">
        <x:v>DEMO-402</x:v>
      </x:c>
      <x:c r="E1559" s="2" t="str">
        <x:v>Canvas Carryall</x:v>
      </x:c>
      <x:c r="F1559" s="2" t="str">
        <x:v>Accessories</x:v>
      </x:c>
      <x:c r="G1559" s="2" t="str">
        <x:v>Stores</x:v>
      </x:c>
      <x:c r="H1559" s="2" t="str">
        <x:v>Riverside</x:v>
      </x:c>
      <x:c r="I1559" s="2" t="n">
        <x:v>15</x:v>
      </x:c>
      <x:c r="J1559" s="2" t="n">
        <x:v>0</x:v>
      </x:c>
      <x:c r="K1559" s="2" t="n">
        <x:f>I1559-J1559</x:f>
        <x:v>15</x:v>
      </x:c>
      <x:c r="L1559" s="16" t="n">
        <x:v>18</x:v>
      </x:c>
      <x:c r="M1559" s="16" t="n">
        <x:v>18</x:v>
      </x:c>
      <x:c r="N1559" s="16" t="n">
        <x:v>6.93</x:v>
      </x:c>
      <x:c r="O1559" s="16" t="n">
        <x:f>K1559*M1559</x:f>
        <x:v>270</x:v>
      </x:c>
      <x:c r="P1559" s="16" t="n">
        <x:f>K1559*N1559</x:f>
        <x:v>103.94999999999999</x:v>
      </x:c>
      <x:c r="Q1559" s="16" t="n">
        <x:f>O1559-P1559</x:f>
        <x:v>166.05</x:v>
      </x:c>
      <x:c r="R1559" s="2" t="n">
        <x:v>145</x:v>
      </x:c>
      <x:c r="S1559" s="2" t="n">
        <x:v>0</x:v>
      </x:c>
      <x:c r="T1559" s="2" t="n">
        <x:f>R1559+S1559+J1559-I1559</x:f>
        <x:v>130</x:v>
      </x:c>
      <x:c r="U1559" s="2" t="n">
        <x:v>0</x:v>
      </x:c>
      <x:c r="V1559" s="2" t="n">
        <x:v>3</x:v>
      </x:c>
      <x:c r="W1559" s="2" t="n">
        <x:v>16</x:v>
      </x:c>
      <x:c r="X1559" s="14" t="b">
        <x:v>0</x:v>
      </x:c>
      <x:c r="Y1559" s="14" t="b">
        <x:v>0</x:v>
      </x:c>
      <x:c r="Z1559" s="2" t="n">
        <x:f>ABS(T1559-AA1559)</x:f>
        <x:v>0</x:v>
      </x:c>
      <x:c r="AA1559" s="2" t="n">
        <x:v>130</x:v>
      </x:c>
      <x:c r="AB1559" s="2" t="n">
        <x:f>ABS(K1559-W1559)</x:f>
        <x:v>1</x:v>
      </x:c>
      <x:c r="AC1559" s="2" t="n">
        <x:f>COUNTIF($A$2:$A$1921,A1559)-1</x:f>
        <x:v>0</x:v>
      </x:c>
      <x:c r="AD1559" s="2" t="n">
        <x:f>IF(AND(D1559=D1558,H1559=H1558,C1559=C1558+1),ABS(R1559-T1558),0)</x:f>
        <x:v>0</x:v>
      </x:c>
    </x:row>
    <x:row r="1560" ht="23" customHeight="1">
      <x:c r="A1560" s="2" t="str">
        <x:v>DEMO-402-1-19</x:v>
      </x:c>
      <x:c r="B1560" s="15" t="d">
        <x:v>2026-09-07T00:00:00.000Z</x:v>
      </x:c>
      <x:c r="C1560" s="2" t="n">
        <x:v>19</x:v>
      </x:c>
      <x:c r="D1560" s="2" t="str">
        <x:v>DEMO-402</x:v>
      </x:c>
      <x:c r="E1560" s="2" t="str">
        <x:v>Canvas Carryall</x:v>
      </x:c>
      <x:c r="F1560" s="2" t="str">
        <x:v>Accessories</x:v>
      </x:c>
      <x:c r="G1560" s="2" t="str">
        <x:v>Stores</x:v>
      </x:c>
      <x:c r="H1560" s="2" t="str">
        <x:v>Riverside</x:v>
      </x:c>
      <x:c r="I1560" s="2" t="n">
        <x:v>15</x:v>
      </x:c>
      <x:c r="J1560" s="2" t="n">
        <x:v>0</x:v>
      </x:c>
      <x:c r="K1560" s="2" t="n">
        <x:f>I1560-J1560</x:f>
        <x:v>15</x:v>
      </x:c>
      <x:c r="L1560" s="16" t="n">
        <x:v>18</x:v>
      </x:c>
      <x:c r="M1560" s="16" t="n">
        <x:v>18</x:v>
      </x:c>
      <x:c r="N1560" s="16" t="n">
        <x:v>6.93</x:v>
      </x:c>
      <x:c r="O1560" s="16" t="n">
        <x:f>K1560*M1560</x:f>
        <x:v>270</x:v>
      </x:c>
      <x:c r="P1560" s="16" t="n">
        <x:f>K1560*N1560</x:f>
        <x:v>103.94999999999999</x:v>
      </x:c>
      <x:c r="Q1560" s="16" t="n">
        <x:f>O1560-P1560</x:f>
        <x:v>166.05</x:v>
      </x:c>
      <x:c r="R1560" s="2" t="n">
        <x:v>130</x:v>
      </x:c>
      <x:c r="S1560" s="2" t="n">
        <x:v>0</x:v>
      </x:c>
      <x:c r="T1560" s="2" t="n">
        <x:f>R1560+S1560+J1560-I1560</x:f>
        <x:v>115</x:v>
      </x:c>
      <x:c r="U1560" s="2" t="n">
        <x:v>0</x:v>
      </x:c>
      <x:c r="V1560" s="2" t="n">
        <x:v>3</x:v>
      </x:c>
      <x:c r="W1560" s="2" t="n">
        <x:v>15</x:v>
      </x:c>
      <x:c r="X1560" s="14" t="b">
        <x:v>0</x:v>
      </x:c>
      <x:c r="Y1560" s="14" t="b">
        <x:v>0</x:v>
      </x:c>
      <x:c r="Z1560" s="2" t="n">
        <x:f>ABS(T1560-AA1560)</x:f>
        <x:v>0</x:v>
      </x:c>
      <x:c r="AA1560" s="2" t="n">
        <x:v>115</x:v>
      </x:c>
      <x:c r="AB1560" s="2" t="n">
        <x:f>ABS(K1560-W1560)</x:f>
        <x:v>0</x:v>
      </x:c>
      <x:c r="AC1560" s="2" t="n">
        <x:f>COUNTIF($A$2:$A$1921,A1560)-1</x:f>
        <x:v>0</x:v>
      </x:c>
      <x:c r="AD1560" s="2" t="n">
        <x:f>IF(AND(D1560=D1559,H1560=H1559,C1560=C1559+1),ABS(R1560-T1559),0)</x:f>
        <x:v>0</x:v>
      </x:c>
    </x:row>
    <x:row r="1561" ht="23" customHeight="1">
      <x:c r="A1561" s="2" t="str">
        <x:v>DEMO-402-1-20</x:v>
      </x:c>
      <x:c r="B1561" s="15" t="d">
        <x:v>2026-09-14T00:00:00.000Z</x:v>
      </x:c>
      <x:c r="C1561" s="2" t="n">
        <x:v>20</x:v>
      </x:c>
      <x:c r="D1561" s="2" t="str">
        <x:v>DEMO-402</x:v>
      </x:c>
      <x:c r="E1561" s="2" t="str">
        <x:v>Canvas Carryall</x:v>
      </x:c>
      <x:c r="F1561" s="2" t="str">
        <x:v>Accessories</x:v>
      </x:c>
      <x:c r="G1561" s="2" t="str">
        <x:v>Stores</x:v>
      </x:c>
      <x:c r="H1561" s="2" t="str">
        <x:v>Riverside</x:v>
      </x:c>
      <x:c r="I1561" s="2" t="n">
        <x:v>15</x:v>
      </x:c>
      <x:c r="J1561" s="2" t="n">
        <x:v>0</x:v>
      </x:c>
      <x:c r="K1561" s="2" t="n">
        <x:f>I1561-J1561</x:f>
        <x:v>15</x:v>
      </x:c>
      <x:c r="L1561" s="16" t="n">
        <x:v>18</x:v>
      </x:c>
      <x:c r="M1561" s="16" t="n">
        <x:v>18</x:v>
      </x:c>
      <x:c r="N1561" s="16" t="n">
        <x:v>6.93</x:v>
      </x:c>
      <x:c r="O1561" s="16" t="n">
        <x:f>K1561*M1561</x:f>
        <x:v>270</x:v>
      </x:c>
      <x:c r="P1561" s="16" t="n">
        <x:f>K1561*N1561</x:f>
        <x:v>103.94999999999999</x:v>
      </x:c>
      <x:c r="Q1561" s="16" t="n">
        <x:f>O1561-P1561</x:f>
        <x:v>166.05</x:v>
      </x:c>
      <x:c r="R1561" s="2" t="n">
        <x:v>115</x:v>
      </x:c>
      <x:c r="S1561" s="2" t="n">
        <x:v>0</x:v>
      </x:c>
      <x:c r="T1561" s="2" t="n">
        <x:f>R1561+S1561+J1561-I1561</x:f>
        <x:v>100</x:v>
      </x:c>
      <x:c r="U1561" s="2" t="n">
        <x:v>18</x:v>
      </x:c>
      <x:c r="V1561" s="2" t="n">
        <x:v>3</x:v>
      </x:c>
      <x:c r="W1561" s="2" t="n">
        <x:v>15</x:v>
      </x:c>
      <x:c r="X1561" s="14" t="b">
        <x:v>0</x:v>
      </x:c>
      <x:c r="Y1561" s="14" t="b">
        <x:v>0</x:v>
      </x:c>
      <x:c r="Z1561" s="2" t="n">
        <x:f>ABS(T1561-AA1561)</x:f>
        <x:v>0</x:v>
      </x:c>
      <x:c r="AA1561" s="2" t="n">
        <x:v>100</x:v>
      </x:c>
      <x:c r="AB1561" s="2" t="n">
        <x:f>ABS(K1561-W1561)</x:f>
        <x:v>0</x:v>
      </x:c>
      <x:c r="AC1561" s="2" t="n">
        <x:f>COUNTIF($A$2:$A$1921,A1561)-1</x:f>
        <x:v>0</x:v>
      </x:c>
      <x:c r="AD1561" s="2" t="n">
        <x:f>IF(AND(D1561=D1560,H1561=H1560,C1561=C1560+1),ABS(R1561-T1560),0)</x:f>
        <x:v>0</x:v>
      </x:c>
    </x:row>
    <x:row r="1562" ht="23" customHeight="1">
      <x:c r="A1562" s="2" t="str">
        <x:v>DEMO-402-2-1</x:v>
      </x:c>
      <x:c r="B1562" s="15" t="d">
        <x:v>2026-05-04T00:00:00.000Z</x:v>
      </x:c>
      <x:c r="C1562" s="2" t="n">
        <x:v>1</x:v>
      </x:c>
      <x:c r="D1562" s="2" t="str">
        <x:v>DEMO-402</x:v>
      </x:c>
      <x:c r="E1562" s="2" t="str">
        <x:v>Canvas Carryall</x:v>
      </x:c>
      <x:c r="F1562" s="2" t="str">
        <x:v>Accessories</x:v>
      </x:c>
      <x:c r="G1562" s="2" t="str">
        <x:v>Stores</x:v>
      </x:c>
      <x:c r="H1562" s="2" t="str">
        <x:v>Central Market</x:v>
      </x:c>
      <x:c r="I1562" s="2" t="n">
        <x:v>15</x:v>
      </x:c>
      <x:c r="J1562" s="2" t="n">
        <x:v>0</x:v>
      </x:c>
      <x:c r="K1562" s="2" t="n">
        <x:f>I1562-J1562</x:f>
        <x:v>15</x:v>
      </x:c>
      <x:c r="L1562" s="16" t="n">
        <x:v>18</x:v>
      </x:c>
      <x:c r="M1562" s="16" t="n">
        <x:v>18</x:v>
      </x:c>
      <x:c r="N1562" s="16" t="n">
        <x:v>6.93</x:v>
      </x:c>
      <x:c r="O1562" s="16" t="n">
        <x:f>K1562*M1562</x:f>
        <x:v>270</x:v>
      </x:c>
      <x:c r="P1562" s="16" t="n">
        <x:f>K1562*N1562</x:f>
        <x:v>103.94999999999999</x:v>
      </x:c>
      <x:c r="Q1562" s="16" t="n">
        <x:f>O1562-P1562</x:f>
        <x:v>166.05</x:v>
      </x:c>
      <x:c r="R1562" s="2" t="n">
        <x:v>90</x:v>
      </x:c>
      <x:c r="S1562" s="2" t="n">
        <x:v>59</x:v>
      </x:c>
      <x:c r="T1562" s="2" t="n">
        <x:f>R1562+S1562+J1562-I1562</x:f>
        <x:v>134</x:v>
      </x:c>
      <x:c r="U1562" s="2" t="n">
        <x:v>0</x:v>
      </x:c>
      <x:c r="V1562" s="2" t="n">
        <x:v>3</x:v>
      </x:c>
      <x:c r="W1562" s="2" t="n">
        <x:v>14</x:v>
      </x:c>
      <x:c r="X1562" s="14" t="b">
        <x:v>0</x:v>
      </x:c>
      <x:c r="Y1562" s="14" t="b">
        <x:v>0</x:v>
      </x:c>
      <x:c r="Z1562" s="2" t="n">
        <x:f>ABS(T1562-AA1562)</x:f>
        <x:v>0</x:v>
      </x:c>
      <x:c r="AA1562" s="2" t="n">
        <x:v>134</x:v>
      </x:c>
      <x:c r="AB1562" s="2" t="n">
        <x:f>ABS(K1562-W1562)</x:f>
        <x:v>1</x:v>
      </x:c>
      <x:c r="AC1562" s="2" t="n">
        <x:f>COUNTIF($A$2:$A$1921,A1562)-1</x:f>
        <x:v>0</x:v>
      </x:c>
      <x:c r="AD1562" s="2" t="n">
        <x:f>IF(AND(D1562=D1561,H1562=H1561,C1562=C1561+1),ABS(R1562-T1561),0)</x:f>
        <x:v>0</x:v>
      </x:c>
    </x:row>
    <x:row r="1563" ht="23" customHeight="1">
      <x:c r="A1563" s="2" t="str">
        <x:v>DEMO-402-2-2</x:v>
      </x:c>
      <x:c r="B1563" s="15" t="d">
        <x:v>2026-05-11T00:00:00.000Z</x:v>
      </x:c>
      <x:c r="C1563" s="2" t="n">
        <x:v>2</x:v>
      </x:c>
      <x:c r="D1563" s="2" t="str">
        <x:v>DEMO-402</x:v>
      </x:c>
      <x:c r="E1563" s="2" t="str">
        <x:v>Canvas Carryall</x:v>
      </x:c>
      <x:c r="F1563" s="2" t="str">
        <x:v>Accessories</x:v>
      </x:c>
      <x:c r="G1563" s="2" t="str">
        <x:v>Stores</x:v>
      </x:c>
      <x:c r="H1563" s="2" t="str">
        <x:v>Central Market</x:v>
      </x:c>
      <x:c r="I1563" s="2" t="n">
        <x:v>16</x:v>
      </x:c>
      <x:c r="J1563" s="2" t="n">
        <x:v>0</x:v>
      </x:c>
      <x:c r="K1563" s="2" t="n">
        <x:f>I1563-J1563</x:f>
        <x:v>16</x:v>
      </x:c>
      <x:c r="L1563" s="16" t="n">
        <x:v>18</x:v>
      </x:c>
      <x:c r="M1563" s="16" t="n">
        <x:v>18</x:v>
      </x:c>
      <x:c r="N1563" s="16" t="n">
        <x:v>6.93</x:v>
      </x:c>
      <x:c r="O1563" s="16" t="n">
        <x:f>K1563*M1563</x:f>
        <x:v>288</x:v>
      </x:c>
      <x:c r="P1563" s="16" t="n">
        <x:f>K1563*N1563</x:f>
        <x:v>110.88</x:v>
      </x:c>
      <x:c r="Q1563" s="16" t="n">
        <x:f>O1563-P1563</x:f>
        <x:v>177.12</x:v>
      </x:c>
      <x:c r="R1563" s="2" t="n">
        <x:v>134</x:v>
      </x:c>
      <x:c r="S1563" s="2" t="n">
        <x:v>0</x:v>
      </x:c>
      <x:c r="T1563" s="2" t="n">
        <x:f>R1563+S1563+J1563-I1563</x:f>
        <x:v>118</x:v>
      </x:c>
      <x:c r="U1563" s="2" t="n">
        <x:v>0</x:v>
      </x:c>
      <x:c r="V1563" s="2" t="n">
        <x:v>3</x:v>
      </x:c>
      <x:c r="W1563" s="2" t="n">
        <x:v>15</x:v>
      </x:c>
      <x:c r="X1563" s="14" t="b">
        <x:v>0</x:v>
      </x:c>
      <x:c r="Y1563" s="14" t="b">
        <x:v>0</x:v>
      </x:c>
      <x:c r="Z1563" s="2" t="n">
        <x:f>ABS(T1563-AA1563)</x:f>
        <x:v>0</x:v>
      </x:c>
      <x:c r="AA1563" s="2" t="n">
        <x:v>118</x:v>
      </x:c>
      <x:c r="AB1563" s="2" t="n">
        <x:f>ABS(K1563-W1563)</x:f>
        <x:v>1</x:v>
      </x:c>
      <x:c r="AC1563" s="2" t="n">
        <x:f>COUNTIF($A$2:$A$1921,A1563)-1</x:f>
        <x:v>0</x:v>
      </x:c>
      <x:c r="AD1563" s="2" t="n">
        <x:f>IF(AND(D1563=D1562,H1563=H1562,C1563=C1562+1),ABS(R1563-T1562),0)</x:f>
        <x:v>0</x:v>
      </x:c>
    </x:row>
    <x:row r="1564" ht="23" customHeight="1">
      <x:c r="A1564" s="2" t="str">
        <x:v>DEMO-402-2-3</x:v>
      </x:c>
      <x:c r="B1564" s="15" t="d">
        <x:v>2026-05-18T00:00:00.000Z</x:v>
      </x:c>
      <x:c r="C1564" s="2" t="n">
        <x:v>3</x:v>
      </x:c>
      <x:c r="D1564" s="2" t="str">
        <x:v>DEMO-402</x:v>
      </x:c>
      <x:c r="E1564" s="2" t="str">
        <x:v>Canvas Carryall</x:v>
      </x:c>
      <x:c r="F1564" s="2" t="str">
        <x:v>Accessories</x:v>
      </x:c>
      <x:c r="G1564" s="2" t="str">
        <x:v>Stores</x:v>
      </x:c>
      <x:c r="H1564" s="2" t="str">
        <x:v>Central Market</x:v>
      </x:c>
      <x:c r="I1564" s="2" t="n">
        <x:v>16</x:v>
      </x:c>
      <x:c r="J1564" s="2" t="n">
        <x:v>0</x:v>
      </x:c>
      <x:c r="K1564" s="2" t="n">
        <x:f>I1564-J1564</x:f>
        <x:v>16</x:v>
      </x:c>
      <x:c r="L1564" s="16" t="n">
        <x:v>18</x:v>
      </x:c>
      <x:c r="M1564" s="16" t="n">
        <x:v>18</x:v>
      </x:c>
      <x:c r="N1564" s="16" t="n">
        <x:v>6.93</x:v>
      </x:c>
      <x:c r="O1564" s="16" t="n">
        <x:f>K1564*M1564</x:f>
        <x:v>288</x:v>
      </x:c>
      <x:c r="P1564" s="16" t="n">
        <x:f>K1564*N1564</x:f>
        <x:v>110.88</x:v>
      </x:c>
      <x:c r="Q1564" s="16" t="n">
        <x:f>O1564-P1564</x:f>
        <x:v>177.12</x:v>
      </x:c>
      <x:c r="R1564" s="2" t="n">
        <x:v>118</x:v>
      </x:c>
      <x:c r="S1564" s="2" t="n">
        <x:v>0</x:v>
      </x:c>
      <x:c r="T1564" s="2" t="n">
        <x:f>R1564+S1564+J1564-I1564</x:f>
        <x:v>102</x:v>
      </x:c>
      <x:c r="U1564" s="2" t="n">
        <x:v>0</x:v>
      </x:c>
      <x:c r="V1564" s="2" t="n">
        <x:v>3</x:v>
      </x:c>
      <x:c r="W1564" s="2" t="n">
        <x:v>16</x:v>
      </x:c>
      <x:c r="X1564" s="14" t="b">
        <x:v>0</x:v>
      </x:c>
      <x:c r="Y1564" s="14" t="b">
        <x:v>0</x:v>
      </x:c>
      <x:c r="Z1564" s="2" t="n">
        <x:f>ABS(T1564-AA1564)</x:f>
        <x:v>0</x:v>
      </x:c>
      <x:c r="AA1564" s="2" t="n">
        <x:v>102</x:v>
      </x:c>
      <x:c r="AB1564" s="2" t="n">
        <x:f>ABS(K1564-W1564)</x:f>
        <x:v>0</x:v>
      </x:c>
      <x:c r="AC1564" s="2" t="n">
        <x:f>COUNTIF($A$2:$A$1921,A1564)-1</x:f>
        <x:v>0</x:v>
      </x:c>
      <x:c r="AD1564" s="2" t="n">
        <x:f>IF(AND(D1564=D1563,H1564=H1563,C1564=C1563+1),ABS(R1564-T1563),0)</x:f>
        <x:v>0</x:v>
      </x:c>
    </x:row>
    <x:row r="1565" ht="23" customHeight="1">
      <x:c r="A1565" s="2" t="str">
        <x:v>DEMO-402-2-4</x:v>
      </x:c>
      <x:c r="B1565" s="15" t="d">
        <x:v>2026-05-25T00:00:00.000Z</x:v>
      </x:c>
      <x:c r="C1565" s="2" t="n">
        <x:v>4</x:v>
      </x:c>
      <x:c r="D1565" s="2" t="str">
        <x:v>DEMO-402</x:v>
      </x:c>
      <x:c r="E1565" s="2" t="str">
        <x:v>Canvas Carryall</x:v>
      </x:c>
      <x:c r="F1565" s="2" t="str">
        <x:v>Accessories</x:v>
      </x:c>
      <x:c r="G1565" s="2" t="str">
        <x:v>Stores</x:v>
      </x:c>
      <x:c r="H1565" s="2" t="str">
        <x:v>Central Market</x:v>
      </x:c>
      <x:c r="I1565" s="2" t="n">
        <x:v>14</x:v>
      </x:c>
      <x:c r="J1565" s="2" t="n">
        <x:v>0</x:v>
      </x:c>
      <x:c r="K1565" s="2" t="n">
        <x:f>I1565-J1565</x:f>
        <x:v>14</x:v>
      </x:c>
      <x:c r="L1565" s="16" t="n">
        <x:v>18</x:v>
      </x:c>
      <x:c r="M1565" s="16" t="n">
        <x:v>18</x:v>
      </x:c>
      <x:c r="N1565" s="16" t="n">
        <x:v>6.93</x:v>
      </x:c>
      <x:c r="O1565" s="16" t="n">
        <x:f>K1565*M1565</x:f>
        <x:v>252</x:v>
      </x:c>
      <x:c r="P1565" s="16" t="n">
        <x:f>K1565*N1565</x:f>
        <x:v>97.02</x:v>
      </x:c>
      <x:c r="Q1565" s="16" t="n">
        <x:f>O1565-P1565</x:f>
        <x:v>154.98000000000002</x:v>
      </x:c>
      <x:c r="R1565" s="2" t="n">
        <x:v>102</x:v>
      </x:c>
      <x:c r="S1565" s="2" t="n">
        <x:v>0</x:v>
      </x:c>
      <x:c r="T1565" s="2" t="n">
        <x:f>R1565+S1565+J1565-I1565</x:f>
        <x:v>88</x:v>
      </x:c>
      <x:c r="U1565" s="2" t="n">
        <x:v>0</x:v>
      </x:c>
      <x:c r="V1565" s="2" t="n">
        <x:v>3</x:v>
      </x:c>
      <x:c r="W1565" s="2" t="n">
        <x:v>16</x:v>
      </x:c>
      <x:c r="X1565" s="14" t="b">
        <x:v>0</x:v>
      </x:c>
      <x:c r="Y1565" s="14" t="b">
        <x:v>0</x:v>
      </x:c>
      <x:c r="Z1565" s="2" t="n">
        <x:f>ABS(T1565-AA1565)</x:f>
        <x:v>0</x:v>
      </x:c>
      <x:c r="AA1565" s="2" t="n">
        <x:v>88</x:v>
      </x:c>
      <x:c r="AB1565" s="2" t="n">
        <x:f>ABS(K1565-W1565)</x:f>
        <x:v>2</x:v>
      </x:c>
      <x:c r="AC1565" s="2" t="n">
        <x:f>COUNTIF($A$2:$A$1921,A1565)-1</x:f>
        <x:v>0</x:v>
      </x:c>
      <x:c r="AD1565" s="2" t="n">
        <x:f>IF(AND(D1565=D1564,H1565=H1564,C1565=C1564+1),ABS(R1565-T1564),0)</x:f>
        <x:v>0</x:v>
      </x:c>
    </x:row>
    <x:row r="1566" ht="23" customHeight="1">
      <x:c r="A1566" s="2" t="str">
        <x:v>DEMO-402-2-5</x:v>
      </x:c>
      <x:c r="B1566" s="15" t="d">
        <x:v>2026-06-01T00:00:00.000Z</x:v>
      </x:c>
      <x:c r="C1566" s="2" t="n">
        <x:v>5</x:v>
      </x:c>
      <x:c r="D1566" s="2" t="str">
        <x:v>DEMO-402</x:v>
      </x:c>
      <x:c r="E1566" s="2" t="str">
        <x:v>Canvas Carryall</x:v>
      </x:c>
      <x:c r="F1566" s="2" t="str">
        <x:v>Accessories</x:v>
      </x:c>
      <x:c r="G1566" s="2" t="str">
        <x:v>Stores</x:v>
      </x:c>
      <x:c r="H1566" s="2" t="str">
        <x:v>Central Market</x:v>
      </x:c>
      <x:c r="I1566" s="2" t="n">
        <x:v>12</x:v>
      </x:c>
      <x:c r="J1566" s="2" t="n">
        <x:v>0</x:v>
      </x:c>
      <x:c r="K1566" s="2" t="n">
        <x:f>I1566-J1566</x:f>
        <x:v>12</x:v>
      </x:c>
      <x:c r="L1566" s="16" t="n">
        <x:v>18</x:v>
      </x:c>
      <x:c r="M1566" s="16" t="n">
        <x:v>18</x:v>
      </x:c>
      <x:c r="N1566" s="16" t="n">
        <x:v>6.93</x:v>
      </x:c>
      <x:c r="O1566" s="16" t="n">
        <x:f>K1566*M1566</x:f>
        <x:v>216</x:v>
      </x:c>
      <x:c r="P1566" s="16" t="n">
        <x:f>K1566*N1566</x:f>
        <x:v>83.16</x:v>
      </x:c>
      <x:c r="Q1566" s="16" t="n">
        <x:f>O1566-P1566</x:f>
        <x:v>132.84</x:v>
      </x:c>
      <x:c r="R1566" s="2" t="n">
        <x:v>88</x:v>
      </x:c>
      <x:c r="S1566" s="2" t="n">
        <x:v>59</x:v>
      </x:c>
      <x:c r="T1566" s="2" t="n">
        <x:f>R1566+S1566+J1566-I1566</x:f>
        <x:v>135</x:v>
      </x:c>
      <x:c r="U1566" s="2" t="n">
        <x:v>0</x:v>
      </x:c>
      <x:c r="V1566" s="2" t="n">
        <x:v>3</x:v>
      </x:c>
      <x:c r="W1566" s="2" t="n">
        <x:v>15</x:v>
      </x:c>
      <x:c r="X1566" s="14" t="b">
        <x:v>0</x:v>
      </x:c>
      <x:c r="Y1566" s="14" t="b">
        <x:v>0</x:v>
      </x:c>
      <x:c r="Z1566" s="2" t="n">
        <x:f>ABS(T1566-AA1566)</x:f>
        <x:v>0</x:v>
      </x:c>
      <x:c r="AA1566" s="2" t="n">
        <x:v>135</x:v>
      </x:c>
      <x:c r="AB1566" s="2" t="n">
        <x:f>ABS(K1566-W1566)</x:f>
        <x:v>3</x:v>
      </x:c>
      <x:c r="AC1566" s="2" t="n">
        <x:f>COUNTIF($A$2:$A$1921,A1566)-1</x:f>
        <x:v>0</x:v>
      </x:c>
      <x:c r="AD1566" s="2" t="n">
        <x:f>IF(AND(D1566=D1565,H1566=H1565,C1566=C1565+1),ABS(R1566-T1565),0)</x:f>
        <x:v>0</x:v>
      </x:c>
    </x:row>
    <x:row r="1567" ht="23" customHeight="1">
      <x:c r="A1567" s="2" t="str">
        <x:v>DEMO-402-2-6</x:v>
      </x:c>
      <x:c r="B1567" s="15" t="d">
        <x:v>2026-06-08T00:00:00.000Z</x:v>
      </x:c>
      <x:c r="C1567" s="2" t="n">
        <x:v>6</x:v>
      </x:c>
      <x:c r="D1567" s="2" t="str">
        <x:v>DEMO-402</x:v>
      </x:c>
      <x:c r="E1567" s="2" t="str">
        <x:v>Canvas Carryall</x:v>
      </x:c>
      <x:c r="F1567" s="2" t="str">
        <x:v>Accessories</x:v>
      </x:c>
      <x:c r="G1567" s="2" t="str">
        <x:v>Stores</x:v>
      </x:c>
      <x:c r="H1567" s="2" t="str">
        <x:v>Central Market</x:v>
      </x:c>
      <x:c r="I1567" s="2" t="n">
        <x:v>13</x:v>
      </x:c>
      <x:c r="J1567" s="2" t="n">
        <x:v>0</x:v>
      </x:c>
      <x:c r="K1567" s="2" t="n">
        <x:f>I1567-J1567</x:f>
        <x:v>13</x:v>
      </x:c>
      <x:c r="L1567" s="16" t="n">
        <x:v>18</x:v>
      </x:c>
      <x:c r="M1567" s="16" t="n">
        <x:v>18</x:v>
      </x:c>
      <x:c r="N1567" s="16" t="n">
        <x:v>6.93</x:v>
      </x:c>
      <x:c r="O1567" s="16" t="n">
        <x:f>K1567*M1567</x:f>
        <x:v>234</x:v>
      </x:c>
      <x:c r="P1567" s="16" t="n">
        <x:f>K1567*N1567</x:f>
        <x:v>90.09</x:v>
      </x:c>
      <x:c r="Q1567" s="16" t="n">
        <x:f>O1567-P1567</x:f>
        <x:v>143.91</x:v>
      </x:c>
      <x:c r="R1567" s="2" t="n">
        <x:v>135</x:v>
      </x:c>
      <x:c r="S1567" s="2" t="n">
        <x:v>0</x:v>
      </x:c>
      <x:c r="T1567" s="2" t="n">
        <x:f>R1567+S1567+J1567-I1567</x:f>
        <x:v>122</x:v>
      </x:c>
      <x:c r="U1567" s="2" t="n">
        <x:v>0</x:v>
      </x:c>
      <x:c r="V1567" s="2" t="n">
        <x:v>3</x:v>
      </x:c>
      <x:c r="W1567" s="2" t="n">
        <x:v>15</x:v>
      </x:c>
      <x:c r="X1567" s="14" t="b">
        <x:v>0</x:v>
      </x:c>
      <x:c r="Y1567" s="14" t="b">
        <x:v>0</x:v>
      </x:c>
      <x:c r="Z1567" s="2" t="n">
        <x:f>ABS(T1567-AA1567)</x:f>
        <x:v>0</x:v>
      </x:c>
      <x:c r="AA1567" s="2" t="n">
        <x:v>122</x:v>
      </x:c>
      <x:c r="AB1567" s="2" t="n">
        <x:f>ABS(K1567-W1567)</x:f>
        <x:v>2</x:v>
      </x:c>
      <x:c r="AC1567" s="2" t="n">
        <x:f>COUNTIF($A$2:$A$1921,A1567)-1</x:f>
        <x:v>0</x:v>
      </x:c>
      <x:c r="AD1567" s="2" t="n">
        <x:f>IF(AND(D1567=D1566,H1567=H1566,C1567=C1566+1),ABS(R1567-T1566),0)</x:f>
        <x:v>0</x:v>
      </x:c>
    </x:row>
    <x:row r="1568" ht="23" customHeight="1">
      <x:c r="A1568" s="2" t="str">
        <x:v>DEMO-402-2-7</x:v>
      </x:c>
      <x:c r="B1568" s="15" t="d">
        <x:v>2026-06-15T00:00:00.000Z</x:v>
      </x:c>
      <x:c r="C1568" s="2" t="n">
        <x:v>7</x:v>
      </x:c>
      <x:c r="D1568" s="2" t="str">
        <x:v>DEMO-402</x:v>
      </x:c>
      <x:c r="E1568" s="2" t="str">
        <x:v>Canvas Carryall</x:v>
      </x:c>
      <x:c r="F1568" s="2" t="str">
        <x:v>Accessories</x:v>
      </x:c>
      <x:c r="G1568" s="2" t="str">
        <x:v>Stores</x:v>
      </x:c>
      <x:c r="H1568" s="2" t="str">
        <x:v>Central Market</x:v>
      </x:c>
      <x:c r="I1568" s="2" t="n">
        <x:v>14</x:v>
      </x:c>
      <x:c r="J1568" s="2" t="n">
        <x:v>1</x:v>
      </x:c>
      <x:c r="K1568" s="2" t="n">
        <x:f>I1568-J1568</x:f>
        <x:v>13</x:v>
      </x:c>
      <x:c r="L1568" s="16" t="n">
        <x:v>18</x:v>
      </x:c>
      <x:c r="M1568" s="16" t="n">
        <x:v>18</x:v>
      </x:c>
      <x:c r="N1568" s="16" t="n">
        <x:v>6.93</x:v>
      </x:c>
      <x:c r="O1568" s="16" t="n">
        <x:f>K1568*M1568</x:f>
        <x:v>234</x:v>
      </x:c>
      <x:c r="P1568" s="16" t="n">
        <x:f>K1568*N1568</x:f>
        <x:v>90.09</x:v>
      </x:c>
      <x:c r="Q1568" s="16" t="n">
        <x:f>O1568-P1568</x:f>
        <x:v>143.91</x:v>
      </x:c>
      <x:c r="R1568" s="2" t="n">
        <x:v>122</x:v>
      </x:c>
      <x:c r="S1568" s="2" t="n">
        <x:v>0</x:v>
      </x:c>
      <x:c r="T1568" s="2" t="n">
        <x:f>R1568+S1568+J1568-I1568</x:f>
        <x:v>109</x:v>
      </x:c>
      <x:c r="U1568" s="2" t="n">
        <x:v>0</x:v>
      </x:c>
      <x:c r="V1568" s="2" t="n">
        <x:v>3</x:v>
      </x:c>
      <x:c r="W1568" s="2" t="n">
        <x:v>14</x:v>
      </x:c>
      <x:c r="X1568" s="14" t="b">
        <x:v>0</x:v>
      </x:c>
      <x:c r="Y1568" s="14" t="b">
        <x:v>0</x:v>
      </x:c>
      <x:c r="Z1568" s="2" t="n">
        <x:f>ABS(T1568-AA1568)</x:f>
        <x:v>0</x:v>
      </x:c>
      <x:c r="AA1568" s="2" t="n">
        <x:v>109</x:v>
      </x:c>
      <x:c r="AB1568" s="2" t="n">
        <x:f>ABS(K1568-W1568)</x:f>
        <x:v>1</x:v>
      </x:c>
      <x:c r="AC1568" s="2" t="n">
        <x:f>COUNTIF($A$2:$A$1921,A1568)-1</x:f>
        <x:v>0</x:v>
      </x:c>
      <x:c r="AD1568" s="2" t="n">
        <x:f>IF(AND(D1568=D1567,H1568=H1567,C1568=C1567+1),ABS(R1568-T1567),0)</x:f>
        <x:v>0</x:v>
      </x:c>
    </x:row>
    <x:row r="1569" ht="23" customHeight="1">
      <x:c r="A1569" s="2" t="str">
        <x:v>DEMO-402-2-8</x:v>
      </x:c>
      <x:c r="B1569" s="15" t="d">
        <x:v>2026-06-22T00:00:00.000Z</x:v>
      </x:c>
      <x:c r="C1569" s="2" t="n">
        <x:v>8</x:v>
      </x:c>
      <x:c r="D1569" s="2" t="str">
        <x:v>DEMO-402</x:v>
      </x:c>
      <x:c r="E1569" s="2" t="str">
        <x:v>Canvas Carryall</x:v>
      </x:c>
      <x:c r="F1569" s="2" t="str">
        <x:v>Accessories</x:v>
      </x:c>
      <x:c r="G1569" s="2" t="str">
        <x:v>Stores</x:v>
      </x:c>
      <x:c r="H1569" s="2" t="str">
        <x:v>Central Market</x:v>
      </x:c>
      <x:c r="I1569" s="2" t="n">
        <x:v>13</x:v>
      </x:c>
      <x:c r="J1569" s="2" t="n">
        <x:v>0</x:v>
      </x:c>
      <x:c r="K1569" s="2" t="n">
        <x:f>I1569-J1569</x:f>
        <x:v>13</x:v>
      </x:c>
      <x:c r="L1569" s="16" t="n">
        <x:v>18</x:v>
      </x:c>
      <x:c r="M1569" s="16" t="n">
        <x:v>18</x:v>
      </x:c>
      <x:c r="N1569" s="16" t="n">
        <x:v>6.93</x:v>
      </x:c>
      <x:c r="O1569" s="16" t="n">
        <x:f>K1569*M1569</x:f>
        <x:v>234</x:v>
      </x:c>
      <x:c r="P1569" s="16" t="n">
        <x:f>K1569*N1569</x:f>
        <x:v>90.09</x:v>
      </x:c>
      <x:c r="Q1569" s="16" t="n">
        <x:f>O1569-P1569</x:f>
        <x:v>143.91</x:v>
      </x:c>
      <x:c r="R1569" s="2" t="n">
        <x:v>109</x:v>
      </x:c>
      <x:c r="S1569" s="2" t="n">
        <x:v>0</x:v>
      </x:c>
      <x:c r="T1569" s="2" t="n">
        <x:f>R1569+S1569+J1569-I1569</x:f>
        <x:v>96</x:v>
      </x:c>
      <x:c r="U1569" s="2" t="n">
        <x:v>0</x:v>
      </x:c>
      <x:c r="V1569" s="2" t="n">
        <x:v>3</x:v>
      </x:c>
      <x:c r="W1569" s="2" t="n">
        <x:v>13</x:v>
      </x:c>
      <x:c r="X1569" s="14" t="b">
        <x:v>0</x:v>
      </x:c>
      <x:c r="Y1569" s="14" t="b">
        <x:v>0</x:v>
      </x:c>
      <x:c r="Z1569" s="2" t="n">
        <x:f>ABS(T1569-AA1569)</x:f>
        <x:v>0</x:v>
      </x:c>
      <x:c r="AA1569" s="2" t="n">
        <x:v>96</x:v>
      </x:c>
      <x:c r="AB1569" s="2" t="n">
        <x:f>ABS(K1569-W1569)</x:f>
        <x:v>0</x:v>
      </x:c>
      <x:c r="AC1569" s="2" t="n">
        <x:f>COUNTIF($A$2:$A$1921,A1569)-1</x:f>
        <x:v>0</x:v>
      </x:c>
      <x:c r="AD1569" s="2" t="n">
        <x:f>IF(AND(D1569=D1568,H1569=H1568,C1569=C1568+1),ABS(R1569-T1568),0)</x:f>
        <x:v>0</x:v>
      </x:c>
    </x:row>
    <x:row r="1570" ht="23" customHeight="1">
      <x:c r="A1570" s="2" t="str">
        <x:v>DEMO-402-2-9</x:v>
      </x:c>
      <x:c r="B1570" s="15" t="d">
        <x:v>2026-06-29T00:00:00.000Z</x:v>
      </x:c>
      <x:c r="C1570" s="2" t="n">
        <x:v>9</x:v>
      </x:c>
      <x:c r="D1570" s="2" t="str">
        <x:v>DEMO-402</x:v>
      </x:c>
      <x:c r="E1570" s="2" t="str">
        <x:v>Canvas Carryall</x:v>
      </x:c>
      <x:c r="F1570" s="2" t="str">
        <x:v>Accessories</x:v>
      </x:c>
      <x:c r="G1570" s="2" t="str">
        <x:v>Stores</x:v>
      </x:c>
      <x:c r="H1570" s="2" t="str">
        <x:v>Central Market</x:v>
      </x:c>
      <x:c r="I1570" s="2" t="n">
        <x:v>13</x:v>
      </x:c>
      <x:c r="J1570" s="2" t="n">
        <x:v>1</x:v>
      </x:c>
      <x:c r="K1570" s="2" t="n">
        <x:f>I1570-J1570</x:f>
        <x:v>12</x:v>
      </x:c>
      <x:c r="L1570" s="16" t="n">
        <x:v>18</x:v>
      </x:c>
      <x:c r="M1570" s="16" t="n">
        <x:v>18</x:v>
      </x:c>
      <x:c r="N1570" s="16" t="n">
        <x:v>6.93</x:v>
      </x:c>
      <x:c r="O1570" s="16" t="n">
        <x:f>K1570*M1570</x:f>
        <x:v>216</x:v>
      </x:c>
      <x:c r="P1570" s="16" t="n">
        <x:f>K1570*N1570</x:f>
        <x:v>83.16</x:v>
      </x:c>
      <x:c r="Q1570" s="16" t="n">
        <x:f>O1570-P1570</x:f>
        <x:v>132.84</x:v>
      </x:c>
      <x:c r="R1570" s="2" t="n">
        <x:v>96</x:v>
      </x:c>
      <x:c r="S1570" s="2" t="n">
        <x:v>59</x:v>
      </x:c>
      <x:c r="T1570" s="2" t="n">
        <x:f>R1570+S1570+J1570-I1570</x:f>
        <x:v>143</x:v>
      </x:c>
      <x:c r="U1570" s="2" t="n">
        <x:v>0</x:v>
      </x:c>
      <x:c r="V1570" s="2" t="n">
        <x:v>3</x:v>
      </x:c>
      <x:c r="W1570" s="2" t="n">
        <x:v>13</x:v>
      </x:c>
      <x:c r="X1570" s="14" t="b">
        <x:v>0</x:v>
      </x:c>
      <x:c r="Y1570" s="14" t="b">
        <x:v>0</x:v>
      </x:c>
      <x:c r="Z1570" s="2" t="n">
        <x:f>ABS(T1570-AA1570)</x:f>
        <x:v>0</x:v>
      </x:c>
      <x:c r="AA1570" s="2" t="n">
        <x:v>143</x:v>
      </x:c>
      <x:c r="AB1570" s="2" t="n">
        <x:f>ABS(K1570-W1570)</x:f>
        <x:v>1</x:v>
      </x:c>
      <x:c r="AC1570" s="2" t="n">
        <x:f>COUNTIF($A$2:$A$1921,A1570)-1</x:f>
        <x:v>0</x:v>
      </x:c>
      <x:c r="AD1570" s="2" t="n">
        <x:f>IF(AND(D1570=D1569,H1570=H1569,C1570=C1569+1),ABS(R1570-T1569),0)</x:f>
        <x:v>0</x:v>
      </x:c>
    </x:row>
    <x:row r="1571" ht="23" customHeight="1">
      <x:c r="A1571" s="2" t="str">
        <x:v>DEMO-402-2-10</x:v>
      </x:c>
      <x:c r="B1571" s="15" t="d">
        <x:v>2026-07-06T00:00:00.000Z</x:v>
      </x:c>
      <x:c r="C1571" s="2" t="n">
        <x:v>10</x:v>
      </x:c>
      <x:c r="D1571" s="2" t="str">
        <x:v>DEMO-402</x:v>
      </x:c>
      <x:c r="E1571" s="2" t="str">
        <x:v>Canvas Carryall</x:v>
      </x:c>
      <x:c r="F1571" s="2" t="str">
        <x:v>Accessories</x:v>
      </x:c>
      <x:c r="G1571" s="2" t="str">
        <x:v>Stores</x:v>
      </x:c>
      <x:c r="H1571" s="2" t="str">
        <x:v>Central Market</x:v>
      </x:c>
      <x:c r="I1571" s="2" t="n">
        <x:v>16</x:v>
      </x:c>
      <x:c r="J1571" s="2" t="n">
        <x:v>1</x:v>
      </x:c>
      <x:c r="K1571" s="2" t="n">
        <x:f>I1571-J1571</x:f>
        <x:v>15</x:v>
      </x:c>
      <x:c r="L1571" s="16" t="n">
        <x:v>18</x:v>
      </x:c>
      <x:c r="M1571" s="16" t="n">
        <x:v>18</x:v>
      </x:c>
      <x:c r="N1571" s="16" t="n">
        <x:v>6.93</x:v>
      </x:c>
      <x:c r="O1571" s="16" t="n">
        <x:f>K1571*M1571</x:f>
        <x:v>270</x:v>
      </x:c>
      <x:c r="P1571" s="16" t="n">
        <x:f>K1571*N1571</x:f>
        <x:v>103.94999999999999</x:v>
      </x:c>
      <x:c r="Q1571" s="16" t="n">
        <x:f>O1571-P1571</x:f>
        <x:v>166.05</x:v>
      </x:c>
      <x:c r="R1571" s="2" t="n">
        <x:v>143</x:v>
      </x:c>
      <x:c r="S1571" s="2" t="n">
        <x:v>0</x:v>
      </x:c>
      <x:c r="T1571" s="2" t="n">
        <x:f>R1571+S1571+J1571-I1571</x:f>
        <x:v>128</x:v>
      </x:c>
      <x:c r="U1571" s="2" t="n">
        <x:v>0</x:v>
      </x:c>
      <x:c r="V1571" s="2" t="n">
        <x:v>3</x:v>
      </x:c>
      <x:c r="W1571" s="2" t="n">
        <x:v>13</x:v>
      </x:c>
      <x:c r="X1571" s="14" t="b">
        <x:v>0</x:v>
      </x:c>
      <x:c r="Y1571" s="14" t="b">
        <x:v>0</x:v>
      </x:c>
      <x:c r="Z1571" s="2" t="n">
        <x:f>ABS(T1571-AA1571)</x:f>
        <x:v>0</x:v>
      </x:c>
      <x:c r="AA1571" s="2" t="n">
        <x:v>128</x:v>
      </x:c>
      <x:c r="AB1571" s="2" t="n">
        <x:f>ABS(K1571-W1571)</x:f>
        <x:v>2</x:v>
      </x:c>
      <x:c r="AC1571" s="2" t="n">
        <x:f>COUNTIF($A$2:$A$1921,A1571)-1</x:f>
        <x:v>0</x:v>
      </x:c>
      <x:c r="AD1571" s="2" t="n">
        <x:f>IF(AND(D1571=D1570,H1571=H1570,C1571=C1570+1),ABS(R1571-T1570),0)</x:f>
        <x:v>0</x:v>
      </x:c>
    </x:row>
    <x:row r="1572" ht="23" customHeight="1">
      <x:c r="A1572" s="2" t="str">
        <x:v>DEMO-402-2-11</x:v>
      </x:c>
      <x:c r="B1572" s="15" t="d">
        <x:v>2026-07-13T00:00:00.000Z</x:v>
      </x:c>
      <x:c r="C1572" s="2" t="n">
        <x:v>11</x:v>
      </x:c>
      <x:c r="D1572" s="2" t="str">
        <x:v>DEMO-402</x:v>
      </x:c>
      <x:c r="E1572" s="2" t="str">
        <x:v>Canvas Carryall</x:v>
      </x:c>
      <x:c r="F1572" s="2" t="str">
        <x:v>Accessories</x:v>
      </x:c>
      <x:c r="G1572" s="2" t="str">
        <x:v>Stores</x:v>
      </x:c>
      <x:c r="H1572" s="2" t="str">
        <x:v>Central Market</x:v>
      </x:c>
      <x:c r="I1572" s="2" t="n">
        <x:v>13</x:v>
      </x:c>
      <x:c r="J1572" s="2" t="n">
        <x:v>0</x:v>
      </x:c>
      <x:c r="K1572" s="2" t="n">
        <x:f>I1572-J1572</x:f>
        <x:v>13</x:v>
      </x:c>
      <x:c r="L1572" s="16" t="n">
        <x:v>18</x:v>
      </x:c>
      <x:c r="M1572" s="16" t="n">
        <x:v>18</x:v>
      </x:c>
      <x:c r="N1572" s="16" t="n">
        <x:v>6.93</x:v>
      </x:c>
      <x:c r="O1572" s="16" t="n">
        <x:f>K1572*M1572</x:f>
        <x:v>234</x:v>
      </x:c>
      <x:c r="P1572" s="16" t="n">
        <x:f>K1572*N1572</x:f>
        <x:v>90.09</x:v>
      </x:c>
      <x:c r="Q1572" s="16" t="n">
        <x:f>O1572-P1572</x:f>
        <x:v>143.91</x:v>
      </x:c>
      <x:c r="R1572" s="2" t="n">
        <x:v>128</x:v>
      </x:c>
      <x:c r="S1572" s="2" t="n">
        <x:v>0</x:v>
      </x:c>
      <x:c r="T1572" s="2" t="n">
        <x:f>R1572+S1572+J1572-I1572</x:f>
        <x:v>115</x:v>
      </x:c>
      <x:c r="U1572" s="2" t="n">
        <x:v>0</x:v>
      </x:c>
      <x:c r="V1572" s="2" t="n">
        <x:v>3</x:v>
      </x:c>
      <x:c r="W1572" s="2" t="n">
        <x:v>13</x:v>
      </x:c>
      <x:c r="X1572" s="14" t="b">
        <x:v>0</x:v>
      </x:c>
      <x:c r="Y1572" s="14" t="b">
        <x:v>0</x:v>
      </x:c>
      <x:c r="Z1572" s="2" t="n">
        <x:f>ABS(T1572-AA1572)</x:f>
        <x:v>0</x:v>
      </x:c>
      <x:c r="AA1572" s="2" t="n">
        <x:v>115</x:v>
      </x:c>
      <x:c r="AB1572" s="2" t="n">
        <x:f>ABS(K1572-W1572)</x:f>
        <x:v>0</x:v>
      </x:c>
      <x:c r="AC1572" s="2" t="n">
        <x:f>COUNTIF($A$2:$A$1921,A1572)-1</x:f>
        <x:v>0</x:v>
      </x:c>
      <x:c r="AD1572" s="2" t="n">
        <x:f>IF(AND(D1572=D1571,H1572=H1571,C1572=C1571+1),ABS(R1572-T1571),0)</x:f>
        <x:v>0</x:v>
      </x:c>
    </x:row>
    <x:row r="1573" ht="23" customHeight="1">
      <x:c r="A1573" s="2" t="str">
        <x:v>DEMO-402-2-12</x:v>
      </x:c>
      <x:c r="B1573" s="15" t="d">
        <x:v>2026-07-20T00:00:00.000Z</x:v>
      </x:c>
      <x:c r="C1573" s="2" t="n">
        <x:v>12</x:v>
      </x:c>
      <x:c r="D1573" s="2" t="str">
        <x:v>DEMO-402</x:v>
      </x:c>
      <x:c r="E1573" s="2" t="str">
        <x:v>Canvas Carryall</x:v>
      </x:c>
      <x:c r="F1573" s="2" t="str">
        <x:v>Accessories</x:v>
      </x:c>
      <x:c r="G1573" s="2" t="str">
        <x:v>Stores</x:v>
      </x:c>
      <x:c r="H1573" s="2" t="str">
        <x:v>Central Market</x:v>
      </x:c>
      <x:c r="I1573" s="2" t="n">
        <x:v>13</x:v>
      </x:c>
      <x:c r="J1573" s="2" t="n">
        <x:v>1</x:v>
      </x:c>
      <x:c r="K1573" s="2" t="n">
        <x:f>I1573-J1573</x:f>
        <x:v>12</x:v>
      </x:c>
      <x:c r="L1573" s="16" t="n">
        <x:v>18</x:v>
      </x:c>
      <x:c r="M1573" s="16" t="n">
        <x:v>18</x:v>
      </x:c>
      <x:c r="N1573" s="16" t="n">
        <x:v>6.93</x:v>
      </x:c>
      <x:c r="O1573" s="16" t="n">
        <x:f>K1573*M1573</x:f>
        <x:v>216</x:v>
      </x:c>
      <x:c r="P1573" s="16" t="n">
        <x:f>K1573*N1573</x:f>
        <x:v>83.16</x:v>
      </x:c>
      <x:c r="Q1573" s="16" t="n">
        <x:f>O1573-P1573</x:f>
        <x:v>132.84</x:v>
      </x:c>
      <x:c r="R1573" s="2" t="n">
        <x:v>115</x:v>
      </x:c>
      <x:c r="S1573" s="2" t="n">
        <x:v>0</x:v>
      </x:c>
      <x:c r="T1573" s="2" t="n">
        <x:f>R1573+S1573+J1573-I1573</x:f>
        <x:v>103</x:v>
      </x:c>
      <x:c r="U1573" s="2" t="n">
        <x:v>0</x:v>
      </x:c>
      <x:c r="V1573" s="2" t="n">
        <x:v>3</x:v>
      </x:c>
      <x:c r="W1573" s="2" t="n">
        <x:v>13</x:v>
      </x:c>
      <x:c r="X1573" s="14" t="b">
        <x:v>0</x:v>
      </x:c>
      <x:c r="Y1573" s="14" t="b">
        <x:v>0</x:v>
      </x:c>
      <x:c r="Z1573" s="2" t="n">
        <x:f>ABS(T1573-AA1573)</x:f>
        <x:v>0</x:v>
      </x:c>
      <x:c r="AA1573" s="2" t="n">
        <x:v>103</x:v>
      </x:c>
      <x:c r="AB1573" s="2" t="n">
        <x:f>ABS(K1573-W1573)</x:f>
        <x:v>1</x:v>
      </x:c>
      <x:c r="AC1573" s="2" t="n">
        <x:f>COUNTIF($A$2:$A$1921,A1573)-1</x:f>
        <x:v>0</x:v>
      </x:c>
      <x:c r="AD1573" s="2" t="n">
        <x:f>IF(AND(D1573=D1572,H1573=H1572,C1573=C1572+1),ABS(R1573-T1572),0)</x:f>
        <x:v>0</x:v>
      </x:c>
    </x:row>
    <x:row r="1574" ht="23" customHeight="1">
      <x:c r="A1574" s="2" t="str">
        <x:v>DEMO-402-2-13</x:v>
      </x:c>
      <x:c r="B1574" s="15" t="d">
        <x:v>2026-07-27T00:00:00.000Z</x:v>
      </x:c>
      <x:c r="C1574" s="2" t="n">
        <x:v>13</x:v>
      </x:c>
      <x:c r="D1574" s="2" t="str">
        <x:v>DEMO-402</x:v>
      </x:c>
      <x:c r="E1574" s="2" t="str">
        <x:v>Canvas Carryall</x:v>
      </x:c>
      <x:c r="F1574" s="2" t="str">
        <x:v>Accessories</x:v>
      </x:c>
      <x:c r="G1574" s="2" t="str">
        <x:v>Stores</x:v>
      </x:c>
      <x:c r="H1574" s="2" t="str">
        <x:v>Central Market</x:v>
      </x:c>
      <x:c r="I1574" s="2" t="n">
        <x:v>13</x:v>
      </x:c>
      <x:c r="J1574" s="2" t="n">
        <x:v>0</x:v>
      </x:c>
      <x:c r="K1574" s="2" t="n">
        <x:f>I1574-J1574</x:f>
        <x:v>13</x:v>
      </x:c>
      <x:c r="L1574" s="16" t="n">
        <x:v>18</x:v>
      </x:c>
      <x:c r="M1574" s="16" t="n">
        <x:v>18</x:v>
      </x:c>
      <x:c r="N1574" s="16" t="n">
        <x:v>6.93</x:v>
      </x:c>
      <x:c r="O1574" s="16" t="n">
        <x:f>K1574*M1574</x:f>
        <x:v>234</x:v>
      </x:c>
      <x:c r="P1574" s="16" t="n">
        <x:f>K1574*N1574</x:f>
        <x:v>90.09</x:v>
      </x:c>
      <x:c r="Q1574" s="16" t="n">
        <x:f>O1574-P1574</x:f>
        <x:v>143.91</x:v>
      </x:c>
      <x:c r="R1574" s="2" t="n">
        <x:v>103</x:v>
      </x:c>
      <x:c r="S1574" s="2" t="n">
        <x:v>59</x:v>
      </x:c>
      <x:c r="T1574" s="2" t="n">
        <x:f>R1574+S1574+J1574-I1574</x:f>
        <x:v>149</x:v>
      </x:c>
      <x:c r="U1574" s="2" t="n">
        <x:v>0</x:v>
      </x:c>
      <x:c r="V1574" s="2" t="n">
        <x:v>3</x:v>
      </x:c>
      <x:c r="W1574" s="2" t="n">
        <x:v>13</x:v>
      </x:c>
      <x:c r="X1574" s="14" t="b">
        <x:v>0</x:v>
      </x:c>
      <x:c r="Y1574" s="14" t="b">
        <x:v>0</x:v>
      </x:c>
      <x:c r="Z1574" s="2" t="n">
        <x:f>ABS(T1574-AA1574)</x:f>
        <x:v>0</x:v>
      </x:c>
      <x:c r="AA1574" s="2" t="n">
        <x:v>149</x:v>
      </x:c>
      <x:c r="AB1574" s="2" t="n">
        <x:f>ABS(K1574-W1574)</x:f>
        <x:v>0</x:v>
      </x:c>
      <x:c r="AC1574" s="2" t="n">
        <x:f>COUNTIF($A$2:$A$1921,A1574)-1</x:f>
        <x:v>0</x:v>
      </x:c>
      <x:c r="AD1574" s="2" t="n">
        <x:f>IF(AND(D1574=D1573,H1574=H1573,C1574=C1573+1),ABS(R1574-T1573),0)</x:f>
        <x:v>0</x:v>
      </x:c>
    </x:row>
    <x:row r="1575" ht="23" customHeight="1">
      <x:c r="A1575" s="2" t="str">
        <x:v>DEMO-402-2-14</x:v>
      </x:c>
      <x:c r="B1575" s="15" t="d">
        <x:v>2026-08-03T00:00:00.000Z</x:v>
      </x:c>
      <x:c r="C1575" s="2" t="n">
        <x:v>14</x:v>
      </x:c>
      <x:c r="D1575" s="2" t="str">
        <x:v>DEMO-402</x:v>
      </x:c>
      <x:c r="E1575" s="2" t="str">
        <x:v>Canvas Carryall</x:v>
      </x:c>
      <x:c r="F1575" s="2" t="str">
        <x:v>Accessories</x:v>
      </x:c>
      <x:c r="G1575" s="2" t="str">
        <x:v>Stores</x:v>
      </x:c>
      <x:c r="H1575" s="2" t="str">
        <x:v>Central Market</x:v>
      </x:c>
      <x:c r="I1575" s="2" t="n">
        <x:v>13</x:v>
      </x:c>
      <x:c r="J1575" s="2" t="n">
        <x:v>0</x:v>
      </x:c>
      <x:c r="K1575" s="2" t="n">
        <x:f>I1575-J1575</x:f>
        <x:v>13</x:v>
      </x:c>
      <x:c r="L1575" s="16" t="n">
        <x:v>18</x:v>
      </x:c>
      <x:c r="M1575" s="16" t="n">
        <x:v>18</x:v>
      </x:c>
      <x:c r="N1575" s="16" t="n">
        <x:v>6.93</x:v>
      </x:c>
      <x:c r="O1575" s="16" t="n">
        <x:f>K1575*M1575</x:f>
        <x:v>234</x:v>
      </x:c>
      <x:c r="P1575" s="16" t="n">
        <x:f>K1575*N1575</x:f>
        <x:v>90.09</x:v>
      </x:c>
      <x:c r="Q1575" s="16" t="n">
        <x:f>O1575-P1575</x:f>
        <x:v>143.91</x:v>
      </x:c>
      <x:c r="R1575" s="2" t="n">
        <x:v>149</x:v>
      </x:c>
      <x:c r="S1575" s="2" t="n">
        <x:v>0</x:v>
      </x:c>
      <x:c r="T1575" s="2" t="n">
        <x:f>R1575+S1575+J1575-I1575</x:f>
        <x:v>136</x:v>
      </x:c>
      <x:c r="U1575" s="2" t="n">
        <x:v>0</x:v>
      </x:c>
      <x:c r="V1575" s="2" t="n">
        <x:v>3</x:v>
      </x:c>
      <x:c r="W1575" s="2" t="n">
        <x:v>13</x:v>
      </x:c>
      <x:c r="X1575" s="14" t="b">
        <x:v>0</x:v>
      </x:c>
      <x:c r="Y1575" s="14" t="b">
        <x:v>0</x:v>
      </x:c>
      <x:c r="Z1575" s="2" t="n">
        <x:f>ABS(T1575-AA1575)</x:f>
        <x:v>0</x:v>
      </x:c>
      <x:c r="AA1575" s="2" t="n">
        <x:v>136</x:v>
      </x:c>
      <x:c r="AB1575" s="2" t="n">
        <x:f>ABS(K1575-W1575)</x:f>
        <x:v>0</x:v>
      </x:c>
      <x:c r="AC1575" s="2" t="n">
        <x:f>COUNTIF($A$2:$A$1921,A1575)-1</x:f>
        <x:v>0</x:v>
      </x:c>
      <x:c r="AD1575" s="2" t="n">
        <x:f>IF(AND(D1575=D1574,H1575=H1574,C1575=C1574+1),ABS(R1575-T1574),0)</x:f>
        <x:v>0</x:v>
      </x:c>
    </x:row>
    <x:row r="1576" ht="23" customHeight="1">
      <x:c r="A1576" s="2" t="str">
        <x:v>DEMO-402-2-15</x:v>
      </x:c>
      <x:c r="B1576" s="15" t="d">
        <x:v>2026-08-10T00:00:00.000Z</x:v>
      </x:c>
      <x:c r="C1576" s="2" t="n">
        <x:v>15</x:v>
      </x:c>
      <x:c r="D1576" s="2" t="str">
        <x:v>DEMO-402</x:v>
      </x:c>
      <x:c r="E1576" s="2" t="str">
        <x:v>Canvas Carryall</x:v>
      </x:c>
      <x:c r="F1576" s="2" t="str">
        <x:v>Accessories</x:v>
      </x:c>
      <x:c r="G1576" s="2" t="str">
        <x:v>Stores</x:v>
      </x:c>
      <x:c r="H1576" s="2" t="str">
        <x:v>Central Market</x:v>
      </x:c>
      <x:c r="I1576" s="2" t="n">
        <x:v>17</x:v>
      </x:c>
      <x:c r="J1576" s="2" t="n">
        <x:v>0</x:v>
      </x:c>
      <x:c r="K1576" s="2" t="n">
        <x:f>I1576-J1576</x:f>
        <x:v>17</x:v>
      </x:c>
      <x:c r="L1576" s="16" t="n">
        <x:v>18</x:v>
      </x:c>
      <x:c r="M1576" s="16" t="n">
        <x:v>18</x:v>
      </x:c>
      <x:c r="N1576" s="16" t="n">
        <x:v>6.93</x:v>
      </x:c>
      <x:c r="O1576" s="16" t="n">
        <x:f>K1576*M1576</x:f>
        <x:v>306</x:v>
      </x:c>
      <x:c r="P1576" s="16" t="n">
        <x:f>K1576*N1576</x:f>
        <x:v>117.81</x:v>
      </x:c>
      <x:c r="Q1576" s="16" t="n">
        <x:f>O1576-P1576</x:f>
        <x:v>188.19</x:v>
      </x:c>
      <x:c r="R1576" s="2" t="n">
        <x:v>136</x:v>
      </x:c>
      <x:c r="S1576" s="2" t="n">
        <x:v>0</x:v>
      </x:c>
      <x:c r="T1576" s="2" t="n">
        <x:f>R1576+S1576+J1576-I1576</x:f>
        <x:v>119</x:v>
      </x:c>
      <x:c r="U1576" s="2" t="n">
        <x:v>0</x:v>
      </x:c>
      <x:c r="V1576" s="2" t="n">
        <x:v>3</x:v>
      </x:c>
      <x:c r="W1576" s="2" t="n">
        <x:v>13</x:v>
      </x:c>
      <x:c r="X1576" s="14" t="b">
        <x:v>0</x:v>
      </x:c>
      <x:c r="Y1576" s="14" t="b">
        <x:v>0</x:v>
      </x:c>
      <x:c r="Z1576" s="2" t="n">
        <x:f>ABS(T1576-AA1576)</x:f>
        <x:v>0</x:v>
      </x:c>
      <x:c r="AA1576" s="2" t="n">
        <x:v>119</x:v>
      </x:c>
      <x:c r="AB1576" s="2" t="n">
        <x:f>ABS(K1576-W1576)</x:f>
        <x:v>4</x:v>
      </x:c>
      <x:c r="AC1576" s="2" t="n">
        <x:f>COUNTIF($A$2:$A$1921,A1576)-1</x:f>
        <x:v>0</x:v>
      </x:c>
      <x:c r="AD1576" s="2" t="n">
        <x:f>IF(AND(D1576=D1575,H1576=H1575,C1576=C1575+1),ABS(R1576-T1575),0)</x:f>
        <x:v>0</x:v>
      </x:c>
    </x:row>
    <x:row r="1577" ht="23" customHeight="1">
      <x:c r="A1577" s="2" t="str">
        <x:v>DEMO-402-2-16</x:v>
      </x:c>
      <x:c r="B1577" s="15" t="d">
        <x:v>2026-08-17T00:00:00.000Z</x:v>
      </x:c>
      <x:c r="C1577" s="2" t="n">
        <x:v>16</x:v>
      </x:c>
      <x:c r="D1577" s="2" t="str">
        <x:v>DEMO-402</x:v>
      </x:c>
      <x:c r="E1577" s="2" t="str">
        <x:v>Canvas Carryall</x:v>
      </x:c>
      <x:c r="F1577" s="2" t="str">
        <x:v>Accessories</x:v>
      </x:c>
      <x:c r="G1577" s="2" t="str">
        <x:v>Stores</x:v>
      </x:c>
      <x:c r="H1577" s="2" t="str">
        <x:v>Central Market</x:v>
      </x:c>
      <x:c r="I1577" s="2" t="n">
        <x:v>13</x:v>
      </x:c>
      <x:c r="J1577" s="2" t="n">
        <x:v>0</x:v>
      </x:c>
      <x:c r="K1577" s="2" t="n">
        <x:f>I1577-J1577</x:f>
        <x:v>13</x:v>
      </x:c>
      <x:c r="L1577" s="16" t="n">
        <x:v>18</x:v>
      </x:c>
      <x:c r="M1577" s="16" t="n">
        <x:v>18</x:v>
      </x:c>
      <x:c r="N1577" s="16" t="n">
        <x:v>6.93</x:v>
      </x:c>
      <x:c r="O1577" s="16" t="n">
        <x:f>K1577*M1577</x:f>
        <x:v>234</x:v>
      </x:c>
      <x:c r="P1577" s="16" t="n">
        <x:f>K1577*N1577</x:f>
        <x:v>90.09</x:v>
      </x:c>
      <x:c r="Q1577" s="16" t="n">
        <x:f>O1577-P1577</x:f>
        <x:v>143.91</x:v>
      </x:c>
      <x:c r="R1577" s="2" t="n">
        <x:v>119</x:v>
      </x:c>
      <x:c r="S1577" s="2" t="n">
        <x:v>0</x:v>
      </x:c>
      <x:c r="T1577" s="2" t="n">
        <x:f>R1577+S1577+J1577-I1577</x:f>
        <x:v>106</x:v>
      </x:c>
      <x:c r="U1577" s="2" t="n">
        <x:v>0</x:v>
      </x:c>
      <x:c r="V1577" s="2" t="n">
        <x:v>3</x:v>
      </x:c>
      <x:c r="W1577" s="2" t="n">
        <x:v>14</x:v>
      </x:c>
      <x:c r="X1577" s="14" t="b">
        <x:v>0</x:v>
      </x:c>
      <x:c r="Y1577" s="14" t="b">
        <x:v>0</x:v>
      </x:c>
      <x:c r="Z1577" s="2" t="n">
        <x:f>ABS(T1577-AA1577)</x:f>
        <x:v>0</x:v>
      </x:c>
      <x:c r="AA1577" s="2" t="n">
        <x:v>106</x:v>
      </x:c>
      <x:c r="AB1577" s="2" t="n">
        <x:f>ABS(K1577-W1577)</x:f>
        <x:v>1</x:v>
      </x:c>
      <x:c r="AC1577" s="2" t="n">
        <x:f>COUNTIF($A$2:$A$1921,A1577)-1</x:f>
        <x:v>0</x:v>
      </x:c>
      <x:c r="AD1577" s="2" t="n">
        <x:f>IF(AND(D1577=D1576,H1577=H1576,C1577=C1576+1),ABS(R1577-T1576),0)</x:f>
        <x:v>0</x:v>
      </x:c>
    </x:row>
    <x:row r="1578" ht="23" customHeight="1">
      <x:c r="A1578" s="2" t="str">
        <x:v>DEMO-402-2-17</x:v>
      </x:c>
      <x:c r="B1578" s="15" t="d">
        <x:v>2026-08-24T00:00:00.000Z</x:v>
      </x:c>
      <x:c r="C1578" s="2" t="n">
        <x:v>17</x:v>
      </x:c>
      <x:c r="D1578" s="2" t="str">
        <x:v>DEMO-402</x:v>
      </x:c>
      <x:c r="E1578" s="2" t="str">
        <x:v>Canvas Carryall</x:v>
      </x:c>
      <x:c r="F1578" s="2" t="str">
        <x:v>Accessories</x:v>
      </x:c>
      <x:c r="G1578" s="2" t="str">
        <x:v>Stores</x:v>
      </x:c>
      <x:c r="H1578" s="2" t="str">
        <x:v>Central Market</x:v>
      </x:c>
      <x:c r="I1578" s="2" t="n">
        <x:v>16</x:v>
      </x:c>
      <x:c r="J1578" s="2" t="n">
        <x:v>0</x:v>
      </x:c>
      <x:c r="K1578" s="2" t="n">
        <x:f>I1578-J1578</x:f>
        <x:v>16</x:v>
      </x:c>
      <x:c r="L1578" s="16" t="n">
        <x:v>18</x:v>
      </x:c>
      <x:c r="M1578" s="16" t="n">
        <x:v>18</x:v>
      </x:c>
      <x:c r="N1578" s="16" t="n">
        <x:v>6.93</x:v>
      </x:c>
      <x:c r="O1578" s="16" t="n">
        <x:f>K1578*M1578</x:f>
        <x:v>288</x:v>
      </x:c>
      <x:c r="P1578" s="16" t="n">
        <x:f>K1578*N1578</x:f>
        <x:v>110.88</x:v>
      </x:c>
      <x:c r="Q1578" s="16" t="n">
        <x:f>O1578-P1578</x:f>
        <x:v>177.12</x:v>
      </x:c>
      <x:c r="R1578" s="2" t="n">
        <x:v>106</x:v>
      </x:c>
      <x:c r="S1578" s="2" t="n">
        <x:v>59</x:v>
      </x:c>
      <x:c r="T1578" s="2" t="n">
        <x:f>R1578+S1578+J1578-I1578</x:f>
        <x:v>149</x:v>
      </x:c>
      <x:c r="U1578" s="2" t="n">
        <x:v>0</x:v>
      </x:c>
      <x:c r="V1578" s="2" t="n">
        <x:v>3</x:v>
      </x:c>
      <x:c r="W1578" s="2" t="n">
        <x:v>14</x:v>
      </x:c>
      <x:c r="X1578" s="14" t="b">
        <x:v>0</x:v>
      </x:c>
      <x:c r="Y1578" s="14" t="b">
        <x:v>0</x:v>
      </x:c>
      <x:c r="Z1578" s="2" t="n">
        <x:f>ABS(T1578-AA1578)</x:f>
        <x:v>0</x:v>
      </x:c>
      <x:c r="AA1578" s="2" t="n">
        <x:v>149</x:v>
      </x:c>
      <x:c r="AB1578" s="2" t="n">
        <x:f>ABS(K1578-W1578)</x:f>
        <x:v>2</x:v>
      </x:c>
      <x:c r="AC1578" s="2" t="n">
        <x:f>COUNTIF($A$2:$A$1921,A1578)-1</x:f>
        <x:v>0</x:v>
      </x:c>
      <x:c r="AD1578" s="2" t="n">
        <x:f>IF(AND(D1578=D1577,H1578=H1577,C1578=C1577+1),ABS(R1578-T1577),0)</x:f>
        <x:v>0</x:v>
      </x:c>
    </x:row>
    <x:row r="1579" ht="23" customHeight="1">
      <x:c r="A1579" s="2" t="str">
        <x:v>DEMO-402-2-18</x:v>
      </x:c>
      <x:c r="B1579" s="15" t="d">
        <x:v>2026-08-31T00:00:00.000Z</x:v>
      </x:c>
      <x:c r="C1579" s="2" t="n">
        <x:v>18</x:v>
      </x:c>
      <x:c r="D1579" s="2" t="str">
        <x:v>DEMO-402</x:v>
      </x:c>
      <x:c r="E1579" s="2" t="str">
        <x:v>Canvas Carryall</x:v>
      </x:c>
      <x:c r="F1579" s="2" t="str">
        <x:v>Accessories</x:v>
      </x:c>
      <x:c r="G1579" s="2" t="str">
        <x:v>Stores</x:v>
      </x:c>
      <x:c r="H1579" s="2" t="str">
        <x:v>Central Market</x:v>
      </x:c>
      <x:c r="I1579" s="2" t="n">
        <x:v>17</x:v>
      </x:c>
      <x:c r="J1579" s="2" t="n">
        <x:v>0</x:v>
      </x:c>
      <x:c r="K1579" s="2" t="n">
        <x:f>I1579-J1579</x:f>
        <x:v>17</x:v>
      </x:c>
      <x:c r="L1579" s="16" t="n">
        <x:v>18</x:v>
      </x:c>
      <x:c r="M1579" s="16" t="n">
        <x:v>18</x:v>
      </x:c>
      <x:c r="N1579" s="16" t="n">
        <x:v>6.93</x:v>
      </x:c>
      <x:c r="O1579" s="16" t="n">
        <x:f>K1579*M1579</x:f>
        <x:v>306</x:v>
      </x:c>
      <x:c r="P1579" s="16" t="n">
        <x:f>K1579*N1579</x:f>
        <x:v>117.81</x:v>
      </x:c>
      <x:c r="Q1579" s="16" t="n">
        <x:f>O1579-P1579</x:f>
        <x:v>188.19</x:v>
      </x:c>
      <x:c r="R1579" s="2" t="n">
        <x:v>149</x:v>
      </x:c>
      <x:c r="S1579" s="2" t="n">
        <x:v>0</x:v>
      </x:c>
      <x:c r="T1579" s="2" t="n">
        <x:f>R1579+S1579+J1579-I1579</x:f>
        <x:v>132</x:v>
      </x:c>
      <x:c r="U1579" s="2" t="n">
        <x:v>0</x:v>
      </x:c>
      <x:c r="V1579" s="2" t="n">
        <x:v>3</x:v>
      </x:c>
      <x:c r="W1579" s="2" t="n">
        <x:v>15</x:v>
      </x:c>
      <x:c r="X1579" s="14" t="b">
        <x:v>0</x:v>
      </x:c>
      <x:c r="Y1579" s="14" t="b">
        <x:v>0</x:v>
      </x:c>
      <x:c r="Z1579" s="2" t="n">
        <x:f>ABS(T1579-AA1579)</x:f>
        <x:v>0</x:v>
      </x:c>
      <x:c r="AA1579" s="2" t="n">
        <x:v>132</x:v>
      </x:c>
      <x:c r="AB1579" s="2" t="n">
        <x:f>ABS(K1579-W1579)</x:f>
        <x:v>2</x:v>
      </x:c>
      <x:c r="AC1579" s="2" t="n">
        <x:f>COUNTIF($A$2:$A$1921,A1579)-1</x:f>
        <x:v>0</x:v>
      </x:c>
      <x:c r="AD1579" s="2" t="n">
        <x:f>IF(AND(D1579=D1578,H1579=H1578,C1579=C1578+1),ABS(R1579-T1578),0)</x:f>
        <x:v>0</x:v>
      </x:c>
    </x:row>
    <x:row r="1580" ht="23" customHeight="1">
      <x:c r="A1580" s="2" t="str">
        <x:v>DEMO-402-2-19</x:v>
      </x:c>
      <x:c r="B1580" s="15" t="d">
        <x:v>2026-09-07T00:00:00.000Z</x:v>
      </x:c>
      <x:c r="C1580" s="2" t="n">
        <x:v>19</x:v>
      </x:c>
      <x:c r="D1580" s="2" t="str">
        <x:v>DEMO-402</x:v>
      </x:c>
      <x:c r="E1580" s="2" t="str">
        <x:v>Canvas Carryall</x:v>
      </x:c>
      <x:c r="F1580" s="2" t="str">
        <x:v>Accessories</x:v>
      </x:c>
      <x:c r="G1580" s="2" t="str">
        <x:v>Stores</x:v>
      </x:c>
      <x:c r="H1580" s="2" t="str">
        <x:v>Central Market</x:v>
      </x:c>
      <x:c r="I1580" s="2" t="n">
        <x:v>13</x:v>
      </x:c>
      <x:c r="J1580" s="2" t="n">
        <x:v>1</x:v>
      </x:c>
      <x:c r="K1580" s="2" t="n">
        <x:f>I1580-J1580</x:f>
        <x:v>12</x:v>
      </x:c>
      <x:c r="L1580" s="16" t="n">
        <x:v>18</x:v>
      </x:c>
      <x:c r="M1580" s="16" t="n">
        <x:v>18</x:v>
      </x:c>
      <x:c r="N1580" s="16" t="n">
        <x:v>6.93</x:v>
      </x:c>
      <x:c r="O1580" s="16" t="n">
        <x:f>K1580*M1580</x:f>
        <x:v>216</x:v>
      </x:c>
      <x:c r="P1580" s="16" t="n">
        <x:f>K1580*N1580</x:f>
        <x:v>83.16</x:v>
      </x:c>
      <x:c r="Q1580" s="16" t="n">
        <x:f>O1580-P1580</x:f>
        <x:v>132.84</x:v>
      </x:c>
      <x:c r="R1580" s="2" t="n">
        <x:v>132</x:v>
      </x:c>
      <x:c r="S1580" s="2" t="n">
        <x:v>0</x:v>
      </x:c>
      <x:c r="T1580" s="2" t="n">
        <x:f>R1580+S1580+J1580-I1580</x:f>
        <x:v>120</x:v>
      </x:c>
      <x:c r="U1580" s="2" t="n">
        <x:v>0</x:v>
      </x:c>
      <x:c r="V1580" s="2" t="n">
        <x:v>3</x:v>
      </x:c>
      <x:c r="W1580" s="2" t="n">
        <x:v>16</x:v>
      </x:c>
      <x:c r="X1580" s="14" t="b">
        <x:v>0</x:v>
      </x:c>
      <x:c r="Y1580" s="14" t="b">
        <x:v>0</x:v>
      </x:c>
      <x:c r="Z1580" s="2" t="n">
        <x:f>ABS(T1580-AA1580)</x:f>
        <x:v>0</x:v>
      </x:c>
      <x:c r="AA1580" s="2" t="n">
        <x:v>120</x:v>
      </x:c>
      <x:c r="AB1580" s="2" t="n">
        <x:f>ABS(K1580-W1580)</x:f>
        <x:v>4</x:v>
      </x:c>
      <x:c r="AC1580" s="2" t="n">
        <x:f>COUNTIF($A$2:$A$1921,A1580)-1</x:f>
        <x:v>0</x:v>
      </x:c>
      <x:c r="AD1580" s="2" t="n">
        <x:f>IF(AND(D1580=D1579,H1580=H1579,C1580=C1579+1),ABS(R1580-T1579),0)</x:f>
        <x:v>0</x:v>
      </x:c>
    </x:row>
    <x:row r="1581" ht="23" customHeight="1">
      <x:c r="A1581" s="2" t="str">
        <x:v>DEMO-402-2-20</x:v>
      </x:c>
      <x:c r="B1581" s="15" t="d">
        <x:v>2026-09-14T00:00:00.000Z</x:v>
      </x:c>
      <x:c r="C1581" s="2" t="n">
        <x:v>20</x:v>
      </x:c>
      <x:c r="D1581" s="2" t="str">
        <x:v>DEMO-402</x:v>
      </x:c>
      <x:c r="E1581" s="2" t="str">
        <x:v>Canvas Carryall</x:v>
      </x:c>
      <x:c r="F1581" s="2" t="str">
        <x:v>Accessories</x:v>
      </x:c>
      <x:c r="G1581" s="2" t="str">
        <x:v>Stores</x:v>
      </x:c>
      <x:c r="H1581" s="2" t="str">
        <x:v>Central Market</x:v>
      </x:c>
      <x:c r="I1581" s="2" t="n">
        <x:v>13</x:v>
      </x:c>
      <x:c r="J1581" s="2" t="n">
        <x:v>0</x:v>
      </x:c>
      <x:c r="K1581" s="2" t="n">
        <x:f>I1581-J1581</x:f>
        <x:v>13</x:v>
      </x:c>
      <x:c r="L1581" s="16" t="n">
        <x:v>18</x:v>
      </x:c>
      <x:c r="M1581" s="16" t="n">
        <x:v>18</x:v>
      </x:c>
      <x:c r="N1581" s="16" t="n">
        <x:v>6.93</x:v>
      </x:c>
      <x:c r="O1581" s="16" t="n">
        <x:f>K1581*M1581</x:f>
        <x:v>234</x:v>
      </x:c>
      <x:c r="P1581" s="16" t="n">
        <x:f>K1581*N1581</x:f>
        <x:v>90.09</x:v>
      </x:c>
      <x:c r="Q1581" s="16" t="n">
        <x:f>O1581-P1581</x:f>
        <x:v>143.91</x:v>
      </x:c>
      <x:c r="R1581" s="2" t="n">
        <x:v>120</x:v>
      </x:c>
      <x:c r="S1581" s="2" t="n">
        <x:v>0</x:v>
      </x:c>
      <x:c r="T1581" s="2" t="n">
        <x:f>R1581+S1581+J1581-I1581</x:f>
        <x:v>107</x:v>
      </x:c>
      <x:c r="U1581" s="2" t="n">
        <x:v>18</x:v>
      </x:c>
      <x:c r="V1581" s="2" t="n">
        <x:v>3</x:v>
      </x:c>
      <x:c r="W1581" s="2" t="n">
        <x:v>15</x:v>
      </x:c>
      <x:c r="X1581" s="14" t="b">
        <x:v>0</x:v>
      </x:c>
      <x:c r="Y1581" s="14" t="b">
        <x:v>0</x:v>
      </x:c>
      <x:c r="Z1581" s="2" t="n">
        <x:f>ABS(T1581-AA1581)</x:f>
        <x:v>0</x:v>
      </x:c>
      <x:c r="AA1581" s="2" t="n">
        <x:v>107</x:v>
      </x:c>
      <x:c r="AB1581" s="2" t="n">
        <x:f>ABS(K1581-W1581)</x:f>
        <x:v>2</x:v>
      </x:c>
      <x:c r="AC1581" s="2" t="n">
        <x:f>COUNTIF($A$2:$A$1921,A1581)-1</x:f>
        <x:v>0</x:v>
      </x:c>
      <x:c r="AD1581" s="2" t="n">
        <x:f>IF(AND(D1581=D1580,H1581=H1580,C1581=C1580+1),ABS(R1581-T1580),0)</x:f>
        <x:v>0</x:v>
      </x:c>
    </x:row>
    <x:row r="1582" ht="23" customHeight="1">
      <x:c r="A1582" s="2" t="str">
        <x:v>DEMO-402-3-1</x:v>
      </x:c>
      <x:c r="B1582" s="15" t="d">
        <x:v>2026-05-04T00:00:00.000Z</x:v>
      </x:c>
      <x:c r="C1582" s="2" t="n">
        <x:v>1</x:v>
      </x:c>
      <x:c r="D1582" s="2" t="str">
        <x:v>DEMO-402</x:v>
      </x:c>
      <x:c r="E1582" s="2" t="str">
        <x:v>Canvas Carryall</x:v>
      </x:c>
      <x:c r="F1582" s="2" t="str">
        <x:v>Accessories</x:v>
      </x:c>
      <x:c r="G1582" s="2" t="str">
        <x:v>Online</x:v>
      </x:c>
      <x:c r="H1582" s="2" t="str">
        <x:v>Online</x:v>
      </x:c>
      <x:c r="I1582" s="2" t="n">
        <x:v>27</x:v>
      </x:c>
      <x:c r="J1582" s="2" t="n">
        <x:v>0</x:v>
      </x:c>
      <x:c r="K1582" s="2" t="n">
        <x:f>I1582-J1582</x:f>
        <x:v>27</x:v>
      </x:c>
      <x:c r="L1582" s="16" t="n">
        <x:v>18</x:v>
      </x:c>
      <x:c r="M1582" s="16" t="n">
        <x:v>18</x:v>
      </x:c>
      <x:c r="N1582" s="16" t="n">
        <x:v>6.93</x:v>
      </x:c>
      <x:c r="O1582" s="16" t="n">
        <x:f>K1582*M1582</x:f>
        <x:v>486</x:v>
      </x:c>
      <x:c r="P1582" s="16" t="n">
        <x:f>K1582*N1582</x:f>
        <x:v>187.10999999999999</x:v>
      </x:c>
      <x:c r="Q1582" s="16" t="n">
        <x:f>O1582-P1582</x:f>
        <x:v>298.89</x:v>
      </x:c>
      <x:c r="R1582" s="2" t="n">
        <x:v>90</x:v>
      </x:c>
      <x:c r="S1582" s="2" t="n">
        <x:v>100</x:v>
      </x:c>
      <x:c r="T1582" s="2" t="n">
        <x:f>R1582+S1582+J1582-I1582</x:f>
        <x:v>163</x:v>
      </x:c>
      <x:c r="U1582" s="2" t="n">
        <x:v>0</x:v>
      </x:c>
      <x:c r="V1582" s="2" t="n">
        <x:v>3</x:v>
      </x:c>
      <x:c r="W1582" s="2" t="n">
        <x:v>24</x:v>
      </x:c>
      <x:c r="X1582" s="14" t="b">
        <x:v>0</x:v>
      </x:c>
      <x:c r="Y1582" s="14" t="b">
        <x:v>0</x:v>
      </x:c>
      <x:c r="Z1582" s="2" t="n">
        <x:f>ABS(T1582-AA1582)</x:f>
        <x:v>0</x:v>
      </x:c>
      <x:c r="AA1582" s="2" t="n">
        <x:v>163</x:v>
      </x:c>
      <x:c r="AB1582" s="2" t="n">
        <x:f>ABS(K1582-W1582)</x:f>
        <x:v>3</x:v>
      </x:c>
      <x:c r="AC1582" s="2" t="n">
        <x:f>COUNTIF($A$2:$A$1921,A1582)-1</x:f>
        <x:v>0</x:v>
      </x:c>
      <x:c r="AD1582" s="2" t="n">
        <x:f>IF(AND(D1582=D1581,H1582=H1581,C1582=C1581+1),ABS(R1582-T1581),0)</x:f>
        <x:v>0</x:v>
      </x:c>
    </x:row>
    <x:row r="1583" ht="23" customHeight="1">
      <x:c r="A1583" s="2" t="str">
        <x:v>DEMO-402-3-2</x:v>
      </x:c>
      <x:c r="B1583" s="15" t="d">
        <x:v>2026-05-11T00:00:00.000Z</x:v>
      </x:c>
      <x:c r="C1583" s="2" t="n">
        <x:v>2</x:v>
      </x:c>
      <x:c r="D1583" s="2" t="str">
        <x:v>DEMO-402</x:v>
      </x:c>
      <x:c r="E1583" s="2" t="str">
        <x:v>Canvas Carryall</x:v>
      </x:c>
      <x:c r="F1583" s="2" t="str">
        <x:v>Accessories</x:v>
      </x:c>
      <x:c r="G1583" s="2" t="str">
        <x:v>Online</x:v>
      </x:c>
      <x:c r="H1583" s="2" t="str">
        <x:v>Online</x:v>
      </x:c>
      <x:c r="I1583" s="2" t="n">
        <x:v>21</x:v>
      </x:c>
      <x:c r="J1583" s="2" t="n">
        <x:v>0</x:v>
      </x:c>
      <x:c r="K1583" s="2" t="n">
        <x:f>I1583-J1583</x:f>
        <x:v>21</x:v>
      </x:c>
      <x:c r="L1583" s="16" t="n">
        <x:v>18</x:v>
      </x:c>
      <x:c r="M1583" s="16" t="n">
        <x:v>18</x:v>
      </x:c>
      <x:c r="N1583" s="16" t="n">
        <x:v>6.93</x:v>
      </x:c>
      <x:c r="O1583" s="16" t="n">
        <x:f>K1583*M1583</x:f>
        <x:v>378</x:v>
      </x:c>
      <x:c r="P1583" s="16" t="n">
        <x:f>K1583*N1583</x:f>
        <x:v>145.53</x:v>
      </x:c>
      <x:c r="Q1583" s="16" t="n">
        <x:f>O1583-P1583</x:f>
        <x:v>232.47</x:v>
      </x:c>
      <x:c r="R1583" s="2" t="n">
        <x:v>163</x:v>
      </x:c>
      <x:c r="S1583" s="2" t="n">
        <x:v>0</x:v>
      </x:c>
      <x:c r="T1583" s="2" t="n">
        <x:f>R1583+S1583+J1583-I1583</x:f>
        <x:v>142</x:v>
      </x:c>
      <x:c r="U1583" s="2" t="n">
        <x:v>0</x:v>
      </x:c>
      <x:c r="V1583" s="2" t="n">
        <x:v>3</x:v>
      </x:c>
      <x:c r="W1583" s="2" t="n">
        <x:v>27</x:v>
      </x:c>
      <x:c r="X1583" s="14" t="b">
        <x:v>0</x:v>
      </x:c>
      <x:c r="Y1583" s="14" t="b">
        <x:v>0</x:v>
      </x:c>
      <x:c r="Z1583" s="2" t="n">
        <x:f>ABS(T1583-AA1583)</x:f>
        <x:v>0</x:v>
      </x:c>
      <x:c r="AA1583" s="2" t="n">
        <x:v>142</x:v>
      </x:c>
      <x:c r="AB1583" s="2" t="n">
        <x:f>ABS(K1583-W1583)</x:f>
        <x:v>6</x:v>
      </x:c>
      <x:c r="AC1583" s="2" t="n">
        <x:f>COUNTIF($A$2:$A$1921,A1583)-1</x:f>
        <x:v>0</x:v>
      </x:c>
      <x:c r="AD1583" s="2" t="n">
        <x:f>IF(AND(D1583=D1582,H1583=H1582,C1583=C1582+1),ABS(R1583-T1582),0)</x:f>
        <x:v>0</x:v>
      </x:c>
    </x:row>
    <x:row r="1584" ht="23" customHeight="1">
      <x:c r="A1584" s="2" t="str">
        <x:v>DEMO-402-3-3</x:v>
      </x:c>
      <x:c r="B1584" s="15" t="d">
        <x:v>2026-05-18T00:00:00.000Z</x:v>
      </x:c>
      <x:c r="C1584" s="2" t="n">
        <x:v>3</x:v>
      </x:c>
      <x:c r="D1584" s="2" t="str">
        <x:v>DEMO-402</x:v>
      </x:c>
      <x:c r="E1584" s="2" t="str">
        <x:v>Canvas Carryall</x:v>
      </x:c>
      <x:c r="F1584" s="2" t="str">
        <x:v>Accessories</x:v>
      </x:c>
      <x:c r="G1584" s="2" t="str">
        <x:v>Online</x:v>
      </x:c>
      <x:c r="H1584" s="2" t="str">
        <x:v>Online</x:v>
      </x:c>
      <x:c r="I1584" s="2" t="n">
        <x:v>25</x:v>
      </x:c>
      <x:c r="J1584" s="2" t="n">
        <x:v>0</x:v>
      </x:c>
      <x:c r="K1584" s="2" t="n">
        <x:f>I1584-J1584</x:f>
        <x:v>25</x:v>
      </x:c>
      <x:c r="L1584" s="16" t="n">
        <x:v>18</x:v>
      </x:c>
      <x:c r="M1584" s="16" t="n">
        <x:v>18</x:v>
      </x:c>
      <x:c r="N1584" s="16" t="n">
        <x:v>6.93</x:v>
      </x:c>
      <x:c r="O1584" s="16" t="n">
        <x:f>K1584*M1584</x:f>
        <x:v>450</x:v>
      </x:c>
      <x:c r="P1584" s="16" t="n">
        <x:f>K1584*N1584</x:f>
        <x:v>173.25</x:v>
      </x:c>
      <x:c r="Q1584" s="16" t="n">
        <x:f>O1584-P1584</x:f>
        <x:v>276.75</x:v>
      </x:c>
      <x:c r="R1584" s="2" t="n">
        <x:v>142</x:v>
      </x:c>
      <x:c r="S1584" s="2" t="n">
        <x:v>0</x:v>
      </x:c>
      <x:c r="T1584" s="2" t="n">
        <x:f>R1584+S1584+J1584-I1584</x:f>
        <x:v>117</x:v>
      </x:c>
      <x:c r="U1584" s="2" t="n">
        <x:v>0</x:v>
      </x:c>
      <x:c r="V1584" s="2" t="n">
        <x:v>3</x:v>
      </x:c>
      <x:c r="W1584" s="2" t="n">
        <x:v>24</x:v>
      </x:c>
      <x:c r="X1584" s="14" t="b">
        <x:v>0</x:v>
      </x:c>
      <x:c r="Y1584" s="14" t="b">
        <x:v>0</x:v>
      </x:c>
      <x:c r="Z1584" s="2" t="n">
        <x:f>ABS(T1584-AA1584)</x:f>
        <x:v>0</x:v>
      </x:c>
      <x:c r="AA1584" s="2" t="n">
        <x:v>117</x:v>
      </x:c>
      <x:c r="AB1584" s="2" t="n">
        <x:f>ABS(K1584-W1584)</x:f>
        <x:v>1</x:v>
      </x:c>
      <x:c r="AC1584" s="2" t="n">
        <x:f>COUNTIF($A$2:$A$1921,A1584)-1</x:f>
        <x:v>0</x:v>
      </x:c>
      <x:c r="AD1584" s="2" t="n">
        <x:f>IF(AND(D1584=D1583,H1584=H1583,C1584=C1583+1),ABS(R1584-T1583),0)</x:f>
        <x:v>0</x:v>
      </x:c>
    </x:row>
    <x:row r="1585" ht="23" customHeight="1">
      <x:c r="A1585" s="2" t="str">
        <x:v>DEMO-402-3-4</x:v>
      </x:c>
      <x:c r="B1585" s="15" t="d">
        <x:v>2026-05-25T00:00:00.000Z</x:v>
      </x:c>
      <x:c r="C1585" s="2" t="n">
        <x:v>4</x:v>
      </x:c>
      <x:c r="D1585" s="2" t="str">
        <x:v>DEMO-402</x:v>
      </x:c>
      <x:c r="E1585" s="2" t="str">
        <x:v>Canvas Carryall</x:v>
      </x:c>
      <x:c r="F1585" s="2" t="str">
        <x:v>Accessories</x:v>
      </x:c>
      <x:c r="G1585" s="2" t="str">
        <x:v>Online</x:v>
      </x:c>
      <x:c r="H1585" s="2" t="str">
        <x:v>Online</x:v>
      </x:c>
      <x:c r="I1585" s="2" t="n">
        <x:v>28</x:v>
      </x:c>
      <x:c r="J1585" s="2" t="n">
        <x:v>1</x:v>
      </x:c>
      <x:c r="K1585" s="2" t="n">
        <x:f>I1585-J1585</x:f>
        <x:v>27</x:v>
      </x:c>
      <x:c r="L1585" s="16" t="n">
        <x:v>18</x:v>
      </x:c>
      <x:c r="M1585" s="16" t="n">
        <x:v>18</x:v>
      </x:c>
      <x:c r="N1585" s="16" t="n">
        <x:v>6.93</x:v>
      </x:c>
      <x:c r="O1585" s="16" t="n">
        <x:f>K1585*M1585</x:f>
        <x:v>486</x:v>
      </x:c>
      <x:c r="P1585" s="16" t="n">
        <x:f>K1585*N1585</x:f>
        <x:v>187.10999999999999</x:v>
      </x:c>
      <x:c r="Q1585" s="16" t="n">
        <x:f>O1585-P1585</x:f>
        <x:v>298.89</x:v>
      </x:c>
      <x:c r="R1585" s="2" t="n">
        <x:v>117</x:v>
      </x:c>
      <x:c r="S1585" s="2" t="n">
        <x:v>0</x:v>
      </x:c>
      <x:c r="T1585" s="2" t="n">
        <x:f>R1585+S1585+J1585-I1585</x:f>
        <x:v>90</x:v>
      </x:c>
      <x:c r="U1585" s="2" t="n">
        <x:v>0</x:v>
      </x:c>
      <x:c r="V1585" s="2" t="n">
        <x:v>3</x:v>
      </x:c>
      <x:c r="W1585" s="2" t="n">
        <x:v>24</x:v>
      </x:c>
      <x:c r="X1585" s="14" t="b">
        <x:v>0</x:v>
      </x:c>
      <x:c r="Y1585" s="14" t="b">
        <x:v>0</x:v>
      </x:c>
      <x:c r="Z1585" s="2" t="n">
        <x:f>ABS(T1585-AA1585)</x:f>
        <x:v>0</x:v>
      </x:c>
      <x:c r="AA1585" s="2" t="n">
        <x:v>90</x:v>
      </x:c>
      <x:c r="AB1585" s="2" t="n">
        <x:f>ABS(K1585-W1585)</x:f>
        <x:v>3</x:v>
      </x:c>
      <x:c r="AC1585" s="2" t="n">
        <x:f>COUNTIF($A$2:$A$1921,A1585)-1</x:f>
        <x:v>0</x:v>
      </x:c>
      <x:c r="AD1585" s="2" t="n">
        <x:f>IF(AND(D1585=D1584,H1585=H1584,C1585=C1584+1),ABS(R1585-T1584),0)</x:f>
        <x:v>0</x:v>
      </x:c>
    </x:row>
    <x:row r="1586" ht="23" customHeight="1">
      <x:c r="A1586" s="2" t="str">
        <x:v>DEMO-402-3-5</x:v>
      </x:c>
      <x:c r="B1586" s="15" t="d">
        <x:v>2026-06-01T00:00:00.000Z</x:v>
      </x:c>
      <x:c r="C1586" s="2" t="n">
        <x:v>5</x:v>
      </x:c>
      <x:c r="D1586" s="2" t="str">
        <x:v>DEMO-402</x:v>
      </x:c>
      <x:c r="E1586" s="2" t="str">
        <x:v>Canvas Carryall</x:v>
      </x:c>
      <x:c r="F1586" s="2" t="str">
        <x:v>Accessories</x:v>
      </x:c>
      <x:c r="G1586" s="2" t="str">
        <x:v>Online</x:v>
      </x:c>
      <x:c r="H1586" s="2" t="str">
        <x:v>Online</x:v>
      </x:c>
      <x:c r="I1586" s="2" t="n">
        <x:v>23</x:v>
      </x:c>
      <x:c r="J1586" s="2" t="n">
        <x:v>0</x:v>
      </x:c>
      <x:c r="K1586" s="2" t="n">
        <x:f>I1586-J1586</x:f>
        <x:v>23</x:v>
      </x:c>
      <x:c r="L1586" s="16" t="n">
        <x:v>18</x:v>
      </x:c>
      <x:c r="M1586" s="16" t="n">
        <x:v>18</x:v>
      </x:c>
      <x:c r="N1586" s="16" t="n">
        <x:v>6.93</x:v>
      </x:c>
      <x:c r="O1586" s="16" t="n">
        <x:f>K1586*M1586</x:f>
        <x:v>414</x:v>
      </x:c>
      <x:c r="P1586" s="16" t="n">
        <x:f>K1586*N1586</x:f>
        <x:v>159.39</x:v>
      </x:c>
      <x:c r="Q1586" s="16" t="n">
        <x:f>O1586-P1586</x:f>
        <x:v>254.61</x:v>
      </x:c>
      <x:c r="R1586" s="2" t="n">
        <x:v>90</x:v>
      </x:c>
      <x:c r="S1586" s="2" t="n">
        <x:v>100</x:v>
      </x:c>
      <x:c r="T1586" s="2" t="n">
        <x:f>R1586+S1586+J1586-I1586</x:f>
        <x:v>167</x:v>
      </x:c>
      <x:c r="U1586" s="2" t="n">
        <x:v>0</x:v>
      </x:c>
      <x:c r="V1586" s="2" t="n">
        <x:v>3</x:v>
      </x:c>
      <x:c r="W1586" s="2" t="n">
        <x:v>25</x:v>
      </x:c>
      <x:c r="X1586" s="14" t="b">
        <x:v>0</x:v>
      </x:c>
      <x:c r="Y1586" s="14" t="b">
        <x:v>0</x:v>
      </x:c>
      <x:c r="Z1586" s="2" t="n">
        <x:f>ABS(T1586-AA1586)</x:f>
        <x:v>0</x:v>
      </x:c>
      <x:c r="AA1586" s="2" t="n">
        <x:v>167</x:v>
      </x:c>
      <x:c r="AB1586" s="2" t="n">
        <x:f>ABS(K1586-W1586)</x:f>
        <x:v>2</x:v>
      </x:c>
      <x:c r="AC1586" s="2" t="n">
        <x:f>COUNTIF($A$2:$A$1921,A1586)-1</x:f>
        <x:v>0</x:v>
      </x:c>
      <x:c r="AD1586" s="2" t="n">
        <x:f>IF(AND(D1586=D1585,H1586=H1585,C1586=C1585+1),ABS(R1586-T1585),0)</x:f>
        <x:v>0</x:v>
      </x:c>
    </x:row>
    <x:row r="1587" ht="23" customHeight="1">
      <x:c r="A1587" s="2" t="str">
        <x:v>DEMO-402-3-6</x:v>
      </x:c>
      <x:c r="B1587" s="15" t="d">
        <x:v>2026-06-08T00:00:00.000Z</x:v>
      </x:c>
      <x:c r="C1587" s="2" t="n">
        <x:v>6</x:v>
      </x:c>
      <x:c r="D1587" s="2" t="str">
        <x:v>DEMO-402</x:v>
      </x:c>
      <x:c r="E1587" s="2" t="str">
        <x:v>Canvas Carryall</x:v>
      </x:c>
      <x:c r="F1587" s="2" t="str">
        <x:v>Accessories</x:v>
      </x:c>
      <x:c r="G1587" s="2" t="str">
        <x:v>Online</x:v>
      </x:c>
      <x:c r="H1587" s="2" t="str">
        <x:v>Online</x:v>
      </x:c>
      <x:c r="I1587" s="2" t="n">
        <x:v>26</x:v>
      </x:c>
      <x:c r="J1587" s="2" t="n">
        <x:v>0</x:v>
      </x:c>
      <x:c r="K1587" s="2" t="n">
        <x:f>I1587-J1587</x:f>
        <x:v>26</x:v>
      </x:c>
      <x:c r="L1587" s="16" t="n">
        <x:v>18</x:v>
      </x:c>
      <x:c r="M1587" s="16" t="n">
        <x:v>18</x:v>
      </x:c>
      <x:c r="N1587" s="16" t="n">
        <x:v>6.93</x:v>
      </x:c>
      <x:c r="O1587" s="16" t="n">
        <x:f>K1587*M1587</x:f>
        <x:v>468</x:v>
      </x:c>
      <x:c r="P1587" s="16" t="n">
        <x:f>K1587*N1587</x:f>
        <x:v>180.18</x:v>
      </x:c>
      <x:c r="Q1587" s="16" t="n">
        <x:f>O1587-P1587</x:f>
        <x:v>287.82</x:v>
      </x:c>
      <x:c r="R1587" s="2" t="n">
        <x:v>167</x:v>
      </x:c>
      <x:c r="S1587" s="2" t="n">
        <x:v>0</x:v>
      </x:c>
      <x:c r="T1587" s="2" t="n">
        <x:f>R1587+S1587+J1587-I1587</x:f>
        <x:v>141</x:v>
      </x:c>
      <x:c r="U1587" s="2" t="n">
        <x:v>0</x:v>
      </x:c>
      <x:c r="V1587" s="2" t="n">
        <x:v>3</x:v>
      </x:c>
      <x:c r="W1587" s="2" t="n">
        <x:v>24</x:v>
      </x:c>
      <x:c r="X1587" s="14" t="b">
        <x:v>0</x:v>
      </x:c>
      <x:c r="Y1587" s="14" t="b">
        <x:v>0</x:v>
      </x:c>
      <x:c r="Z1587" s="2" t="n">
        <x:f>ABS(T1587-AA1587)</x:f>
        <x:v>0</x:v>
      </x:c>
      <x:c r="AA1587" s="2" t="n">
        <x:v>141</x:v>
      </x:c>
      <x:c r="AB1587" s="2" t="n">
        <x:f>ABS(K1587-W1587)</x:f>
        <x:v>2</x:v>
      </x:c>
      <x:c r="AC1587" s="2" t="n">
        <x:f>COUNTIF($A$2:$A$1921,A1587)-1</x:f>
        <x:v>0</x:v>
      </x:c>
      <x:c r="AD1587" s="2" t="n">
        <x:f>IF(AND(D1587=D1586,H1587=H1586,C1587=C1586+1),ABS(R1587-T1586),0)</x:f>
        <x:v>0</x:v>
      </x:c>
    </x:row>
    <x:row r="1588" ht="23" customHeight="1">
      <x:c r="A1588" s="2" t="str">
        <x:v>DEMO-402-3-7</x:v>
      </x:c>
      <x:c r="B1588" s="15" t="d">
        <x:v>2026-06-15T00:00:00.000Z</x:v>
      </x:c>
      <x:c r="C1588" s="2" t="n">
        <x:v>7</x:v>
      </x:c>
      <x:c r="D1588" s="2" t="str">
        <x:v>DEMO-402</x:v>
      </x:c>
      <x:c r="E1588" s="2" t="str">
        <x:v>Canvas Carryall</x:v>
      </x:c>
      <x:c r="F1588" s="2" t="str">
        <x:v>Accessories</x:v>
      </x:c>
      <x:c r="G1588" s="2" t="str">
        <x:v>Online</x:v>
      </x:c>
      <x:c r="H1588" s="2" t="str">
        <x:v>Online</x:v>
      </x:c>
      <x:c r="I1588" s="2" t="n">
        <x:v>23</x:v>
      </x:c>
      <x:c r="J1588" s="2" t="n">
        <x:v>0</x:v>
      </x:c>
      <x:c r="K1588" s="2" t="n">
        <x:f>I1588-J1588</x:f>
        <x:v>23</x:v>
      </x:c>
      <x:c r="L1588" s="16" t="n">
        <x:v>18</x:v>
      </x:c>
      <x:c r="M1588" s="16" t="n">
        <x:v>18</x:v>
      </x:c>
      <x:c r="N1588" s="16" t="n">
        <x:v>6.93</x:v>
      </x:c>
      <x:c r="O1588" s="16" t="n">
        <x:f>K1588*M1588</x:f>
        <x:v>414</x:v>
      </x:c>
      <x:c r="P1588" s="16" t="n">
        <x:f>K1588*N1588</x:f>
        <x:v>159.39</x:v>
      </x:c>
      <x:c r="Q1588" s="16" t="n">
        <x:f>O1588-P1588</x:f>
        <x:v>254.61</x:v>
      </x:c>
      <x:c r="R1588" s="2" t="n">
        <x:v>141</x:v>
      </x:c>
      <x:c r="S1588" s="2" t="n">
        <x:v>0</x:v>
      </x:c>
      <x:c r="T1588" s="2" t="n">
        <x:f>R1588+S1588+J1588-I1588</x:f>
        <x:v>118</x:v>
      </x:c>
      <x:c r="U1588" s="2" t="n">
        <x:v>0</x:v>
      </x:c>
      <x:c r="V1588" s="2" t="n">
        <x:v>3</x:v>
      </x:c>
      <x:c r="W1588" s="2" t="n">
        <x:v>25</x:v>
      </x:c>
      <x:c r="X1588" s="14" t="b">
        <x:v>0</x:v>
      </x:c>
      <x:c r="Y1588" s="14" t="b">
        <x:v>0</x:v>
      </x:c>
      <x:c r="Z1588" s="2" t="n">
        <x:f>ABS(T1588-AA1588)</x:f>
        <x:v>0</x:v>
      </x:c>
      <x:c r="AA1588" s="2" t="n">
        <x:v>118</x:v>
      </x:c>
      <x:c r="AB1588" s="2" t="n">
        <x:f>ABS(K1588-W1588)</x:f>
        <x:v>2</x:v>
      </x:c>
      <x:c r="AC1588" s="2" t="n">
        <x:f>COUNTIF($A$2:$A$1921,A1588)-1</x:f>
        <x:v>0</x:v>
      </x:c>
      <x:c r="AD1588" s="2" t="n">
        <x:f>IF(AND(D1588=D1587,H1588=H1587,C1588=C1587+1),ABS(R1588-T1587),0)</x:f>
        <x:v>0</x:v>
      </x:c>
    </x:row>
    <x:row r="1589" ht="23" customHeight="1">
      <x:c r="A1589" s="2" t="str">
        <x:v>DEMO-402-3-8</x:v>
      </x:c>
      <x:c r="B1589" s="15" t="d">
        <x:v>2026-06-22T00:00:00.000Z</x:v>
      </x:c>
      <x:c r="C1589" s="2" t="n">
        <x:v>8</x:v>
      </x:c>
      <x:c r="D1589" s="2" t="str">
        <x:v>DEMO-402</x:v>
      </x:c>
      <x:c r="E1589" s="2" t="str">
        <x:v>Canvas Carryall</x:v>
      </x:c>
      <x:c r="F1589" s="2" t="str">
        <x:v>Accessories</x:v>
      </x:c>
      <x:c r="G1589" s="2" t="str">
        <x:v>Online</x:v>
      </x:c>
      <x:c r="H1589" s="2" t="str">
        <x:v>Online</x:v>
      </x:c>
      <x:c r="I1589" s="2" t="n">
        <x:v>23</x:v>
      </x:c>
      <x:c r="J1589" s="2" t="n">
        <x:v>0</x:v>
      </x:c>
      <x:c r="K1589" s="2" t="n">
        <x:f>I1589-J1589</x:f>
        <x:v>23</x:v>
      </x:c>
      <x:c r="L1589" s="16" t="n">
        <x:v>18</x:v>
      </x:c>
      <x:c r="M1589" s="16" t="n">
        <x:v>18</x:v>
      </x:c>
      <x:c r="N1589" s="16" t="n">
        <x:v>6.93</x:v>
      </x:c>
      <x:c r="O1589" s="16" t="n">
        <x:f>K1589*M1589</x:f>
        <x:v>414</x:v>
      </x:c>
      <x:c r="P1589" s="16" t="n">
        <x:f>K1589*N1589</x:f>
        <x:v>159.39</x:v>
      </x:c>
      <x:c r="Q1589" s="16" t="n">
        <x:f>O1589-P1589</x:f>
        <x:v>254.61</x:v>
      </x:c>
      <x:c r="R1589" s="2" t="n">
        <x:v>118</x:v>
      </x:c>
      <x:c r="S1589" s="2" t="n">
        <x:v>0</x:v>
      </x:c>
      <x:c r="T1589" s="2" t="n">
        <x:f>R1589+S1589+J1589-I1589</x:f>
        <x:v>95</x:v>
      </x:c>
      <x:c r="U1589" s="2" t="n">
        <x:v>0</x:v>
      </x:c>
      <x:c r="V1589" s="2" t="n">
        <x:v>3</x:v>
      </x:c>
      <x:c r="W1589" s="2" t="n">
        <x:v>25</x:v>
      </x:c>
      <x:c r="X1589" s="14" t="b">
        <x:v>0</x:v>
      </x:c>
      <x:c r="Y1589" s="14" t="b">
        <x:v>0</x:v>
      </x:c>
      <x:c r="Z1589" s="2" t="n">
        <x:f>ABS(T1589-AA1589)</x:f>
        <x:v>0</x:v>
      </x:c>
      <x:c r="AA1589" s="2" t="n">
        <x:v>95</x:v>
      </x:c>
      <x:c r="AB1589" s="2" t="n">
        <x:f>ABS(K1589-W1589)</x:f>
        <x:v>2</x:v>
      </x:c>
      <x:c r="AC1589" s="2" t="n">
        <x:f>COUNTIF($A$2:$A$1921,A1589)-1</x:f>
        <x:v>0</x:v>
      </x:c>
      <x:c r="AD1589" s="2" t="n">
        <x:f>IF(AND(D1589=D1588,H1589=H1588,C1589=C1588+1),ABS(R1589-T1588),0)</x:f>
        <x:v>0</x:v>
      </x:c>
    </x:row>
    <x:row r="1590" ht="23" customHeight="1">
      <x:c r="A1590" s="2" t="str">
        <x:v>DEMO-402-3-9</x:v>
      </x:c>
      <x:c r="B1590" s="15" t="d">
        <x:v>2026-06-29T00:00:00.000Z</x:v>
      </x:c>
      <x:c r="C1590" s="2" t="n">
        <x:v>9</x:v>
      </x:c>
      <x:c r="D1590" s="2" t="str">
        <x:v>DEMO-402</x:v>
      </x:c>
      <x:c r="E1590" s="2" t="str">
        <x:v>Canvas Carryall</x:v>
      </x:c>
      <x:c r="F1590" s="2" t="str">
        <x:v>Accessories</x:v>
      </x:c>
      <x:c r="G1590" s="2" t="str">
        <x:v>Online</x:v>
      </x:c>
      <x:c r="H1590" s="2" t="str">
        <x:v>Online</x:v>
      </x:c>
      <x:c r="I1590" s="2" t="n">
        <x:v>21</x:v>
      </x:c>
      <x:c r="J1590" s="2" t="n">
        <x:v>1</x:v>
      </x:c>
      <x:c r="K1590" s="2" t="n">
        <x:f>I1590-J1590</x:f>
        <x:v>20</x:v>
      </x:c>
      <x:c r="L1590" s="16" t="n">
        <x:v>18</x:v>
      </x:c>
      <x:c r="M1590" s="16" t="n">
        <x:v>18</x:v>
      </x:c>
      <x:c r="N1590" s="16" t="n">
        <x:v>6.93</x:v>
      </x:c>
      <x:c r="O1590" s="16" t="n">
        <x:f>K1590*M1590</x:f>
        <x:v>360</x:v>
      </x:c>
      <x:c r="P1590" s="16" t="n">
        <x:f>K1590*N1590</x:f>
        <x:v>138.6</x:v>
      </x:c>
      <x:c r="Q1590" s="16" t="n">
        <x:f>O1590-P1590</x:f>
        <x:v>221.4</x:v>
      </x:c>
      <x:c r="R1590" s="2" t="n">
        <x:v>95</x:v>
      </x:c>
      <x:c r="S1590" s="2" t="n">
        <x:v>100</x:v>
      </x:c>
      <x:c r="T1590" s="2" t="n">
        <x:f>R1590+S1590+J1590-I1590</x:f>
        <x:v>175</x:v>
      </x:c>
      <x:c r="U1590" s="2" t="n">
        <x:v>0</x:v>
      </x:c>
      <x:c r="V1590" s="2" t="n">
        <x:v>3</x:v>
      </x:c>
      <x:c r="W1590" s="2" t="n">
        <x:v>24</x:v>
      </x:c>
      <x:c r="X1590" s="14" t="b">
        <x:v>0</x:v>
      </x:c>
      <x:c r="Y1590" s="14" t="b">
        <x:v>0</x:v>
      </x:c>
      <x:c r="Z1590" s="2" t="n">
        <x:f>ABS(T1590-AA1590)</x:f>
        <x:v>0</x:v>
      </x:c>
      <x:c r="AA1590" s="2" t="n">
        <x:v>175</x:v>
      </x:c>
      <x:c r="AB1590" s="2" t="n">
        <x:f>ABS(K1590-W1590)</x:f>
        <x:v>4</x:v>
      </x:c>
      <x:c r="AC1590" s="2" t="n">
        <x:f>COUNTIF($A$2:$A$1921,A1590)-1</x:f>
        <x:v>0</x:v>
      </x:c>
      <x:c r="AD1590" s="2" t="n">
        <x:f>IF(AND(D1590=D1589,H1590=H1589,C1590=C1589+1),ABS(R1590-T1589),0)</x:f>
        <x:v>0</x:v>
      </x:c>
    </x:row>
    <x:row r="1591" ht="23" customHeight="1">
      <x:c r="A1591" s="2" t="str">
        <x:v>DEMO-402-3-10</x:v>
      </x:c>
      <x:c r="B1591" s="15" t="d">
        <x:v>2026-07-06T00:00:00.000Z</x:v>
      </x:c>
      <x:c r="C1591" s="2" t="n">
        <x:v>10</x:v>
      </x:c>
      <x:c r="D1591" s="2" t="str">
        <x:v>DEMO-402</x:v>
      </x:c>
      <x:c r="E1591" s="2" t="str">
        <x:v>Canvas Carryall</x:v>
      </x:c>
      <x:c r="F1591" s="2" t="str">
        <x:v>Accessories</x:v>
      </x:c>
      <x:c r="G1591" s="2" t="str">
        <x:v>Online</x:v>
      </x:c>
      <x:c r="H1591" s="2" t="str">
        <x:v>Online</x:v>
      </x:c>
      <x:c r="I1591" s="2" t="n">
        <x:v>25</x:v>
      </x:c>
      <x:c r="J1591" s="2" t="n">
        <x:v>0</x:v>
      </x:c>
      <x:c r="K1591" s="2" t="n">
        <x:f>I1591-J1591</x:f>
        <x:v>25</x:v>
      </x:c>
      <x:c r="L1591" s="16" t="n">
        <x:v>18</x:v>
      </x:c>
      <x:c r="M1591" s="16" t="n">
        <x:v>18</x:v>
      </x:c>
      <x:c r="N1591" s="16" t="n">
        <x:v>6.93</x:v>
      </x:c>
      <x:c r="O1591" s="16" t="n">
        <x:f>K1591*M1591</x:f>
        <x:v>450</x:v>
      </x:c>
      <x:c r="P1591" s="16" t="n">
        <x:f>K1591*N1591</x:f>
        <x:v>173.25</x:v>
      </x:c>
      <x:c r="Q1591" s="16" t="n">
        <x:f>O1591-P1591</x:f>
        <x:v>276.75</x:v>
      </x:c>
      <x:c r="R1591" s="2" t="n">
        <x:v>175</x:v>
      </x:c>
      <x:c r="S1591" s="2" t="n">
        <x:v>0</x:v>
      </x:c>
      <x:c r="T1591" s="2" t="n">
        <x:f>R1591+S1591+J1591-I1591</x:f>
        <x:v>150</x:v>
      </x:c>
      <x:c r="U1591" s="2" t="n">
        <x:v>0</x:v>
      </x:c>
      <x:c r="V1591" s="2" t="n">
        <x:v>3</x:v>
      </x:c>
      <x:c r="W1591" s="2" t="n">
        <x:v>23</x:v>
      </x:c>
      <x:c r="X1591" s="14" t="b">
        <x:v>0</x:v>
      </x:c>
      <x:c r="Y1591" s="14" t="b">
        <x:v>0</x:v>
      </x:c>
      <x:c r="Z1591" s="2" t="n">
        <x:f>ABS(T1591-AA1591)</x:f>
        <x:v>0</x:v>
      </x:c>
      <x:c r="AA1591" s="2" t="n">
        <x:v>150</x:v>
      </x:c>
      <x:c r="AB1591" s="2" t="n">
        <x:f>ABS(K1591-W1591)</x:f>
        <x:v>2</x:v>
      </x:c>
      <x:c r="AC1591" s="2" t="n">
        <x:f>COUNTIF($A$2:$A$1921,A1591)-1</x:f>
        <x:v>0</x:v>
      </x:c>
      <x:c r="AD1591" s="2" t="n">
        <x:f>IF(AND(D1591=D1590,H1591=H1590,C1591=C1590+1),ABS(R1591-T1590),0)</x:f>
        <x:v>0</x:v>
      </x:c>
    </x:row>
    <x:row r="1592" ht="23" customHeight="1">
      <x:c r="A1592" s="2" t="str">
        <x:v>DEMO-402-3-11</x:v>
      </x:c>
      <x:c r="B1592" s="15" t="d">
        <x:v>2026-07-13T00:00:00.000Z</x:v>
      </x:c>
      <x:c r="C1592" s="2" t="n">
        <x:v>11</x:v>
      </x:c>
      <x:c r="D1592" s="2" t="str">
        <x:v>DEMO-402</x:v>
      </x:c>
      <x:c r="E1592" s="2" t="str">
        <x:v>Canvas Carryall</x:v>
      </x:c>
      <x:c r="F1592" s="2" t="str">
        <x:v>Accessories</x:v>
      </x:c>
      <x:c r="G1592" s="2" t="str">
        <x:v>Online</x:v>
      </x:c>
      <x:c r="H1592" s="2" t="str">
        <x:v>Online</x:v>
      </x:c>
      <x:c r="I1592" s="2" t="n">
        <x:v>25</x:v>
      </x:c>
      <x:c r="J1592" s="2" t="n">
        <x:v>0</x:v>
      </x:c>
      <x:c r="K1592" s="2" t="n">
        <x:f>I1592-J1592</x:f>
        <x:v>25</x:v>
      </x:c>
      <x:c r="L1592" s="16" t="n">
        <x:v>18</x:v>
      </x:c>
      <x:c r="M1592" s="16" t="n">
        <x:v>18</x:v>
      </x:c>
      <x:c r="N1592" s="16" t="n">
        <x:v>6.93</x:v>
      </x:c>
      <x:c r="O1592" s="16" t="n">
        <x:f>K1592*M1592</x:f>
        <x:v>450</x:v>
      </x:c>
      <x:c r="P1592" s="16" t="n">
        <x:f>K1592*N1592</x:f>
        <x:v>173.25</x:v>
      </x:c>
      <x:c r="Q1592" s="16" t="n">
        <x:f>O1592-P1592</x:f>
        <x:v>276.75</x:v>
      </x:c>
      <x:c r="R1592" s="2" t="n">
        <x:v>150</x:v>
      </x:c>
      <x:c r="S1592" s="2" t="n">
        <x:v>0</x:v>
      </x:c>
      <x:c r="T1592" s="2" t="n">
        <x:f>R1592+S1592+J1592-I1592</x:f>
        <x:v>125</x:v>
      </x:c>
      <x:c r="U1592" s="2" t="n">
        <x:v>0</x:v>
      </x:c>
      <x:c r="V1592" s="2" t="n">
        <x:v>3</x:v>
      </x:c>
      <x:c r="W1592" s="2" t="n">
        <x:v>23</x:v>
      </x:c>
      <x:c r="X1592" s="14" t="b">
        <x:v>0</x:v>
      </x:c>
      <x:c r="Y1592" s="14" t="b">
        <x:v>0</x:v>
      </x:c>
      <x:c r="Z1592" s="2" t="n">
        <x:f>ABS(T1592-AA1592)</x:f>
        <x:v>0</x:v>
      </x:c>
      <x:c r="AA1592" s="2" t="n">
        <x:v>125</x:v>
      </x:c>
      <x:c r="AB1592" s="2" t="n">
        <x:f>ABS(K1592-W1592)</x:f>
        <x:v>2</x:v>
      </x:c>
      <x:c r="AC1592" s="2" t="n">
        <x:f>COUNTIF($A$2:$A$1921,A1592)-1</x:f>
        <x:v>0</x:v>
      </x:c>
      <x:c r="AD1592" s="2" t="n">
        <x:f>IF(AND(D1592=D1591,H1592=H1591,C1592=C1591+1),ABS(R1592-T1591),0)</x:f>
        <x:v>0</x:v>
      </x:c>
    </x:row>
    <x:row r="1593" ht="23" customHeight="1">
      <x:c r="A1593" s="2" t="str">
        <x:v>DEMO-402-3-12</x:v>
      </x:c>
      <x:c r="B1593" s="15" t="d">
        <x:v>2026-07-20T00:00:00.000Z</x:v>
      </x:c>
      <x:c r="C1593" s="2" t="n">
        <x:v>12</x:v>
      </x:c>
      <x:c r="D1593" s="2" t="str">
        <x:v>DEMO-402</x:v>
      </x:c>
      <x:c r="E1593" s="2" t="str">
        <x:v>Canvas Carryall</x:v>
      </x:c>
      <x:c r="F1593" s="2" t="str">
        <x:v>Accessories</x:v>
      </x:c>
      <x:c r="G1593" s="2" t="str">
        <x:v>Online</x:v>
      </x:c>
      <x:c r="H1593" s="2" t="str">
        <x:v>Online</x:v>
      </x:c>
      <x:c r="I1593" s="2" t="n">
        <x:v>23</x:v>
      </x:c>
      <x:c r="J1593" s="2" t="n">
        <x:v>0</x:v>
      </x:c>
      <x:c r="K1593" s="2" t="n">
        <x:f>I1593-J1593</x:f>
        <x:v>23</x:v>
      </x:c>
      <x:c r="L1593" s="16" t="n">
        <x:v>18</x:v>
      </x:c>
      <x:c r="M1593" s="16" t="n">
        <x:v>18</x:v>
      </x:c>
      <x:c r="N1593" s="16" t="n">
        <x:v>6.93</x:v>
      </x:c>
      <x:c r="O1593" s="16" t="n">
        <x:f>K1593*M1593</x:f>
        <x:v>414</x:v>
      </x:c>
      <x:c r="P1593" s="16" t="n">
        <x:f>K1593*N1593</x:f>
        <x:v>159.39</x:v>
      </x:c>
      <x:c r="Q1593" s="16" t="n">
        <x:f>O1593-P1593</x:f>
        <x:v>254.61</x:v>
      </x:c>
      <x:c r="R1593" s="2" t="n">
        <x:v>125</x:v>
      </x:c>
      <x:c r="S1593" s="2" t="n">
        <x:v>0</x:v>
      </x:c>
      <x:c r="T1593" s="2" t="n">
        <x:f>R1593+S1593+J1593-I1593</x:f>
        <x:v>102</x:v>
      </x:c>
      <x:c r="U1593" s="2" t="n">
        <x:v>0</x:v>
      </x:c>
      <x:c r="V1593" s="2" t="n">
        <x:v>3</x:v>
      </x:c>
      <x:c r="W1593" s="2" t="n">
        <x:v>23</x:v>
      </x:c>
      <x:c r="X1593" s="14" t="b">
        <x:v>0</x:v>
      </x:c>
      <x:c r="Y1593" s="14" t="b">
        <x:v>0</x:v>
      </x:c>
      <x:c r="Z1593" s="2" t="n">
        <x:f>ABS(T1593-AA1593)</x:f>
        <x:v>0</x:v>
      </x:c>
      <x:c r="AA1593" s="2" t="n">
        <x:v>102</x:v>
      </x:c>
      <x:c r="AB1593" s="2" t="n">
        <x:f>ABS(K1593-W1593)</x:f>
        <x:v>0</x:v>
      </x:c>
      <x:c r="AC1593" s="2" t="n">
        <x:f>COUNTIF($A$2:$A$1921,A1593)-1</x:f>
        <x:v>0</x:v>
      </x:c>
      <x:c r="AD1593" s="2" t="n">
        <x:f>IF(AND(D1593=D1592,H1593=H1592,C1593=C1592+1),ABS(R1593-T1592),0)</x:f>
        <x:v>0</x:v>
      </x:c>
    </x:row>
    <x:row r="1594" ht="23" customHeight="1">
      <x:c r="A1594" s="2" t="str">
        <x:v>DEMO-402-3-13</x:v>
      </x:c>
      <x:c r="B1594" s="15" t="d">
        <x:v>2026-07-27T00:00:00.000Z</x:v>
      </x:c>
      <x:c r="C1594" s="2" t="n">
        <x:v>13</x:v>
      </x:c>
      <x:c r="D1594" s="2" t="str">
        <x:v>DEMO-402</x:v>
      </x:c>
      <x:c r="E1594" s="2" t="str">
        <x:v>Canvas Carryall</x:v>
      </x:c>
      <x:c r="F1594" s="2" t="str">
        <x:v>Accessories</x:v>
      </x:c>
      <x:c r="G1594" s="2" t="str">
        <x:v>Online</x:v>
      </x:c>
      <x:c r="H1594" s="2" t="str">
        <x:v>Online</x:v>
      </x:c>
      <x:c r="I1594" s="2" t="n">
        <x:v>23</x:v>
      </x:c>
      <x:c r="J1594" s="2" t="n">
        <x:v>0</x:v>
      </x:c>
      <x:c r="K1594" s="2" t="n">
        <x:f>I1594-J1594</x:f>
        <x:v>23</x:v>
      </x:c>
      <x:c r="L1594" s="16" t="n">
        <x:v>18</x:v>
      </x:c>
      <x:c r="M1594" s="16" t="n">
        <x:v>18</x:v>
      </x:c>
      <x:c r="N1594" s="16" t="n">
        <x:v>6.93</x:v>
      </x:c>
      <x:c r="O1594" s="16" t="n">
        <x:f>K1594*M1594</x:f>
        <x:v>414</x:v>
      </x:c>
      <x:c r="P1594" s="16" t="n">
        <x:f>K1594*N1594</x:f>
        <x:v>159.39</x:v>
      </x:c>
      <x:c r="Q1594" s="16" t="n">
        <x:f>O1594-P1594</x:f>
        <x:v>254.61</x:v>
      </x:c>
      <x:c r="R1594" s="2" t="n">
        <x:v>102</x:v>
      </x:c>
      <x:c r="S1594" s="2" t="n">
        <x:v>100</x:v>
      </x:c>
      <x:c r="T1594" s="2" t="n">
        <x:f>R1594+S1594+J1594-I1594</x:f>
        <x:v>179</x:v>
      </x:c>
      <x:c r="U1594" s="2" t="n">
        <x:v>0</x:v>
      </x:c>
      <x:c r="V1594" s="2" t="n">
        <x:v>3</x:v>
      </x:c>
      <x:c r="W1594" s="2" t="n">
        <x:v>23</x:v>
      </x:c>
      <x:c r="X1594" s="14" t="b">
        <x:v>0</x:v>
      </x:c>
      <x:c r="Y1594" s="14" t="b">
        <x:v>0</x:v>
      </x:c>
      <x:c r="Z1594" s="2" t="n">
        <x:f>ABS(T1594-AA1594)</x:f>
        <x:v>0</x:v>
      </x:c>
      <x:c r="AA1594" s="2" t="n">
        <x:v>179</x:v>
      </x:c>
      <x:c r="AB1594" s="2" t="n">
        <x:f>ABS(K1594-W1594)</x:f>
        <x:v>0</x:v>
      </x:c>
      <x:c r="AC1594" s="2" t="n">
        <x:f>COUNTIF($A$2:$A$1921,A1594)-1</x:f>
        <x:v>0</x:v>
      </x:c>
      <x:c r="AD1594" s="2" t="n">
        <x:f>IF(AND(D1594=D1593,H1594=H1593,C1594=C1593+1),ABS(R1594-T1593),0)</x:f>
        <x:v>0</x:v>
      </x:c>
    </x:row>
    <x:row r="1595" ht="23" customHeight="1">
      <x:c r="A1595" s="2" t="str">
        <x:v>DEMO-402-3-14</x:v>
      </x:c>
      <x:c r="B1595" s="15" t="d">
        <x:v>2026-08-03T00:00:00.000Z</x:v>
      </x:c>
      <x:c r="C1595" s="2" t="n">
        <x:v>14</x:v>
      </x:c>
      <x:c r="D1595" s="2" t="str">
        <x:v>DEMO-402</x:v>
      </x:c>
      <x:c r="E1595" s="2" t="str">
        <x:v>Canvas Carryall</x:v>
      </x:c>
      <x:c r="F1595" s="2" t="str">
        <x:v>Accessories</x:v>
      </x:c>
      <x:c r="G1595" s="2" t="str">
        <x:v>Online</x:v>
      </x:c>
      <x:c r="H1595" s="2" t="str">
        <x:v>Online</x:v>
      </x:c>
      <x:c r="I1595" s="2" t="n">
        <x:v>26</x:v>
      </x:c>
      <x:c r="J1595" s="2" t="n">
        <x:v>0</x:v>
      </x:c>
      <x:c r="K1595" s="2" t="n">
        <x:f>I1595-J1595</x:f>
        <x:v>26</x:v>
      </x:c>
      <x:c r="L1595" s="16" t="n">
        <x:v>18</x:v>
      </x:c>
      <x:c r="M1595" s="16" t="n">
        <x:v>18</x:v>
      </x:c>
      <x:c r="N1595" s="16" t="n">
        <x:v>6.93</x:v>
      </x:c>
      <x:c r="O1595" s="16" t="n">
        <x:f>K1595*M1595</x:f>
        <x:v>468</x:v>
      </x:c>
      <x:c r="P1595" s="16" t="n">
        <x:f>K1595*N1595</x:f>
        <x:v>180.18</x:v>
      </x:c>
      <x:c r="Q1595" s="16" t="n">
        <x:f>O1595-P1595</x:f>
        <x:v>287.82</x:v>
      </x:c>
      <x:c r="R1595" s="2" t="n">
        <x:v>179</x:v>
      </x:c>
      <x:c r="S1595" s="2" t="n">
        <x:v>0</x:v>
      </x:c>
      <x:c r="T1595" s="2" t="n">
        <x:f>R1595+S1595+J1595-I1595</x:f>
        <x:v>153</x:v>
      </x:c>
      <x:c r="U1595" s="2" t="n">
        <x:v>0</x:v>
      </x:c>
      <x:c r="V1595" s="2" t="n">
        <x:v>3</x:v>
      </x:c>
      <x:c r="W1595" s="2" t="n">
        <x:v>24</x:v>
      </x:c>
      <x:c r="X1595" s="14" t="b">
        <x:v>0</x:v>
      </x:c>
      <x:c r="Y1595" s="14" t="b">
        <x:v>0</x:v>
      </x:c>
      <x:c r="Z1595" s="2" t="n">
        <x:f>ABS(T1595-AA1595)</x:f>
        <x:v>0</x:v>
      </x:c>
      <x:c r="AA1595" s="2" t="n">
        <x:v>153</x:v>
      </x:c>
      <x:c r="AB1595" s="2" t="n">
        <x:f>ABS(K1595-W1595)</x:f>
        <x:v>2</x:v>
      </x:c>
      <x:c r="AC1595" s="2" t="n">
        <x:f>COUNTIF($A$2:$A$1921,A1595)-1</x:f>
        <x:v>0</x:v>
      </x:c>
      <x:c r="AD1595" s="2" t="n">
        <x:f>IF(AND(D1595=D1594,H1595=H1594,C1595=C1594+1),ABS(R1595-T1594),0)</x:f>
        <x:v>0</x:v>
      </x:c>
    </x:row>
    <x:row r="1596" ht="23" customHeight="1">
      <x:c r="A1596" s="2" t="str">
        <x:v>DEMO-402-3-15</x:v>
      </x:c>
      <x:c r="B1596" s="15" t="d">
        <x:v>2026-08-10T00:00:00.000Z</x:v>
      </x:c>
      <x:c r="C1596" s="2" t="n">
        <x:v>15</x:v>
      </x:c>
      <x:c r="D1596" s="2" t="str">
        <x:v>DEMO-402</x:v>
      </x:c>
      <x:c r="E1596" s="2" t="str">
        <x:v>Canvas Carryall</x:v>
      </x:c>
      <x:c r="F1596" s="2" t="str">
        <x:v>Accessories</x:v>
      </x:c>
      <x:c r="G1596" s="2" t="str">
        <x:v>Online</x:v>
      </x:c>
      <x:c r="H1596" s="2" t="str">
        <x:v>Online</x:v>
      </x:c>
      <x:c r="I1596" s="2" t="n">
        <x:v>20</x:v>
      </x:c>
      <x:c r="J1596" s="2" t="n">
        <x:v>0</x:v>
      </x:c>
      <x:c r="K1596" s="2" t="n">
        <x:f>I1596-J1596</x:f>
        <x:v>20</x:v>
      </x:c>
      <x:c r="L1596" s="16" t="n">
        <x:v>18</x:v>
      </x:c>
      <x:c r="M1596" s="16" t="n">
        <x:v>18</x:v>
      </x:c>
      <x:c r="N1596" s="16" t="n">
        <x:v>6.93</x:v>
      </x:c>
      <x:c r="O1596" s="16" t="n">
        <x:f>K1596*M1596</x:f>
        <x:v>360</x:v>
      </x:c>
      <x:c r="P1596" s="16" t="n">
        <x:f>K1596*N1596</x:f>
        <x:v>138.6</x:v>
      </x:c>
      <x:c r="Q1596" s="16" t="n">
        <x:f>O1596-P1596</x:f>
        <x:v>221.4</x:v>
      </x:c>
      <x:c r="R1596" s="2" t="n">
        <x:v>153</x:v>
      </x:c>
      <x:c r="S1596" s="2" t="n">
        <x:v>0</x:v>
      </x:c>
      <x:c r="T1596" s="2" t="n">
        <x:f>R1596+S1596+J1596-I1596</x:f>
        <x:v>133</x:v>
      </x:c>
      <x:c r="U1596" s="2" t="n">
        <x:v>0</x:v>
      </x:c>
      <x:c r="V1596" s="2" t="n">
        <x:v>3</x:v>
      </x:c>
      <x:c r="W1596" s="2" t="n">
        <x:v>24</x:v>
      </x:c>
      <x:c r="X1596" s="14" t="b">
        <x:v>0</x:v>
      </x:c>
      <x:c r="Y1596" s="14" t="b">
        <x:v>0</x:v>
      </x:c>
      <x:c r="Z1596" s="2" t="n">
        <x:f>ABS(T1596-AA1596)</x:f>
        <x:v>0</x:v>
      </x:c>
      <x:c r="AA1596" s="2" t="n">
        <x:v>133</x:v>
      </x:c>
      <x:c r="AB1596" s="2" t="n">
        <x:f>ABS(K1596-W1596)</x:f>
        <x:v>4</x:v>
      </x:c>
      <x:c r="AC1596" s="2" t="n">
        <x:f>COUNTIF($A$2:$A$1921,A1596)-1</x:f>
        <x:v>0</x:v>
      </x:c>
      <x:c r="AD1596" s="2" t="n">
        <x:f>IF(AND(D1596=D1595,H1596=H1595,C1596=C1595+1),ABS(R1596-T1595),0)</x:f>
        <x:v>0</x:v>
      </x:c>
    </x:row>
    <x:row r="1597" ht="23" customHeight="1">
      <x:c r="A1597" s="2" t="str">
        <x:v>DEMO-402-3-16</x:v>
      </x:c>
      <x:c r="B1597" s="15" t="d">
        <x:v>2026-08-17T00:00:00.000Z</x:v>
      </x:c>
      <x:c r="C1597" s="2" t="n">
        <x:v>16</x:v>
      </x:c>
      <x:c r="D1597" s="2" t="str">
        <x:v>DEMO-402</x:v>
      </x:c>
      <x:c r="E1597" s="2" t="str">
        <x:v>Canvas Carryall</x:v>
      </x:c>
      <x:c r="F1597" s="2" t="str">
        <x:v>Accessories</x:v>
      </x:c>
      <x:c r="G1597" s="2" t="str">
        <x:v>Online</x:v>
      </x:c>
      <x:c r="H1597" s="2" t="str">
        <x:v>Online</x:v>
      </x:c>
      <x:c r="I1597" s="2" t="n">
        <x:v>22</x:v>
      </x:c>
      <x:c r="J1597" s="2" t="n">
        <x:v>0</x:v>
      </x:c>
      <x:c r="K1597" s="2" t="n">
        <x:f>I1597-J1597</x:f>
        <x:v>22</x:v>
      </x:c>
      <x:c r="L1597" s="16" t="n">
        <x:v>18</x:v>
      </x:c>
      <x:c r="M1597" s="16" t="n">
        <x:v>18</x:v>
      </x:c>
      <x:c r="N1597" s="16" t="n">
        <x:v>6.93</x:v>
      </x:c>
      <x:c r="O1597" s="16" t="n">
        <x:f>K1597*M1597</x:f>
        <x:v>396</x:v>
      </x:c>
      <x:c r="P1597" s="16" t="n">
        <x:f>K1597*N1597</x:f>
        <x:v>152.45999999999998</x:v>
      </x:c>
      <x:c r="Q1597" s="16" t="n">
        <x:f>O1597-P1597</x:f>
        <x:v>243.54000000000002</x:v>
      </x:c>
      <x:c r="R1597" s="2" t="n">
        <x:v>133</x:v>
      </x:c>
      <x:c r="S1597" s="2" t="n">
        <x:v>0</x:v>
      </x:c>
      <x:c r="T1597" s="2" t="n">
        <x:f>R1597+S1597+J1597-I1597</x:f>
        <x:v>111</x:v>
      </x:c>
      <x:c r="U1597" s="2" t="n">
        <x:v>0</x:v>
      </x:c>
      <x:c r="V1597" s="2" t="n">
        <x:v>3</x:v>
      </x:c>
      <x:c r="W1597" s="2" t="n">
        <x:v>23</x:v>
      </x:c>
      <x:c r="X1597" s="14" t="b">
        <x:v>0</x:v>
      </x:c>
      <x:c r="Y1597" s="14" t="b">
        <x:v>0</x:v>
      </x:c>
      <x:c r="Z1597" s="2" t="n">
        <x:f>ABS(T1597-AA1597)</x:f>
        <x:v>0</x:v>
      </x:c>
      <x:c r="AA1597" s="2" t="n">
        <x:v>111</x:v>
      </x:c>
      <x:c r="AB1597" s="2" t="n">
        <x:f>ABS(K1597-W1597)</x:f>
        <x:v>1</x:v>
      </x:c>
      <x:c r="AC1597" s="2" t="n">
        <x:f>COUNTIF($A$2:$A$1921,A1597)-1</x:f>
        <x:v>0</x:v>
      </x:c>
      <x:c r="AD1597" s="2" t="n">
        <x:f>IF(AND(D1597=D1596,H1597=H1596,C1597=C1596+1),ABS(R1597-T1596),0)</x:f>
        <x:v>0</x:v>
      </x:c>
    </x:row>
    <x:row r="1598" ht="23" customHeight="1">
      <x:c r="A1598" s="2" t="str">
        <x:v>DEMO-402-3-17</x:v>
      </x:c>
      <x:c r="B1598" s="15" t="d">
        <x:v>2026-08-24T00:00:00.000Z</x:v>
      </x:c>
      <x:c r="C1598" s="2" t="n">
        <x:v>17</x:v>
      </x:c>
      <x:c r="D1598" s="2" t="str">
        <x:v>DEMO-402</x:v>
      </x:c>
      <x:c r="E1598" s="2" t="str">
        <x:v>Canvas Carryall</x:v>
      </x:c>
      <x:c r="F1598" s="2" t="str">
        <x:v>Accessories</x:v>
      </x:c>
      <x:c r="G1598" s="2" t="str">
        <x:v>Online</x:v>
      </x:c>
      <x:c r="H1598" s="2" t="str">
        <x:v>Online</x:v>
      </x:c>
      <x:c r="I1598" s="2" t="n">
        <x:v>25</x:v>
      </x:c>
      <x:c r="J1598" s="2" t="n">
        <x:v>1</x:v>
      </x:c>
      <x:c r="K1598" s="2" t="n">
        <x:f>I1598-J1598</x:f>
        <x:v>24</x:v>
      </x:c>
      <x:c r="L1598" s="16" t="n">
        <x:v>18</x:v>
      </x:c>
      <x:c r="M1598" s="16" t="n">
        <x:v>18</x:v>
      </x:c>
      <x:c r="N1598" s="16" t="n">
        <x:v>6.93</x:v>
      </x:c>
      <x:c r="O1598" s="16" t="n">
        <x:f>K1598*M1598</x:f>
        <x:v>432</x:v>
      </x:c>
      <x:c r="P1598" s="16" t="n">
        <x:f>K1598*N1598</x:f>
        <x:v>166.32</x:v>
      </x:c>
      <x:c r="Q1598" s="16" t="n">
        <x:f>O1598-P1598</x:f>
        <x:v>265.68</x:v>
      </x:c>
      <x:c r="R1598" s="2" t="n">
        <x:v>111</x:v>
      </x:c>
      <x:c r="S1598" s="2" t="n">
        <x:v>100</x:v>
      </x:c>
      <x:c r="T1598" s="2" t="n">
        <x:f>R1598+S1598+J1598-I1598</x:f>
        <x:v>187</x:v>
      </x:c>
      <x:c r="U1598" s="2" t="n">
        <x:v>0</x:v>
      </x:c>
      <x:c r="V1598" s="2" t="n">
        <x:v>3</x:v>
      </x:c>
      <x:c r="W1598" s="2" t="n">
        <x:v>23</x:v>
      </x:c>
      <x:c r="X1598" s="14" t="b">
        <x:v>0</x:v>
      </x:c>
      <x:c r="Y1598" s="14" t="b">
        <x:v>0</x:v>
      </x:c>
      <x:c r="Z1598" s="2" t="n">
        <x:f>ABS(T1598-AA1598)</x:f>
        <x:v>0</x:v>
      </x:c>
      <x:c r="AA1598" s="2" t="n">
        <x:v>187</x:v>
      </x:c>
      <x:c r="AB1598" s="2" t="n">
        <x:f>ABS(K1598-W1598)</x:f>
        <x:v>1</x:v>
      </x:c>
      <x:c r="AC1598" s="2" t="n">
        <x:f>COUNTIF($A$2:$A$1921,A1598)-1</x:f>
        <x:v>0</x:v>
      </x:c>
      <x:c r="AD1598" s="2" t="n">
        <x:f>IF(AND(D1598=D1597,H1598=H1597,C1598=C1597+1),ABS(R1598-T1597),0)</x:f>
        <x:v>0</x:v>
      </x:c>
    </x:row>
    <x:row r="1599" ht="23" customHeight="1">
      <x:c r="A1599" s="2" t="str">
        <x:v>DEMO-402-3-18</x:v>
      </x:c>
      <x:c r="B1599" s="15" t="d">
        <x:v>2026-08-31T00:00:00.000Z</x:v>
      </x:c>
      <x:c r="C1599" s="2" t="n">
        <x:v>18</x:v>
      </x:c>
      <x:c r="D1599" s="2" t="str">
        <x:v>DEMO-402</x:v>
      </x:c>
      <x:c r="E1599" s="2" t="str">
        <x:v>Canvas Carryall</x:v>
      </x:c>
      <x:c r="F1599" s="2" t="str">
        <x:v>Accessories</x:v>
      </x:c>
      <x:c r="G1599" s="2" t="str">
        <x:v>Online</x:v>
      </x:c>
      <x:c r="H1599" s="2" t="str">
        <x:v>Online</x:v>
      </x:c>
      <x:c r="I1599" s="2" t="n">
        <x:v>21</x:v>
      </x:c>
      <x:c r="J1599" s="2" t="n">
        <x:v>1</x:v>
      </x:c>
      <x:c r="K1599" s="2" t="n">
        <x:f>I1599-J1599</x:f>
        <x:v>20</x:v>
      </x:c>
      <x:c r="L1599" s="16" t="n">
        <x:v>18</x:v>
      </x:c>
      <x:c r="M1599" s="16" t="n">
        <x:v>18</x:v>
      </x:c>
      <x:c r="N1599" s="16" t="n">
        <x:v>6.93</x:v>
      </x:c>
      <x:c r="O1599" s="16" t="n">
        <x:f>K1599*M1599</x:f>
        <x:v>360</x:v>
      </x:c>
      <x:c r="P1599" s="16" t="n">
        <x:f>K1599*N1599</x:f>
        <x:v>138.6</x:v>
      </x:c>
      <x:c r="Q1599" s="16" t="n">
        <x:f>O1599-P1599</x:f>
        <x:v>221.4</x:v>
      </x:c>
      <x:c r="R1599" s="2" t="n">
        <x:v>187</x:v>
      </x:c>
      <x:c r="S1599" s="2" t="n">
        <x:v>0</x:v>
      </x:c>
      <x:c r="T1599" s="2" t="n">
        <x:f>R1599+S1599+J1599-I1599</x:f>
        <x:v>167</x:v>
      </x:c>
      <x:c r="U1599" s="2" t="n">
        <x:v>0</x:v>
      </x:c>
      <x:c r="V1599" s="2" t="n">
        <x:v>3</x:v>
      </x:c>
      <x:c r="W1599" s="2" t="n">
        <x:v>23</x:v>
      </x:c>
      <x:c r="X1599" s="14" t="b">
        <x:v>0</x:v>
      </x:c>
      <x:c r="Y1599" s="14" t="b">
        <x:v>0</x:v>
      </x:c>
      <x:c r="Z1599" s="2" t="n">
        <x:f>ABS(T1599-AA1599)</x:f>
        <x:v>0</x:v>
      </x:c>
      <x:c r="AA1599" s="2" t="n">
        <x:v>167</x:v>
      </x:c>
      <x:c r="AB1599" s="2" t="n">
        <x:f>ABS(K1599-W1599)</x:f>
        <x:v>3</x:v>
      </x:c>
      <x:c r="AC1599" s="2" t="n">
        <x:f>COUNTIF($A$2:$A$1921,A1599)-1</x:f>
        <x:v>0</x:v>
      </x:c>
      <x:c r="AD1599" s="2" t="n">
        <x:f>IF(AND(D1599=D1598,H1599=H1598,C1599=C1598+1),ABS(R1599-T1598),0)</x:f>
        <x:v>0</x:v>
      </x:c>
    </x:row>
    <x:row r="1600" ht="23" customHeight="1">
      <x:c r="A1600" s="2" t="str">
        <x:v>DEMO-402-3-19</x:v>
      </x:c>
      <x:c r="B1600" s="15" t="d">
        <x:v>2026-09-07T00:00:00.000Z</x:v>
      </x:c>
      <x:c r="C1600" s="2" t="n">
        <x:v>19</x:v>
      </x:c>
      <x:c r="D1600" s="2" t="str">
        <x:v>DEMO-402</x:v>
      </x:c>
      <x:c r="E1600" s="2" t="str">
        <x:v>Canvas Carryall</x:v>
      </x:c>
      <x:c r="F1600" s="2" t="str">
        <x:v>Accessories</x:v>
      </x:c>
      <x:c r="G1600" s="2" t="str">
        <x:v>Online</x:v>
      </x:c>
      <x:c r="H1600" s="2" t="str">
        <x:v>Online</x:v>
      </x:c>
      <x:c r="I1600" s="2" t="n">
        <x:v>28</x:v>
      </x:c>
      <x:c r="J1600" s="2" t="n">
        <x:v>0</x:v>
      </x:c>
      <x:c r="K1600" s="2" t="n">
        <x:f>I1600-J1600</x:f>
        <x:v>28</x:v>
      </x:c>
      <x:c r="L1600" s="16" t="n">
        <x:v>18</x:v>
      </x:c>
      <x:c r="M1600" s="16" t="n">
        <x:v>18</x:v>
      </x:c>
      <x:c r="N1600" s="16" t="n">
        <x:v>6.93</x:v>
      </x:c>
      <x:c r="O1600" s="16" t="n">
        <x:f>K1600*M1600</x:f>
        <x:v>504</x:v>
      </x:c>
      <x:c r="P1600" s="16" t="n">
        <x:f>K1600*N1600</x:f>
        <x:v>194.04</x:v>
      </x:c>
      <x:c r="Q1600" s="16" t="n">
        <x:f>O1600-P1600</x:f>
        <x:v>309.96000000000004</x:v>
      </x:c>
      <x:c r="R1600" s="2" t="n">
        <x:v>167</x:v>
      </x:c>
      <x:c r="S1600" s="2" t="n">
        <x:v>0</x:v>
      </x:c>
      <x:c r="T1600" s="2" t="n">
        <x:f>R1600+S1600+J1600-I1600</x:f>
        <x:v>139</x:v>
      </x:c>
      <x:c r="U1600" s="2" t="n">
        <x:v>0</x:v>
      </x:c>
      <x:c r="V1600" s="2" t="n">
        <x:v>3</x:v>
      </x:c>
      <x:c r="W1600" s="2" t="n">
        <x:v>22</x:v>
      </x:c>
      <x:c r="X1600" s="14" t="b">
        <x:v>0</x:v>
      </x:c>
      <x:c r="Y1600" s="14" t="b">
        <x:v>0</x:v>
      </x:c>
      <x:c r="Z1600" s="2" t="n">
        <x:f>ABS(T1600-AA1600)</x:f>
        <x:v>0</x:v>
      </x:c>
      <x:c r="AA1600" s="2" t="n">
        <x:v>139</x:v>
      </x:c>
      <x:c r="AB1600" s="2" t="n">
        <x:f>ABS(K1600-W1600)</x:f>
        <x:v>6</x:v>
      </x:c>
      <x:c r="AC1600" s="2" t="n">
        <x:f>COUNTIF($A$2:$A$1921,A1600)-1</x:f>
        <x:v>0</x:v>
      </x:c>
      <x:c r="AD1600" s="2" t="n">
        <x:f>IF(AND(D1600=D1599,H1600=H1599,C1600=C1599+1),ABS(R1600-T1599),0)</x:f>
        <x:v>0</x:v>
      </x:c>
    </x:row>
    <x:row r="1601" ht="23" customHeight="1">
      <x:c r="A1601" s="2" t="str">
        <x:v>DEMO-402-3-20</x:v>
      </x:c>
      <x:c r="B1601" s="15" t="d">
        <x:v>2026-09-14T00:00:00.000Z</x:v>
      </x:c>
      <x:c r="C1601" s="2" t="n">
        <x:v>20</x:v>
      </x:c>
      <x:c r="D1601" s="2" t="str">
        <x:v>DEMO-402</x:v>
      </x:c>
      <x:c r="E1601" s="2" t="str">
        <x:v>Canvas Carryall</x:v>
      </x:c>
      <x:c r="F1601" s="2" t="str">
        <x:v>Accessories</x:v>
      </x:c>
      <x:c r="G1601" s="2" t="str">
        <x:v>Online</x:v>
      </x:c>
      <x:c r="H1601" s="2" t="str">
        <x:v>Online</x:v>
      </x:c>
      <x:c r="I1601" s="2" t="n">
        <x:v>24</x:v>
      </x:c>
      <x:c r="J1601" s="2" t="n">
        <x:v>0</x:v>
      </x:c>
      <x:c r="K1601" s="2" t="n">
        <x:f>I1601-J1601</x:f>
        <x:v>24</x:v>
      </x:c>
      <x:c r="L1601" s="16" t="n">
        <x:v>18</x:v>
      </x:c>
      <x:c r="M1601" s="16" t="n">
        <x:v>18</x:v>
      </x:c>
      <x:c r="N1601" s="16" t="n">
        <x:v>6.93</x:v>
      </x:c>
      <x:c r="O1601" s="16" t="n">
        <x:f>K1601*M1601</x:f>
        <x:v>432</x:v>
      </x:c>
      <x:c r="P1601" s="16" t="n">
        <x:f>K1601*N1601</x:f>
        <x:v>166.32</x:v>
      </x:c>
      <x:c r="Q1601" s="16" t="n">
        <x:f>O1601-P1601</x:f>
        <x:v>265.68</x:v>
      </x:c>
      <x:c r="R1601" s="2" t="n">
        <x:v>139</x:v>
      </x:c>
      <x:c r="S1601" s="2" t="n">
        <x:v>0</x:v>
      </x:c>
      <x:c r="T1601" s="2" t="n">
        <x:f>R1601+S1601+J1601-I1601</x:f>
        <x:v>115</x:v>
      </x:c>
      <x:c r="U1601" s="2" t="n">
        <x:v>18</x:v>
      </x:c>
      <x:c r="V1601" s="2" t="n">
        <x:v>3</x:v>
      </x:c>
      <x:c r="W1601" s="2" t="n">
        <x:v>24</x:v>
      </x:c>
      <x:c r="X1601" s="14" t="b">
        <x:v>0</x:v>
      </x:c>
      <x:c r="Y1601" s="14" t="b">
        <x:v>0</x:v>
      </x:c>
      <x:c r="Z1601" s="2" t="n">
        <x:f>ABS(T1601-AA1601)</x:f>
        <x:v>0</x:v>
      </x:c>
      <x:c r="AA1601" s="2" t="n">
        <x:v>115</x:v>
      </x:c>
      <x:c r="AB1601" s="2" t="n">
        <x:f>ABS(K1601-W1601)</x:f>
        <x:v>0</x:v>
      </x:c>
      <x:c r="AC1601" s="2" t="n">
        <x:f>COUNTIF($A$2:$A$1921,A1601)-1</x:f>
        <x:v>0</x:v>
      </x:c>
      <x:c r="AD1601" s="2" t="n">
        <x:f>IF(AND(D1601=D1600,H1601=H1600,C1601=C1600+1),ABS(R1601-T1600),0)</x:f>
        <x:v>0</x:v>
      </x:c>
    </x:row>
    <x:row r="1602" ht="23" customHeight="1">
      <x:c r="A1602" s="2" t="str">
        <x:v>DEMO-403-0-1</x:v>
      </x:c>
      <x:c r="B1602" s="15" t="d">
        <x:v>2026-05-04T00:00:00.000Z</x:v>
      </x:c>
      <x:c r="C1602" s="2" t="n">
        <x:v>1</x:v>
      </x:c>
      <x:c r="D1602" s="2" t="str">
        <x:v>DEMO-403</x:v>
      </x:c>
      <x:c r="E1602" s="2" t="str">
        <x:v>Pocket Organiser</x:v>
      </x:c>
      <x:c r="F1602" s="2" t="str">
        <x:v>Accessories</x:v>
      </x:c>
      <x:c r="G1602" s="2" t="str">
        <x:v>Stores</x:v>
      </x:c>
      <x:c r="H1602" s="2" t="str">
        <x:v>North Arcade</x:v>
      </x:c>
      <x:c r="I1602" s="2" t="n">
        <x:v>20</x:v>
      </x:c>
      <x:c r="J1602" s="2" t="n">
        <x:v>1</x:v>
      </x:c>
      <x:c r="K1602" s="2" t="n">
        <x:f>I1602-J1602</x:f>
        <x:v>19</x:v>
      </x:c>
      <x:c r="L1602" s="16" t="n">
        <x:v>20</x:v>
      </x:c>
      <x:c r="M1602" s="16" t="n">
        <x:v>20</x:v>
      </x:c>
      <x:c r="N1602" s="16" t="n">
        <x:v>8.2</x:v>
      </x:c>
      <x:c r="O1602" s="16" t="n">
        <x:f>K1602*M1602</x:f>
        <x:v>380</x:v>
      </x:c>
      <x:c r="P1602" s="16" t="n">
        <x:f>K1602*N1602</x:f>
        <x:v>155.79999999999998</x:v>
      </x:c>
      <x:c r="Q1602" s="16" t="n">
        <x:f>O1602-P1602</x:f>
        <x:v>224.20000000000002</x:v>
      </x:c>
      <x:c r="R1602" s="2" t="n">
        <x:v>90</x:v>
      </x:c>
      <x:c r="S1602" s="2" t="n">
        <x:v>71</x:v>
      </x:c>
      <x:c r="T1602" s="2" t="n">
        <x:f>R1602+S1602+J1602-I1602</x:f>
        <x:v>142</x:v>
      </x:c>
      <x:c r="U1602" s="2" t="n">
        <x:v>0</x:v>
      </x:c>
      <x:c r="V1602" s="2" t="n">
        <x:v>4</x:v>
      </x:c>
      <x:c r="W1602" s="2" t="n">
        <x:v>17</x:v>
      </x:c>
      <x:c r="X1602" s="14" t="b">
        <x:v>0</x:v>
      </x:c>
      <x:c r="Y1602" s="14" t="b">
        <x:v>0</x:v>
      </x:c>
      <x:c r="Z1602" s="2" t="n">
        <x:f>ABS(T1602-AA1602)</x:f>
        <x:v>0</x:v>
      </x:c>
      <x:c r="AA1602" s="2" t="n">
        <x:v>142</x:v>
      </x:c>
      <x:c r="AB1602" s="2" t="n">
        <x:f>ABS(K1602-W1602)</x:f>
        <x:v>2</x:v>
      </x:c>
      <x:c r="AC1602" s="2" t="n">
        <x:f>COUNTIF($A$2:$A$1921,A1602)-1</x:f>
        <x:v>0</x:v>
      </x:c>
      <x:c r="AD1602" s="2" t="n">
        <x:f>IF(AND(D1602=D1601,H1602=H1601,C1602=C1601+1),ABS(R1602-T1601),0)</x:f>
        <x:v>0</x:v>
      </x:c>
    </x:row>
    <x:row r="1603" ht="23" customHeight="1">
      <x:c r="A1603" s="2" t="str">
        <x:v>DEMO-403-0-2</x:v>
      </x:c>
      <x:c r="B1603" s="15" t="d">
        <x:v>2026-05-11T00:00:00.000Z</x:v>
      </x:c>
      <x:c r="C1603" s="2" t="n">
        <x:v>2</x:v>
      </x:c>
      <x:c r="D1603" s="2" t="str">
        <x:v>DEMO-403</x:v>
      </x:c>
      <x:c r="E1603" s="2" t="str">
        <x:v>Pocket Organiser</x:v>
      </x:c>
      <x:c r="F1603" s="2" t="str">
        <x:v>Accessories</x:v>
      </x:c>
      <x:c r="G1603" s="2" t="str">
        <x:v>Stores</x:v>
      </x:c>
      <x:c r="H1603" s="2" t="str">
        <x:v>North Arcade</x:v>
      </x:c>
      <x:c r="I1603" s="2" t="n">
        <x:v>20</x:v>
      </x:c>
      <x:c r="J1603" s="2" t="n">
        <x:v>1</x:v>
      </x:c>
      <x:c r="K1603" s="2" t="n">
        <x:f>I1603-J1603</x:f>
        <x:v>19</x:v>
      </x:c>
      <x:c r="L1603" s="16" t="n">
        <x:v>20</x:v>
      </x:c>
      <x:c r="M1603" s="16" t="n">
        <x:v>20</x:v>
      </x:c>
      <x:c r="N1603" s="16" t="n">
        <x:v>8.2</x:v>
      </x:c>
      <x:c r="O1603" s="16" t="n">
        <x:f>K1603*M1603</x:f>
        <x:v>380</x:v>
      </x:c>
      <x:c r="P1603" s="16" t="n">
        <x:f>K1603*N1603</x:f>
        <x:v>155.79999999999998</x:v>
      </x:c>
      <x:c r="Q1603" s="16" t="n">
        <x:f>O1603-P1603</x:f>
        <x:v>224.20000000000002</x:v>
      </x:c>
      <x:c r="R1603" s="2" t="n">
        <x:v>142</x:v>
      </x:c>
      <x:c r="S1603" s="2" t="n">
        <x:v>0</x:v>
      </x:c>
      <x:c r="T1603" s="2" t="n">
        <x:f>R1603+S1603+J1603-I1603</x:f>
        <x:v>123</x:v>
      </x:c>
      <x:c r="U1603" s="2" t="n">
        <x:v>0</x:v>
      </x:c>
      <x:c r="V1603" s="2" t="n">
        <x:v>4</x:v>
      </x:c>
      <x:c r="W1603" s="2" t="n">
        <x:v>19</x:v>
      </x:c>
      <x:c r="X1603" s="14" t="b">
        <x:v>0</x:v>
      </x:c>
      <x:c r="Y1603" s="14" t="b">
        <x:v>0</x:v>
      </x:c>
      <x:c r="Z1603" s="2" t="n">
        <x:f>ABS(T1603-AA1603)</x:f>
        <x:v>0</x:v>
      </x:c>
      <x:c r="AA1603" s="2" t="n">
        <x:v>123</x:v>
      </x:c>
      <x:c r="AB1603" s="2" t="n">
        <x:f>ABS(K1603-W1603)</x:f>
        <x:v>0</x:v>
      </x:c>
      <x:c r="AC1603" s="2" t="n">
        <x:f>COUNTIF($A$2:$A$1921,A1603)-1</x:f>
        <x:v>0</x:v>
      </x:c>
      <x:c r="AD1603" s="2" t="n">
        <x:f>IF(AND(D1603=D1602,H1603=H1602,C1603=C1602+1),ABS(R1603-T1602),0)</x:f>
        <x:v>0</x:v>
      </x:c>
    </x:row>
    <x:row r="1604" ht="23" customHeight="1">
      <x:c r="A1604" s="2" t="str">
        <x:v>DEMO-403-0-3</x:v>
      </x:c>
      <x:c r="B1604" s="15" t="d">
        <x:v>2026-05-18T00:00:00.000Z</x:v>
      </x:c>
      <x:c r="C1604" s="2" t="n">
        <x:v>3</x:v>
      </x:c>
      <x:c r="D1604" s="2" t="str">
        <x:v>DEMO-403</x:v>
      </x:c>
      <x:c r="E1604" s="2" t="str">
        <x:v>Pocket Organiser</x:v>
      </x:c>
      <x:c r="F1604" s="2" t="str">
        <x:v>Accessories</x:v>
      </x:c>
      <x:c r="G1604" s="2" t="str">
        <x:v>Stores</x:v>
      </x:c>
      <x:c r="H1604" s="2" t="str">
        <x:v>North Arcade</x:v>
      </x:c>
      <x:c r="I1604" s="2" t="n">
        <x:v>15</x:v>
      </x:c>
      <x:c r="J1604" s="2" t="n">
        <x:v>0</x:v>
      </x:c>
      <x:c r="K1604" s="2" t="n">
        <x:f>I1604-J1604</x:f>
        <x:v>15</x:v>
      </x:c>
      <x:c r="L1604" s="16" t="n">
        <x:v>20</x:v>
      </x:c>
      <x:c r="M1604" s="16" t="n">
        <x:v>20</x:v>
      </x:c>
      <x:c r="N1604" s="16" t="n">
        <x:v>8.2</x:v>
      </x:c>
      <x:c r="O1604" s="16" t="n">
        <x:f>K1604*M1604</x:f>
        <x:v>300</x:v>
      </x:c>
      <x:c r="P1604" s="16" t="n">
        <x:f>K1604*N1604</x:f>
        <x:v>122.99999999999999</x:v>
      </x:c>
      <x:c r="Q1604" s="16" t="n">
        <x:f>O1604-P1604</x:f>
        <x:v>177</x:v>
      </x:c>
      <x:c r="R1604" s="2" t="n">
        <x:v>123</x:v>
      </x:c>
      <x:c r="S1604" s="2" t="n">
        <x:v>0</x:v>
      </x:c>
      <x:c r="T1604" s="2" t="n">
        <x:f>R1604+S1604+J1604-I1604</x:f>
        <x:v>108</x:v>
      </x:c>
      <x:c r="U1604" s="2" t="n">
        <x:v>0</x:v>
      </x:c>
      <x:c r="V1604" s="2" t="n">
        <x:v>4</x:v>
      </x:c>
      <x:c r="W1604" s="2" t="n">
        <x:v>19</x:v>
      </x:c>
      <x:c r="X1604" s="14" t="b">
        <x:v>0</x:v>
      </x:c>
      <x:c r="Y1604" s="14" t="b">
        <x:v>0</x:v>
      </x:c>
      <x:c r="Z1604" s="2" t="n">
        <x:f>ABS(T1604-AA1604)</x:f>
        <x:v>0</x:v>
      </x:c>
      <x:c r="AA1604" s="2" t="n">
        <x:v>108</x:v>
      </x:c>
      <x:c r="AB1604" s="2" t="n">
        <x:f>ABS(K1604-W1604)</x:f>
        <x:v>4</x:v>
      </x:c>
      <x:c r="AC1604" s="2" t="n">
        <x:f>COUNTIF($A$2:$A$1921,A1604)-1</x:f>
        <x:v>0</x:v>
      </x:c>
      <x:c r="AD1604" s="2" t="n">
        <x:f>IF(AND(D1604=D1603,H1604=H1603,C1604=C1603+1),ABS(R1604-T1603),0)</x:f>
        <x:v>0</x:v>
      </x:c>
    </x:row>
    <x:row r="1605" ht="23" customHeight="1">
      <x:c r="A1605" s="2" t="str">
        <x:v>DEMO-403-0-4</x:v>
      </x:c>
      <x:c r="B1605" s="15" t="d">
        <x:v>2026-05-25T00:00:00.000Z</x:v>
      </x:c>
      <x:c r="C1605" s="2" t="n">
        <x:v>4</x:v>
      </x:c>
      <x:c r="D1605" s="2" t="str">
        <x:v>DEMO-403</x:v>
      </x:c>
      <x:c r="E1605" s="2" t="str">
        <x:v>Pocket Organiser</x:v>
      </x:c>
      <x:c r="F1605" s="2" t="str">
        <x:v>Accessories</x:v>
      </x:c>
      <x:c r="G1605" s="2" t="str">
        <x:v>Stores</x:v>
      </x:c>
      <x:c r="H1605" s="2" t="str">
        <x:v>North Arcade</x:v>
      </x:c>
      <x:c r="I1605" s="2" t="n">
        <x:v>18</x:v>
      </x:c>
      <x:c r="J1605" s="2" t="n">
        <x:v>0</x:v>
      </x:c>
      <x:c r="K1605" s="2" t="n">
        <x:f>I1605-J1605</x:f>
        <x:v>18</x:v>
      </x:c>
      <x:c r="L1605" s="16" t="n">
        <x:v>20</x:v>
      </x:c>
      <x:c r="M1605" s="16" t="n">
        <x:v>20</x:v>
      </x:c>
      <x:c r="N1605" s="16" t="n">
        <x:v>8.2</x:v>
      </x:c>
      <x:c r="O1605" s="16" t="n">
        <x:f>K1605*M1605</x:f>
        <x:v>360</x:v>
      </x:c>
      <x:c r="P1605" s="16" t="n">
        <x:f>K1605*N1605</x:f>
        <x:v>147.6</x:v>
      </x:c>
      <x:c r="Q1605" s="16" t="n">
        <x:f>O1605-P1605</x:f>
        <x:v>212.4</x:v>
      </x:c>
      <x:c r="R1605" s="2" t="n">
        <x:v>108</x:v>
      </x:c>
      <x:c r="S1605" s="2" t="n">
        <x:v>0</x:v>
      </x:c>
      <x:c r="T1605" s="2" t="n">
        <x:f>R1605+S1605+J1605-I1605</x:f>
        <x:v>90</x:v>
      </x:c>
      <x:c r="U1605" s="2" t="n">
        <x:v>0</x:v>
      </x:c>
      <x:c r="V1605" s="2" t="n">
        <x:v>4</x:v>
      </x:c>
      <x:c r="W1605" s="2" t="n">
        <x:v>18</x:v>
      </x:c>
      <x:c r="X1605" s="14" t="b">
        <x:v>0</x:v>
      </x:c>
      <x:c r="Y1605" s="14" t="b">
        <x:v>0</x:v>
      </x:c>
      <x:c r="Z1605" s="2" t="n">
        <x:f>ABS(T1605-AA1605)</x:f>
        <x:v>0</x:v>
      </x:c>
      <x:c r="AA1605" s="2" t="n">
        <x:v>90</x:v>
      </x:c>
      <x:c r="AB1605" s="2" t="n">
        <x:f>ABS(K1605-W1605)</x:f>
        <x:v>0</x:v>
      </x:c>
      <x:c r="AC1605" s="2" t="n">
        <x:f>COUNTIF($A$2:$A$1921,A1605)-1</x:f>
        <x:v>0</x:v>
      </x:c>
      <x:c r="AD1605" s="2" t="n">
        <x:f>IF(AND(D1605=D1604,H1605=H1604,C1605=C1604+1),ABS(R1605-T1604),0)</x:f>
        <x:v>0</x:v>
      </x:c>
    </x:row>
    <x:row r="1606" ht="23" customHeight="1">
      <x:c r="A1606" s="2" t="str">
        <x:v>DEMO-403-0-5</x:v>
      </x:c>
      <x:c r="B1606" s="15" t="d">
        <x:v>2026-06-01T00:00:00.000Z</x:v>
      </x:c>
      <x:c r="C1606" s="2" t="n">
        <x:v>5</x:v>
      </x:c>
      <x:c r="D1606" s="2" t="str">
        <x:v>DEMO-403</x:v>
      </x:c>
      <x:c r="E1606" s="2" t="str">
        <x:v>Pocket Organiser</x:v>
      </x:c>
      <x:c r="F1606" s="2" t="str">
        <x:v>Accessories</x:v>
      </x:c>
      <x:c r="G1606" s="2" t="str">
        <x:v>Stores</x:v>
      </x:c>
      <x:c r="H1606" s="2" t="str">
        <x:v>North Arcade</x:v>
      </x:c>
      <x:c r="I1606" s="2" t="n">
        <x:v>20</x:v>
      </x:c>
      <x:c r="J1606" s="2" t="n">
        <x:v>0</x:v>
      </x:c>
      <x:c r="K1606" s="2" t="n">
        <x:f>I1606-J1606</x:f>
        <x:v>20</x:v>
      </x:c>
      <x:c r="L1606" s="16" t="n">
        <x:v>20</x:v>
      </x:c>
      <x:c r="M1606" s="16" t="n">
        <x:v>20</x:v>
      </x:c>
      <x:c r="N1606" s="16" t="n">
        <x:v>8.2</x:v>
      </x:c>
      <x:c r="O1606" s="16" t="n">
        <x:f>K1606*M1606</x:f>
        <x:v>400</x:v>
      </x:c>
      <x:c r="P1606" s="16" t="n">
        <x:f>K1606*N1606</x:f>
        <x:v>164</x:v>
      </x:c>
      <x:c r="Q1606" s="16" t="n">
        <x:f>O1606-P1606</x:f>
        <x:v>236</x:v>
      </x:c>
      <x:c r="R1606" s="2" t="n">
        <x:v>90</x:v>
      </x:c>
      <x:c r="S1606" s="2" t="n">
        <x:v>71</x:v>
      </x:c>
      <x:c r="T1606" s="2" t="n">
        <x:f>R1606+S1606+J1606-I1606</x:f>
        <x:v>141</x:v>
      </x:c>
      <x:c r="U1606" s="2" t="n">
        <x:v>0</x:v>
      </x:c>
      <x:c r="V1606" s="2" t="n">
        <x:v>4</x:v>
      </x:c>
      <x:c r="W1606" s="2" t="n">
        <x:v>18</x:v>
      </x:c>
      <x:c r="X1606" s="14" t="b">
        <x:v>0</x:v>
      </x:c>
      <x:c r="Y1606" s="14" t="b">
        <x:v>0</x:v>
      </x:c>
      <x:c r="Z1606" s="2" t="n">
        <x:f>ABS(T1606-AA1606)</x:f>
        <x:v>0</x:v>
      </x:c>
      <x:c r="AA1606" s="2" t="n">
        <x:v>141</x:v>
      </x:c>
      <x:c r="AB1606" s="2" t="n">
        <x:f>ABS(K1606-W1606)</x:f>
        <x:v>2</x:v>
      </x:c>
      <x:c r="AC1606" s="2" t="n">
        <x:f>COUNTIF($A$2:$A$1921,A1606)-1</x:f>
        <x:v>0</x:v>
      </x:c>
      <x:c r="AD1606" s="2" t="n">
        <x:f>IF(AND(D1606=D1605,H1606=H1605,C1606=C1605+1),ABS(R1606-T1605),0)</x:f>
        <x:v>0</x:v>
      </x:c>
    </x:row>
    <x:row r="1607" ht="23" customHeight="1">
      <x:c r="A1607" s="2" t="str">
        <x:v>DEMO-403-0-6</x:v>
      </x:c>
      <x:c r="B1607" s="15" t="d">
        <x:v>2026-06-08T00:00:00.000Z</x:v>
      </x:c>
      <x:c r="C1607" s="2" t="n">
        <x:v>6</x:v>
      </x:c>
      <x:c r="D1607" s="2" t="str">
        <x:v>DEMO-403</x:v>
      </x:c>
      <x:c r="E1607" s="2" t="str">
        <x:v>Pocket Organiser</x:v>
      </x:c>
      <x:c r="F1607" s="2" t="str">
        <x:v>Accessories</x:v>
      </x:c>
      <x:c r="G1607" s="2" t="str">
        <x:v>Stores</x:v>
      </x:c>
      <x:c r="H1607" s="2" t="str">
        <x:v>North Arcade</x:v>
      </x:c>
      <x:c r="I1607" s="2" t="n">
        <x:v>17</x:v>
      </x:c>
      <x:c r="J1607" s="2" t="n">
        <x:v>0</x:v>
      </x:c>
      <x:c r="K1607" s="2" t="n">
        <x:f>I1607-J1607</x:f>
        <x:v>17</x:v>
      </x:c>
      <x:c r="L1607" s="16" t="n">
        <x:v>20</x:v>
      </x:c>
      <x:c r="M1607" s="16" t="n">
        <x:v>20</x:v>
      </x:c>
      <x:c r="N1607" s="16" t="n">
        <x:v>8.2</x:v>
      </x:c>
      <x:c r="O1607" s="16" t="n">
        <x:f>K1607*M1607</x:f>
        <x:v>340</x:v>
      </x:c>
      <x:c r="P1607" s="16" t="n">
        <x:f>K1607*N1607</x:f>
        <x:v>139.39999999999998</x:v>
      </x:c>
      <x:c r="Q1607" s="16" t="n">
        <x:f>O1607-P1607</x:f>
        <x:v>200.60000000000002</x:v>
      </x:c>
      <x:c r="R1607" s="2" t="n">
        <x:v>141</x:v>
      </x:c>
      <x:c r="S1607" s="2" t="n">
        <x:v>0</x:v>
      </x:c>
      <x:c r="T1607" s="2" t="n">
        <x:f>R1607+S1607+J1607-I1607</x:f>
        <x:v>124</x:v>
      </x:c>
      <x:c r="U1607" s="2" t="n">
        <x:v>0</x:v>
      </x:c>
      <x:c r="V1607" s="2" t="n">
        <x:v>4</x:v>
      </x:c>
      <x:c r="W1607" s="2" t="n">
        <x:v>18</x:v>
      </x:c>
      <x:c r="X1607" s="14" t="b">
        <x:v>0</x:v>
      </x:c>
      <x:c r="Y1607" s="14" t="b">
        <x:v>0</x:v>
      </x:c>
      <x:c r="Z1607" s="2" t="n">
        <x:f>ABS(T1607-AA1607)</x:f>
        <x:v>0</x:v>
      </x:c>
      <x:c r="AA1607" s="2" t="n">
        <x:v>124</x:v>
      </x:c>
      <x:c r="AB1607" s="2" t="n">
        <x:f>ABS(K1607-W1607)</x:f>
        <x:v>1</x:v>
      </x:c>
      <x:c r="AC1607" s="2" t="n">
        <x:f>COUNTIF($A$2:$A$1921,A1607)-1</x:f>
        <x:v>0</x:v>
      </x:c>
      <x:c r="AD1607" s="2" t="n">
        <x:f>IF(AND(D1607=D1606,H1607=H1606,C1607=C1606+1),ABS(R1607-T1606),0)</x:f>
        <x:v>0</x:v>
      </x:c>
    </x:row>
    <x:row r="1608" ht="23" customHeight="1">
      <x:c r="A1608" s="2" t="str">
        <x:v>DEMO-403-0-7</x:v>
      </x:c>
      <x:c r="B1608" s="15" t="d">
        <x:v>2026-06-15T00:00:00.000Z</x:v>
      </x:c>
      <x:c r="C1608" s="2" t="n">
        <x:v>7</x:v>
      </x:c>
      <x:c r="D1608" s="2" t="str">
        <x:v>DEMO-403</x:v>
      </x:c>
      <x:c r="E1608" s="2" t="str">
        <x:v>Pocket Organiser</x:v>
      </x:c>
      <x:c r="F1608" s="2" t="str">
        <x:v>Accessories</x:v>
      </x:c>
      <x:c r="G1608" s="2" t="str">
        <x:v>Stores</x:v>
      </x:c>
      <x:c r="H1608" s="2" t="str">
        <x:v>North Arcade</x:v>
      </x:c>
      <x:c r="I1608" s="2" t="n">
        <x:v>17</x:v>
      </x:c>
      <x:c r="J1608" s="2" t="n">
        <x:v>0</x:v>
      </x:c>
      <x:c r="K1608" s="2" t="n">
        <x:f>I1608-J1608</x:f>
        <x:v>17</x:v>
      </x:c>
      <x:c r="L1608" s="16" t="n">
        <x:v>20</x:v>
      </x:c>
      <x:c r="M1608" s="16" t="n">
        <x:v>20</x:v>
      </x:c>
      <x:c r="N1608" s="16" t="n">
        <x:v>8.2</x:v>
      </x:c>
      <x:c r="O1608" s="16" t="n">
        <x:f>K1608*M1608</x:f>
        <x:v>340</x:v>
      </x:c>
      <x:c r="P1608" s="16" t="n">
        <x:f>K1608*N1608</x:f>
        <x:v>139.39999999999998</x:v>
      </x:c>
      <x:c r="Q1608" s="16" t="n">
        <x:f>O1608-P1608</x:f>
        <x:v>200.60000000000002</x:v>
      </x:c>
      <x:c r="R1608" s="2" t="n">
        <x:v>124</x:v>
      </x:c>
      <x:c r="S1608" s="2" t="n">
        <x:v>0</x:v>
      </x:c>
      <x:c r="T1608" s="2" t="n">
        <x:f>R1608+S1608+J1608-I1608</x:f>
        <x:v>107</x:v>
      </x:c>
      <x:c r="U1608" s="2" t="n">
        <x:v>0</x:v>
      </x:c>
      <x:c r="V1608" s="2" t="n">
        <x:v>4</x:v>
      </x:c>
      <x:c r="W1608" s="2" t="n">
        <x:v>18</x:v>
      </x:c>
      <x:c r="X1608" s="14" t="b">
        <x:v>0</x:v>
      </x:c>
      <x:c r="Y1608" s="14" t="b">
        <x:v>0</x:v>
      </x:c>
      <x:c r="Z1608" s="2" t="n">
        <x:f>ABS(T1608-AA1608)</x:f>
        <x:v>0</x:v>
      </x:c>
      <x:c r="AA1608" s="2" t="n">
        <x:v>107</x:v>
      </x:c>
      <x:c r="AB1608" s="2" t="n">
        <x:f>ABS(K1608-W1608)</x:f>
        <x:v>1</x:v>
      </x:c>
      <x:c r="AC1608" s="2" t="n">
        <x:f>COUNTIF($A$2:$A$1921,A1608)-1</x:f>
        <x:v>0</x:v>
      </x:c>
      <x:c r="AD1608" s="2" t="n">
        <x:f>IF(AND(D1608=D1607,H1608=H1607,C1608=C1607+1),ABS(R1608-T1607),0)</x:f>
        <x:v>0</x:v>
      </x:c>
    </x:row>
    <x:row r="1609" ht="23" customHeight="1">
      <x:c r="A1609" s="2" t="str">
        <x:v>DEMO-403-0-8</x:v>
      </x:c>
      <x:c r="B1609" s="15" t="d">
        <x:v>2026-06-22T00:00:00.000Z</x:v>
      </x:c>
      <x:c r="C1609" s="2" t="n">
        <x:v>8</x:v>
      </x:c>
      <x:c r="D1609" s="2" t="str">
        <x:v>DEMO-403</x:v>
      </x:c>
      <x:c r="E1609" s="2" t="str">
        <x:v>Pocket Organiser</x:v>
      </x:c>
      <x:c r="F1609" s="2" t="str">
        <x:v>Accessories</x:v>
      </x:c>
      <x:c r="G1609" s="2" t="str">
        <x:v>Stores</x:v>
      </x:c>
      <x:c r="H1609" s="2" t="str">
        <x:v>North Arcade</x:v>
      </x:c>
      <x:c r="I1609" s="2" t="n">
        <x:v>15</x:v>
      </x:c>
      <x:c r="J1609" s="2" t="n">
        <x:v>1</x:v>
      </x:c>
      <x:c r="K1609" s="2" t="n">
        <x:f>I1609-J1609</x:f>
        <x:v>14</x:v>
      </x:c>
      <x:c r="L1609" s="16" t="n">
        <x:v>20</x:v>
      </x:c>
      <x:c r="M1609" s="16" t="n">
        <x:v>20</x:v>
      </x:c>
      <x:c r="N1609" s="16" t="n">
        <x:v>8.2</x:v>
      </x:c>
      <x:c r="O1609" s="16" t="n">
        <x:f>K1609*M1609</x:f>
        <x:v>280</x:v>
      </x:c>
      <x:c r="P1609" s="16" t="n">
        <x:f>K1609*N1609</x:f>
        <x:v>114.79999999999998</x:v>
      </x:c>
      <x:c r="Q1609" s="16" t="n">
        <x:f>O1609-P1609</x:f>
        <x:v>165.20000000000002</x:v>
      </x:c>
      <x:c r="R1609" s="2" t="n">
        <x:v>107</x:v>
      </x:c>
      <x:c r="S1609" s="2" t="n">
        <x:v>0</x:v>
      </x:c>
      <x:c r="T1609" s="2" t="n">
        <x:f>R1609+S1609+J1609-I1609</x:f>
        <x:v>93</x:v>
      </x:c>
      <x:c r="U1609" s="2" t="n">
        <x:v>0</x:v>
      </x:c>
      <x:c r="V1609" s="2" t="n">
        <x:v>4</x:v>
      </x:c>
      <x:c r="W1609" s="2" t="n">
        <x:v>18</x:v>
      </x:c>
      <x:c r="X1609" s="14" t="b">
        <x:v>0</x:v>
      </x:c>
      <x:c r="Y1609" s="14" t="b">
        <x:v>0</x:v>
      </x:c>
      <x:c r="Z1609" s="2" t="n">
        <x:f>ABS(T1609-AA1609)</x:f>
        <x:v>0</x:v>
      </x:c>
      <x:c r="AA1609" s="2" t="n">
        <x:v>93</x:v>
      </x:c>
      <x:c r="AB1609" s="2" t="n">
        <x:f>ABS(K1609-W1609)</x:f>
        <x:v>4</x:v>
      </x:c>
      <x:c r="AC1609" s="2" t="n">
        <x:f>COUNTIF($A$2:$A$1921,A1609)-1</x:f>
        <x:v>0</x:v>
      </x:c>
      <x:c r="AD1609" s="2" t="n">
        <x:f>IF(AND(D1609=D1608,H1609=H1608,C1609=C1608+1),ABS(R1609-T1608),0)</x:f>
        <x:v>0</x:v>
      </x:c>
    </x:row>
    <x:row r="1610" ht="23" customHeight="1">
      <x:c r="A1610" s="2" t="str">
        <x:v>DEMO-403-0-9</x:v>
      </x:c>
      <x:c r="B1610" s="15" t="d">
        <x:v>2026-06-29T00:00:00.000Z</x:v>
      </x:c>
      <x:c r="C1610" s="2" t="n">
        <x:v>9</x:v>
      </x:c>
      <x:c r="D1610" s="2" t="str">
        <x:v>DEMO-403</x:v>
      </x:c>
      <x:c r="E1610" s="2" t="str">
        <x:v>Pocket Organiser</x:v>
      </x:c>
      <x:c r="F1610" s="2" t="str">
        <x:v>Accessories</x:v>
      </x:c>
      <x:c r="G1610" s="2" t="str">
        <x:v>Stores</x:v>
      </x:c>
      <x:c r="H1610" s="2" t="str">
        <x:v>North Arcade</x:v>
      </x:c>
      <x:c r="I1610" s="2" t="n">
        <x:v>20</x:v>
      </x:c>
      <x:c r="J1610" s="2" t="n">
        <x:v>0</x:v>
      </x:c>
      <x:c r="K1610" s="2" t="n">
        <x:f>I1610-J1610</x:f>
        <x:v>20</x:v>
      </x:c>
      <x:c r="L1610" s="16" t="n">
        <x:v>20</x:v>
      </x:c>
      <x:c r="M1610" s="16" t="n">
        <x:v>20</x:v>
      </x:c>
      <x:c r="N1610" s="16" t="n">
        <x:v>8.2</x:v>
      </x:c>
      <x:c r="O1610" s="16" t="n">
        <x:f>K1610*M1610</x:f>
        <x:v>400</x:v>
      </x:c>
      <x:c r="P1610" s="16" t="n">
        <x:f>K1610*N1610</x:f>
        <x:v>164</x:v>
      </x:c>
      <x:c r="Q1610" s="16" t="n">
        <x:f>O1610-P1610</x:f>
        <x:v>236</x:v>
      </x:c>
      <x:c r="R1610" s="2" t="n">
        <x:v>93</x:v>
      </x:c>
      <x:c r="S1610" s="2" t="n">
        <x:v>71</x:v>
      </x:c>
      <x:c r="T1610" s="2" t="n">
        <x:f>R1610+S1610+J1610-I1610</x:f>
        <x:v>144</x:v>
      </x:c>
      <x:c r="U1610" s="2" t="n">
        <x:v>0</x:v>
      </x:c>
      <x:c r="V1610" s="2" t="n">
        <x:v>4</x:v>
      </x:c>
      <x:c r="W1610" s="2" t="n">
        <x:v>17</x:v>
      </x:c>
      <x:c r="X1610" s="14" t="b">
        <x:v>0</x:v>
      </x:c>
      <x:c r="Y1610" s="14" t="b">
        <x:v>0</x:v>
      </x:c>
      <x:c r="Z1610" s="2" t="n">
        <x:f>ABS(T1610-AA1610)</x:f>
        <x:v>0</x:v>
      </x:c>
      <x:c r="AA1610" s="2" t="n">
        <x:v>144</x:v>
      </x:c>
      <x:c r="AB1610" s="2" t="n">
        <x:f>ABS(K1610-W1610)</x:f>
        <x:v>3</x:v>
      </x:c>
      <x:c r="AC1610" s="2" t="n">
        <x:f>COUNTIF($A$2:$A$1921,A1610)-1</x:f>
        <x:v>0</x:v>
      </x:c>
      <x:c r="AD1610" s="2" t="n">
        <x:f>IF(AND(D1610=D1609,H1610=H1609,C1610=C1609+1),ABS(R1610-T1609),0)</x:f>
        <x:v>0</x:v>
      </x:c>
    </x:row>
    <x:row r="1611" ht="23" customHeight="1">
      <x:c r="A1611" s="2" t="str">
        <x:v>DEMO-403-0-10</x:v>
      </x:c>
      <x:c r="B1611" s="15" t="d">
        <x:v>2026-07-06T00:00:00.000Z</x:v>
      </x:c>
      <x:c r="C1611" s="2" t="n">
        <x:v>10</x:v>
      </x:c>
      <x:c r="D1611" s="2" t="str">
        <x:v>DEMO-403</x:v>
      </x:c>
      <x:c r="E1611" s="2" t="str">
        <x:v>Pocket Organiser</x:v>
      </x:c>
      <x:c r="F1611" s="2" t="str">
        <x:v>Accessories</x:v>
      </x:c>
      <x:c r="G1611" s="2" t="str">
        <x:v>Stores</x:v>
      </x:c>
      <x:c r="H1611" s="2" t="str">
        <x:v>North Arcade</x:v>
      </x:c>
      <x:c r="I1611" s="2" t="n">
        <x:v>19</x:v>
      </x:c>
      <x:c r="J1611" s="2" t="n">
        <x:v>0</x:v>
      </x:c>
      <x:c r="K1611" s="2" t="n">
        <x:f>I1611-J1611</x:f>
        <x:v>19</x:v>
      </x:c>
      <x:c r="L1611" s="16" t="n">
        <x:v>20</x:v>
      </x:c>
      <x:c r="M1611" s="16" t="n">
        <x:v>20</x:v>
      </x:c>
      <x:c r="N1611" s="16" t="n">
        <x:v>8.2</x:v>
      </x:c>
      <x:c r="O1611" s="16" t="n">
        <x:f>K1611*M1611</x:f>
        <x:v>380</x:v>
      </x:c>
      <x:c r="P1611" s="16" t="n">
        <x:f>K1611*N1611</x:f>
        <x:v>155.79999999999998</x:v>
      </x:c>
      <x:c r="Q1611" s="16" t="n">
        <x:f>O1611-P1611</x:f>
        <x:v>224.20000000000002</x:v>
      </x:c>
      <x:c r="R1611" s="2" t="n">
        <x:v>144</x:v>
      </x:c>
      <x:c r="S1611" s="2" t="n">
        <x:v>0</x:v>
      </x:c>
      <x:c r="T1611" s="2" t="n">
        <x:f>R1611+S1611+J1611-I1611</x:f>
        <x:v>125</x:v>
      </x:c>
      <x:c r="U1611" s="2" t="n">
        <x:v>0</x:v>
      </x:c>
      <x:c r="V1611" s="2" t="n">
        <x:v>4</x:v>
      </x:c>
      <x:c r="W1611" s="2" t="n">
        <x:v>17</x:v>
      </x:c>
      <x:c r="X1611" s="14" t="b">
        <x:v>0</x:v>
      </x:c>
      <x:c r="Y1611" s="14" t="b">
        <x:v>0</x:v>
      </x:c>
      <x:c r="Z1611" s="2" t="n">
        <x:f>ABS(T1611-AA1611)</x:f>
        <x:v>0</x:v>
      </x:c>
      <x:c r="AA1611" s="2" t="n">
        <x:v>125</x:v>
      </x:c>
      <x:c r="AB1611" s="2" t="n">
        <x:f>ABS(K1611-W1611)</x:f>
        <x:v>2</x:v>
      </x:c>
      <x:c r="AC1611" s="2" t="n">
        <x:f>COUNTIF($A$2:$A$1921,A1611)-1</x:f>
        <x:v>0</x:v>
      </x:c>
      <x:c r="AD1611" s="2" t="n">
        <x:f>IF(AND(D1611=D1610,H1611=H1610,C1611=C1610+1),ABS(R1611-T1610),0)</x:f>
        <x:v>0</x:v>
      </x:c>
    </x:row>
    <x:row r="1612" ht="23" customHeight="1">
      <x:c r="A1612" s="2" t="str">
        <x:v>DEMO-403-0-11</x:v>
      </x:c>
      <x:c r="B1612" s="15" t="d">
        <x:v>2026-07-13T00:00:00.000Z</x:v>
      </x:c>
      <x:c r="C1612" s="2" t="n">
        <x:v>11</x:v>
      </x:c>
      <x:c r="D1612" s="2" t="str">
        <x:v>DEMO-403</x:v>
      </x:c>
      <x:c r="E1612" s="2" t="str">
        <x:v>Pocket Organiser</x:v>
      </x:c>
      <x:c r="F1612" s="2" t="str">
        <x:v>Accessories</x:v>
      </x:c>
      <x:c r="G1612" s="2" t="str">
        <x:v>Stores</x:v>
      </x:c>
      <x:c r="H1612" s="2" t="str">
        <x:v>North Arcade</x:v>
      </x:c>
      <x:c r="I1612" s="2" t="n">
        <x:v>17</x:v>
      </x:c>
      <x:c r="J1612" s="2" t="n">
        <x:v>1</x:v>
      </x:c>
      <x:c r="K1612" s="2" t="n">
        <x:f>I1612-J1612</x:f>
        <x:v>16</x:v>
      </x:c>
      <x:c r="L1612" s="16" t="n">
        <x:v>20</x:v>
      </x:c>
      <x:c r="M1612" s="16" t="n">
        <x:v>20</x:v>
      </x:c>
      <x:c r="N1612" s="16" t="n">
        <x:v>8.2</x:v>
      </x:c>
      <x:c r="O1612" s="16" t="n">
        <x:f>K1612*M1612</x:f>
        <x:v>320</x:v>
      </x:c>
      <x:c r="P1612" s="16" t="n">
        <x:f>K1612*N1612</x:f>
        <x:v>131.2</x:v>
      </x:c>
      <x:c r="Q1612" s="16" t="n">
        <x:f>O1612-P1612</x:f>
        <x:v>188.8</x:v>
      </x:c>
      <x:c r="R1612" s="2" t="n">
        <x:v>125</x:v>
      </x:c>
      <x:c r="S1612" s="2" t="n">
        <x:v>0</x:v>
      </x:c>
      <x:c r="T1612" s="2" t="n">
        <x:f>R1612+S1612+J1612-I1612</x:f>
        <x:v>109</x:v>
      </x:c>
      <x:c r="U1612" s="2" t="n">
        <x:v>0</x:v>
      </x:c>
      <x:c r="V1612" s="2" t="n">
        <x:v>4</x:v>
      </x:c>
      <x:c r="W1612" s="2" t="n">
        <x:v>18</x:v>
      </x:c>
      <x:c r="X1612" s="14" t="b">
        <x:v>0</x:v>
      </x:c>
      <x:c r="Y1612" s="14" t="b">
        <x:v>0</x:v>
      </x:c>
      <x:c r="Z1612" s="2" t="n">
        <x:f>ABS(T1612-AA1612)</x:f>
        <x:v>0</x:v>
      </x:c>
      <x:c r="AA1612" s="2" t="n">
        <x:v>109</x:v>
      </x:c>
      <x:c r="AB1612" s="2" t="n">
        <x:f>ABS(K1612-W1612)</x:f>
        <x:v>2</x:v>
      </x:c>
      <x:c r="AC1612" s="2" t="n">
        <x:f>COUNTIF($A$2:$A$1921,A1612)-1</x:f>
        <x:v>0</x:v>
      </x:c>
      <x:c r="AD1612" s="2" t="n">
        <x:f>IF(AND(D1612=D1611,H1612=H1611,C1612=C1611+1),ABS(R1612-T1611),0)</x:f>
        <x:v>0</x:v>
      </x:c>
    </x:row>
    <x:row r="1613" ht="23" customHeight="1">
      <x:c r="A1613" s="2" t="str">
        <x:v>DEMO-403-0-12</x:v>
      </x:c>
      <x:c r="B1613" s="15" t="d">
        <x:v>2026-07-20T00:00:00.000Z</x:v>
      </x:c>
      <x:c r="C1613" s="2" t="n">
        <x:v>12</x:v>
      </x:c>
      <x:c r="D1613" s="2" t="str">
        <x:v>DEMO-403</x:v>
      </x:c>
      <x:c r="E1613" s="2" t="str">
        <x:v>Pocket Organiser</x:v>
      </x:c>
      <x:c r="F1613" s="2" t="str">
        <x:v>Accessories</x:v>
      </x:c>
      <x:c r="G1613" s="2" t="str">
        <x:v>Stores</x:v>
      </x:c>
      <x:c r="H1613" s="2" t="str">
        <x:v>North Arcade</x:v>
      </x:c>
      <x:c r="I1613" s="2" t="n">
        <x:v>14</x:v>
      </x:c>
      <x:c r="J1613" s="2" t="n">
        <x:v>0</x:v>
      </x:c>
      <x:c r="K1613" s="2" t="n">
        <x:f>I1613-J1613</x:f>
        <x:v>14</x:v>
      </x:c>
      <x:c r="L1613" s="16" t="n">
        <x:v>20</x:v>
      </x:c>
      <x:c r="M1613" s="16" t="n">
        <x:v>20</x:v>
      </x:c>
      <x:c r="N1613" s="16" t="n">
        <x:v>8.2</x:v>
      </x:c>
      <x:c r="O1613" s="16" t="n">
        <x:f>K1613*M1613</x:f>
        <x:v>280</x:v>
      </x:c>
      <x:c r="P1613" s="16" t="n">
        <x:f>K1613*N1613</x:f>
        <x:v>114.79999999999998</x:v>
      </x:c>
      <x:c r="Q1613" s="16" t="n">
        <x:f>O1613-P1613</x:f>
        <x:v>165.20000000000002</x:v>
      </x:c>
      <x:c r="R1613" s="2" t="n">
        <x:v>109</x:v>
      </x:c>
      <x:c r="S1613" s="2" t="n">
        <x:v>0</x:v>
      </x:c>
      <x:c r="T1613" s="2" t="n">
        <x:f>R1613+S1613+J1613-I1613</x:f>
        <x:v>95</x:v>
      </x:c>
      <x:c r="U1613" s="2" t="n">
        <x:v>0</x:v>
      </x:c>
      <x:c r="V1613" s="2" t="n">
        <x:v>4</x:v>
      </x:c>
      <x:c r="W1613" s="2" t="n">
        <x:v>17</x:v>
      </x:c>
      <x:c r="X1613" s="14" t="b">
        <x:v>0</x:v>
      </x:c>
      <x:c r="Y1613" s="14" t="b">
        <x:v>0</x:v>
      </x:c>
      <x:c r="Z1613" s="2" t="n">
        <x:f>ABS(T1613-AA1613)</x:f>
        <x:v>0</x:v>
      </x:c>
      <x:c r="AA1613" s="2" t="n">
        <x:v>95</x:v>
      </x:c>
      <x:c r="AB1613" s="2" t="n">
        <x:f>ABS(K1613-W1613)</x:f>
        <x:v>3</x:v>
      </x:c>
      <x:c r="AC1613" s="2" t="n">
        <x:f>COUNTIF($A$2:$A$1921,A1613)-1</x:f>
        <x:v>0</x:v>
      </x:c>
      <x:c r="AD1613" s="2" t="n">
        <x:f>IF(AND(D1613=D1612,H1613=H1612,C1613=C1612+1),ABS(R1613-T1612),0)</x:f>
        <x:v>0</x:v>
      </x:c>
    </x:row>
    <x:row r="1614" ht="23" customHeight="1">
      <x:c r="A1614" s="2" t="str">
        <x:v>DEMO-403-0-13</x:v>
      </x:c>
      <x:c r="B1614" s="15" t="d">
        <x:v>2026-07-27T00:00:00.000Z</x:v>
      </x:c>
      <x:c r="C1614" s="2" t="n">
        <x:v>13</x:v>
      </x:c>
      <x:c r="D1614" s="2" t="str">
        <x:v>DEMO-403</x:v>
      </x:c>
      <x:c r="E1614" s="2" t="str">
        <x:v>Pocket Organiser</x:v>
      </x:c>
      <x:c r="F1614" s="2" t="str">
        <x:v>Accessories</x:v>
      </x:c>
      <x:c r="G1614" s="2" t="str">
        <x:v>Stores</x:v>
      </x:c>
      <x:c r="H1614" s="2" t="str">
        <x:v>North Arcade</x:v>
      </x:c>
      <x:c r="I1614" s="2" t="n">
        <x:v>14</x:v>
      </x:c>
      <x:c r="J1614" s="2" t="n">
        <x:v>0</x:v>
      </x:c>
      <x:c r="K1614" s="2" t="n">
        <x:f>I1614-J1614</x:f>
        <x:v>14</x:v>
      </x:c>
      <x:c r="L1614" s="16" t="n">
        <x:v>20</x:v>
      </x:c>
      <x:c r="M1614" s="16" t="n">
        <x:v>20</x:v>
      </x:c>
      <x:c r="N1614" s="16" t="n">
        <x:v>8.2</x:v>
      </x:c>
      <x:c r="O1614" s="16" t="n">
        <x:f>K1614*M1614</x:f>
        <x:v>280</x:v>
      </x:c>
      <x:c r="P1614" s="16" t="n">
        <x:f>K1614*N1614</x:f>
        <x:v>114.79999999999998</x:v>
      </x:c>
      <x:c r="Q1614" s="16" t="n">
        <x:f>O1614-P1614</x:f>
        <x:v>165.20000000000002</x:v>
      </x:c>
      <x:c r="R1614" s="2" t="n">
        <x:v>95</x:v>
      </x:c>
      <x:c r="S1614" s="2" t="n">
        <x:v>71</x:v>
      </x:c>
      <x:c r="T1614" s="2" t="n">
        <x:f>R1614+S1614+J1614-I1614</x:f>
        <x:v>152</x:v>
      </x:c>
      <x:c r="U1614" s="2" t="n">
        <x:v>0</x:v>
      </x:c>
      <x:c r="V1614" s="2" t="n">
        <x:v>4</x:v>
      </x:c>
      <x:c r="W1614" s="2" t="n">
        <x:v>17</x:v>
      </x:c>
      <x:c r="X1614" s="14" t="b">
        <x:v>0</x:v>
      </x:c>
      <x:c r="Y1614" s="14" t="b">
        <x:v>0</x:v>
      </x:c>
      <x:c r="Z1614" s="2" t="n">
        <x:f>ABS(T1614-AA1614)</x:f>
        <x:v>0</x:v>
      </x:c>
      <x:c r="AA1614" s="2" t="n">
        <x:v>152</x:v>
      </x:c>
      <x:c r="AB1614" s="2" t="n">
        <x:f>ABS(K1614-W1614)</x:f>
        <x:v>3</x:v>
      </x:c>
      <x:c r="AC1614" s="2" t="n">
        <x:f>COUNTIF($A$2:$A$1921,A1614)-1</x:f>
        <x:v>0</x:v>
      </x:c>
      <x:c r="AD1614" s="2" t="n">
        <x:f>IF(AND(D1614=D1613,H1614=H1613,C1614=C1613+1),ABS(R1614-T1613),0)</x:f>
        <x:v>0</x:v>
      </x:c>
    </x:row>
    <x:row r="1615" ht="23" customHeight="1">
      <x:c r="A1615" s="2" t="str">
        <x:v>DEMO-403-0-14</x:v>
      </x:c>
      <x:c r="B1615" s="15" t="d">
        <x:v>2026-08-03T00:00:00.000Z</x:v>
      </x:c>
      <x:c r="C1615" s="2" t="n">
        <x:v>14</x:v>
      </x:c>
      <x:c r="D1615" s="2" t="str">
        <x:v>DEMO-403</x:v>
      </x:c>
      <x:c r="E1615" s="2" t="str">
        <x:v>Pocket Organiser</x:v>
      </x:c>
      <x:c r="F1615" s="2" t="str">
        <x:v>Accessories</x:v>
      </x:c>
      <x:c r="G1615" s="2" t="str">
        <x:v>Stores</x:v>
      </x:c>
      <x:c r="H1615" s="2" t="str">
        <x:v>North Arcade</x:v>
      </x:c>
      <x:c r="I1615" s="2" t="n">
        <x:v>14</x:v>
      </x:c>
      <x:c r="J1615" s="2" t="n">
        <x:v>0</x:v>
      </x:c>
      <x:c r="K1615" s="2" t="n">
        <x:f>I1615-J1615</x:f>
        <x:v>14</x:v>
      </x:c>
      <x:c r="L1615" s="16" t="n">
        <x:v>20</x:v>
      </x:c>
      <x:c r="M1615" s="16" t="n">
        <x:v>20</x:v>
      </x:c>
      <x:c r="N1615" s="16" t="n">
        <x:v>8.2</x:v>
      </x:c>
      <x:c r="O1615" s="16" t="n">
        <x:f>K1615*M1615</x:f>
        <x:v>280</x:v>
      </x:c>
      <x:c r="P1615" s="16" t="n">
        <x:f>K1615*N1615</x:f>
        <x:v>114.79999999999998</x:v>
      </x:c>
      <x:c r="Q1615" s="16" t="n">
        <x:f>O1615-P1615</x:f>
        <x:v>165.20000000000002</x:v>
      </x:c>
      <x:c r="R1615" s="2" t="n">
        <x:v>152</x:v>
      </x:c>
      <x:c r="S1615" s="2" t="n">
        <x:v>0</x:v>
      </x:c>
      <x:c r="T1615" s="2" t="n">
        <x:f>R1615+S1615+J1615-I1615</x:f>
        <x:v>138</x:v>
      </x:c>
      <x:c r="U1615" s="2" t="n">
        <x:v>0</x:v>
      </x:c>
      <x:c r="V1615" s="2" t="n">
        <x:v>4</x:v>
      </x:c>
      <x:c r="W1615" s="2" t="n">
        <x:v>16</x:v>
      </x:c>
      <x:c r="X1615" s="14" t="b">
        <x:v>0</x:v>
      </x:c>
      <x:c r="Y1615" s="14" t="b">
        <x:v>0</x:v>
      </x:c>
      <x:c r="Z1615" s="2" t="n">
        <x:f>ABS(T1615-AA1615)</x:f>
        <x:v>0</x:v>
      </x:c>
      <x:c r="AA1615" s="2" t="n">
        <x:v>138</x:v>
      </x:c>
      <x:c r="AB1615" s="2" t="n">
        <x:f>ABS(K1615-W1615)</x:f>
        <x:v>2</x:v>
      </x:c>
      <x:c r="AC1615" s="2" t="n">
        <x:f>COUNTIF($A$2:$A$1921,A1615)-1</x:f>
        <x:v>0</x:v>
      </x:c>
      <x:c r="AD1615" s="2" t="n">
        <x:f>IF(AND(D1615=D1614,H1615=H1614,C1615=C1614+1),ABS(R1615-T1614),0)</x:f>
        <x:v>0</x:v>
      </x:c>
    </x:row>
    <x:row r="1616" ht="23" customHeight="1">
      <x:c r="A1616" s="2" t="str">
        <x:v>DEMO-403-0-15</x:v>
      </x:c>
      <x:c r="B1616" s="15" t="d">
        <x:v>2026-08-10T00:00:00.000Z</x:v>
      </x:c>
      <x:c r="C1616" s="2" t="n">
        <x:v>15</x:v>
      </x:c>
      <x:c r="D1616" s="2" t="str">
        <x:v>DEMO-403</x:v>
      </x:c>
      <x:c r="E1616" s="2" t="str">
        <x:v>Pocket Organiser</x:v>
      </x:c>
      <x:c r="F1616" s="2" t="str">
        <x:v>Accessories</x:v>
      </x:c>
      <x:c r="G1616" s="2" t="str">
        <x:v>Stores</x:v>
      </x:c>
      <x:c r="H1616" s="2" t="str">
        <x:v>North Arcade</x:v>
      </x:c>
      <x:c r="I1616" s="2" t="n">
        <x:v>18</x:v>
      </x:c>
      <x:c r="J1616" s="2" t="n">
        <x:v>0</x:v>
      </x:c>
      <x:c r="K1616" s="2" t="n">
        <x:f>I1616-J1616</x:f>
        <x:v>18</x:v>
      </x:c>
      <x:c r="L1616" s="16" t="n">
        <x:v>20</x:v>
      </x:c>
      <x:c r="M1616" s="16" t="n">
        <x:v>20</x:v>
      </x:c>
      <x:c r="N1616" s="16" t="n">
        <x:v>8.2</x:v>
      </x:c>
      <x:c r="O1616" s="16" t="n">
        <x:f>K1616*M1616</x:f>
        <x:v>360</x:v>
      </x:c>
      <x:c r="P1616" s="16" t="n">
        <x:f>K1616*N1616</x:f>
        <x:v>147.6</x:v>
      </x:c>
      <x:c r="Q1616" s="16" t="n">
        <x:f>O1616-P1616</x:f>
        <x:v>212.4</x:v>
      </x:c>
      <x:c r="R1616" s="2" t="n">
        <x:v>138</x:v>
      </x:c>
      <x:c r="S1616" s="2" t="n">
        <x:v>0</x:v>
      </x:c>
      <x:c r="T1616" s="2" t="n">
        <x:f>R1616+S1616+J1616-I1616</x:f>
        <x:v>120</x:v>
      </x:c>
      <x:c r="U1616" s="2" t="n">
        <x:v>0</x:v>
      </x:c>
      <x:c r="V1616" s="2" t="n">
        <x:v>4</x:v>
      </x:c>
      <x:c r="W1616" s="2" t="n">
        <x:v>15</x:v>
      </x:c>
      <x:c r="X1616" s="14" t="b">
        <x:v>0</x:v>
      </x:c>
      <x:c r="Y1616" s="14" t="b">
        <x:v>0</x:v>
      </x:c>
      <x:c r="Z1616" s="2" t="n">
        <x:f>ABS(T1616-AA1616)</x:f>
        <x:v>0</x:v>
      </x:c>
      <x:c r="AA1616" s="2" t="n">
        <x:v>120</x:v>
      </x:c>
      <x:c r="AB1616" s="2" t="n">
        <x:f>ABS(K1616-W1616)</x:f>
        <x:v>3</x:v>
      </x:c>
      <x:c r="AC1616" s="2" t="n">
        <x:f>COUNTIF($A$2:$A$1921,A1616)-1</x:f>
        <x:v>0</x:v>
      </x:c>
      <x:c r="AD1616" s="2" t="n">
        <x:f>IF(AND(D1616=D1615,H1616=H1615,C1616=C1615+1),ABS(R1616-T1615),0)</x:f>
        <x:v>0</x:v>
      </x:c>
    </x:row>
    <x:row r="1617" ht="23" customHeight="1">
      <x:c r="A1617" s="2" t="str">
        <x:v>DEMO-403-0-16</x:v>
      </x:c>
      <x:c r="B1617" s="15" t="d">
        <x:v>2026-08-17T00:00:00.000Z</x:v>
      </x:c>
      <x:c r="C1617" s="2" t="n">
        <x:v>16</x:v>
      </x:c>
      <x:c r="D1617" s="2" t="str">
        <x:v>DEMO-403</x:v>
      </x:c>
      <x:c r="E1617" s="2" t="str">
        <x:v>Pocket Organiser</x:v>
      </x:c>
      <x:c r="F1617" s="2" t="str">
        <x:v>Accessories</x:v>
      </x:c>
      <x:c r="G1617" s="2" t="str">
        <x:v>Stores</x:v>
      </x:c>
      <x:c r="H1617" s="2" t="str">
        <x:v>North Arcade</x:v>
      </x:c>
      <x:c r="I1617" s="2" t="n">
        <x:v>15</x:v>
      </x:c>
      <x:c r="J1617" s="2" t="n">
        <x:v>0</x:v>
      </x:c>
      <x:c r="K1617" s="2" t="n">
        <x:f>I1617-J1617</x:f>
        <x:v>15</x:v>
      </x:c>
      <x:c r="L1617" s="16" t="n">
        <x:v>20</x:v>
      </x:c>
      <x:c r="M1617" s="16" t="n">
        <x:v>20</x:v>
      </x:c>
      <x:c r="N1617" s="16" t="n">
        <x:v>8.2</x:v>
      </x:c>
      <x:c r="O1617" s="16" t="n">
        <x:f>K1617*M1617</x:f>
        <x:v>300</x:v>
      </x:c>
      <x:c r="P1617" s="16" t="n">
        <x:f>K1617*N1617</x:f>
        <x:v>122.99999999999999</x:v>
      </x:c>
      <x:c r="Q1617" s="16" t="n">
        <x:f>O1617-P1617</x:f>
        <x:v>177</x:v>
      </x:c>
      <x:c r="R1617" s="2" t="n">
        <x:v>120</x:v>
      </x:c>
      <x:c r="S1617" s="2" t="n">
        <x:v>0</x:v>
      </x:c>
      <x:c r="T1617" s="2" t="n">
        <x:f>R1617+S1617+J1617-I1617</x:f>
        <x:v>105</x:v>
      </x:c>
      <x:c r="U1617" s="2" t="n">
        <x:v>0</x:v>
      </x:c>
      <x:c r="V1617" s="2" t="n">
        <x:v>4</x:v>
      </x:c>
      <x:c r="W1617" s="2" t="n">
        <x:v>15</x:v>
      </x:c>
      <x:c r="X1617" s="14" t="b">
        <x:v>0</x:v>
      </x:c>
      <x:c r="Y1617" s="14" t="b">
        <x:v>0</x:v>
      </x:c>
      <x:c r="Z1617" s="2" t="n">
        <x:f>ABS(T1617-AA1617)</x:f>
        <x:v>0</x:v>
      </x:c>
      <x:c r="AA1617" s="2" t="n">
        <x:v>105</x:v>
      </x:c>
      <x:c r="AB1617" s="2" t="n">
        <x:f>ABS(K1617-W1617)</x:f>
        <x:v>0</x:v>
      </x:c>
      <x:c r="AC1617" s="2" t="n">
        <x:f>COUNTIF($A$2:$A$1921,A1617)-1</x:f>
        <x:v>0</x:v>
      </x:c>
      <x:c r="AD1617" s="2" t="n">
        <x:f>IF(AND(D1617=D1616,H1617=H1616,C1617=C1616+1),ABS(R1617-T1616),0)</x:f>
        <x:v>0</x:v>
      </x:c>
    </x:row>
    <x:row r="1618" ht="23" customHeight="1">
      <x:c r="A1618" s="2" t="str">
        <x:v>DEMO-403-0-17</x:v>
      </x:c>
      <x:c r="B1618" s="15" t="d">
        <x:v>2026-08-24T00:00:00.000Z</x:v>
      </x:c>
      <x:c r="C1618" s="2" t="n">
        <x:v>17</x:v>
      </x:c>
      <x:c r="D1618" s="2" t="str">
        <x:v>DEMO-403</x:v>
      </x:c>
      <x:c r="E1618" s="2" t="str">
        <x:v>Pocket Organiser</x:v>
      </x:c>
      <x:c r="F1618" s="2" t="str">
        <x:v>Accessories</x:v>
      </x:c>
      <x:c r="G1618" s="2" t="str">
        <x:v>Stores</x:v>
      </x:c>
      <x:c r="H1618" s="2" t="str">
        <x:v>North Arcade</x:v>
      </x:c>
      <x:c r="I1618" s="2" t="n">
        <x:v>19</x:v>
      </x:c>
      <x:c r="J1618" s="2" t="n">
        <x:v>0</x:v>
      </x:c>
      <x:c r="K1618" s="2" t="n">
        <x:f>I1618-J1618</x:f>
        <x:v>19</x:v>
      </x:c>
      <x:c r="L1618" s="16" t="n">
        <x:v>20</x:v>
      </x:c>
      <x:c r="M1618" s="16" t="n">
        <x:v>20</x:v>
      </x:c>
      <x:c r="N1618" s="16" t="n">
        <x:v>8.2</x:v>
      </x:c>
      <x:c r="O1618" s="16" t="n">
        <x:f>K1618*M1618</x:f>
        <x:v>380</x:v>
      </x:c>
      <x:c r="P1618" s="16" t="n">
        <x:f>K1618*N1618</x:f>
        <x:v>155.79999999999998</x:v>
      </x:c>
      <x:c r="Q1618" s="16" t="n">
        <x:f>O1618-P1618</x:f>
        <x:v>224.20000000000002</x:v>
      </x:c>
      <x:c r="R1618" s="2" t="n">
        <x:v>105</x:v>
      </x:c>
      <x:c r="S1618" s="2" t="n">
        <x:v>71</x:v>
      </x:c>
      <x:c r="T1618" s="2" t="n">
        <x:f>R1618+S1618+J1618-I1618</x:f>
        <x:v>157</x:v>
      </x:c>
      <x:c r="U1618" s="2" t="n">
        <x:v>0</x:v>
      </x:c>
      <x:c r="V1618" s="2" t="n">
        <x:v>4</x:v>
      </x:c>
      <x:c r="W1618" s="2" t="n">
        <x:v>15</x:v>
      </x:c>
      <x:c r="X1618" s="14" t="b">
        <x:v>0</x:v>
      </x:c>
      <x:c r="Y1618" s="14" t="b">
        <x:v>0</x:v>
      </x:c>
      <x:c r="Z1618" s="2" t="n">
        <x:f>ABS(T1618-AA1618)</x:f>
        <x:v>0</x:v>
      </x:c>
      <x:c r="AA1618" s="2" t="n">
        <x:v>157</x:v>
      </x:c>
      <x:c r="AB1618" s="2" t="n">
        <x:f>ABS(K1618-W1618)</x:f>
        <x:v>4</x:v>
      </x:c>
      <x:c r="AC1618" s="2" t="n">
        <x:f>COUNTIF($A$2:$A$1921,A1618)-1</x:f>
        <x:v>0</x:v>
      </x:c>
      <x:c r="AD1618" s="2" t="n">
        <x:f>IF(AND(D1618=D1617,H1618=H1617,C1618=C1617+1),ABS(R1618-T1617),0)</x:f>
        <x:v>0</x:v>
      </x:c>
    </x:row>
    <x:row r="1619" ht="23" customHeight="1">
      <x:c r="A1619" s="2" t="str">
        <x:v>DEMO-403-0-18</x:v>
      </x:c>
      <x:c r="B1619" s="15" t="d">
        <x:v>2026-08-31T00:00:00.000Z</x:v>
      </x:c>
      <x:c r="C1619" s="2" t="n">
        <x:v>18</x:v>
      </x:c>
      <x:c r="D1619" s="2" t="str">
        <x:v>DEMO-403</x:v>
      </x:c>
      <x:c r="E1619" s="2" t="str">
        <x:v>Pocket Organiser</x:v>
      </x:c>
      <x:c r="F1619" s="2" t="str">
        <x:v>Accessories</x:v>
      </x:c>
      <x:c r="G1619" s="2" t="str">
        <x:v>Stores</x:v>
      </x:c>
      <x:c r="H1619" s="2" t="str">
        <x:v>North Arcade</x:v>
      </x:c>
      <x:c r="I1619" s="2" t="n">
        <x:v>16</x:v>
      </x:c>
      <x:c r="J1619" s="2" t="n">
        <x:v>0</x:v>
      </x:c>
      <x:c r="K1619" s="2" t="n">
        <x:f>I1619-J1619</x:f>
        <x:v>16</x:v>
      </x:c>
      <x:c r="L1619" s="16" t="n">
        <x:v>20</x:v>
      </x:c>
      <x:c r="M1619" s="16" t="n">
        <x:v>20</x:v>
      </x:c>
      <x:c r="N1619" s="16" t="n">
        <x:v>8.2</x:v>
      </x:c>
      <x:c r="O1619" s="16" t="n">
        <x:f>K1619*M1619</x:f>
        <x:v>320</x:v>
      </x:c>
      <x:c r="P1619" s="16" t="n">
        <x:f>K1619*N1619</x:f>
        <x:v>131.2</x:v>
      </x:c>
      <x:c r="Q1619" s="16" t="n">
        <x:f>O1619-P1619</x:f>
        <x:v>188.8</x:v>
      </x:c>
      <x:c r="R1619" s="2" t="n">
        <x:v>157</x:v>
      </x:c>
      <x:c r="S1619" s="2" t="n">
        <x:v>0</x:v>
      </x:c>
      <x:c r="T1619" s="2" t="n">
        <x:f>R1619+S1619+J1619-I1619</x:f>
        <x:v>141</x:v>
      </x:c>
      <x:c r="U1619" s="2" t="n">
        <x:v>0</x:v>
      </x:c>
      <x:c r="V1619" s="2" t="n">
        <x:v>4</x:v>
      </x:c>
      <x:c r="W1619" s="2" t="n">
        <x:v>17</x:v>
      </x:c>
      <x:c r="X1619" s="14" t="b">
        <x:v>0</x:v>
      </x:c>
      <x:c r="Y1619" s="14" t="b">
        <x:v>0</x:v>
      </x:c>
      <x:c r="Z1619" s="2" t="n">
        <x:f>ABS(T1619-AA1619)</x:f>
        <x:v>0</x:v>
      </x:c>
      <x:c r="AA1619" s="2" t="n">
        <x:v>141</x:v>
      </x:c>
      <x:c r="AB1619" s="2" t="n">
        <x:f>ABS(K1619-W1619)</x:f>
        <x:v>1</x:v>
      </x:c>
      <x:c r="AC1619" s="2" t="n">
        <x:f>COUNTIF($A$2:$A$1921,A1619)-1</x:f>
        <x:v>0</x:v>
      </x:c>
      <x:c r="AD1619" s="2" t="n">
        <x:f>IF(AND(D1619=D1618,H1619=H1618,C1619=C1618+1),ABS(R1619-T1618),0)</x:f>
        <x:v>0</x:v>
      </x:c>
    </x:row>
    <x:row r="1620" ht="23" customHeight="1">
      <x:c r="A1620" s="2" t="str">
        <x:v>DEMO-403-0-19</x:v>
      </x:c>
      <x:c r="B1620" s="15" t="d">
        <x:v>2026-09-07T00:00:00.000Z</x:v>
      </x:c>
      <x:c r="C1620" s="2" t="n">
        <x:v>19</x:v>
      </x:c>
      <x:c r="D1620" s="2" t="str">
        <x:v>DEMO-403</x:v>
      </x:c>
      <x:c r="E1620" s="2" t="str">
        <x:v>Pocket Organiser</x:v>
      </x:c>
      <x:c r="F1620" s="2" t="str">
        <x:v>Accessories</x:v>
      </x:c>
      <x:c r="G1620" s="2" t="str">
        <x:v>Stores</x:v>
      </x:c>
      <x:c r="H1620" s="2" t="str">
        <x:v>North Arcade</x:v>
      </x:c>
      <x:c r="I1620" s="2" t="n">
        <x:v>17</x:v>
      </x:c>
      <x:c r="J1620" s="2" t="n">
        <x:v>0</x:v>
      </x:c>
      <x:c r="K1620" s="2" t="n">
        <x:f>I1620-J1620</x:f>
        <x:v>17</x:v>
      </x:c>
      <x:c r="L1620" s="16" t="n">
        <x:v>20</x:v>
      </x:c>
      <x:c r="M1620" s="16" t="n">
        <x:v>20</x:v>
      </x:c>
      <x:c r="N1620" s="16" t="n">
        <x:v>8.2</x:v>
      </x:c>
      <x:c r="O1620" s="16" t="n">
        <x:f>K1620*M1620</x:f>
        <x:v>340</x:v>
      </x:c>
      <x:c r="P1620" s="16" t="n">
        <x:f>K1620*N1620</x:f>
        <x:v>139.39999999999998</x:v>
      </x:c>
      <x:c r="Q1620" s="16" t="n">
        <x:f>O1620-P1620</x:f>
        <x:v>200.60000000000002</x:v>
      </x:c>
      <x:c r="R1620" s="2" t="n">
        <x:v>141</x:v>
      </x:c>
      <x:c r="S1620" s="2" t="n">
        <x:v>0</x:v>
      </x:c>
      <x:c r="T1620" s="2" t="n">
        <x:f>R1620+S1620+J1620-I1620</x:f>
        <x:v>124</x:v>
      </x:c>
      <x:c r="U1620" s="2" t="n">
        <x:v>0</x:v>
      </x:c>
      <x:c r="V1620" s="2" t="n">
        <x:v>4</x:v>
      </x:c>
      <x:c r="W1620" s="2" t="n">
        <x:v>17</x:v>
      </x:c>
      <x:c r="X1620" s="14" t="b">
        <x:v>0</x:v>
      </x:c>
      <x:c r="Y1620" s="14" t="b">
        <x:v>0</x:v>
      </x:c>
      <x:c r="Z1620" s="2" t="n">
        <x:f>ABS(T1620-AA1620)</x:f>
        <x:v>0</x:v>
      </x:c>
      <x:c r="AA1620" s="2" t="n">
        <x:v>124</x:v>
      </x:c>
      <x:c r="AB1620" s="2" t="n">
        <x:f>ABS(K1620-W1620)</x:f>
        <x:v>0</x:v>
      </x:c>
      <x:c r="AC1620" s="2" t="n">
        <x:f>COUNTIF($A$2:$A$1921,A1620)-1</x:f>
        <x:v>0</x:v>
      </x:c>
      <x:c r="AD1620" s="2" t="n">
        <x:f>IF(AND(D1620=D1619,H1620=H1619,C1620=C1619+1),ABS(R1620-T1619),0)</x:f>
        <x:v>0</x:v>
      </x:c>
    </x:row>
    <x:row r="1621" ht="23" customHeight="1">
      <x:c r="A1621" s="2" t="str">
        <x:v>DEMO-403-0-20</x:v>
      </x:c>
      <x:c r="B1621" s="15" t="d">
        <x:v>2026-09-14T00:00:00.000Z</x:v>
      </x:c>
      <x:c r="C1621" s="2" t="n">
        <x:v>20</x:v>
      </x:c>
      <x:c r="D1621" s="2" t="str">
        <x:v>DEMO-403</x:v>
      </x:c>
      <x:c r="E1621" s="2" t="str">
        <x:v>Pocket Organiser</x:v>
      </x:c>
      <x:c r="F1621" s="2" t="str">
        <x:v>Accessories</x:v>
      </x:c>
      <x:c r="G1621" s="2" t="str">
        <x:v>Stores</x:v>
      </x:c>
      <x:c r="H1621" s="2" t="str">
        <x:v>North Arcade</x:v>
      </x:c>
      <x:c r="I1621" s="2" t="n">
        <x:v>14</x:v>
      </x:c>
      <x:c r="J1621" s="2" t="n">
        <x:v>0</x:v>
      </x:c>
      <x:c r="K1621" s="2" t="n">
        <x:f>I1621-J1621</x:f>
        <x:v>14</x:v>
      </x:c>
      <x:c r="L1621" s="16" t="n">
        <x:v>20</x:v>
      </x:c>
      <x:c r="M1621" s="16" t="n">
        <x:v>20</x:v>
      </x:c>
      <x:c r="N1621" s="16" t="n">
        <x:v>8.2</x:v>
      </x:c>
      <x:c r="O1621" s="16" t="n">
        <x:f>K1621*M1621</x:f>
        <x:v>280</x:v>
      </x:c>
      <x:c r="P1621" s="16" t="n">
        <x:f>K1621*N1621</x:f>
        <x:v>114.79999999999998</x:v>
      </x:c>
      <x:c r="Q1621" s="16" t="n">
        <x:f>O1621-P1621</x:f>
        <x:v>165.20000000000002</x:v>
      </x:c>
      <x:c r="R1621" s="2" t="n">
        <x:v>124</x:v>
      </x:c>
      <x:c r="S1621" s="2" t="n">
        <x:v>0</x:v>
      </x:c>
      <x:c r="T1621" s="2" t="n">
        <x:f>R1621+S1621+J1621-I1621</x:f>
        <x:v>110</x:v>
      </x:c>
      <x:c r="U1621" s="2" t="n">
        <x:v>18</x:v>
      </x:c>
      <x:c r="V1621" s="2" t="n">
        <x:v>4</x:v>
      </x:c>
      <x:c r="W1621" s="2" t="n">
        <x:v>17</x:v>
      </x:c>
      <x:c r="X1621" s="14" t="b">
        <x:v>0</x:v>
      </x:c>
      <x:c r="Y1621" s="14" t="b">
        <x:v>0</x:v>
      </x:c>
      <x:c r="Z1621" s="2" t="n">
        <x:f>ABS(T1621-AA1621)</x:f>
        <x:v>0</x:v>
      </x:c>
      <x:c r="AA1621" s="2" t="n">
        <x:v>110</x:v>
      </x:c>
      <x:c r="AB1621" s="2" t="n">
        <x:f>ABS(K1621-W1621)</x:f>
        <x:v>3</x:v>
      </x:c>
      <x:c r="AC1621" s="2" t="n">
        <x:f>COUNTIF($A$2:$A$1921,A1621)-1</x:f>
        <x:v>0</x:v>
      </x:c>
      <x:c r="AD1621" s="2" t="n">
        <x:f>IF(AND(D1621=D1620,H1621=H1620,C1621=C1620+1),ABS(R1621-T1620),0)</x:f>
        <x:v>0</x:v>
      </x:c>
    </x:row>
    <x:row r="1622" ht="23" customHeight="1">
      <x:c r="A1622" s="2" t="str">
        <x:v>DEMO-403-1-1</x:v>
      </x:c>
      <x:c r="B1622" s="15" t="d">
        <x:v>2026-05-04T00:00:00.000Z</x:v>
      </x:c>
      <x:c r="C1622" s="2" t="n">
        <x:v>1</x:v>
      </x:c>
      <x:c r="D1622" s="2" t="str">
        <x:v>DEMO-403</x:v>
      </x:c>
      <x:c r="E1622" s="2" t="str">
        <x:v>Pocket Organiser</x:v>
      </x:c>
      <x:c r="F1622" s="2" t="str">
        <x:v>Accessories</x:v>
      </x:c>
      <x:c r="G1622" s="2" t="str">
        <x:v>Stores</x:v>
      </x:c>
      <x:c r="H1622" s="2" t="str">
        <x:v>Riverside</x:v>
      </x:c>
      <x:c r="I1622" s="2" t="n">
        <x:v>16</x:v>
      </x:c>
      <x:c r="J1622" s="2" t="n">
        <x:v>0</x:v>
      </x:c>
      <x:c r="K1622" s="2" t="n">
        <x:f>I1622-J1622</x:f>
        <x:v>16</x:v>
      </x:c>
      <x:c r="L1622" s="16" t="n">
        <x:v>20</x:v>
      </x:c>
      <x:c r="M1622" s="16" t="n">
        <x:v>20</x:v>
      </x:c>
      <x:c r="N1622" s="16" t="n">
        <x:v>8.2</x:v>
      </x:c>
      <x:c r="O1622" s="16" t="n">
        <x:f>K1622*M1622</x:f>
        <x:v>320</x:v>
      </x:c>
      <x:c r="P1622" s="16" t="n">
        <x:f>K1622*N1622</x:f>
        <x:v>131.2</x:v>
      </x:c>
      <x:c r="Q1622" s="16" t="n">
        <x:f>O1622-P1622</x:f>
        <x:v>188.8</x:v>
      </x:c>
      <x:c r="R1622" s="2" t="n">
        <x:v>90</x:v>
      </x:c>
      <x:c r="S1622" s="2" t="n">
        <x:v>71</x:v>
      </x:c>
      <x:c r="T1622" s="2" t="n">
        <x:f>R1622+S1622+J1622-I1622</x:f>
        <x:v>145</x:v>
      </x:c>
      <x:c r="U1622" s="2" t="n">
        <x:v>0</x:v>
      </x:c>
      <x:c r="V1622" s="2" t="n">
        <x:v>4</x:v>
      </x:c>
      <x:c r="W1622" s="2" t="n">
        <x:v>17</x:v>
      </x:c>
      <x:c r="X1622" s="14" t="b">
        <x:v>0</x:v>
      </x:c>
      <x:c r="Y1622" s="14" t="b">
        <x:v>0</x:v>
      </x:c>
      <x:c r="Z1622" s="2" t="n">
        <x:f>ABS(T1622-AA1622)</x:f>
        <x:v>0</x:v>
      </x:c>
      <x:c r="AA1622" s="2" t="n">
        <x:v>145</x:v>
      </x:c>
      <x:c r="AB1622" s="2" t="n">
        <x:f>ABS(K1622-W1622)</x:f>
        <x:v>1</x:v>
      </x:c>
      <x:c r="AC1622" s="2" t="n">
        <x:f>COUNTIF($A$2:$A$1921,A1622)-1</x:f>
        <x:v>0</x:v>
      </x:c>
      <x:c r="AD1622" s="2" t="n">
        <x:f>IF(AND(D1622=D1621,H1622=H1621,C1622=C1621+1),ABS(R1622-T1621),0)</x:f>
        <x:v>0</x:v>
      </x:c>
    </x:row>
    <x:row r="1623" ht="23" customHeight="1">
      <x:c r="A1623" s="2" t="str">
        <x:v>DEMO-403-1-2</x:v>
      </x:c>
      <x:c r="B1623" s="15" t="d">
        <x:v>2026-05-11T00:00:00.000Z</x:v>
      </x:c>
      <x:c r="C1623" s="2" t="n">
        <x:v>2</x:v>
      </x:c>
      <x:c r="D1623" s="2" t="str">
        <x:v>DEMO-403</x:v>
      </x:c>
      <x:c r="E1623" s="2" t="str">
        <x:v>Pocket Organiser</x:v>
      </x:c>
      <x:c r="F1623" s="2" t="str">
        <x:v>Accessories</x:v>
      </x:c>
      <x:c r="G1623" s="2" t="str">
        <x:v>Stores</x:v>
      </x:c>
      <x:c r="H1623" s="2" t="str">
        <x:v>Riverside</x:v>
      </x:c>
      <x:c r="I1623" s="2" t="n">
        <x:v>14</x:v>
      </x:c>
      <x:c r="J1623" s="2" t="n">
        <x:v>0</x:v>
      </x:c>
      <x:c r="K1623" s="2" t="n">
        <x:f>I1623-J1623</x:f>
        <x:v>14</x:v>
      </x:c>
      <x:c r="L1623" s="16" t="n">
        <x:v>20</x:v>
      </x:c>
      <x:c r="M1623" s="16" t="n">
        <x:v>20</x:v>
      </x:c>
      <x:c r="N1623" s="16" t="n">
        <x:v>8.2</x:v>
      </x:c>
      <x:c r="O1623" s="16" t="n">
        <x:f>K1623*M1623</x:f>
        <x:v>280</x:v>
      </x:c>
      <x:c r="P1623" s="16" t="n">
        <x:f>K1623*N1623</x:f>
        <x:v>114.79999999999998</x:v>
      </x:c>
      <x:c r="Q1623" s="16" t="n">
        <x:f>O1623-P1623</x:f>
        <x:v>165.20000000000002</x:v>
      </x:c>
      <x:c r="R1623" s="2" t="n">
        <x:v>145</x:v>
      </x:c>
      <x:c r="S1623" s="2" t="n">
        <x:v>0</x:v>
      </x:c>
      <x:c r="T1623" s="2" t="n">
        <x:f>R1623+S1623+J1623-I1623</x:f>
        <x:v>131</x:v>
      </x:c>
      <x:c r="U1623" s="2" t="n">
        <x:v>0</x:v>
      </x:c>
      <x:c r="V1623" s="2" t="n">
        <x:v>4</x:v>
      </x:c>
      <x:c r="W1623" s="2" t="n">
        <x:v>16</x:v>
      </x:c>
      <x:c r="X1623" s="14" t="b">
        <x:v>0</x:v>
      </x:c>
      <x:c r="Y1623" s="14" t="b">
        <x:v>0</x:v>
      </x:c>
      <x:c r="Z1623" s="2" t="n">
        <x:f>ABS(T1623-AA1623)</x:f>
        <x:v>0</x:v>
      </x:c>
      <x:c r="AA1623" s="2" t="n">
        <x:v>131</x:v>
      </x:c>
      <x:c r="AB1623" s="2" t="n">
        <x:f>ABS(K1623-W1623)</x:f>
        <x:v>2</x:v>
      </x:c>
      <x:c r="AC1623" s="2" t="n">
        <x:f>COUNTIF($A$2:$A$1921,A1623)-1</x:f>
        <x:v>0</x:v>
      </x:c>
      <x:c r="AD1623" s="2" t="n">
        <x:f>IF(AND(D1623=D1622,H1623=H1622,C1623=C1622+1),ABS(R1623-T1622),0)</x:f>
        <x:v>0</x:v>
      </x:c>
    </x:row>
    <x:row r="1624" ht="23" customHeight="1">
      <x:c r="A1624" s="2" t="str">
        <x:v>DEMO-403-1-3</x:v>
      </x:c>
      <x:c r="B1624" s="15" t="d">
        <x:v>2026-05-18T00:00:00.000Z</x:v>
      </x:c>
      <x:c r="C1624" s="2" t="n">
        <x:v>3</x:v>
      </x:c>
      <x:c r="D1624" s="2" t="str">
        <x:v>DEMO-403</x:v>
      </x:c>
      <x:c r="E1624" s="2" t="str">
        <x:v>Pocket Organiser</x:v>
      </x:c>
      <x:c r="F1624" s="2" t="str">
        <x:v>Accessories</x:v>
      </x:c>
      <x:c r="G1624" s="2" t="str">
        <x:v>Stores</x:v>
      </x:c>
      <x:c r="H1624" s="2" t="str">
        <x:v>Riverside</x:v>
      </x:c>
      <x:c r="I1624" s="2" t="n">
        <x:v>16</x:v>
      </x:c>
      <x:c r="J1624" s="2" t="n">
        <x:v>0</x:v>
      </x:c>
      <x:c r="K1624" s="2" t="n">
        <x:f>I1624-J1624</x:f>
        <x:v>16</x:v>
      </x:c>
      <x:c r="L1624" s="16" t="n">
        <x:v>20</x:v>
      </x:c>
      <x:c r="M1624" s="16" t="n">
        <x:v>20</x:v>
      </x:c>
      <x:c r="N1624" s="16" t="n">
        <x:v>8.2</x:v>
      </x:c>
      <x:c r="O1624" s="16" t="n">
        <x:f>K1624*M1624</x:f>
        <x:v>320</x:v>
      </x:c>
      <x:c r="P1624" s="16" t="n">
        <x:f>K1624*N1624</x:f>
        <x:v>131.2</x:v>
      </x:c>
      <x:c r="Q1624" s="16" t="n">
        <x:f>O1624-P1624</x:f>
        <x:v>188.8</x:v>
      </x:c>
      <x:c r="R1624" s="2" t="n">
        <x:v>131</x:v>
      </x:c>
      <x:c r="S1624" s="2" t="n">
        <x:v>0</x:v>
      </x:c>
      <x:c r="T1624" s="2" t="n">
        <x:f>R1624+S1624+J1624-I1624</x:f>
        <x:v>115</x:v>
      </x:c>
      <x:c r="U1624" s="2" t="n">
        <x:v>0</x:v>
      </x:c>
      <x:c r="V1624" s="2" t="n">
        <x:v>4</x:v>
      </x:c>
      <x:c r="W1624" s="2" t="n">
        <x:v>15</x:v>
      </x:c>
      <x:c r="X1624" s="14" t="b">
        <x:v>0</x:v>
      </x:c>
      <x:c r="Y1624" s="14" t="b">
        <x:v>0</x:v>
      </x:c>
      <x:c r="Z1624" s="2" t="n">
        <x:f>ABS(T1624-AA1624)</x:f>
        <x:v>0</x:v>
      </x:c>
      <x:c r="AA1624" s="2" t="n">
        <x:v>115</x:v>
      </x:c>
      <x:c r="AB1624" s="2" t="n">
        <x:f>ABS(K1624-W1624)</x:f>
        <x:v>1</x:v>
      </x:c>
      <x:c r="AC1624" s="2" t="n">
        <x:f>COUNTIF($A$2:$A$1921,A1624)-1</x:f>
        <x:v>0</x:v>
      </x:c>
      <x:c r="AD1624" s="2" t="n">
        <x:f>IF(AND(D1624=D1623,H1624=H1623,C1624=C1623+1),ABS(R1624-T1623),0)</x:f>
        <x:v>0</x:v>
      </x:c>
    </x:row>
    <x:row r="1625" ht="23" customHeight="1">
      <x:c r="A1625" s="2" t="str">
        <x:v>DEMO-403-1-4</x:v>
      </x:c>
      <x:c r="B1625" s="15" t="d">
        <x:v>2026-05-25T00:00:00.000Z</x:v>
      </x:c>
      <x:c r="C1625" s="2" t="n">
        <x:v>4</x:v>
      </x:c>
      <x:c r="D1625" s="2" t="str">
        <x:v>DEMO-403</x:v>
      </x:c>
      <x:c r="E1625" s="2" t="str">
        <x:v>Pocket Organiser</x:v>
      </x:c>
      <x:c r="F1625" s="2" t="str">
        <x:v>Accessories</x:v>
      </x:c>
      <x:c r="G1625" s="2" t="str">
        <x:v>Stores</x:v>
      </x:c>
      <x:c r="H1625" s="2" t="str">
        <x:v>Riverside</x:v>
      </x:c>
      <x:c r="I1625" s="2" t="n">
        <x:v>18</x:v>
      </x:c>
      <x:c r="J1625" s="2" t="n">
        <x:v>0</x:v>
      </x:c>
      <x:c r="K1625" s="2" t="n">
        <x:f>I1625-J1625</x:f>
        <x:v>18</x:v>
      </x:c>
      <x:c r="L1625" s="16" t="n">
        <x:v>20</x:v>
      </x:c>
      <x:c r="M1625" s="16" t="n">
        <x:v>20</x:v>
      </x:c>
      <x:c r="N1625" s="16" t="n">
        <x:v>8.2</x:v>
      </x:c>
      <x:c r="O1625" s="16" t="n">
        <x:f>K1625*M1625</x:f>
        <x:v>360</x:v>
      </x:c>
      <x:c r="P1625" s="16" t="n">
        <x:f>K1625*N1625</x:f>
        <x:v>147.6</x:v>
      </x:c>
      <x:c r="Q1625" s="16" t="n">
        <x:f>O1625-P1625</x:f>
        <x:v>212.4</x:v>
      </x:c>
      <x:c r="R1625" s="2" t="n">
        <x:v>115</x:v>
      </x:c>
      <x:c r="S1625" s="2" t="n">
        <x:v>0</x:v>
      </x:c>
      <x:c r="T1625" s="2" t="n">
        <x:f>R1625+S1625+J1625-I1625</x:f>
        <x:v>97</x:v>
      </x:c>
      <x:c r="U1625" s="2" t="n">
        <x:v>0</x:v>
      </x:c>
      <x:c r="V1625" s="2" t="n">
        <x:v>4</x:v>
      </x:c>
      <x:c r="W1625" s="2" t="n">
        <x:v>15</x:v>
      </x:c>
      <x:c r="X1625" s="14" t="b">
        <x:v>0</x:v>
      </x:c>
      <x:c r="Y1625" s="14" t="b">
        <x:v>0</x:v>
      </x:c>
      <x:c r="Z1625" s="2" t="n">
        <x:f>ABS(T1625-AA1625)</x:f>
        <x:v>0</x:v>
      </x:c>
      <x:c r="AA1625" s="2" t="n">
        <x:v>97</x:v>
      </x:c>
      <x:c r="AB1625" s="2" t="n">
        <x:f>ABS(K1625-W1625)</x:f>
        <x:v>3</x:v>
      </x:c>
      <x:c r="AC1625" s="2" t="n">
        <x:f>COUNTIF($A$2:$A$1921,A1625)-1</x:f>
        <x:v>0</x:v>
      </x:c>
      <x:c r="AD1625" s="2" t="n">
        <x:f>IF(AND(D1625=D1624,H1625=H1624,C1625=C1624+1),ABS(R1625-T1624),0)</x:f>
        <x:v>0</x:v>
      </x:c>
    </x:row>
    <x:row r="1626" ht="23" customHeight="1">
      <x:c r="A1626" s="2" t="str">
        <x:v>DEMO-403-1-5</x:v>
      </x:c>
      <x:c r="B1626" s="15" t="d">
        <x:v>2026-06-01T00:00:00.000Z</x:v>
      </x:c>
      <x:c r="C1626" s="2" t="n">
        <x:v>5</x:v>
      </x:c>
      <x:c r="D1626" s="2" t="str">
        <x:v>DEMO-403</x:v>
      </x:c>
      <x:c r="E1626" s="2" t="str">
        <x:v>Pocket Organiser</x:v>
      </x:c>
      <x:c r="F1626" s="2" t="str">
        <x:v>Accessories</x:v>
      </x:c>
      <x:c r="G1626" s="2" t="str">
        <x:v>Stores</x:v>
      </x:c>
      <x:c r="H1626" s="2" t="str">
        <x:v>Riverside</x:v>
      </x:c>
      <x:c r="I1626" s="2" t="n">
        <x:v>18</x:v>
      </x:c>
      <x:c r="J1626" s="2" t="n">
        <x:v>0</x:v>
      </x:c>
      <x:c r="K1626" s="2" t="n">
        <x:f>I1626-J1626</x:f>
        <x:v>18</x:v>
      </x:c>
      <x:c r="L1626" s="16" t="n">
        <x:v>20</x:v>
      </x:c>
      <x:c r="M1626" s="16" t="n">
        <x:v>20</x:v>
      </x:c>
      <x:c r="N1626" s="16" t="n">
        <x:v>8.2</x:v>
      </x:c>
      <x:c r="O1626" s="16" t="n">
        <x:f>K1626*M1626</x:f>
        <x:v>360</x:v>
      </x:c>
      <x:c r="P1626" s="16" t="n">
        <x:f>K1626*N1626</x:f>
        <x:v>147.6</x:v>
      </x:c>
      <x:c r="Q1626" s="16" t="n">
        <x:f>O1626-P1626</x:f>
        <x:v>212.4</x:v>
      </x:c>
      <x:c r="R1626" s="2" t="n">
        <x:v>97</x:v>
      </x:c>
      <x:c r="S1626" s="2" t="n">
        <x:v>71</x:v>
      </x:c>
      <x:c r="T1626" s="2" t="n">
        <x:f>R1626+S1626+J1626-I1626</x:f>
        <x:v>150</x:v>
      </x:c>
      <x:c r="U1626" s="2" t="n">
        <x:v>0</x:v>
      </x:c>
      <x:c r="V1626" s="2" t="n">
        <x:v>4</x:v>
      </x:c>
      <x:c r="W1626" s="2" t="n">
        <x:v>16</x:v>
      </x:c>
      <x:c r="X1626" s="14" t="b">
        <x:v>0</x:v>
      </x:c>
      <x:c r="Y1626" s="14" t="b">
        <x:v>0</x:v>
      </x:c>
      <x:c r="Z1626" s="2" t="n">
        <x:f>ABS(T1626-AA1626)</x:f>
        <x:v>0</x:v>
      </x:c>
      <x:c r="AA1626" s="2" t="n">
        <x:v>150</x:v>
      </x:c>
      <x:c r="AB1626" s="2" t="n">
        <x:f>ABS(K1626-W1626)</x:f>
        <x:v>2</x:v>
      </x:c>
      <x:c r="AC1626" s="2" t="n">
        <x:f>COUNTIF($A$2:$A$1921,A1626)-1</x:f>
        <x:v>0</x:v>
      </x:c>
      <x:c r="AD1626" s="2" t="n">
        <x:f>IF(AND(D1626=D1625,H1626=H1625,C1626=C1625+1),ABS(R1626-T1625),0)</x:f>
        <x:v>0</x:v>
      </x:c>
    </x:row>
    <x:row r="1627" ht="23" customHeight="1">
      <x:c r="A1627" s="2" t="str">
        <x:v>DEMO-403-1-6</x:v>
      </x:c>
      <x:c r="B1627" s="15" t="d">
        <x:v>2026-06-08T00:00:00.000Z</x:v>
      </x:c>
      <x:c r="C1627" s="2" t="n">
        <x:v>6</x:v>
      </x:c>
      <x:c r="D1627" s="2" t="str">
        <x:v>DEMO-403</x:v>
      </x:c>
      <x:c r="E1627" s="2" t="str">
        <x:v>Pocket Organiser</x:v>
      </x:c>
      <x:c r="F1627" s="2" t="str">
        <x:v>Accessories</x:v>
      </x:c>
      <x:c r="G1627" s="2" t="str">
        <x:v>Stores</x:v>
      </x:c>
      <x:c r="H1627" s="2" t="str">
        <x:v>Riverside</x:v>
      </x:c>
      <x:c r="I1627" s="2" t="n">
        <x:v>20</x:v>
      </x:c>
      <x:c r="J1627" s="2" t="n">
        <x:v>0</x:v>
      </x:c>
      <x:c r="K1627" s="2" t="n">
        <x:f>I1627-J1627</x:f>
        <x:v>20</x:v>
      </x:c>
      <x:c r="L1627" s="16" t="n">
        <x:v>20</x:v>
      </x:c>
      <x:c r="M1627" s="16" t="n">
        <x:v>20</x:v>
      </x:c>
      <x:c r="N1627" s="16" t="n">
        <x:v>8.2</x:v>
      </x:c>
      <x:c r="O1627" s="16" t="n">
        <x:f>K1627*M1627</x:f>
        <x:v>400</x:v>
      </x:c>
      <x:c r="P1627" s="16" t="n">
        <x:f>K1627*N1627</x:f>
        <x:v>164</x:v>
      </x:c>
      <x:c r="Q1627" s="16" t="n">
        <x:f>O1627-P1627</x:f>
        <x:v>236</x:v>
      </x:c>
      <x:c r="R1627" s="2" t="n">
        <x:v>150</x:v>
      </x:c>
      <x:c r="S1627" s="2" t="n">
        <x:v>0</x:v>
      </x:c>
      <x:c r="T1627" s="2" t="n">
        <x:f>R1627+S1627+J1627-I1627</x:f>
        <x:v>130</x:v>
      </x:c>
      <x:c r="U1627" s="2" t="n">
        <x:v>0</x:v>
      </x:c>
      <x:c r="V1627" s="2" t="n">
        <x:v>4</x:v>
      </x:c>
      <x:c r="W1627" s="2" t="n">
        <x:v>17</x:v>
      </x:c>
      <x:c r="X1627" s="14" t="b">
        <x:v>0</x:v>
      </x:c>
      <x:c r="Y1627" s="14" t="b">
        <x:v>0</x:v>
      </x:c>
      <x:c r="Z1627" s="2" t="n">
        <x:f>ABS(T1627-AA1627)</x:f>
        <x:v>0</x:v>
      </x:c>
      <x:c r="AA1627" s="2" t="n">
        <x:v>130</x:v>
      </x:c>
      <x:c r="AB1627" s="2" t="n">
        <x:f>ABS(K1627-W1627)</x:f>
        <x:v>3</x:v>
      </x:c>
      <x:c r="AC1627" s="2" t="n">
        <x:f>COUNTIF($A$2:$A$1921,A1627)-1</x:f>
        <x:v>0</x:v>
      </x:c>
      <x:c r="AD1627" s="2" t="n">
        <x:f>IF(AND(D1627=D1626,H1627=H1626,C1627=C1626+1),ABS(R1627-T1626),0)</x:f>
        <x:v>0</x:v>
      </x:c>
    </x:row>
    <x:row r="1628" ht="23" customHeight="1">
      <x:c r="A1628" s="2" t="str">
        <x:v>DEMO-403-1-7</x:v>
      </x:c>
      <x:c r="B1628" s="15" t="d">
        <x:v>2026-06-15T00:00:00.000Z</x:v>
      </x:c>
      <x:c r="C1628" s="2" t="n">
        <x:v>7</x:v>
      </x:c>
      <x:c r="D1628" s="2" t="str">
        <x:v>DEMO-403</x:v>
      </x:c>
      <x:c r="E1628" s="2" t="str">
        <x:v>Pocket Organiser</x:v>
      </x:c>
      <x:c r="F1628" s="2" t="str">
        <x:v>Accessories</x:v>
      </x:c>
      <x:c r="G1628" s="2" t="str">
        <x:v>Stores</x:v>
      </x:c>
      <x:c r="H1628" s="2" t="str">
        <x:v>Riverside</x:v>
      </x:c>
      <x:c r="I1628" s="2" t="n">
        <x:v>18</x:v>
      </x:c>
      <x:c r="J1628" s="2" t="n">
        <x:v>1</x:v>
      </x:c>
      <x:c r="K1628" s="2" t="n">
        <x:f>I1628-J1628</x:f>
        <x:v>17</x:v>
      </x:c>
      <x:c r="L1628" s="16" t="n">
        <x:v>20</x:v>
      </x:c>
      <x:c r="M1628" s="16" t="n">
        <x:v>20</x:v>
      </x:c>
      <x:c r="N1628" s="16" t="n">
        <x:v>8.2</x:v>
      </x:c>
      <x:c r="O1628" s="16" t="n">
        <x:f>K1628*M1628</x:f>
        <x:v>340</x:v>
      </x:c>
      <x:c r="P1628" s="16" t="n">
        <x:f>K1628*N1628</x:f>
        <x:v>139.39999999999998</x:v>
      </x:c>
      <x:c r="Q1628" s="16" t="n">
        <x:f>O1628-P1628</x:f>
        <x:v>200.60000000000002</x:v>
      </x:c>
      <x:c r="R1628" s="2" t="n">
        <x:v>130</x:v>
      </x:c>
      <x:c r="S1628" s="2" t="n">
        <x:v>0</x:v>
      </x:c>
      <x:c r="T1628" s="2" t="n">
        <x:f>R1628+S1628+J1628-I1628</x:f>
        <x:v>113</x:v>
      </x:c>
      <x:c r="U1628" s="2" t="n">
        <x:v>0</x:v>
      </x:c>
      <x:c r="V1628" s="2" t="n">
        <x:v>4</x:v>
      </x:c>
      <x:c r="W1628" s="2" t="n">
        <x:v>18</x:v>
      </x:c>
      <x:c r="X1628" s="14" t="b">
        <x:v>0</x:v>
      </x:c>
      <x:c r="Y1628" s="14" t="b">
        <x:v>0</x:v>
      </x:c>
      <x:c r="Z1628" s="2" t="n">
        <x:f>ABS(T1628-AA1628)</x:f>
        <x:v>0</x:v>
      </x:c>
      <x:c r="AA1628" s="2" t="n">
        <x:v>113</x:v>
      </x:c>
      <x:c r="AB1628" s="2" t="n">
        <x:f>ABS(K1628-W1628)</x:f>
        <x:v>1</x:v>
      </x:c>
      <x:c r="AC1628" s="2" t="n">
        <x:f>COUNTIF($A$2:$A$1921,A1628)-1</x:f>
        <x:v>0</x:v>
      </x:c>
      <x:c r="AD1628" s="2" t="n">
        <x:f>IF(AND(D1628=D1627,H1628=H1627,C1628=C1627+1),ABS(R1628-T1627),0)</x:f>
        <x:v>0</x:v>
      </x:c>
    </x:row>
    <x:row r="1629" ht="23" customHeight="1">
      <x:c r="A1629" s="2" t="str">
        <x:v>DEMO-403-1-8</x:v>
      </x:c>
      <x:c r="B1629" s="15" t="d">
        <x:v>2026-06-22T00:00:00.000Z</x:v>
      </x:c>
      <x:c r="C1629" s="2" t="n">
        <x:v>8</x:v>
      </x:c>
      <x:c r="D1629" s="2" t="str">
        <x:v>DEMO-403</x:v>
      </x:c>
      <x:c r="E1629" s="2" t="str">
        <x:v>Pocket Organiser</x:v>
      </x:c>
      <x:c r="F1629" s="2" t="str">
        <x:v>Accessories</x:v>
      </x:c>
      <x:c r="G1629" s="2" t="str">
        <x:v>Stores</x:v>
      </x:c>
      <x:c r="H1629" s="2" t="str">
        <x:v>Riverside</x:v>
      </x:c>
      <x:c r="I1629" s="2" t="n">
        <x:v>18</x:v>
      </x:c>
      <x:c r="J1629" s="2" t="n">
        <x:v>0</x:v>
      </x:c>
      <x:c r="K1629" s="2" t="n">
        <x:f>I1629-J1629</x:f>
        <x:v>18</x:v>
      </x:c>
      <x:c r="L1629" s="16" t="n">
        <x:v>20</x:v>
      </x:c>
      <x:c r="M1629" s="16" t="n">
        <x:v>20</x:v>
      </x:c>
      <x:c r="N1629" s="16" t="n">
        <x:v>8.2</x:v>
      </x:c>
      <x:c r="O1629" s="16" t="n">
        <x:f>K1629*M1629</x:f>
        <x:v>360</x:v>
      </x:c>
      <x:c r="P1629" s="16" t="n">
        <x:f>K1629*N1629</x:f>
        <x:v>147.6</x:v>
      </x:c>
      <x:c r="Q1629" s="16" t="n">
        <x:f>O1629-P1629</x:f>
        <x:v>212.4</x:v>
      </x:c>
      <x:c r="R1629" s="2" t="n">
        <x:v>113</x:v>
      </x:c>
      <x:c r="S1629" s="2" t="n">
        <x:v>0</x:v>
      </x:c>
      <x:c r="T1629" s="2" t="n">
        <x:f>R1629+S1629+J1629-I1629</x:f>
        <x:v>95</x:v>
      </x:c>
      <x:c r="U1629" s="2" t="n">
        <x:v>0</x:v>
      </x:c>
      <x:c r="V1629" s="2" t="n">
        <x:v>4</x:v>
      </x:c>
      <x:c r="W1629" s="2" t="n">
        <x:v>18</x:v>
      </x:c>
      <x:c r="X1629" s="14" t="b">
        <x:v>0</x:v>
      </x:c>
      <x:c r="Y1629" s="14" t="b">
        <x:v>0</x:v>
      </x:c>
      <x:c r="Z1629" s="2" t="n">
        <x:f>ABS(T1629-AA1629)</x:f>
        <x:v>0</x:v>
      </x:c>
      <x:c r="AA1629" s="2" t="n">
        <x:v>95</x:v>
      </x:c>
      <x:c r="AB1629" s="2" t="n">
        <x:f>ABS(K1629-W1629)</x:f>
        <x:v>0</x:v>
      </x:c>
      <x:c r="AC1629" s="2" t="n">
        <x:f>COUNTIF($A$2:$A$1921,A1629)-1</x:f>
        <x:v>0</x:v>
      </x:c>
      <x:c r="AD1629" s="2" t="n">
        <x:f>IF(AND(D1629=D1628,H1629=H1628,C1629=C1628+1),ABS(R1629-T1628),0)</x:f>
        <x:v>0</x:v>
      </x:c>
    </x:row>
    <x:row r="1630" ht="23" customHeight="1">
      <x:c r="A1630" s="2" t="str">
        <x:v>DEMO-403-1-9</x:v>
      </x:c>
      <x:c r="B1630" s="15" t="d">
        <x:v>2026-06-29T00:00:00.000Z</x:v>
      </x:c>
      <x:c r="C1630" s="2" t="n">
        <x:v>9</x:v>
      </x:c>
      <x:c r="D1630" s="2" t="str">
        <x:v>DEMO-403</x:v>
      </x:c>
      <x:c r="E1630" s="2" t="str">
        <x:v>Pocket Organiser</x:v>
      </x:c>
      <x:c r="F1630" s="2" t="str">
        <x:v>Accessories</x:v>
      </x:c>
      <x:c r="G1630" s="2" t="str">
        <x:v>Stores</x:v>
      </x:c>
      <x:c r="H1630" s="2" t="str">
        <x:v>Riverside</x:v>
      </x:c>
      <x:c r="I1630" s="2" t="n">
        <x:v>16</x:v>
      </x:c>
      <x:c r="J1630" s="2" t="n">
        <x:v>0</x:v>
      </x:c>
      <x:c r="K1630" s="2" t="n">
        <x:f>I1630-J1630</x:f>
        <x:v>16</x:v>
      </x:c>
      <x:c r="L1630" s="16" t="n">
        <x:v>20</x:v>
      </x:c>
      <x:c r="M1630" s="16" t="n">
        <x:v>20</x:v>
      </x:c>
      <x:c r="N1630" s="16" t="n">
        <x:v>8.2</x:v>
      </x:c>
      <x:c r="O1630" s="16" t="n">
        <x:f>K1630*M1630</x:f>
        <x:v>320</x:v>
      </x:c>
      <x:c r="P1630" s="16" t="n">
        <x:f>K1630*N1630</x:f>
        <x:v>131.2</x:v>
      </x:c>
      <x:c r="Q1630" s="16" t="n">
        <x:f>O1630-P1630</x:f>
        <x:v>188.8</x:v>
      </x:c>
      <x:c r="R1630" s="2" t="n">
        <x:v>95</x:v>
      </x:c>
      <x:c r="S1630" s="2" t="n">
        <x:v>71</x:v>
      </x:c>
      <x:c r="T1630" s="2" t="n">
        <x:f>R1630+S1630+J1630-I1630</x:f>
        <x:v>150</x:v>
      </x:c>
      <x:c r="U1630" s="2" t="n">
        <x:v>0</x:v>
      </x:c>
      <x:c r="V1630" s="2" t="n">
        <x:v>4</x:v>
      </x:c>
      <x:c r="W1630" s="2" t="n">
        <x:v>18</x:v>
      </x:c>
      <x:c r="X1630" s="14" t="b">
        <x:v>0</x:v>
      </x:c>
      <x:c r="Y1630" s="14" t="b">
        <x:v>0</x:v>
      </x:c>
      <x:c r="Z1630" s="2" t="n">
        <x:f>ABS(T1630-AA1630)</x:f>
        <x:v>0</x:v>
      </x:c>
      <x:c r="AA1630" s="2" t="n">
        <x:v>150</x:v>
      </x:c>
      <x:c r="AB1630" s="2" t="n">
        <x:f>ABS(K1630-W1630)</x:f>
        <x:v>2</x:v>
      </x:c>
      <x:c r="AC1630" s="2" t="n">
        <x:f>COUNTIF($A$2:$A$1921,A1630)-1</x:f>
        <x:v>0</x:v>
      </x:c>
      <x:c r="AD1630" s="2" t="n">
        <x:f>IF(AND(D1630=D1629,H1630=H1629,C1630=C1629+1),ABS(R1630-T1629),0)</x:f>
        <x:v>0</x:v>
      </x:c>
    </x:row>
    <x:row r="1631" ht="23" customHeight="1">
      <x:c r="A1631" s="2" t="str">
        <x:v>DEMO-403-1-10</x:v>
      </x:c>
      <x:c r="B1631" s="15" t="d">
        <x:v>2026-07-06T00:00:00.000Z</x:v>
      </x:c>
      <x:c r="C1631" s="2" t="n">
        <x:v>10</x:v>
      </x:c>
      <x:c r="D1631" s="2" t="str">
        <x:v>DEMO-403</x:v>
      </x:c>
      <x:c r="E1631" s="2" t="str">
        <x:v>Pocket Organiser</x:v>
      </x:c>
      <x:c r="F1631" s="2" t="str">
        <x:v>Accessories</x:v>
      </x:c>
      <x:c r="G1631" s="2" t="str">
        <x:v>Stores</x:v>
      </x:c>
      <x:c r="H1631" s="2" t="str">
        <x:v>Riverside</x:v>
      </x:c>
      <x:c r="I1631" s="2" t="n">
        <x:v>16</x:v>
      </x:c>
      <x:c r="J1631" s="2" t="n">
        <x:v>0</x:v>
      </x:c>
      <x:c r="K1631" s="2" t="n">
        <x:f>I1631-J1631</x:f>
        <x:v>16</x:v>
      </x:c>
      <x:c r="L1631" s="16" t="n">
        <x:v>20</x:v>
      </x:c>
      <x:c r="M1631" s="16" t="n">
        <x:v>20</x:v>
      </x:c>
      <x:c r="N1631" s="16" t="n">
        <x:v>8.2</x:v>
      </x:c>
      <x:c r="O1631" s="16" t="n">
        <x:f>K1631*M1631</x:f>
        <x:v>320</x:v>
      </x:c>
      <x:c r="P1631" s="16" t="n">
        <x:f>K1631*N1631</x:f>
        <x:v>131.2</x:v>
      </x:c>
      <x:c r="Q1631" s="16" t="n">
        <x:f>O1631-P1631</x:f>
        <x:v>188.8</x:v>
      </x:c>
      <x:c r="R1631" s="2" t="n">
        <x:v>150</x:v>
      </x:c>
      <x:c r="S1631" s="2" t="n">
        <x:v>0</x:v>
      </x:c>
      <x:c r="T1631" s="2" t="n">
        <x:f>R1631+S1631+J1631-I1631</x:f>
        <x:v>134</x:v>
      </x:c>
      <x:c r="U1631" s="2" t="n">
        <x:v>0</x:v>
      </x:c>
      <x:c r="V1631" s="2" t="n">
        <x:v>4</x:v>
      </x:c>
      <x:c r="W1631" s="2" t="n">
        <x:v>18</x:v>
      </x:c>
      <x:c r="X1631" s="14" t="b">
        <x:v>0</x:v>
      </x:c>
      <x:c r="Y1631" s="14" t="b">
        <x:v>0</x:v>
      </x:c>
      <x:c r="Z1631" s="2" t="n">
        <x:f>ABS(T1631-AA1631)</x:f>
        <x:v>0</x:v>
      </x:c>
      <x:c r="AA1631" s="2" t="n">
        <x:v>134</x:v>
      </x:c>
      <x:c r="AB1631" s="2" t="n">
        <x:f>ABS(K1631-W1631)</x:f>
        <x:v>2</x:v>
      </x:c>
      <x:c r="AC1631" s="2" t="n">
        <x:f>COUNTIF($A$2:$A$1921,A1631)-1</x:f>
        <x:v>0</x:v>
      </x:c>
      <x:c r="AD1631" s="2" t="n">
        <x:f>IF(AND(D1631=D1630,H1631=H1630,C1631=C1630+1),ABS(R1631-T1630),0)</x:f>
        <x:v>0</x:v>
      </x:c>
    </x:row>
    <x:row r="1632" ht="23" customHeight="1">
      <x:c r="A1632" s="2" t="str">
        <x:v>DEMO-403-1-11</x:v>
      </x:c>
      <x:c r="B1632" s="15" t="d">
        <x:v>2026-07-13T00:00:00.000Z</x:v>
      </x:c>
      <x:c r="C1632" s="2" t="n">
        <x:v>11</x:v>
      </x:c>
      <x:c r="D1632" s="2" t="str">
        <x:v>DEMO-403</x:v>
      </x:c>
      <x:c r="E1632" s="2" t="str">
        <x:v>Pocket Organiser</x:v>
      </x:c>
      <x:c r="F1632" s="2" t="str">
        <x:v>Accessories</x:v>
      </x:c>
      <x:c r="G1632" s="2" t="str">
        <x:v>Stores</x:v>
      </x:c>
      <x:c r="H1632" s="2" t="str">
        <x:v>Riverside</x:v>
      </x:c>
      <x:c r="I1632" s="2" t="n">
        <x:v>14</x:v>
      </x:c>
      <x:c r="J1632" s="2" t="n">
        <x:v>0</x:v>
      </x:c>
      <x:c r="K1632" s="2" t="n">
        <x:f>I1632-J1632</x:f>
        <x:v>14</x:v>
      </x:c>
      <x:c r="L1632" s="16" t="n">
        <x:v>20</x:v>
      </x:c>
      <x:c r="M1632" s="16" t="n">
        <x:v>20</x:v>
      </x:c>
      <x:c r="N1632" s="16" t="n">
        <x:v>8.2</x:v>
      </x:c>
      <x:c r="O1632" s="16" t="n">
        <x:f>K1632*M1632</x:f>
        <x:v>280</x:v>
      </x:c>
      <x:c r="P1632" s="16" t="n">
        <x:f>K1632*N1632</x:f>
        <x:v>114.79999999999998</x:v>
      </x:c>
      <x:c r="Q1632" s="16" t="n">
        <x:f>O1632-P1632</x:f>
        <x:v>165.20000000000002</x:v>
      </x:c>
      <x:c r="R1632" s="2" t="n">
        <x:v>134</x:v>
      </x:c>
      <x:c r="S1632" s="2" t="n">
        <x:v>0</x:v>
      </x:c>
      <x:c r="T1632" s="2" t="n">
        <x:f>R1632+S1632+J1632-I1632</x:f>
        <x:v>120</x:v>
      </x:c>
      <x:c r="U1632" s="2" t="n">
        <x:v>0</x:v>
      </x:c>
      <x:c r="V1632" s="2" t="n">
        <x:v>4</x:v>
      </x:c>
      <x:c r="W1632" s="2" t="n">
        <x:v>17</x:v>
      </x:c>
      <x:c r="X1632" s="14" t="b">
        <x:v>0</x:v>
      </x:c>
      <x:c r="Y1632" s="14" t="b">
        <x:v>0</x:v>
      </x:c>
      <x:c r="Z1632" s="2" t="n">
        <x:f>ABS(T1632-AA1632)</x:f>
        <x:v>0</x:v>
      </x:c>
      <x:c r="AA1632" s="2" t="n">
        <x:v>120</x:v>
      </x:c>
      <x:c r="AB1632" s="2" t="n">
        <x:f>ABS(K1632-W1632)</x:f>
        <x:v>3</x:v>
      </x:c>
      <x:c r="AC1632" s="2" t="n">
        <x:f>COUNTIF($A$2:$A$1921,A1632)-1</x:f>
        <x:v>0</x:v>
      </x:c>
      <x:c r="AD1632" s="2" t="n">
        <x:f>IF(AND(D1632=D1631,H1632=H1631,C1632=C1631+1),ABS(R1632-T1631),0)</x:f>
        <x:v>0</x:v>
      </x:c>
    </x:row>
    <x:row r="1633" ht="23" customHeight="1">
      <x:c r="A1633" s="2" t="str">
        <x:v>DEMO-403-1-12</x:v>
      </x:c>
      <x:c r="B1633" s="15" t="d">
        <x:v>2026-07-20T00:00:00.000Z</x:v>
      </x:c>
      <x:c r="C1633" s="2" t="n">
        <x:v>12</x:v>
      </x:c>
      <x:c r="D1633" s="2" t="str">
        <x:v>DEMO-403</x:v>
      </x:c>
      <x:c r="E1633" s="2" t="str">
        <x:v>Pocket Organiser</x:v>
      </x:c>
      <x:c r="F1633" s="2" t="str">
        <x:v>Accessories</x:v>
      </x:c>
      <x:c r="G1633" s="2" t="str">
        <x:v>Stores</x:v>
      </x:c>
      <x:c r="H1633" s="2" t="str">
        <x:v>Riverside</x:v>
      </x:c>
      <x:c r="I1633" s="2" t="n">
        <x:v>17</x:v>
      </x:c>
      <x:c r="J1633" s="2" t="n">
        <x:v>1</x:v>
      </x:c>
      <x:c r="K1633" s="2" t="n">
        <x:f>I1633-J1633</x:f>
        <x:v>16</x:v>
      </x:c>
      <x:c r="L1633" s="16" t="n">
        <x:v>20</x:v>
      </x:c>
      <x:c r="M1633" s="16" t="n">
        <x:v>20</x:v>
      </x:c>
      <x:c r="N1633" s="16" t="n">
        <x:v>8.2</x:v>
      </x:c>
      <x:c r="O1633" s="16" t="n">
        <x:f>K1633*M1633</x:f>
        <x:v>320</x:v>
      </x:c>
      <x:c r="P1633" s="16" t="n">
        <x:f>K1633*N1633</x:f>
        <x:v>131.2</x:v>
      </x:c>
      <x:c r="Q1633" s="16" t="n">
        <x:f>O1633-P1633</x:f>
        <x:v>188.8</x:v>
      </x:c>
      <x:c r="R1633" s="2" t="n">
        <x:v>120</x:v>
      </x:c>
      <x:c r="S1633" s="2" t="n">
        <x:v>0</x:v>
      </x:c>
      <x:c r="T1633" s="2" t="n">
        <x:f>R1633+S1633+J1633-I1633</x:f>
        <x:v>104</x:v>
      </x:c>
      <x:c r="U1633" s="2" t="n">
        <x:v>0</x:v>
      </x:c>
      <x:c r="V1633" s="2" t="n">
        <x:v>4</x:v>
      </x:c>
      <x:c r="W1633" s="2" t="n">
        <x:v>16</x:v>
      </x:c>
      <x:c r="X1633" s="14" t="b">
        <x:v>0</x:v>
      </x:c>
      <x:c r="Y1633" s="14" t="b">
        <x:v>0</x:v>
      </x:c>
      <x:c r="Z1633" s="2" t="n">
        <x:f>ABS(T1633-AA1633)</x:f>
        <x:v>0</x:v>
      </x:c>
      <x:c r="AA1633" s="2" t="n">
        <x:v>104</x:v>
      </x:c>
      <x:c r="AB1633" s="2" t="n">
        <x:f>ABS(K1633-W1633)</x:f>
        <x:v>0</x:v>
      </x:c>
      <x:c r="AC1633" s="2" t="n">
        <x:f>COUNTIF($A$2:$A$1921,A1633)-1</x:f>
        <x:v>0</x:v>
      </x:c>
      <x:c r="AD1633" s="2" t="n">
        <x:f>IF(AND(D1633=D1632,H1633=H1632,C1633=C1632+1),ABS(R1633-T1632),0)</x:f>
        <x:v>0</x:v>
      </x:c>
    </x:row>
    <x:row r="1634" ht="23" customHeight="1">
      <x:c r="A1634" s="2" t="str">
        <x:v>DEMO-403-1-13</x:v>
      </x:c>
      <x:c r="B1634" s="15" t="d">
        <x:v>2026-07-27T00:00:00.000Z</x:v>
      </x:c>
      <x:c r="C1634" s="2" t="n">
        <x:v>13</x:v>
      </x:c>
      <x:c r="D1634" s="2" t="str">
        <x:v>DEMO-403</x:v>
      </x:c>
      <x:c r="E1634" s="2" t="str">
        <x:v>Pocket Organiser</x:v>
      </x:c>
      <x:c r="F1634" s="2" t="str">
        <x:v>Accessories</x:v>
      </x:c>
      <x:c r="G1634" s="2" t="str">
        <x:v>Stores</x:v>
      </x:c>
      <x:c r="H1634" s="2" t="str">
        <x:v>Riverside</x:v>
      </x:c>
      <x:c r="I1634" s="2" t="n">
        <x:v>20</x:v>
      </x:c>
      <x:c r="J1634" s="2" t="n">
        <x:v>0</x:v>
      </x:c>
      <x:c r="K1634" s="2" t="n">
        <x:f>I1634-J1634</x:f>
        <x:v>20</x:v>
      </x:c>
      <x:c r="L1634" s="16" t="n">
        <x:v>20</x:v>
      </x:c>
      <x:c r="M1634" s="16" t="n">
        <x:v>20</x:v>
      </x:c>
      <x:c r="N1634" s="16" t="n">
        <x:v>8.2</x:v>
      </x:c>
      <x:c r="O1634" s="16" t="n">
        <x:f>K1634*M1634</x:f>
        <x:v>400</x:v>
      </x:c>
      <x:c r="P1634" s="16" t="n">
        <x:f>K1634*N1634</x:f>
        <x:v>164</x:v>
      </x:c>
      <x:c r="Q1634" s="16" t="n">
        <x:f>O1634-P1634</x:f>
        <x:v>236</x:v>
      </x:c>
      <x:c r="R1634" s="2" t="n">
        <x:v>104</x:v>
      </x:c>
      <x:c r="S1634" s="2" t="n">
        <x:v>71</x:v>
      </x:c>
      <x:c r="T1634" s="2" t="n">
        <x:f>R1634+S1634+J1634-I1634</x:f>
        <x:v>155</x:v>
      </x:c>
      <x:c r="U1634" s="2" t="n">
        <x:v>0</x:v>
      </x:c>
      <x:c r="V1634" s="2" t="n">
        <x:v>4</x:v>
      </x:c>
      <x:c r="W1634" s="2" t="n">
        <x:v>16</x:v>
      </x:c>
      <x:c r="X1634" s="14" t="b">
        <x:v>0</x:v>
      </x:c>
      <x:c r="Y1634" s="14" t="b">
        <x:v>0</x:v>
      </x:c>
      <x:c r="Z1634" s="2" t="n">
        <x:f>ABS(T1634-AA1634)</x:f>
        <x:v>0</x:v>
      </x:c>
      <x:c r="AA1634" s="2" t="n">
        <x:v>155</x:v>
      </x:c>
      <x:c r="AB1634" s="2" t="n">
        <x:f>ABS(K1634-W1634)</x:f>
        <x:v>4</x:v>
      </x:c>
      <x:c r="AC1634" s="2" t="n">
        <x:f>COUNTIF($A$2:$A$1921,A1634)-1</x:f>
        <x:v>0</x:v>
      </x:c>
      <x:c r="AD1634" s="2" t="n">
        <x:f>IF(AND(D1634=D1633,H1634=H1633,C1634=C1633+1),ABS(R1634-T1633),0)</x:f>
        <x:v>0</x:v>
      </x:c>
    </x:row>
    <x:row r="1635" ht="23" customHeight="1">
      <x:c r="A1635" s="2" t="str">
        <x:v>DEMO-403-1-14</x:v>
      </x:c>
      <x:c r="B1635" s="15" t="d">
        <x:v>2026-08-03T00:00:00.000Z</x:v>
      </x:c>
      <x:c r="C1635" s="2" t="n">
        <x:v>14</x:v>
      </x:c>
      <x:c r="D1635" s="2" t="str">
        <x:v>DEMO-403</x:v>
      </x:c>
      <x:c r="E1635" s="2" t="str">
        <x:v>Pocket Organiser</x:v>
      </x:c>
      <x:c r="F1635" s="2" t="str">
        <x:v>Accessories</x:v>
      </x:c>
      <x:c r="G1635" s="2" t="str">
        <x:v>Stores</x:v>
      </x:c>
      <x:c r="H1635" s="2" t="str">
        <x:v>Riverside</x:v>
      </x:c>
      <x:c r="I1635" s="2" t="n">
        <x:v>19</x:v>
      </x:c>
      <x:c r="J1635" s="2" t="n">
        <x:v>0</x:v>
      </x:c>
      <x:c r="K1635" s="2" t="n">
        <x:f>I1635-J1635</x:f>
        <x:v>19</x:v>
      </x:c>
      <x:c r="L1635" s="16" t="n">
        <x:v>20</x:v>
      </x:c>
      <x:c r="M1635" s="16" t="n">
        <x:v>20</x:v>
      </x:c>
      <x:c r="N1635" s="16" t="n">
        <x:v>8.2</x:v>
      </x:c>
      <x:c r="O1635" s="16" t="n">
        <x:f>K1635*M1635</x:f>
        <x:v>380</x:v>
      </x:c>
      <x:c r="P1635" s="16" t="n">
        <x:f>K1635*N1635</x:f>
        <x:v>155.79999999999998</x:v>
      </x:c>
      <x:c r="Q1635" s="16" t="n">
        <x:f>O1635-P1635</x:f>
        <x:v>224.20000000000002</x:v>
      </x:c>
      <x:c r="R1635" s="2" t="n">
        <x:v>155</x:v>
      </x:c>
      <x:c r="S1635" s="2" t="n">
        <x:v>0</x:v>
      </x:c>
      <x:c r="T1635" s="2" t="n">
        <x:f>R1635+S1635+J1635-I1635</x:f>
        <x:v>136</x:v>
      </x:c>
      <x:c r="U1635" s="2" t="n">
        <x:v>0</x:v>
      </x:c>
      <x:c r="V1635" s="2" t="n">
        <x:v>4</x:v>
      </x:c>
      <x:c r="W1635" s="2" t="n">
        <x:v>17</x:v>
      </x:c>
      <x:c r="X1635" s="14" t="b">
        <x:v>0</x:v>
      </x:c>
      <x:c r="Y1635" s="14" t="b">
        <x:v>0</x:v>
      </x:c>
      <x:c r="Z1635" s="2" t="n">
        <x:f>ABS(T1635-AA1635)</x:f>
        <x:v>0</x:v>
      </x:c>
      <x:c r="AA1635" s="2" t="n">
        <x:v>136</x:v>
      </x:c>
      <x:c r="AB1635" s="2" t="n">
        <x:f>ABS(K1635-W1635)</x:f>
        <x:v>2</x:v>
      </x:c>
      <x:c r="AC1635" s="2" t="n">
        <x:f>COUNTIF($A$2:$A$1921,A1635)-1</x:f>
        <x:v>0</x:v>
      </x:c>
      <x:c r="AD1635" s="2" t="n">
        <x:f>IF(AND(D1635=D1634,H1635=H1634,C1635=C1634+1),ABS(R1635-T1634),0)</x:f>
        <x:v>0</x:v>
      </x:c>
    </x:row>
    <x:row r="1636" ht="23" customHeight="1">
      <x:c r="A1636" s="2" t="str">
        <x:v>DEMO-403-1-15</x:v>
      </x:c>
      <x:c r="B1636" s="15" t="d">
        <x:v>2026-08-10T00:00:00.000Z</x:v>
      </x:c>
      <x:c r="C1636" s="2" t="n">
        <x:v>15</x:v>
      </x:c>
      <x:c r="D1636" s="2" t="str">
        <x:v>DEMO-403</x:v>
      </x:c>
      <x:c r="E1636" s="2" t="str">
        <x:v>Pocket Organiser</x:v>
      </x:c>
      <x:c r="F1636" s="2" t="str">
        <x:v>Accessories</x:v>
      </x:c>
      <x:c r="G1636" s="2" t="str">
        <x:v>Stores</x:v>
      </x:c>
      <x:c r="H1636" s="2" t="str">
        <x:v>Riverside</x:v>
      </x:c>
      <x:c r="I1636" s="2" t="n">
        <x:v>16</x:v>
      </x:c>
      <x:c r="J1636" s="2" t="n">
        <x:v>0</x:v>
      </x:c>
      <x:c r="K1636" s="2" t="n">
        <x:f>I1636-J1636</x:f>
        <x:v>16</x:v>
      </x:c>
      <x:c r="L1636" s="16" t="n">
        <x:v>20</x:v>
      </x:c>
      <x:c r="M1636" s="16" t="n">
        <x:v>20</x:v>
      </x:c>
      <x:c r="N1636" s="16" t="n">
        <x:v>8.2</x:v>
      </x:c>
      <x:c r="O1636" s="16" t="n">
        <x:f>K1636*M1636</x:f>
        <x:v>320</x:v>
      </x:c>
      <x:c r="P1636" s="16" t="n">
        <x:f>K1636*N1636</x:f>
        <x:v>131.2</x:v>
      </x:c>
      <x:c r="Q1636" s="16" t="n">
        <x:f>O1636-P1636</x:f>
        <x:v>188.8</x:v>
      </x:c>
      <x:c r="R1636" s="2" t="n">
        <x:v>136</x:v>
      </x:c>
      <x:c r="S1636" s="2" t="n">
        <x:v>0</x:v>
      </x:c>
      <x:c r="T1636" s="2" t="n">
        <x:f>R1636+S1636+J1636-I1636</x:f>
        <x:v>120</x:v>
      </x:c>
      <x:c r="U1636" s="2" t="n">
        <x:v>0</x:v>
      </x:c>
      <x:c r="V1636" s="2" t="n">
        <x:v>4</x:v>
      </x:c>
      <x:c r="W1636" s="2" t="n">
        <x:v>17</x:v>
      </x:c>
      <x:c r="X1636" s="14" t="b">
        <x:v>0</x:v>
      </x:c>
      <x:c r="Y1636" s="14" t="b">
        <x:v>0</x:v>
      </x:c>
      <x:c r="Z1636" s="2" t="n">
        <x:f>ABS(T1636-AA1636)</x:f>
        <x:v>0</x:v>
      </x:c>
      <x:c r="AA1636" s="2" t="n">
        <x:v>120</x:v>
      </x:c>
      <x:c r="AB1636" s="2" t="n">
        <x:f>ABS(K1636-W1636)</x:f>
        <x:v>1</x:v>
      </x:c>
      <x:c r="AC1636" s="2" t="n">
        <x:f>COUNTIF($A$2:$A$1921,A1636)-1</x:f>
        <x:v>0</x:v>
      </x:c>
      <x:c r="AD1636" s="2" t="n">
        <x:f>IF(AND(D1636=D1635,H1636=H1635,C1636=C1635+1),ABS(R1636-T1635),0)</x:f>
        <x:v>0</x:v>
      </x:c>
    </x:row>
    <x:row r="1637" ht="23" customHeight="1">
      <x:c r="A1637" s="2" t="str">
        <x:v>DEMO-403-1-16</x:v>
      </x:c>
      <x:c r="B1637" s="15" t="d">
        <x:v>2026-08-17T00:00:00.000Z</x:v>
      </x:c>
      <x:c r="C1637" s="2" t="n">
        <x:v>16</x:v>
      </x:c>
      <x:c r="D1637" s="2" t="str">
        <x:v>DEMO-403</x:v>
      </x:c>
      <x:c r="E1637" s="2" t="str">
        <x:v>Pocket Organiser</x:v>
      </x:c>
      <x:c r="F1637" s="2" t="str">
        <x:v>Accessories</x:v>
      </x:c>
      <x:c r="G1637" s="2" t="str">
        <x:v>Stores</x:v>
      </x:c>
      <x:c r="H1637" s="2" t="str">
        <x:v>Riverside</x:v>
      </x:c>
      <x:c r="I1637" s="2" t="n">
        <x:v>19</x:v>
      </x:c>
      <x:c r="J1637" s="2" t="n">
        <x:v>0</x:v>
      </x:c>
      <x:c r="K1637" s="2" t="n">
        <x:f>I1637-J1637</x:f>
        <x:v>19</x:v>
      </x:c>
      <x:c r="L1637" s="16" t="n">
        <x:v>20</x:v>
      </x:c>
      <x:c r="M1637" s="16" t="n">
        <x:v>20</x:v>
      </x:c>
      <x:c r="N1637" s="16" t="n">
        <x:v>8.2</x:v>
      </x:c>
      <x:c r="O1637" s="16" t="n">
        <x:f>K1637*M1637</x:f>
        <x:v>380</x:v>
      </x:c>
      <x:c r="P1637" s="16" t="n">
        <x:f>K1637*N1637</x:f>
        <x:v>155.79999999999998</x:v>
      </x:c>
      <x:c r="Q1637" s="16" t="n">
        <x:f>O1637-P1637</x:f>
        <x:v>224.20000000000002</x:v>
      </x:c>
      <x:c r="R1637" s="2" t="n">
        <x:v>120</x:v>
      </x:c>
      <x:c r="S1637" s="2" t="n">
        <x:v>0</x:v>
      </x:c>
      <x:c r="T1637" s="2" t="n">
        <x:f>R1637+S1637+J1637-I1637</x:f>
        <x:v>101</x:v>
      </x:c>
      <x:c r="U1637" s="2" t="n">
        <x:v>0</x:v>
      </x:c>
      <x:c r="V1637" s="2" t="n">
        <x:v>4</x:v>
      </x:c>
      <x:c r="W1637" s="2" t="n">
        <x:v>18</x:v>
      </x:c>
      <x:c r="X1637" s="14" t="b">
        <x:v>0</x:v>
      </x:c>
      <x:c r="Y1637" s="14" t="b">
        <x:v>0</x:v>
      </x:c>
      <x:c r="Z1637" s="2" t="n">
        <x:f>ABS(T1637-AA1637)</x:f>
        <x:v>0</x:v>
      </x:c>
      <x:c r="AA1637" s="2" t="n">
        <x:v>101</x:v>
      </x:c>
      <x:c r="AB1637" s="2" t="n">
        <x:f>ABS(K1637-W1637)</x:f>
        <x:v>1</x:v>
      </x:c>
      <x:c r="AC1637" s="2" t="n">
        <x:f>COUNTIF($A$2:$A$1921,A1637)-1</x:f>
        <x:v>0</x:v>
      </x:c>
      <x:c r="AD1637" s="2" t="n">
        <x:f>IF(AND(D1637=D1636,H1637=H1636,C1637=C1636+1),ABS(R1637-T1636),0)</x:f>
        <x:v>0</x:v>
      </x:c>
    </x:row>
    <x:row r="1638" ht="23" customHeight="1">
      <x:c r="A1638" s="2" t="str">
        <x:v>DEMO-403-1-17</x:v>
      </x:c>
      <x:c r="B1638" s="15" t="d">
        <x:v>2026-08-24T00:00:00.000Z</x:v>
      </x:c>
      <x:c r="C1638" s="2" t="n">
        <x:v>17</x:v>
      </x:c>
      <x:c r="D1638" s="2" t="str">
        <x:v>DEMO-403</x:v>
      </x:c>
      <x:c r="E1638" s="2" t="str">
        <x:v>Pocket Organiser</x:v>
      </x:c>
      <x:c r="F1638" s="2" t="str">
        <x:v>Accessories</x:v>
      </x:c>
      <x:c r="G1638" s="2" t="str">
        <x:v>Stores</x:v>
      </x:c>
      <x:c r="H1638" s="2" t="str">
        <x:v>Riverside</x:v>
      </x:c>
      <x:c r="I1638" s="2" t="n">
        <x:v>16</x:v>
      </x:c>
      <x:c r="J1638" s="2" t="n">
        <x:v>0</x:v>
      </x:c>
      <x:c r="K1638" s="2" t="n">
        <x:f>I1638-J1638</x:f>
        <x:v>16</x:v>
      </x:c>
      <x:c r="L1638" s="16" t="n">
        <x:v>20</x:v>
      </x:c>
      <x:c r="M1638" s="16" t="n">
        <x:v>20</x:v>
      </x:c>
      <x:c r="N1638" s="16" t="n">
        <x:v>8.2</x:v>
      </x:c>
      <x:c r="O1638" s="16" t="n">
        <x:f>K1638*M1638</x:f>
        <x:v>320</x:v>
      </x:c>
      <x:c r="P1638" s="16" t="n">
        <x:f>K1638*N1638</x:f>
        <x:v>131.2</x:v>
      </x:c>
      <x:c r="Q1638" s="16" t="n">
        <x:f>O1638-P1638</x:f>
        <x:v>188.8</x:v>
      </x:c>
      <x:c r="R1638" s="2" t="n">
        <x:v>101</x:v>
      </x:c>
      <x:c r="S1638" s="2" t="n">
        <x:v>71</x:v>
      </x:c>
      <x:c r="T1638" s="2" t="n">
        <x:f>R1638+S1638+J1638-I1638</x:f>
        <x:v>156</x:v>
      </x:c>
      <x:c r="U1638" s="2" t="n">
        <x:v>0</x:v>
      </x:c>
      <x:c r="V1638" s="2" t="n">
        <x:v>4</x:v>
      </x:c>
      <x:c r="W1638" s="2" t="n">
        <x:v>19</x:v>
      </x:c>
      <x:c r="X1638" s="14" t="b">
        <x:v>0</x:v>
      </x:c>
      <x:c r="Y1638" s="14" t="b">
        <x:v>0</x:v>
      </x:c>
      <x:c r="Z1638" s="2" t="n">
        <x:f>ABS(T1638-AA1638)</x:f>
        <x:v>0</x:v>
      </x:c>
      <x:c r="AA1638" s="2" t="n">
        <x:v>156</x:v>
      </x:c>
      <x:c r="AB1638" s="2" t="n">
        <x:f>ABS(K1638-W1638)</x:f>
        <x:v>3</x:v>
      </x:c>
      <x:c r="AC1638" s="2" t="n">
        <x:f>COUNTIF($A$2:$A$1921,A1638)-1</x:f>
        <x:v>0</x:v>
      </x:c>
      <x:c r="AD1638" s="2" t="n">
        <x:f>IF(AND(D1638=D1637,H1638=H1637,C1638=C1637+1),ABS(R1638-T1637),0)</x:f>
        <x:v>0</x:v>
      </x:c>
    </x:row>
    <x:row r="1639" ht="23" customHeight="1">
      <x:c r="A1639" s="2" t="str">
        <x:v>DEMO-403-1-18</x:v>
      </x:c>
      <x:c r="B1639" s="15" t="d">
        <x:v>2026-08-31T00:00:00.000Z</x:v>
      </x:c>
      <x:c r="C1639" s="2" t="n">
        <x:v>18</x:v>
      </x:c>
      <x:c r="D1639" s="2" t="str">
        <x:v>DEMO-403</x:v>
      </x:c>
      <x:c r="E1639" s="2" t="str">
        <x:v>Pocket Organiser</x:v>
      </x:c>
      <x:c r="F1639" s="2" t="str">
        <x:v>Accessories</x:v>
      </x:c>
      <x:c r="G1639" s="2" t="str">
        <x:v>Stores</x:v>
      </x:c>
      <x:c r="H1639" s="2" t="str">
        <x:v>Riverside</x:v>
      </x:c>
      <x:c r="I1639" s="2" t="n">
        <x:v>19</x:v>
      </x:c>
      <x:c r="J1639" s="2" t="n">
        <x:v>0</x:v>
      </x:c>
      <x:c r="K1639" s="2" t="n">
        <x:f>I1639-J1639</x:f>
        <x:v>19</x:v>
      </x:c>
      <x:c r="L1639" s="16" t="n">
        <x:v>20</x:v>
      </x:c>
      <x:c r="M1639" s="16" t="n">
        <x:v>20</x:v>
      </x:c>
      <x:c r="N1639" s="16" t="n">
        <x:v>8.2</x:v>
      </x:c>
      <x:c r="O1639" s="16" t="n">
        <x:f>K1639*M1639</x:f>
        <x:v>380</x:v>
      </x:c>
      <x:c r="P1639" s="16" t="n">
        <x:f>K1639*N1639</x:f>
        <x:v>155.79999999999998</x:v>
      </x:c>
      <x:c r="Q1639" s="16" t="n">
        <x:f>O1639-P1639</x:f>
        <x:v>224.20000000000002</x:v>
      </x:c>
      <x:c r="R1639" s="2" t="n">
        <x:v>156</x:v>
      </x:c>
      <x:c r="S1639" s="2" t="n">
        <x:v>0</x:v>
      </x:c>
      <x:c r="T1639" s="2" t="n">
        <x:f>R1639+S1639+J1639-I1639</x:f>
        <x:v>137</x:v>
      </x:c>
      <x:c r="U1639" s="2" t="n">
        <x:v>0</x:v>
      </x:c>
      <x:c r="V1639" s="2" t="n">
        <x:v>4</x:v>
      </x:c>
      <x:c r="W1639" s="2" t="n">
        <x:v>18</x:v>
      </x:c>
      <x:c r="X1639" s="14" t="b">
        <x:v>0</x:v>
      </x:c>
      <x:c r="Y1639" s="14" t="b">
        <x:v>0</x:v>
      </x:c>
      <x:c r="Z1639" s="2" t="n">
        <x:f>ABS(T1639-AA1639)</x:f>
        <x:v>0</x:v>
      </x:c>
      <x:c r="AA1639" s="2" t="n">
        <x:v>137</x:v>
      </x:c>
      <x:c r="AB1639" s="2" t="n">
        <x:f>ABS(K1639-W1639)</x:f>
        <x:v>1</x:v>
      </x:c>
      <x:c r="AC1639" s="2" t="n">
        <x:f>COUNTIF($A$2:$A$1921,A1639)-1</x:f>
        <x:v>0</x:v>
      </x:c>
      <x:c r="AD1639" s="2" t="n">
        <x:f>IF(AND(D1639=D1638,H1639=H1638,C1639=C1638+1),ABS(R1639-T1638),0)</x:f>
        <x:v>0</x:v>
      </x:c>
    </x:row>
    <x:row r="1640" ht="23" customHeight="1">
      <x:c r="A1640" s="2" t="str">
        <x:v>DEMO-403-1-19</x:v>
      </x:c>
      <x:c r="B1640" s="15" t="d">
        <x:v>2026-09-07T00:00:00.000Z</x:v>
      </x:c>
      <x:c r="C1640" s="2" t="n">
        <x:v>19</x:v>
      </x:c>
      <x:c r="D1640" s="2" t="str">
        <x:v>DEMO-403</x:v>
      </x:c>
      <x:c r="E1640" s="2" t="str">
        <x:v>Pocket Organiser</x:v>
      </x:c>
      <x:c r="F1640" s="2" t="str">
        <x:v>Accessories</x:v>
      </x:c>
      <x:c r="G1640" s="2" t="str">
        <x:v>Stores</x:v>
      </x:c>
      <x:c r="H1640" s="2" t="str">
        <x:v>Riverside</x:v>
      </x:c>
      <x:c r="I1640" s="2" t="n">
        <x:v>14</x:v>
      </x:c>
      <x:c r="J1640" s="2" t="n">
        <x:v>0</x:v>
      </x:c>
      <x:c r="K1640" s="2" t="n">
        <x:f>I1640-J1640</x:f>
        <x:v>14</x:v>
      </x:c>
      <x:c r="L1640" s="16" t="n">
        <x:v>20</x:v>
      </x:c>
      <x:c r="M1640" s="16" t="n">
        <x:v>20</x:v>
      </x:c>
      <x:c r="N1640" s="16" t="n">
        <x:v>8.2</x:v>
      </x:c>
      <x:c r="O1640" s="16" t="n">
        <x:f>K1640*M1640</x:f>
        <x:v>280</x:v>
      </x:c>
      <x:c r="P1640" s="16" t="n">
        <x:f>K1640*N1640</x:f>
        <x:v>114.79999999999998</x:v>
      </x:c>
      <x:c r="Q1640" s="16" t="n">
        <x:f>O1640-P1640</x:f>
        <x:v>165.20000000000002</x:v>
      </x:c>
      <x:c r="R1640" s="2" t="n">
        <x:v>137</x:v>
      </x:c>
      <x:c r="S1640" s="2" t="n">
        <x:v>0</x:v>
      </x:c>
      <x:c r="T1640" s="2" t="n">
        <x:f>R1640+S1640+J1640-I1640</x:f>
        <x:v>123</x:v>
      </x:c>
      <x:c r="U1640" s="2" t="n">
        <x:v>0</x:v>
      </x:c>
      <x:c r="V1640" s="2" t="n">
        <x:v>4</x:v>
      </x:c>
      <x:c r="W1640" s="2" t="n">
        <x:v>18</x:v>
      </x:c>
      <x:c r="X1640" s="14" t="b">
        <x:v>0</x:v>
      </x:c>
      <x:c r="Y1640" s="14" t="b">
        <x:v>0</x:v>
      </x:c>
      <x:c r="Z1640" s="2" t="n">
        <x:f>ABS(T1640-AA1640)</x:f>
        <x:v>0</x:v>
      </x:c>
      <x:c r="AA1640" s="2" t="n">
        <x:v>123</x:v>
      </x:c>
      <x:c r="AB1640" s="2" t="n">
        <x:f>ABS(K1640-W1640)</x:f>
        <x:v>4</x:v>
      </x:c>
      <x:c r="AC1640" s="2" t="n">
        <x:f>COUNTIF($A$2:$A$1921,A1640)-1</x:f>
        <x:v>0</x:v>
      </x:c>
      <x:c r="AD1640" s="2" t="n">
        <x:f>IF(AND(D1640=D1639,H1640=H1639,C1640=C1639+1),ABS(R1640-T1639),0)</x:f>
        <x:v>0</x:v>
      </x:c>
    </x:row>
    <x:row r="1641" ht="23" customHeight="1">
      <x:c r="A1641" s="2" t="str">
        <x:v>DEMO-403-1-20</x:v>
      </x:c>
      <x:c r="B1641" s="15" t="d">
        <x:v>2026-09-14T00:00:00.000Z</x:v>
      </x:c>
      <x:c r="C1641" s="2" t="n">
        <x:v>20</x:v>
      </x:c>
      <x:c r="D1641" s="2" t="str">
        <x:v>DEMO-403</x:v>
      </x:c>
      <x:c r="E1641" s="2" t="str">
        <x:v>Pocket Organiser</x:v>
      </x:c>
      <x:c r="F1641" s="2" t="str">
        <x:v>Accessories</x:v>
      </x:c>
      <x:c r="G1641" s="2" t="str">
        <x:v>Stores</x:v>
      </x:c>
      <x:c r="H1641" s="2" t="str">
        <x:v>Riverside</x:v>
      </x:c>
      <x:c r="I1641" s="2" t="n">
        <x:v>15</x:v>
      </x:c>
      <x:c r="J1641" s="2" t="n">
        <x:v>0</x:v>
      </x:c>
      <x:c r="K1641" s="2" t="n">
        <x:f>I1641-J1641</x:f>
        <x:v>15</x:v>
      </x:c>
      <x:c r="L1641" s="16" t="n">
        <x:v>20</x:v>
      </x:c>
      <x:c r="M1641" s="16" t="n">
        <x:v>20</x:v>
      </x:c>
      <x:c r="N1641" s="16" t="n">
        <x:v>8.2</x:v>
      </x:c>
      <x:c r="O1641" s="16" t="n">
        <x:f>K1641*M1641</x:f>
        <x:v>300</x:v>
      </x:c>
      <x:c r="P1641" s="16" t="n">
        <x:f>K1641*N1641</x:f>
        <x:v>122.99999999999999</x:v>
      </x:c>
      <x:c r="Q1641" s="16" t="n">
        <x:f>O1641-P1641</x:f>
        <x:v>177</x:v>
      </x:c>
      <x:c r="R1641" s="2" t="n">
        <x:v>123</x:v>
      </x:c>
      <x:c r="S1641" s="2" t="n">
        <x:v>0</x:v>
      </x:c>
      <x:c r="T1641" s="2" t="n">
        <x:f>R1641+S1641+J1641-I1641</x:f>
        <x:v>108</x:v>
      </x:c>
      <x:c r="U1641" s="2" t="n">
        <x:v>18</x:v>
      </x:c>
      <x:c r="V1641" s="2" t="n">
        <x:v>4</x:v>
      </x:c>
      <x:c r="W1641" s="2" t="n">
        <x:v>17</x:v>
      </x:c>
      <x:c r="X1641" s="14" t="b">
        <x:v>0</x:v>
      </x:c>
      <x:c r="Y1641" s="14" t="b">
        <x:v>0</x:v>
      </x:c>
      <x:c r="Z1641" s="2" t="n">
        <x:f>ABS(T1641-AA1641)</x:f>
        <x:v>0</x:v>
      </x:c>
      <x:c r="AA1641" s="2" t="n">
        <x:v>108</x:v>
      </x:c>
      <x:c r="AB1641" s="2" t="n">
        <x:f>ABS(K1641-W1641)</x:f>
        <x:v>2</x:v>
      </x:c>
      <x:c r="AC1641" s="2" t="n">
        <x:f>COUNTIF($A$2:$A$1921,A1641)-1</x:f>
        <x:v>0</x:v>
      </x:c>
      <x:c r="AD1641" s="2" t="n">
        <x:f>IF(AND(D1641=D1640,H1641=H1640,C1641=C1640+1),ABS(R1641-T1640),0)</x:f>
        <x:v>0</x:v>
      </x:c>
    </x:row>
    <x:row r="1642" ht="23" customHeight="1">
      <x:c r="A1642" s="2" t="str">
        <x:v>DEMO-403-2-1</x:v>
      </x:c>
      <x:c r="B1642" s="15" t="d">
        <x:v>2026-05-04T00:00:00.000Z</x:v>
      </x:c>
      <x:c r="C1642" s="2" t="n">
        <x:v>1</x:v>
      </x:c>
      <x:c r="D1642" s="2" t="str">
        <x:v>DEMO-403</x:v>
      </x:c>
      <x:c r="E1642" s="2" t="str">
        <x:v>Pocket Organiser</x:v>
      </x:c>
      <x:c r="F1642" s="2" t="str">
        <x:v>Accessories</x:v>
      </x:c>
      <x:c r="G1642" s="2" t="str">
        <x:v>Stores</x:v>
      </x:c>
      <x:c r="H1642" s="2" t="str">
        <x:v>Central Market</x:v>
      </x:c>
      <x:c r="I1642" s="2" t="n">
        <x:v>17</x:v>
      </x:c>
      <x:c r="J1642" s="2" t="n">
        <x:v>1</x:v>
      </x:c>
      <x:c r="K1642" s="2" t="n">
        <x:f>I1642-J1642</x:f>
        <x:v>16</x:v>
      </x:c>
      <x:c r="L1642" s="16" t="n">
        <x:v>20</x:v>
      </x:c>
      <x:c r="M1642" s="16" t="n">
        <x:v>20</x:v>
      </x:c>
      <x:c r="N1642" s="16" t="n">
        <x:v>8.2</x:v>
      </x:c>
      <x:c r="O1642" s="16" t="n">
        <x:f>K1642*M1642</x:f>
        <x:v>320</x:v>
      </x:c>
      <x:c r="P1642" s="16" t="n">
        <x:f>K1642*N1642</x:f>
        <x:v>131.2</x:v>
      </x:c>
      <x:c r="Q1642" s="16" t="n">
        <x:f>O1642-P1642</x:f>
        <x:v>188.8</x:v>
      </x:c>
      <x:c r="R1642" s="2" t="n">
        <x:v>90</x:v>
      </x:c>
      <x:c r="S1642" s="2" t="n">
        <x:v>71</x:v>
      </x:c>
      <x:c r="T1642" s="2" t="n">
        <x:f>R1642+S1642+J1642-I1642</x:f>
        <x:v>145</x:v>
      </x:c>
      <x:c r="U1642" s="2" t="n">
        <x:v>0</x:v>
      </x:c>
      <x:c r="V1642" s="2" t="n">
        <x:v>4</x:v>
      </x:c>
      <x:c r="W1642" s="2" t="n">
        <x:v>17</x:v>
      </x:c>
      <x:c r="X1642" s="14" t="b">
        <x:v>0</x:v>
      </x:c>
      <x:c r="Y1642" s="14" t="b">
        <x:v>0</x:v>
      </x:c>
      <x:c r="Z1642" s="2" t="n">
        <x:f>ABS(T1642-AA1642)</x:f>
        <x:v>0</x:v>
      </x:c>
      <x:c r="AA1642" s="2" t="n">
        <x:v>145</x:v>
      </x:c>
      <x:c r="AB1642" s="2" t="n">
        <x:f>ABS(K1642-W1642)</x:f>
        <x:v>1</x:v>
      </x:c>
      <x:c r="AC1642" s="2" t="n">
        <x:f>COUNTIF($A$2:$A$1921,A1642)-1</x:f>
        <x:v>0</x:v>
      </x:c>
      <x:c r="AD1642" s="2" t="n">
        <x:f>IF(AND(D1642=D1641,H1642=H1641,C1642=C1641+1),ABS(R1642-T1641),0)</x:f>
        <x:v>0</x:v>
      </x:c>
    </x:row>
    <x:row r="1643" ht="23" customHeight="1">
      <x:c r="A1643" s="2" t="str">
        <x:v>DEMO-403-2-2</x:v>
      </x:c>
      <x:c r="B1643" s="15" t="d">
        <x:v>2026-05-11T00:00:00.000Z</x:v>
      </x:c>
      <x:c r="C1643" s="2" t="n">
        <x:v>2</x:v>
      </x:c>
      <x:c r="D1643" s="2" t="str">
        <x:v>DEMO-403</x:v>
      </x:c>
      <x:c r="E1643" s="2" t="str">
        <x:v>Pocket Organiser</x:v>
      </x:c>
      <x:c r="F1643" s="2" t="str">
        <x:v>Accessories</x:v>
      </x:c>
      <x:c r="G1643" s="2" t="str">
        <x:v>Stores</x:v>
      </x:c>
      <x:c r="H1643" s="2" t="str">
        <x:v>Central Market</x:v>
      </x:c>
      <x:c r="I1643" s="2" t="n">
        <x:v>18</x:v>
      </x:c>
      <x:c r="J1643" s="2" t="n">
        <x:v>0</x:v>
      </x:c>
      <x:c r="K1643" s="2" t="n">
        <x:f>I1643-J1643</x:f>
        <x:v>18</x:v>
      </x:c>
      <x:c r="L1643" s="16" t="n">
        <x:v>20</x:v>
      </x:c>
      <x:c r="M1643" s="16" t="n">
        <x:v>20</x:v>
      </x:c>
      <x:c r="N1643" s="16" t="n">
        <x:v>8.2</x:v>
      </x:c>
      <x:c r="O1643" s="16" t="n">
        <x:f>K1643*M1643</x:f>
        <x:v>360</x:v>
      </x:c>
      <x:c r="P1643" s="16" t="n">
        <x:f>K1643*N1643</x:f>
        <x:v>147.6</x:v>
      </x:c>
      <x:c r="Q1643" s="16" t="n">
        <x:f>O1643-P1643</x:f>
        <x:v>212.4</x:v>
      </x:c>
      <x:c r="R1643" s="2" t="n">
        <x:v>145</x:v>
      </x:c>
      <x:c r="S1643" s="2" t="n">
        <x:v>0</x:v>
      </x:c>
      <x:c r="T1643" s="2" t="n">
        <x:f>R1643+S1643+J1643-I1643</x:f>
        <x:v>127</x:v>
      </x:c>
      <x:c r="U1643" s="2" t="n">
        <x:v>0</x:v>
      </x:c>
      <x:c r="V1643" s="2" t="n">
        <x:v>4</x:v>
      </x:c>
      <x:c r="W1643" s="2" t="n">
        <x:v>16</x:v>
      </x:c>
      <x:c r="X1643" s="14" t="b">
        <x:v>0</x:v>
      </x:c>
      <x:c r="Y1643" s="14" t="b">
        <x:v>0</x:v>
      </x:c>
      <x:c r="Z1643" s="2" t="n">
        <x:f>ABS(T1643-AA1643)</x:f>
        <x:v>0</x:v>
      </x:c>
      <x:c r="AA1643" s="2" t="n">
        <x:v>127</x:v>
      </x:c>
      <x:c r="AB1643" s="2" t="n">
        <x:f>ABS(K1643-W1643)</x:f>
        <x:v>2</x:v>
      </x:c>
      <x:c r="AC1643" s="2" t="n">
        <x:f>COUNTIF($A$2:$A$1921,A1643)-1</x:f>
        <x:v>0</x:v>
      </x:c>
      <x:c r="AD1643" s="2" t="n">
        <x:f>IF(AND(D1643=D1642,H1643=H1642,C1643=C1642+1),ABS(R1643-T1642),0)</x:f>
        <x:v>0</x:v>
      </x:c>
    </x:row>
    <x:row r="1644" ht="23" customHeight="1">
      <x:c r="A1644" s="2" t="str">
        <x:v>DEMO-403-2-3</x:v>
      </x:c>
      <x:c r="B1644" s="15" t="d">
        <x:v>2026-05-18T00:00:00.000Z</x:v>
      </x:c>
      <x:c r="C1644" s="2" t="n">
        <x:v>3</x:v>
      </x:c>
      <x:c r="D1644" s="2" t="str">
        <x:v>DEMO-403</x:v>
      </x:c>
      <x:c r="E1644" s="2" t="str">
        <x:v>Pocket Organiser</x:v>
      </x:c>
      <x:c r="F1644" s="2" t="str">
        <x:v>Accessories</x:v>
      </x:c>
      <x:c r="G1644" s="2" t="str">
        <x:v>Stores</x:v>
      </x:c>
      <x:c r="H1644" s="2" t="str">
        <x:v>Central Market</x:v>
      </x:c>
      <x:c r="I1644" s="2" t="n">
        <x:v>20</x:v>
      </x:c>
      <x:c r="J1644" s="2" t="n">
        <x:v>1</x:v>
      </x:c>
      <x:c r="K1644" s="2" t="n">
        <x:f>I1644-J1644</x:f>
        <x:v>19</x:v>
      </x:c>
      <x:c r="L1644" s="16" t="n">
        <x:v>20</x:v>
      </x:c>
      <x:c r="M1644" s="16" t="n">
        <x:v>20</x:v>
      </x:c>
      <x:c r="N1644" s="16" t="n">
        <x:v>8.2</x:v>
      </x:c>
      <x:c r="O1644" s="16" t="n">
        <x:f>K1644*M1644</x:f>
        <x:v>380</x:v>
      </x:c>
      <x:c r="P1644" s="16" t="n">
        <x:f>K1644*N1644</x:f>
        <x:v>155.79999999999998</x:v>
      </x:c>
      <x:c r="Q1644" s="16" t="n">
        <x:f>O1644-P1644</x:f>
        <x:v>224.20000000000002</x:v>
      </x:c>
      <x:c r="R1644" s="2" t="n">
        <x:v>127</x:v>
      </x:c>
      <x:c r="S1644" s="2" t="n">
        <x:v>0</x:v>
      </x:c>
      <x:c r="T1644" s="2" t="n">
        <x:f>R1644+S1644+J1644-I1644</x:f>
        <x:v>108</x:v>
      </x:c>
      <x:c r="U1644" s="2" t="n">
        <x:v>0</x:v>
      </x:c>
      <x:c r="V1644" s="2" t="n">
        <x:v>4</x:v>
      </x:c>
      <x:c r="W1644" s="2" t="n">
        <x:v>17</x:v>
      </x:c>
      <x:c r="X1644" s="14" t="b">
        <x:v>0</x:v>
      </x:c>
      <x:c r="Y1644" s="14" t="b">
        <x:v>0</x:v>
      </x:c>
      <x:c r="Z1644" s="2" t="n">
        <x:f>ABS(T1644-AA1644)</x:f>
        <x:v>0</x:v>
      </x:c>
      <x:c r="AA1644" s="2" t="n">
        <x:v>108</x:v>
      </x:c>
      <x:c r="AB1644" s="2" t="n">
        <x:f>ABS(K1644-W1644)</x:f>
        <x:v>2</x:v>
      </x:c>
      <x:c r="AC1644" s="2" t="n">
        <x:f>COUNTIF($A$2:$A$1921,A1644)-1</x:f>
        <x:v>0</x:v>
      </x:c>
      <x:c r="AD1644" s="2" t="n">
        <x:f>IF(AND(D1644=D1643,H1644=H1643,C1644=C1643+1),ABS(R1644-T1643),0)</x:f>
        <x:v>0</x:v>
      </x:c>
    </x:row>
    <x:row r="1645" ht="23" customHeight="1">
      <x:c r="A1645" s="2" t="str">
        <x:v>DEMO-403-2-4</x:v>
      </x:c>
      <x:c r="B1645" s="15" t="d">
        <x:v>2026-05-25T00:00:00.000Z</x:v>
      </x:c>
      <x:c r="C1645" s="2" t="n">
        <x:v>4</x:v>
      </x:c>
      <x:c r="D1645" s="2" t="str">
        <x:v>DEMO-403</x:v>
      </x:c>
      <x:c r="E1645" s="2" t="str">
        <x:v>Pocket Organiser</x:v>
      </x:c>
      <x:c r="F1645" s="2" t="str">
        <x:v>Accessories</x:v>
      </x:c>
      <x:c r="G1645" s="2" t="str">
        <x:v>Stores</x:v>
      </x:c>
      <x:c r="H1645" s="2" t="str">
        <x:v>Central Market</x:v>
      </x:c>
      <x:c r="I1645" s="2" t="n">
        <x:v>17</x:v>
      </x:c>
      <x:c r="J1645" s="2" t="n">
        <x:v>0</x:v>
      </x:c>
      <x:c r="K1645" s="2" t="n">
        <x:f>I1645-J1645</x:f>
        <x:v>17</x:v>
      </x:c>
      <x:c r="L1645" s="16" t="n">
        <x:v>20</x:v>
      </x:c>
      <x:c r="M1645" s="16" t="n">
        <x:v>20</x:v>
      </x:c>
      <x:c r="N1645" s="16" t="n">
        <x:v>8.2</x:v>
      </x:c>
      <x:c r="O1645" s="16" t="n">
        <x:f>K1645*M1645</x:f>
        <x:v>340</x:v>
      </x:c>
      <x:c r="P1645" s="16" t="n">
        <x:f>K1645*N1645</x:f>
        <x:v>139.39999999999998</x:v>
      </x:c>
      <x:c r="Q1645" s="16" t="n">
        <x:f>O1645-P1645</x:f>
        <x:v>200.60000000000002</x:v>
      </x:c>
      <x:c r="R1645" s="2" t="n">
        <x:v>108</x:v>
      </x:c>
      <x:c r="S1645" s="2" t="n">
        <x:v>0</x:v>
      </x:c>
      <x:c r="T1645" s="2" t="n">
        <x:f>R1645+S1645+J1645-I1645</x:f>
        <x:v>91</x:v>
      </x:c>
      <x:c r="U1645" s="2" t="n">
        <x:v>0</x:v>
      </x:c>
      <x:c r="V1645" s="2" t="n">
        <x:v>4</x:v>
      </x:c>
      <x:c r="W1645" s="2" t="n">
        <x:v>18</x:v>
      </x:c>
      <x:c r="X1645" s="14" t="b">
        <x:v>0</x:v>
      </x:c>
      <x:c r="Y1645" s="14" t="b">
        <x:v>0</x:v>
      </x:c>
      <x:c r="Z1645" s="2" t="n">
        <x:f>ABS(T1645-AA1645)</x:f>
        <x:v>0</x:v>
      </x:c>
      <x:c r="AA1645" s="2" t="n">
        <x:v>91</x:v>
      </x:c>
      <x:c r="AB1645" s="2" t="n">
        <x:f>ABS(K1645-W1645)</x:f>
        <x:v>1</x:v>
      </x:c>
      <x:c r="AC1645" s="2" t="n">
        <x:f>COUNTIF($A$2:$A$1921,A1645)-1</x:f>
        <x:v>0</x:v>
      </x:c>
      <x:c r="AD1645" s="2" t="n">
        <x:f>IF(AND(D1645=D1644,H1645=H1644,C1645=C1644+1),ABS(R1645-T1644),0)</x:f>
        <x:v>0</x:v>
      </x:c>
    </x:row>
    <x:row r="1646" ht="23" customHeight="1">
      <x:c r="A1646" s="2" t="str">
        <x:v>DEMO-403-2-5</x:v>
      </x:c>
      <x:c r="B1646" s="15" t="d">
        <x:v>2026-06-01T00:00:00.000Z</x:v>
      </x:c>
      <x:c r="C1646" s="2" t="n">
        <x:v>5</x:v>
      </x:c>
      <x:c r="D1646" s="2" t="str">
        <x:v>DEMO-403</x:v>
      </x:c>
      <x:c r="E1646" s="2" t="str">
        <x:v>Pocket Organiser</x:v>
      </x:c>
      <x:c r="F1646" s="2" t="str">
        <x:v>Accessories</x:v>
      </x:c>
      <x:c r="G1646" s="2" t="str">
        <x:v>Stores</x:v>
      </x:c>
      <x:c r="H1646" s="2" t="str">
        <x:v>Central Market</x:v>
      </x:c>
      <x:c r="I1646" s="2" t="n">
        <x:v>19</x:v>
      </x:c>
      <x:c r="J1646" s="2" t="n">
        <x:v>0</x:v>
      </x:c>
      <x:c r="K1646" s="2" t="n">
        <x:f>I1646-J1646</x:f>
        <x:v>19</x:v>
      </x:c>
      <x:c r="L1646" s="16" t="n">
        <x:v>20</x:v>
      </x:c>
      <x:c r="M1646" s="16" t="n">
        <x:v>20</x:v>
      </x:c>
      <x:c r="N1646" s="16" t="n">
        <x:v>8.2</x:v>
      </x:c>
      <x:c r="O1646" s="16" t="n">
        <x:f>K1646*M1646</x:f>
        <x:v>380</x:v>
      </x:c>
      <x:c r="P1646" s="16" t="n">
        <x:f>K1646*N1646</x:f>
        <x:v>155.79999999999998</x:v>
      </x:c>
      <x:c r="Q1646" s="16" t="n">
        <x:f>O1646-P1646</x:f>
        <x:v>224.20000000000002</x:v>
      </x:c>
      <x:c r="R1646" s="2" t="n">
        <x:v>91</x:v>
      </x:c>
      <x:c r="S1646" s="2" t="n">
        <x:v>71</x:v>
      </x:c>
      <x:c r="T1646" s="2" t="n">
        <x:f>R1646+S1646+J1646-I1646</x:f>
        <x:v>143</x:v>
      </x:c>
      <x:c r="U1646" s="2" t="n">
        <x:v>0</x:v>
      </x:c>
      <x:c r="V1646" s="2" t="n">
        <x:v>4</x:v>
      </x:c>
      <x:c r="W1646" s="2" t="n">
        <x:v>18</x:v>
      </x:c>
      <x:c r="X1646" s="14" t="b">
        <x:v>0</x:v>
      </x:c>
      <x:c r="Y1646" s="14" t="b">
        <x:v>0</x:v>
      </x:c>
      <x:c r="Z1646" s="2" t="n">
        <x:f>ABS(T1646-AA1646)</x:f>
        <x:v>0</x:v>
      </x:c>
      <x:c r="AA1646" s="2" t="n">
        <x:v>143</x:v>
      </x:c>
      <x:c r="AB1646" s="2" t="n">
        <x:f>ABS(K1646-W1646)</x:f>
        <x:v>1</x:v>
      </x:c>
      <x:c r="AC1646" s="2" t="n">
        <x:f>COUNTIF($A$2:$A$1921,A1646)-1</x:f>
        <x:v>0</x:v>
      </x:c>
      <x:c r="AD1646" s="2" t="n">
        <x:f>IF(AND(D1646=D1645,H1646=H1645,C1646=C1645+1),ABS(R1646-T1645),0)</x:f>
        <x:v>0</x:v>
      </x:c>
    </x:row>
    <x:row r="1647" ht="23" customHeight="1">
      <x:c r="A1647" s="2" t="str">
        <x:v>DEMO-403-2-6</x:v>
      </x:c>
      <x:c r="B1647" s="15" t="d">
        <x:v>2026-06-08T00:00:00.000Z</x:v>
      </x:c>
      <x:c r="C1647" s="2" t="n">
        <x:v>6</x:v>
      </x:c>
      <x:c r="D1647" s="2" t="str">
        <x:v>DEMO-403</x:v>
      </x:c>
      <x:c r="E1647" s="2" t="str">
        <x:v>Pocket Organiser</x:v>
      </x:c>
      <x:c r="F1647" s="2" t="str">
        <x:v>Accessories</x:v>
      </x:c>
      <x:c r="G1647" s="2" t="str">
        <x:v>Stores</x:v>
      </x:c>
      <x:c r="H1647" s="2" t="str">
        <x:v>Central Market</x:v>
      </x:c>
      <x:c r="I1647" s="2" t="n">
        <x:v>20</x:v>
      </x:c>
      <x:c r="J1647" s="2" t="n">
        <x:v>0</x:v>
      </x:c>
      <x:c r="K1647" s="2" t="n">
        <x:f>I1647-J1647</x:f>
        <x:v>20</x:v>
      </x:c>
      <x:c r="L1647" s="16" t="n">
        <x:v>20</x:v>
      </x:c>
      <x:c r="M1647" s="16" t="n">
        <x:v>20</x:v>
      </x:c>
      <x:c r="N1647" s="16" t="n">
        <x:v>8.2</x:v>
      </x:c>
      <x:c r="O1647" s="16" t="n">
        <x:f>K1647*M1647</x:f>
        <x:v>400</x:v>
      </x:c>
      <x:c r="P1647" s="16" t="n">
        <x:f>K1647*N1647</x:f>
        <x:v>164</x:v>
      </x:c>
      <x:c r="Q1647" s="16" t="n">
        <x:f>O1647-P1647</x:f>
        <x:v>236</x:v>
      </x:c>
      <x:c r="R1647" s="2" t="n">
        <x:v>143</x:v>
      </x:c>
      <x:c r="S1647" s="2" t="n">
        <x:v>0</x:v>
      </x:c>
      <x:c r="T1647" s="2" t="n">
        <x:f>R1647+S1647+J1647-I1647</x:f>
        <x:v>123</x:v>
      </x:c>
      <x:c r="U1647" s="2" t="n">
        <x:v>0</x:v>
      </x:c>
      <x:c r="V1647" s="2" t="n">
        <x:v>4</x:v>
      </x:c>
      <x:c r="W1647" s="2" t="n">
        <x:v>18</x:v>
      </x:c>
      <x:c r="X1647" s="14" t="b">
        <x:v>0</x:v>
      </x:c>
      <x:c r="Y1647" s="14" t="b">
        <x:v>0</x:v>
      </x:c>
      <x:c r="Z1647" s="2" t="n">
        <x:f>ABS(T1647-AA1647)</x:f>
        <x:v>0</x:v>
      </x:c>
      <x:c r="AA1647" s="2" t="n">
        <x:v>123</x:v>
      </x:c>
      <x:c r="AB1647" s="2" t="n">
        <x:f>ABS(K1647-W1647)</x:f>
        <x:v>2</x:v>
      </x:c>
      <x:c r="AC1647" s="2" t="n">
        <x:f>COUNTIF($A$2:$A$1921,A1647)-1</x:f>
        <x:v>0</x:v>
      </x:c>
      <x:c r="AD1647" s="2" t="n">
        <x:f>IF(AND(D1647=D1646,H1647=H1646,C1647=C1646+1),ABS(R1647-T1646),0)</x:f>
        <x:v>0</x:v>
      </x:c>
    </x:row>
    <x:row r="1648" ht="23" customHeight="1">
      <x:c r="A1648" s="2" t="str">
        <x:v>DEMO-403-2-7</x:v>
      </x:c>
      <x:c r="B1648" s="15" t="d">
        <x:v>2026-06-15T00:00:00.000Z</x:v>
      </x:c>
      <x:c r="C1648" s="2" t="n">
        <x:v>7</x:v>
      </x:c>
      <x:c r="D1648" s="2" t="str">
        <x:v>DEMO-403</x:v>
      </x:c>
      <x:c r="E1648" s="2" t="str">
        <x:v>Pocket Organiser</x:v>
      </x:c>
      <x:c r="F1648" s="2" t="str">
        <x:v>Accessories</x:v>
      </x:c>
      <x:c r="G1648" s="2" t="str">
        <x:v>Stores</x:v>
      </x:c>
      <x:c r="H1648" s="2" t="str">
        <x:v>Central Market</x:v>
      </x:c>
      <x:c r="I1648" s="2" t="n">
        <x:v>18</x:v>
      </x:c>
      <x:c r="J1648" s="2" t="n">
        <x:v>0</x:v>
      </x:c>
      <x:c r="K1648" s="2" t="n">
        <x:f>I1648-J1648</x:f>
        <x:v>18</x:v>
      </x:c>
      <x:c r="L1648" s="16" t="n">
        <x:v>20</x:v>
      </x:c>
      <x:c r="M1648" s="16" t="n">
        <x:v>20</x:v>
      </x:c>
      <x:c r="N1648" s="16" t="n">
        <x:v>8.2</x:v>
      </x:c>
      <x:c r="O1648" s="16" t="n">
        <x:f>K1648*M1648</x:f>
        <x:v>360</x:v>
      </x:c>
      <x:c r="P1648" s="16" t="n">
        <x:f>K1648*N1648</x:f>
        <x:v>147.6</x:v>
      </x:c>
      <x:c r="Q1648" s="16" t="n">
        <x:f>O1648-P1648</x:f>
        <x:v>212.4</x:v>
      </x:c>
      <x:c r="R1648" s="2" t="n">
        <x:v>123</x:v>
      </x:c>
      <x:c r="S1648" s="2" t="n">
        <x:v>0</x:v>
      </x:c>
      <x:c r="T1648" s="2" t="n">
        <x:f>R1648+S1648+J1648-I1648</x:f>
        <x:v>105</x:v>
      </x:c>
      <x:c r="U1648" s="2" t="n">
        <x:v>0</x:v>
      </x:c>
      <x:c r="V1648" s="2" t="n">
        <x:v>4</x:v>
      </x:c>
      <x:c r="W1648" s="2" t="n">
        <x:v>19</x:v>
      </x:c>
      <x:c r="X1648" s="14" t="b">
        <x:v>0</x:v>
      </x:c>
      <x:c r="Y1648" s="14" t="b">
        <x:v>0</x:v>
      </x:c>
      <x:c r="Z1648" s="2" t="n">
        <x:f>ABS(T1648-AA1648)</x:f>
        <x:v>0</x:v>
      </x:c>
      <x:c r="AA1648" s="2" t="n">
        <x:v>105</x:v>
      </x:c>
      <x:c r="AB1648" s="2" t="n">
        <x:f>ABS(K1648-W1648)</x:f>
        <x:v>1</x:v>
      </x:c>
      <x:c r="AC1648" s="2" t="n">
        <x:f>COUNTIF($A$2:$A$1921,A1648)-1</x:f>
        <x:v>0</x:v>
      </x:c>
      <x:c r="AD1648" s="2" t="n">
        <x:f>IF(AND(D1648=D1647,H1648=H1647,C1648=C1647+1),ABS(R1648-T1647),0)</x:f>
        <x:v>0</x:v>
      </x:c>
    </x:row>
    <x:row r="1649" ht="23" customHeight="1">
      <x:c r="A1649" s="2" t="str">
        <x:v>DEMO-403-2-8</x:v>
      </x:c>
      <x:c r="B1649" s="15" t="d">
        <x:v>2026-06-22T00:00:00.000Z</x:v>
      </x:c>
      <x:c r="C1649" s="2" t="n">
        <x:v>8</x:v>
      </x:c>
      <x:c r="D1649" s="2" t="str">
        <x:v>DEMO-403</x:v>
      </x:c>
      <x:c r="E1649" s="2" t="str">
        <x:v>Pocket Organiser</x:v>
      </x:c>
      <x:c r="F1649" s="2" t="str">
        <x:v>Accessories</x:v>
      </x:c>
      <x:c r="G1649" s="2" t="str">
        <x:v>Stores</x:v>
      </x:c>
      <x:c r="H1649" s="2" t="str">
        <x:v>Central Market</x:v>
      </x:c>
      <x:c r="I1649" s="2" t="n">
        <x:v>16</x:v>
      </x:c>
      <x:c r="J1649" s="2" t="n">
        <x:v>1</x:v>
      </x:c>
      <x:c r="K1649" s="2" t="n">
        <x:f>I1649-J1649</x:f>
        <x:v>15</x:v>
      </x:c>
      <x:c r="L1649" s="16" t="n">
        <x:v>20</x:v>
      </x:c>
      <x:c r="M1649" s="16" t="n">
        <x:v>20</x:v>
      </x:c>
      <x:c r="N1649" s="16" t="n">
        <x:v>8.2</x:v>
      </x:c>
      <x:c r="O1649" s="16" t="n">
        <x:f>K1649*M1649</x:f>
        <x:v>300</x:v>
      </x:c>
      <x:c r="P1649" s="16" t="n">
        <x:f>K1649*N1649</x:f>
        <x:v>122.99999999999999</x:v>
      </x:c>
      <x:c r="Q1649" s="16" t="n">
        <x:f>O1649-P1649</x:f>
        <x:v>177</x:v>
      </x:c>
      <x:c r="R1649" s="2" t="n">
        <x:v>105</x:v>
      </x:c>
      <x:c r="S1649" s="2" t="n">
        <x:v>0</x:v>
      </x:c>
      <x:c r="T1649" s="2" t="n">
        <x:f>R1649+S1649+J1649-I1649</x:f>
        <x:v>90</x:v>
      </x:c>
      <x:c r="U1649" s="2" t="n">
        <x:v>0</x:v>
      </x:c>
      <x:c r="V1649" s="2" t="n">
        <x:v>4</x:v>
      </x:c>
      <x:c r="W1649" s="2" t="n">
        <x:v>19</x:v>
      </x:c>
      <x:c r="X1649" s="14" t="b">
        <x:v>0</x:v>
      </x:c>
      <x:c r="Y1649" s="14" t="b">
        <x:v>0</x:v>
      </x:c>
      <x:c r="Z1649" s="2" t="n">
        <x:f>ABS(T1649-AA1649)</x:f>
        <x:v>0</x:v>
      </x:c>
      <x:c r="AA1649" s="2" t="n">
        <x:v>90</x:v>
      </x:c>
      <x:c r="AB1649" s="2" t="n">
        <x:f>ABS(K1649-W1649)</x:f>
        <x:v>4</x:v>
      </x:c>
      <x:c r="AC1649" s="2" t="n">
        <x:f>COUNTIF($A$2:$A$1921,A1649)-1</x:f>
        <x:v>0</x:v>
      </x:c>
      <x:c r="AD1649" s="2" t="n">
        <x:f>IF(AND(D1649=D1648,H1649=H1648,C1649=C1648+1),ABS(R1649-T1648),0)</x:f>
        <x:v>0</x:v>
      </x:c>
    </x:row>
    <x:row r="1650" ht="23" customHeight="1">
      <x:c r="A1650" s="2" t="str">
        <x:v>DEMO-403-2-9</x:v>
      </x:c>
      <x:c r="B1650" s="15" t="d">
        <x:v>2026-06-29T00:00:00.000Z</x:v>
      </x:c>
      <x:c r="C1650" s="2" t="n">
        <x:v>9</x:v>
      </x:c>
      <x:c r="D1650" s="2" t="str">
        <x:v>DEMO-403</x:v>
      </x:c>
      <x:c r="E1650" s="2" t="str">
        <x:v>Pocket Organiser</x:v>
      </x:c>
      <x:c r="F1650" s="2" t="str">
        <x:v>Accessories</x:v>
      </x:c>
      <x:c r="G1650" s="2" t="str">
        <x:v>Stores</x:v>
      </x:c>
      <x:c r="H1650" s="2" t="str">
        <x:v>Central Market</x:v>
      </x:c>
      <x:c r="I1650" s="2" t="n">
        <x:v>15</x:v>
      </x:c>
      <x:c r="J1650" s="2" t="n">
        <x:v>0</x:v>
      </x:c>
      <x:c r="K1650" s="2" t="n">
        <x:f>I1650-J1650</x:f>
        <x:v>15</x:v>
      </x:c>
      <x:c r="L1650" s="16" t="n">
        <x:v>20</x:v>
      </x:c>
      <x:c r="M1650" s="16" t="n">
        <x:v>20</x:v>
      </x:c>
      <x:c r="N1650" s="16" t="n">
        <x:v>8.2</x:v>
      </x:c>
      <x:c r="O1650" s="16" t="n">
        <x:f>K1650*M1650</x:f>
        <x:v>300</x:v>
      </x:c>
      <x:c r="P1650" s="16" t="n">
        <x:f>K1650*N1650</x:f>
        <x:v>122.99999999999999</x:v>
      </x:c>
      <x:c r="Q1650" s="16" t="n">
        <x:f>O1650-P1650</x:f>
        <x:v>177</x:v>
      </x:c>
      <x:c r="R1650" s="2" t="n">
        <x:v>90</x:v>
      </x:c>
      <x:c r="S1650" s="2" t="n">
        <x:v>71</x:v>
      </x:c>
      <x:c r="T1650" s="2" t="n">
        <x:f>R1650+S1650+J1650-I1650</x:f>
        <x:v>146</x:v>
      </x:c>
      <x:c r="U1650" s="2" t="n">
        <x:v>0</x:v>
      </x:c>
      <x:c r="V1650" s="2" t="n">
        <x:v>4</x:v>
      </x:c>
      <x:c r="W1650" s="2" t="n">
        <x:v>18</x:v>
      </x:c>
      <x:c r="X1650" s="14" t="b">
        <x:v>0</x:v>
      </x:c>
      <x:c r="Y1650" s="14" t="b">
        <x:v>0</x:v>
      </x:c>
      <x:c r="Z1650" s="2" t="n">
        <x:f>ABS(T1650-AA1650)</x:f>
        <x:v>0</x:v>
      </x:c>
      <x:c r="AA1650" s="2" t="n">
        <x:v>146</x:v>
      </x:c>
      <x:c r="AB1650" s="2" t="n">
        <x:f>ABS(K1650-W1650)</x:f>
        <x:v>3</x:v>
      </x:c>
      <x:c r="AC1650" s="2" t="n">
        <x:f>COUNTIF($A$2:$A$1921,A1650)-1</x:f>
        <x:v>0</x:v>
      </x:c>
      <x:c r="AD1650" s="2" t="n">
        <x:f>IF(AND(D1650=D1649,H1650=H1649,C1650=C1649+1),ABS(R1650-T1649),0)</x:f>
        <x:v>0</x:v>
      </x:c>
    </x:row>
    <x:row r="1651" ht="23" customHeight="1">
      <x:c r="A1651" s="2" t="str">
        <x:v>DEMO-403-2-10</x:v>
      </x:c>
      <x:c r="B1651" s="15" t="d">
        <x:v>2026-07-06T00:00:00.000Z</x:v>
      </x:c>
      <x:c r="C1651" s="2" t="n">
        <x:v>10</x:v>
      </x:c>
      <x:c r="D1651" s="2" t="str">
        <x:v>DEMO-403</x:v>
      </x:c>
      <x:c r="E1651" s="2" t="str">
        <x:v>Pocket Organiser</x:v>
      </x:c>
      <x:c r="F1651" s="2" t="str">
        <x:v>Accessories</x:v>
      </x:c>
      <x:c r="G1651" s="2" t="str">
        <x:v>Stores</x:v>
      </x:c>
      <x:c r="H1651" s="2" t="str">
        <x:v>Central Market</x:v>
      </x:c>
      <x:c r="I1651" s="2" t="n">
        <x:v>20</x:v>
      </x:c>
      <x:c r="J1651" s="2" t="n">
        <x:v>0</x:v>
      </x:c>
      <x:c r="K1651" s="2" t="n">
        <x:f>I1651-J1651</x:f>
        <x:v>20</x:v>
      </x:c>
      <x:c r="L1651" s="16" t="n">
        <x:v>20</x:v>
      </x:c>
      <x:c r="M1651" s="16" t="n">
        <x:v>20</x:v>
      </x:c>
      <x:c r="N1651" s="16" t="n">
        <x:v>8.2</x:v>
      </x:c>
      <x:c r="O1651" s="16" t="n">
        <x:f>K1651*M1651</x:f>
        <x:v>400</x:v>
      </x:c>
      <x:c r="P1651" s="16" t="n">
        <x:f>K1651*N1651</x:f>
        <x:v>164</x:v>
      </x:c>
      <x:c r="Q1651" s="16" t="n">
        <x:f>O1651-P1651</x:f>
        <x:v>236</x:v>
      </x:c>
      <x:c r="R1651" s="2" t="n">
        <x:v>146</x:v>
      </x:c>
      <x:c r="S1651" s="2" t="n">
        <x:v>0</x:v>
      </x:c>
      <x:c r="T1651" s="2" t="n">
        <x:f>R1651+S1651+J1651-I1651</x:f>
        <x:v>126</x:v>
      </x:c>
      <x:c r="U1651" s="2" t="n">
        <x:v>0</x:v>
      </x:c>
      <x:c r="V1651" s="2" t="n">
        <x:v>4</x:v>
      </x:c>
      <x:c r="W1651" s="2" t="n">
        <x:v>17</x:v>
      </x:c>
      <x:c r="X1651" s="14" t="b">
        <x:v>0</x:v>
      </x:c>
      <x:c r="Y1651" s="14" t="b">
        <x:v>0</x:v>
      </x:c>
      <x:c r="Z1651" s="2" t="n">
        <x:f>ABS(T1651-AA1651)</x:f>
        <x:v>0</x:v>
      </x:c>
      <x:c r="AA1651" s="2" t="n">
        <x:v>126</x:v>
      </x:c>
      <x:c r="AB1651" s="2" t="n">
        <x:f>ABS(K1651-W1651)</x:f>
        <x:v>3</x:v>
      </x:c>
      <x:c r="AC1651" s="2" t="n">
        <x:f>COUNTIF($A$2:$A$1921,A1651)-1</x:f>
        <x:v>0</x:v>
      </x:c>
      <x:c r="AD1651" s="2" t="n">
        <x:f>IF(AND(D1651=D1650,H1651=H1650,C1651=C1650+1),ABS(R1651-T1650),0)</x:f>
        <x:v>0</x:v>
      </x:c>
    </x:row>
    <x:row r="1652" ht="23" customHeight="1">
      <x:c r="A1652" s="2" t="str">
        <x:v>DEMO-403-2-11</x:v>
      </x:c>
      <x:c r="B1652" s="15" t="d">
        <x:v>2026-07-13T00:00:00.000Z</x:v>
      </x:c>
      <x:c r="C1652" s="2" t="n">
        <x:v>11</x:v>
      </x:c>
      <x:c r="D1652" s="2" t="str">
        <x:v>DEMO-403</x:v>
      </x:c>
      <x:c r="E1652" s="2" t="str">
        <x:v>Pocket Organiser</x:v>
      </x:c>
      <x:c r="F1652" s="2" t="str">
        <x:v>Accessories</x:v>
      </x:c>
      <x:c r="G1652" s="2" t="str">
        <x:v>Stores</x:v>
      </x:c>
      <x:c r="H1652" s="2" t="str">
        <x:v>Central Market</x:v>
      </x:c>
      <x:c r="I1652" s="2" t="n">
        <x:v>20</x:v>
      </x:c>
      <x:c r="J1652" s="2" t="n">
        <x:v>0</x:v>
      </x:c>
      <x:c r="K1652" s="2" t="n">
        <x:f>I1652-J1652</x:f>
        <x:v>20</x:v>
      </x:c>
      <x:c r="L1652" s="16" t="n">
        <x:v>20</x:v>
      </x:c>
      <x:c r="M1652" s="16" t="n">
        <x:v>20</x:v>
      </x:c>
      <x:c r="N1652" s="16" t="n">
        <x:v>8.2</x:v>
      </x:c>
      <x:c r="O1652" s="16" t="n">
        <x:f>K1652*M1652</x:f>
        <x:v>400</x:v>
      </x:c>
      <x:c r="P1652" s="16" t="n">
        <x:f>K1652*N1652</x:f>
        <x:v>164</x:v>
      </x:c>
      <x:c r="Q1652" s="16" t="n">
        <x:f>O1652-P1652</x:f>
        <x:v>236</x:v>
      </x:c>
      <x:c r="R1652" s="2" t="n">
        <x:v>126</x:v>
      </x:c>
      <x:c r="S1652" s="2" t="n">
        <x:v>0</x:v>
      </x:c>
      <x:c r="T1652" s="2" t="n">
        <x:f>R1652+S1652+J1652-I1652</x:f>
        <x:v>106</x:v>
      </x:c>
      <x:c r="U1652" s="2" t="n">
        <x:v>0</x:v>
      </x:c>
      <x:c r="V1652" s="2" t="n">
        <x:v>4</x:v>
      </x:c>
      <x:c r="W1652" s="2" t="n">
        <x:v>17</x:v>
      </x:c>
      <x:c r="X1652" s="14" t="b">
        <x:v>0</x:v>
      </x:c>
      <x:c r="Y1652" s="14" t="b">
        <x:v>0</x:v>
      </x:c>
      <x:c r="Z1652" s="2" t="n">
        <x:f>ABS(T1652-AA1652)</x:f>
        <x:v>0</x:v>
      </x:c>
      <x:c r="AA1652" s="2" t="n">
        <x:v>106</x:v>
      </x:c>
      <x:c r="AB1652" s="2" t="n">
        <x:f>ABS(K1652-W1652)</x:f>
        <x:v>3</x:v>
      </x:c>
      <x:c r="AC1652" s="2" t="n">
        <x:f>COUNTIF($A$2:$A$1921,A1652)-1</x:f>
        <x:v>0</x:v>
      </x:c>
      <x:c r="AD1652" s="2" t="n">
        <x:f>IF(AND(D1652=D1651,H1652=H1651,C1652=C1651+1),ABS(R1652-T1651),0)</x:f>
        <x:v>0</x:v>
      </x:c>
    </x:row>
    <x:row r="1653" ht="23" customHeight="1">
      <x:c r="A1653" s="2" t="str">
        <x:v>DEMO-403-2-12</x:v>
      </x:c>
      <x:c r="B1653" s="15" t="d">
        <x:v>2026-07-20T00:00:00.000Z</x:v>
      </x:c>
      <x:c r="C1653" s="2" t="n">
        <x:v>12</x:v>
      </x:c>
      <x:c r="D1653" s="2" t="str">
        <x:v>DEMO-403</x:v>
      </x:c>
      <x:c r="E1653" s="2" t="str">
        <x:v>Pocket Organiser</x:v>
      </x:c>
      <x:c r="F1653" s="2" t="str">
        <x:v>Accessories</x:v>
      </x:c>
      <x:c r="G1653" s="2" t="str">
        <x:v>Stores</x:v>
      </x:c>
      <x:c r="H1653" s="2" t="str">
        <x:v>Central Market</x:v>
      </x:c>
      <x:c r="I1653" s="2" t="n">
        <x:v>16</x:v>
      </x:c>
      <x:c r="J1653" s="2" t="n">
        <x:v>0</x:v>
      </x:c>
      <x:c r="K1653" s="2" t="n">
        <x:f>I1653-J1653</x:f>
        <x:v>16</x:v>
      </x:c>
      <x:c r="L1653" s="16" t="n">
        <x:v>20</x:v>
      </x:c>
      <x:c r="M1653" s="16" t="n">
        <x:v>20</x:v>
      </x:c>
      <x:c r="N1653" s="16" t="n">
        <x:v>8.2</x:v>
      </x:c>
      <x:c r="O1653" s="16" t="n">
        <x:f>K1653*M1653</x:f>
        <x:v>320</x:v>
      </x:c>
      <x:c r="P1653" s="16" t="n">
        <x:f>K1653*N1653</x:f>
        <x:v>131.2</x:v>
      </x:c>
      <x:c r="Q1653" s="16" t="n">
        <x:f>O1653-P1653</x:f>
        <x:v>188.8</x:v>
      </x:c>
      <x:c r="R1653" s="2" t="n">
        <x:v>106</x:v>
      </x:c>
      <x:c r="S1653" s="2" t="n">
        <x:v>0</x:v>
      </x:c>
      <x:c r="T1653" s="2" t="n">
        <x:f>R1653+S1653+J1653-I1653</x:f>
        <x:v>90</x:v>
      </x:c>
      <x:c r="U1653" s="2" t="n">
        <x:v>0</x:v>
      </x:c>
      <x:c r="V1653" s="2" t="n">
        <x:v>4</x:v>
      </x:c>
      <x:c r="W1653" s="2" t="n">
        <x:v>18</x:v>
      </x:c>
      <x:c r="X1653" s="14" t="b">
        <x:v>0</x:v>
      </x:c>
      <x:c r="Y1653" s="14" t="b">
        <x:v>0</x:v>
      </x:c>
      <x:c r="Z1653" s="2" t="n">
        <x:f>ABS(T1653-AA1653)</x:f>
        <x:v>0</x:v>
      </x:c>
      <x:c r="AA1653" s="2" t="n">
        <x:v>90</x:v>
      </x:c>
      <x:c r="AB1653" s="2" t="n">
        <x:f>ABS(K1653-W1653)</x:f>
        <x:v>2</x:v>
      </x:c>
      <x:c r="AC1653" s="2" t="n">
        <x:f>COUNTIF($A$2:$A$1921,A1653)-1</x:f>
        <x:v>0</x:v>
      </x:c>
      <x:c r="AD1653" s="2" t="n">
        <x:f>IF(AND(D1653=D1652,H1653=H1652,C1653=C1652+1),ABS(R1653-T1652),0)</x:f>
        <x:v>0</x:v>
      </x:c>
    </x:row>
    <x:row r="1654" ht="23" customHeight="1">
      <x:c r="A1654" s="2" t="str">
        <x:v>DEMO-403-2-13</x:v>
      </x:c>
      <x:c r="B1654" s="15" t="d">
        <x:v>2026-07-27T00:00:00.000Z</x:v>
      </x:c>
      <x:c r="C1654" s="2" t="n">
        <x:v>13</x:v>
      </x:c>
      <x:c r="D1654" s="2" t="str">
        <x:v>DEMO-403</x:v>
      </x:c>
      <x:c r="E1654" s="2" t="str">
        <x:v>Pocket Organiser</x:v>
      </x:c>
      <x:c r="F1654" s="2" t="str">
        <x:v>Accessories</x:v>
      </x:c>
      <x:c r="G1654" s="2" t="str">
        <x:v>Stores</x:v>
      </x:c>
      <x:c r="H1654" s="2" t="str">
        <x:v>Central Market</x:v>
      </x:c>
      <x:c r="I1654" s="2" t="n">
        <x:v>15</x:v>
      </x:c>
      <x:c r="J1654" s="2" t="n">
        <x:v>1</x:v>
      </x:c>
      <x:c r="K1654" s="2" t="n">
        <x:f>I1654-J1654</x:f>
        <x:v>14</x:v>
      </x:c>
      <x:c r="L1654" s="16" t="n">
        <x:v>20</x:v>
      </x:c>
      <x:c r="M1654" s="16" t="n">
        <x:v>20</x:v>
      </x:c>
      <x:c r="N1654" s="16" t="n">
        <x:v>8.2</x:v>
      </x:c>
      <x:c r="O1654" s="16" t="n">
        <x:f>K1654*M1654</x:f>
        <x:v>280</x:v>
      </x:c>
      <x:c r="P1654" s="16" t="n">
        <x:f>K1654*N1654</x:f>
        <x:v>114.79999999999998</x:v>
      </x:c>
      <x:c r="Q1654" s="16" t="n">
        <x:f>O1654-P1654</x:f>
        <x:v>165.20000000000002</x:v>
      </x:c>
      <x:c r="R1654" s="2" t="n">
        <x:v>90</x:v>
      </x:c>
      <x:c r="S1654" s="2" t="n">
        <x:v>71</x:v>
      </x:c>
      <x:c r="T1654" s="2" t="n">
        <x:f>R1654+S1654+J1654-I1654</x:f>
        <x:v>147</x:v>
      </x:c>
      <x:c r="U1654" s="2" t="n">
        <x:v>0</x:v>
      </x:c>
      <x:c r="V1654" s="2" t="n">
        <x:v>4</x:v>
      </x:c>
      <x:c r="W1654" s="2" t="n">
        <x:v>18</x:v>
      </x:c>
      <x:c r="X1654" s="14" t="b">
        <x:v>0</x:v>
      </x:c>
      <x:c r="Y1654" s="14" t="b">
        <x:v>0</x:v>
      </x:c>
      <x:c r="Z1654" s="2" t="n">
        <x:f>ABS(T1654-AA1654)</x:f>
        <x:v>0</x:v>
      </x:c>
      <x:c r="AA1654" s="2" t="n">
        <x:v>147</x:v>
      </x:c>
      <x:c r="AB1654" s="2" t="n">
        <x:f>ABS(K1654-W1654)</x:f>
        <x:v>4</x:v>
      </x:c>
      <x:c r="AC1654" s="2" t="n">
        <x:f>COUNTIF($A$2:$A$1921,A1654)-1</x:f>
        <x:v>0</x:v>
      </x:c>
      <x:c r="AD1654" s="2" t="n">
        <x:f>IF(AND(D1654=D1653,H1654=H1653,C1654=C1653+1),ABS(R1654-T1653),0)</x:f>
        <x:v>0</x:v>
      </x:c>
    </x:row>
    <x:row r="1655" ht="23" customHeight="1">
      <x:c r="A1655" s="2" t="str">
        <x:v>DEMO-403-2-14</x:v>
      </x:c>
      <x:c r="B1655" s="15" t="d">
        <x:v>2026-08-03T00:00:00.000Z</x:v>
      </x:c>
      <x:c r="C1655" s="2" t="n">
        <x:v>14</x:v>
      </x:c>
      <x:c r="D1655" s="2" t="str">
        <x:v>DEMO-403</x:v>
      </x:c>
      <x:c r="E1655" s="2" t="str">
        <x:v>Pocket Organiser</x:v>
      </x:c>
      <x:c r="F1655" s="2" t="str">
        <x:v>Accessories</x:v>
      </x:c>
      <x:c r="G1655" s="2" t="str">
        <x:v>Stores</x:v>
      </x:c>
      <x:c r="H1655" s="2" t="str">
        <x:v>Central Market</x:v>
      </x:c>
      <x:c r="I1655" s="2" t="n">
        <x:v>15</x:v>
      </x:c>
      <x:c r="J1655" s="2" t="n">
        <x:v>0</x:v>
      </x:c>
      <x:c r="K1655" s="2" t="n">
        <x:f>I1655-J1655</x:f>
        <x:v>15</x:v>
      </x:c>
      <x:c r="L1655" s="16" t="n">
        <x:v>20</x:v>
      </x:c>
      <x:c r="M1655" s="16" t="n">
        <x:v>20</x:v>
      </x:c>
      <x:c r="N1655" s="16" t="n">
        <x:v>8.2</x:v>
      </x:c>
      <x:c r="O1655" s="16" t="n">
        <x:f>K1655*M1655</x:f>
        <x:v>300</x:v>
      </x:c>
      <x:c r="P1655" s="16" t="n">
        <x:f>K1655*N1655</x:f>
        <x:v>122.99999999999999</x:v>
      </x:c>
      <x:c r="Q1655" s="16" t="n">
        <x:f>O1655-P1655</x:f>
        <x:v>177</x:v>
      </x:c>
      <x:c r="R1655" s="2" t="n">
        <x:v>147</x:v>
      </x:c>
      <x:c r="S1655" s="2" t="n">
        <x:v>0</x:v>
      </x:c>
      <x:c r="T1655" s="2" t="n">
        <x:f>R1655+S1655+J1655-I1655</x:f>
        <x:v>132</x:v>
      </x:c>
      <x:c r="U1655" s="2" t="n">
        <x:v>0</x:v>
      </x:c>
      <x:c r="V1655" s="2" t="n">
        <x:v>4</x:v>
      </x:c>
      <x:c r="W1655" s="2" t="n">
        <x:v>18</x:v>
      </x:c>
      <x:c r="X1655" s="14" t="b">
        <x:v>0</x:v>
      </x:c>
      <x:c r="Y1655" s="14" t="b">
        <x:v>0</x:v>
      </x:c>
      <x:c r="Z1655" s="2" t="n">
        <x:f>ABS(T1655-AA1655)</x:f>
        <x:v>0</x:v>
      </x:c>
      <x:c r="AA1655" s="2" t="n">
        <x:v>132</x:v>
      </x:c>
      <x:c r="AB1655" s="2" t="n">
        <x:f>ABS(K1655-W1655)</x:f>
        <x:v>3</x:v>
      </x:c>
      <x:c r="AC1655" s="2" t="n">
        <x:f>COUNTIF($A$2:$A$1921,A1655)-1</x:f>
        <x:v>0</x:v>
      </x:c>
      <x:c r="AD1655" s="2" t="n">
        <x:f>IF(AND(D1655=D1654,H1655=H1654,C1655=C1654+1),ABS(R1655-T1654),0)</x:f>
        <x:v>0</x:v>
      </x:c>
    </x:row>
    <x:row r="1656" ht="23" customHeight="1">
      <x:c r="A1656" s="2" t="str">
        <x:v>DEMO-403-2-15</x:v>
      </x:c>
      <x:c r="B1656" s="15" t="d">
        <x:v>2026-08-10T00:00:00.000Z</x:v>
      </x:c>
      <x:c r="C1656" s="2" t="n">
        <x:v>15</x:v>
      </x:c>
      <x:c r="D1656" s="2" t="str">
        <x:v>DEMO-403</x:v>
      </x:c>
      <x:c r="E1656" s="2" t="str">
        <x:v>Pocket Organiser</x:v>
      </x:c>
      <x:c r="F1656" s="2" t="str">
        <x:v>Accessories</x:v>
      </x:c>
      <x:c r="G1656" s="2" t="str">
        <x:v>Stores</x:v>
      </x:c>
      <x:c r="H1656" s="2" t="str">
        <x:v>Central Market</x:v>
      </x:c>
      <x:c r="I1656" s="2" t="n">
        <x:v>19</x:v>
      </x:c>
      <x:c r="J1656" s="2" t="n">
        <x:v>1</x:v>
      </x:c>
      <x:c r="K1656" s="2" t="n">
        <x:f>I1656-J1656</x:f>
        <x:v>18</x:v>
      </x:c>
      <x:c r="L1656" s="16" t="n">
        <x:v>20</x:v>
      </x:c>
      <x:c r="M1656" s="16" t="n">
        <x:v>20</x:v>
      </x:c>
      <x:c r="N1656" s="16" t="n">
        <x:v>8.2</x:v>
      </x:c>
      <x:c r="O1656" s="16" t="n">
        <x:f>K1656*M1656</x:f>
        <x:v>360</x:v>
      </x:c>
      <x:c r="P1656" s="16" t="n">
        <x:f>K1656*N1656</x:f>
        <x:v>147.6</x:v>
      </x:c>
      <x:c r="Q1656" s="16" t="n">
        <x:f>O1656-P1656</x:f>
        <x:v>212.4</x:v>
      </x:c>
      <x:c r="R1656" s="2" t="n">
        <x:v>132</x:v>
      </x:c>
      <x:c r="S1656" s="2" t="n">
        <x:v>0</x:v>
      </x:c>
      <x:c r="T1656" s="2" t="n">
        <x:f>R1656+S1656+J1656-I1656</x:f>
        <x:v>114</x:v>
      </x:c>
      <x:c r="U1656" s="2" t="n">
        <x:v>0</x:v>
      </x:c>
      <x:c r="V1656" s="2" t="n">
        <x:v>4</x:v>
      </x:c>
      <x:c r="W1656" s="2" t="n">
        <x:v>16</x:v>
      </x:c>
      <x:c r="X1656" s="14" t="b">
        <x:v>0</x:v>
      </x:c>
      <x:c r="Y1656" s="14" t="b">
        <x:v>0</x:v>
      </x:c>
      <x:c r="Z1656" s="2" t="n">
        <x:f>ABS(T1656-AA1656)</x:f>
        <x:v>0</x:v>
      </x:c>
      <x:c r="AA1656" s="2" t="n">
        <x:v>114</x:v>
      </x:c>
      <x:c r="AB1656" s="2" t="n">
        <x:f>ABS(K1656-W1656)</x:f>
        <x:v>2</x:v>
      </x:c>
      <x:c r="AC1656" s="2" t="n">
        <x:f>COUNTIF($A$2:$A$1921,A1656)-1</x:f>
        <x:v>0</x:v>
      </x:c>
      <x:c r="AD1656" s="2" t="n">
        <x:f>IF(AND(D1656=D1655,H1656=H1655,C1656=C1655+1),ABS(R1656-T1655),0)</x:f>
        <x:v>0</x:v>
      </x:c>
    </x:row>
    <x:row r="1657" ht="23" customHeight="1">
      <x:c r="A1657" s="2" t="str">
        <x:v>DEMO-403-2-16</x:v>
      </x:c>
      <x:c r="B1657" s="15" t="d">
        <x:v>2026-08-17T00:00:00.000Z</x:v>
      </x:c>
      <x:c r="C1657" s="2" t="n">
        <x:v>16</x:v>
      </x:c>
      <x:c r="D1657" s="2" t="str">
        <x:v>DEMO-403</x:v>
      </x:c>
      <x:c r="E1657" s="2" t="str">
        <x:v>Pocket Organiser</x:v>
      </x:c>
      <x:c r="F1657" s="2" t="str">
        <x:v>Accessories</x:v>
      </x:c>
      <x:c r="G1657" s="2" t="str">
        <x:v>Stores</x:v>
      </x:c>
      <x:c r="H1657" s="2" t="str">
        <x:v>Central Market</x:v>
      </x:c>
      <x:c r="I1657" s="2" t="n">
        <x:v>19</x:v>
      </x:c>
      <x:c r="J1657" s="2" t="n">
        <x:v>0</x:v>
      </x:c>
      <x:c r="K1657" s="2" t="n">
        <x:f>I1657-J1657</x:f>
        <x:v>19</x:v>
      </x:c>
      <x:c r="L1657" s="16" t="n">
        <x:v>20</x:v>
      </x:c>
      <x:c r="M1657" s="16" t="n">
        <x:v>20</x:v>
      </x:c>
      <x:c r="N1657" s="16" t="n">
        <x:v>8.2</x:v>
      </x:c>
      <x:c r="O1657" s="16" t="n">
        <x:f>K1657*M1657</x:f>
        <x:v>380</x:v>
      </x:c>
      <x:c r="P1657" s="16" t="n">
        <x:f>K1657*N1657</x:f>
        <x:v>155.79999999999998</x:v>
      </x:c>
      <x:c r="Q1657" s="16" t="n">
        <x:f>O1657-P1657</x:f>
        <x:v>224.20000000000002</x:v>
      </x:c>
      <x:c r="R1657" s="2" t="n">
        <x:v>114</x:v>
      </x:c>
      <x:c r="S1657" s="2" t="n">
        <x:v>0</x:v>
      </x:c>
      <x:c r="T1657" s="2" t="n">
        <x:f>R1657+S1657+J1657-I1657</x:f>
        <x:v>95</x:v>
      </x:c>
      <x:c r="U1657" s="2" t="n">
        <x:v>0</x:v>
      </x:c>
      <x:c r="V1657" s="2" t="n">
        <x:v>4</x:v>
      </x:c>
      <x:c r="W1657" s="2" t="n">
        <x:v>16</x:v>
      </x:c>
      <x:c r="X1657" s="14" t="b">
        <x:v>0</x:v>
      </x:c>
      <x:c r="Y1657" s="14" t="b">
        <x:v>0</x:v>
      </x:c>
      <x:c r="Z1657" s="2" t="n">
        <x:f>ABS(T1657-AA1657)</x:f>
        <x:v>0</x:v>
      </x:c>
      <x:c r="AA1657" s="2" t="n">
        <x:v>95</x:v>
      </x:c>
      <x:c r="AB1657" s="2" t="n">
        <x:f>ABS(K1657-W1657)</x:f>
        <x:v>3</x:v>
      </x:c>
      <x:c r="AC1657" s="2" t="n">
        <x:f>COUNTIF($A$2:$A$1921,A1657)-1</x:f>
        <x:v>0</x:v>
      </x:c>
      <x:c r="AD1657" s="2" t="n">
        <x:f>IF(AND(D1657=D1656,H1657=H1656,C1657=C1656+1),ABS(R1657-T1656),0)</x:f>
        <x:v>0</x:v>
      </x:c>
    </x:row>
    <x:row r="1658" ht="23" customHeight="1">
      <x:c r="A1658" s="2" t="str">
        <x:v>DEMO-403-2-17</x:v>
      </x:c>
      <x:c r="B1658" s="15" t="d">
        <x:v>2026-08-24T00:00:00.000Z</x:v>
      </x:c>
      <x:c r="C1658" s="2" t="n">
        <x:v>17</x:v>
      </x:c>
      <x:c r="D1658" s="2" t="str">
        <x:v>DEMO-403</x:v>
      </x:c>
      <x:c r="E1658" s="2" t="str">
        <x:v>Pocket Organiser</x:v>
      </x:c>
      <x:c r="F1658" s="2" t="str">
        <x:v>Accessories</x:v>
      </x:c>
      <x:c r="G1658" s="2" t="str">
        <x:v>Stores</x:v>
      </x:c>
      <x:c r="H1658" s="2" t="str">
        <x:v>Central Market</x:v>
      </x:c>
      <x:c r="I1658" s="2" t="n">
        <x:v>18</x:v>
      </x:c>
      <x:c r="J1658" s="2" t="n">
        <x:v>0</x:v>
      </x:c>
      <x:c r="K1658" s="2" t="n">
        <x:f>I1658-J1658</x:f>
        <x:v>18</x:v>
      </x:c>
      <x:c r="L1658" s="16" t="n">
        <x:v>20</x:v>
      </x:c>
      <x:c r="M1658" s="16" t="n">
        <x:v>20</x:v>
      </x:c>
      <x:c r="N1658" s="16" t="n">
        <x:v>8.2</x:v>
      </x:c>
      <x:c r="O1658" s="16" t="n">
        <x:f>K1658*M1658</x:f>
        <x:v>360</x:v>
      </x:c>
      <x:c r="P1658" s="16" t="n">
        <x:f>K1658*N1658</x:f>
        <x:v>147.6</x:v>
      </x:c>
      <x:c r="Q1658" s="16" t="n">
        <x:f>O1658-P1658</x:f>
        <x:v>212.4</x:v>
      </x:c>
      <x:c r="R1658" s="2" t="n">
        <x:v>95</x:v>
      </x:c>
      <x:c r="S1658" s="2" t="n">
        <x:v>71</x:v>
      </x:c>
      <x:c r="T1658" s="2" t="n">
        <x:f>R1658+S1658+J1658-I1658</x:f>
        <x:v>148</x:v>
      </x:c>
      <x:c r="U1658" s="2" t="n">
        <x:v>0</x:v>
      </x:c>
      <x:c r="V1658" s="2" t="n">
        <x:v>4</x:v>
      </x:c>
      <x:c r="W1658" s="2" t="n">
        <x:v>17</x:v>
      </x:c>
      <x:c r="X1658" s="14" t="b">
        <x:v>0</x:v>
      </x:c>
      <x:c r="Y1658" s="14" t="b">
        <x:v>0</x:v>
      </x:c>
      <x:c r="Z1658" s="2" t="n">
        <x:f>ABS(T1658-AA1658)</x:f>
        <x:v>0</x:v>
      </x:c>
      <x:c r="AA1658" s="2" t="n">
        <x:v>148</x:v>
      </x:c>
      <x:c r="AB1658" s="2" t="n">
        <x:f>ABS(K1658-W1658)</x:f>
        <x:v>1</x:v>
      </x:c>
      <x:c r="AC1658" s="2" t="n">
        <x:f>COUNTIF($A$2:$A$1921,A1658)-1</x:f>
        <x:v>0</x:v>
      </x:c>
      <x:c r="AD1658" s="2" t="n">
        <x:f>IF(AND(D1658=D1657,H1658=H1657,C1658=C1657+1),ABS(R1658-T1657),0)</x:f>
        <x:v>0</x:v>
      </x:c>
    </x:row>
    <x:row r="1659" ht="23" customHeight="1">
      <x:c r="A1659" s="2" t="str">
        <x:v>DEMO-403-2-18</x:v>
      </x:c>
      <x:c r="B1659" s="15" t="d">
        <x:v>2026-08-31T00:00:00.000Z</x:v>
      </x:c>
      <x:c r="C1659" s="2" t="n">
        <x:v>18</x:v>
      </x:c>
      <x:c r="D1659" s="2" t="str">
        <x:v>DEMO-403</x:v>
      </x:c>
      <x:c r="E1659" s="2" t="str">
        <x:v>Pocket Organiser</x:v>
      </x:c>
      <x:c r="F1659" s="2" t="str">
        <x:v>Accessories</x:v>
      </x:c>
      <x:c r="G1659" s="2" t="str">
        <x:v>Stores</x:v>
      </x:c>
      <x:c r="H1659" s="2" t="str">
        <x:v>Central Market</x:v>
      </x:c>
      <x:c r="I1659" s="2" t="n">
        <x:v>15</x:v>
      </x:c>
      <x:c r="J1659" s="2" t="n">
        <x:v>0</x:v>
      </x:c>
      <x:c r="K1659" s="2" t="n">
        <x:f>I1659-J1659</x:f>
        <x:v>15</x:v>
      </x:c>
      <x:c r="L1659" s="16" t="n">
        <x:v>20</x:v>
      </x:c>
      <x:c r="M1659" s="16" t="n">
        <x:v>20</x:v>
      </x:c>
      <x:c r="N1659" s="16" t="n">
        <x:v>8.2</x:v>
      </x:c>
      <x:c r="O1659" s="16" t="n">
        <x:f>K1659*M1659</x:f>
        <x:v>300</x:v>
      </x:c>
      <x:c r="P1659" s="16" t="n">
        <x:f>K1659*N1659</x:f>
        <x:v>122.99999999999999</x:v>
      </x:c>
      <x:c r="Q1659" s="16" t="n">
        <x:f>O1659-P1659</x:f>
        <x:v>177</x:v>
      </x:c>
      <x:c r="R1659" s="2" t="n">
        <x:v>148</x:v>
      </x:c>
      <x:c r="S1659" s="2" t="n">
        <x:v>0</x:v>
      </x:c>
      <x:c r="T1659" s="2" t="n">
        <x:f>R1659+S1659+J1659-I1659</x:f>
        <x:v>133</x:v>
      </x:c>
      <x:c r="U1659" s="2" t="n">
        <x:v>0</x:v>
      </x:c>
      <x:c r="V1659" s="2" t="n">
        <x:v>4</x:v>
      </x:c>
      <x:c r="W1659" s="2" t="n">
        <x:v>18</x:v>
      </x:c>
      <x:c r="X1659" s="14" t="b">
        <x:v>0</x:v>
      </x:c>
      <x:c r="Y1659" s="14" t="b">
        <x:v>0</x:v>
      </x:c>
      <x:c r="Z1659" s="2" t="n">
        <x:f>ABS(T1659-AA1659)</x:f>
        <x:v>0</x:v>
      </x:c>
      <x:c r="AA1659" s="2" t="n">
        <x:v>133</x:v>
      </x:c>
      <x:c r="AB1659" s="2" t="n">
        <x:f>ABS(K1659-W1659)</x:f>
        <x:v>3</x:v>
      </x:c>
      <x:c r="AC1659" s="2" t="n">
        <x:f>COUNTIF($A$2:$A$1921,A1659)-1</x:f>
        <x:v>0</x:v>
      </x:c>
      <x:c r="AD1659" s="2" t="n">
        <x:f>IF(AND(D1659=D1658,H1659=H1658,C1659=C1658+1),ABS(R1659-T1658),0)</x:f>
        <x:v>0</x:v>
      </x:c>
    </x:row>
    <x:row r="1660" ht="23" customHeight="1">
      <x:c r="A1660" s="2" t="str">
        <x:v>DEMO-403-2-19</x:v>
      </x:c>
      <x:c r="B1660" s="15" t="d">
        <x:v>2026-09-07T00:00:00.000Z</x:v>
      </x:c>
      <x:c r="C1660" s="2" t="n">
        <x:v>19</x:v>
      </x:c>
      <x:c r="D1660" s="2" t="str">
        <x:v>DEMO-403</x:v>
      </x:c>
      <x:c r="E1660" s="2" t="str">
        <x:v>Pocket Organiser</x:v>
      </x:c>
      <x:c r="F1660" s="2" t="str">
        <x:v>Accessories</x:v>
      </x:c>
      <x:c r="G1660" s="2" t="str">
        <x:v>Stores</x:v>
      </x:c>
      <x:c r="H1660" s="2" t="str">
        <x:v>Central Market</x:v>
      </x:c>
      <x:c r="I1660" s="2" t="n">
        <x:v>20</x:v>
      </x:c>
      <x:c r="J1660" s="2" t="n">
        <x:v>0</x:v>
      </x:c>
      <x:c r="K1660" s="2" t="n">
        <x:f>I1660-J1660</x:f>
        <x:v>20</x:v>
      </x:c>
      <x:c r="L1660" s="16" t="n">
        <x:v>20</x:v>
      </x:c>
      <x:c r="M1660" s="16" t="n">
        <x:v>20</x:v>
      </x:c>
      <x:c r="N1660" s="16" t="n">
        <x:v>8.2</x:v>
      </x:c>
      <x:c r="O1660" s="16" t="n">
        <x:f>K1660*M1660</x:f>
        <x:v>400</x:v>
      </x:c>
      <x:c r="P1660" s="16" t="n">
        <x:f>K1660*N1660</x:f>
        <x:v>164</x:v>
      </x:c>
      <x:c r="Q1660" s="16" t="n">
        <x:f>O1660-P1660</x:f>
        <x:v>236</x:v>
      </x:c>
      <x:c r="R1660" s="2" t="n">
        <x:v>133</x:v>
      </x:c>
      <x:c r="S1660" s="2" t="n">
        <x:v>0</x:v>
      </x:c>
      <x:c r="T1660" s="2" t="n">
        <x:f>R1660+S1660+J1660-I1660</x:f>
        <x:v>113</x:v>
      </x:c>
      <x:c r="U1660" s="2" t="n">
        <x:v>0</x:v>
      </x:c>
      <x:c r="V1660" s="2" t="n">
        <x:v>4</x:v>
      </x:c>
      <x:c r="W1660" s="2" t="n">
        <x:v>18</x:v>
      </x:c>
      <x:c r="X1660" s="14" t="b">
        <x:v>0</x:v>
      </x:c>
      <x:c r="Y1660" s="14" t="b">
        <x:v>0</x:v>
      </x:c>
      <x:c r="Z1660" s="2" t="n">
        <x:f>ABS(T1660-AA1660)</x:f>
        <x:v>0</x:v>
      </x:c>
      <x:c r="AA1660" s="2" t="n">
        <x:v>113</x:v>
      </x:c>
      <x:c r="AB1660" s="2" t="n">
        <x:f>ABS(K1660-W1660)</x:f>
        <x:v>2</x:v>
      </x:c>
      <x:c r="AC1660" s="2" t="n">
        <x:f>COUNTIF($A$2:$A$1921,A1660)-1</x:f>
        <x:v>0</x:v>
      </x:c>
      <x:c r="AD1660" s="2" t="n">
        <x:f>IF(AND(D1660=D1659,H1660=H1659,C1660=C1659+1),ABS(R1660-T1659),0)</x:f>
        <x:v>0</x:v>
      </x:c>
    </x:row>
    <x:row r="1661" ht="23" customHeight="1">
      <x:c r="A1661" s="2" t="str">
        <x:v>DEMO-403-2-20</x:v>
      </x:c>
      <x:c r="B1661" s="15" t="d">
        <x:v>2026-09-14T00:00:00.000Z</x:v>
      </x:c>
      <x:c r="C1661" s="2" t="n">
        <x:v>20</x:v>
      </x:c>
      <x:c r="D1661" s="2" t="str">
        <x:v>DEMO-403</x:v>
      </x:c>
      <x:c r="E1661" s="2" t="str">
        <x:v>Pocket Organiser</x:v>
      </x:c>
      <x:c r="F1661" s="2" t="str">
        <x:v>Accessories</x:v>
      </x:c>
      <x:c r="G1661" s="2" t="str">
        <x:v>Stores</x:v>
      </x:c>
      <x:c r="H1661" s="2" t="str">
        <x:v>Central Market</x:v>
      </x:c>
      <x:c r="I1661" s="2" t="n">
        <x:v>16</x:v>
      </x:c>
      <x:c r="J1661" s="2" t="n">
        <x:v>0</x:v>
      </x:c>
      <x:c r="K1661" s="2" t="n">
        <x:f>I1661-J1661</x:f>
        <x:v>16</x:v>
      </x:c>
      <x:c r="L1661" s="16" t="n">
        <x:v>20</x:v>
      </x:c>
      <x:c r="M1661" s="16" t="n">
        <x:v>20</x:v>
      </x:c>
      <x:c r="N1661" s="16" t="n">
        <x:v>8.2</x:v>
      </x:c>
      <x:c r="O1661" s="16" t="n">
        <x:f>K1661*M1661</x:f>
        <x:v>320</x:v>
      </x:c>
      <x:c r="P1661" s="16" t="n">
        <x:f>K1661*N1661</x:f>
        <x:v>131.2</x:v>
      </x:c>
      <x:c r="Q1661" s="16" t="n">
        <x:f>O1661-P1661</x:f>
        <x:v>188.8</x:v>
      </x:c>
      <x:c r="R1661" s="2" t="n">
        <x:v>113</x:v>
      </x:c>
      <x:c r="S1661" s="2" t="n">
        <x:v>0</x:v>
      </x:c>
      <x:c r="T1661" s="2" t="n">
        <x:f>R1661+S1661+J1661-I1661</x:f>
        <x:v>97</x:v>
      </x:c>
      <x:c r="U1661" s="2" t="n">
        <x:v>18</x:v>
      </x:c>
      <x:c r="V1661" s="2" t="n">
        <x:v>4</x:v>
      </x:c>
      <x:c r="W1661" s="2" t="n">
        <x:v>18</x:v>
      </x:c>
      <x:c r="X1661" s="14" t="b">
        <x:v>0</x:v>
      </x:c>
      <x:c r="Y1661" s="14" t="b">
        <x:v>0</x:v>
      </x:c>
      <x:c r="Z1661" s="2" t="n">
        <x:f>ABS(T1661-AA1661)</x:f>
        <x:v>0</x:v>
      </x:c>
      <x:c r="AA1661" s="2" t="n">
        <x:v>97</x:v>
      </x:c>
      <x:c r="AB1661" s="2" t="n">
        <x:f>ABS(K1661-W1661)</x:f>
        <x:v>2</x:v>
      </x:c>
      <x:c r="AC1661" s="2" t="n">
        <x:f>COUNTIF($A$2:$A$1921,A1661)-1</x:f>
        <x:v>0</x:v>
      </x:c>
      <x:c r="AD1661" s="2" t="n">
        <x:f>IF(AND(D1661=D1660,H1661=H1660,C1661=C1660+1),ABS(R1661-T1660),0)</x:f>
        <x:v>0</x:v>
      </x:c>
    </x:row>
    <x:row r="1662" ht="23" customHeight="1">
      <x:c r="A1662" s="2" t="str">
        <x:v>DEMO-403-3-1</x:v>
      </x:c>
      <x:c r="B1662" s="15" t="d">
        <x:v>2026-05-04T00:00:00.000Z</x:v>
      </x:c>
      <x:c r="C1662" s="2" t="n">
        <x:v>1</x:v>
      </x:c>
      <x:c r="D1662" s="2" t="str">
        <x:v>DEMO-403</x:v>
      </x:c>
      <x:c r="E1662" s="2" t="str">
        <x:v>Pocket Organiser</x:v>
      </x:c>
      <x:c r="F1662" s="2" t="str">
        <x:v>Accessories</x:v>
      </x:c>
      <x:c r="G1662" s="2" t="str">
        <x:v>Online</x:v>
      </x:c>
      <x:c r="H1662" s="2" t="str">
        <x:v>Online</x:v>
      </x:c>
      <x:c r="I1662" s="2" t="n">
        <x:v>25</x:v>
      </x:c>
      <x:c r="J1662" s="2" t="n">
        <x:v>0</x:v>
      </x:c>
      <x:c r="K1662" s="2" t="n">
        <x:f>I1662-J1662</x:f>
        <x:v>25</x:v>
      </x:c>
      <x:c r="L1662" s="16" t="n">
        <x:v>20</x:v>
      </x:c>
      <x:c r="M1662" s="16" t="n">
        <x:v>20</x:v>
      </x:c>
      <x:c r="N1662" s="16" t="n">
        <x:v>8.2</x:v>
      </x:c>
      <x:c r="O1662" s="16" t="n">
        <x:f>K1662*M1662</x:f>
        <x:v>500</x:v>
      </x:c>
      <x:c r="P1662" s="16" t="n">
        <x:f>K1662*N1662</x:f>
        <x:v>204.99999999999997</x:v>
      </x:c>
      <x:c r="Q1662" s="16" t="n">
        <x:f>O1662-P1662</x:f>
        <x:v>295</x:v>
      </x:c>
      <x:c r="R1662" s="2" t="n">
        <x:v>90</x:v>
      </x:c>
      <x:c r="S1662" s="2" t="n">
        <x:v>121</x:v>
      </x:c>
      <x:c r="T1662" s="2" t="n">
        <x:f>R1662+S1662+J1662-I1662</x:f>
        <x:v>186</x:v>
      </x:c>
      <x:c r="U1662" s="2" t="n">
        <x:v>0</x:v>
      </x:c>
      <x:c r="V1662" s="2" t="n">
        <x:v>4</x:v>
      </x:c>
      <x:c r="W1662" s="2" t="n">
        <x:v>29</x:v>
      </x:c>
      <x:c r="X1662" s="14" t="b">
        <x:v>0</x:v>
      </x:c>
      <x:c r="Y1662" s="14" t="b">
        <x:v>0</x:v>
      </x:c>
      <x:c r="Z1662" s="2" t="n">
        <x:f>ABS(T1662-AA1662)</x:f>
        <x:v>0</x:v>
      </x:c>
      <x:c r="AA1662" s="2" t="n">
        <x:v>186</x:v>
      </x:c>
      <x:c r="AB1662" s="2" t="n">
        <x:f>ABS(K1662-W1662)</x:f>
        <x:v>4</x:v>
      </x:c>
      <x:c r="AC1662" s="2" t="n">
        <x:f>COUNTIF($A$2:$A$1921,A1662)-1</x:f>
        <x:v>0</x:v>
      </x:c>
      <x:c r="AD1662" s="2" t="n">
        <x:f>IF(AND(D1662=D1661,H1662=H1661,C1662=C1661+1),ABS(R1662-T1661),0)</x:f>
        <x:v>0</x:v>
      </x:c>
    </x:row>
    <x:row r="1663" ht="23" customHeight="1">
      <x:c r="A1663" s="2" t="str">
        <x:v>DEMO-403-3-2</x:v>
      </x:c>
      <x:c r="B1663" s="15" t="d">
        <x:v>2026-05-11T00:00:00.000Z</x:v>
      </x:c>
      <x:c r="C1663" s="2" t="n">
        <x:v>2</x:v>
      </x:c>
      <x:c r="D1663" s="2" t="str">
        <x:v>DEMO-403</x:v>
      </x:c>
      <x:c r="E1663" s="2" t="str">
        <x:v>Pocket Organiser</x:v>
      </x:c>
      <x:c r="F1663" s="2" t="str">
        <x:v>Accessories</x:v>
      </x:c>
      <x:c r="G1663" s="2" t="str">
        <x:v>Online</x:v>
      </x:c>
      <x:c r="H1663" s="2" t="str">
        <x:v>Online</x:v>
      </x:c>
      <x:c r="I1663" s="2" t="n">
        <x:v>27</x:v>
      </x:c>
      <x:c r="J1663" s="2" t="n">
        <x:v>0</x:v>
      </x:c>
      <x:c r="K1663" s="2" t="n">
        <x:f>I1663-J1663</x:f>
        <x:v>27</x:v>
      </x:c>
      <x:c r="L1663" s="16" t="n">
        <x:v>20</x:v>
      </x:c>
      <x:c r="M1663" s="16" t="n">
        <x:v>20</x:v>
      </x:c>
      <x:c r="N1663" s="16" t="n">
        <x:v>8.2</x:v>
      </x:c>
      <x:c r="O1663" s="16" t="n">
        <x:f>K1663*M1663</x:f>
        <x:v>540</x:v>
      </x:c>
      <x:c r="P1663" s="16" t="n">
        <x:f>K1663*N1663</x:f>
        <x:v>221.39999999999998</x:v>
      </x:c>
      <x:c r="Q1663" s="16" t="n">
        <x:f>O1663-P1663</x:f>
        <x:v>318.6</x:v>
      </x:c>
      <x:c r="R1663" s="2" t="n">
        <x:v>186</x:v>
      </x:c>
      <x:c r="S1663" s="2" t="n">
        <x:v>0</x:v>
      </x:c>
      <x:c r="T1663" s="2" t="n">
        <x:f>R1663+S1663+J1663-I1663</x:f>
        <x:v>159</x:v>
      </x:c>
      <x:c r="U1663" s="2" t="n">
        <x:v>0</x:v>
      </x:c>
      <x:c r="V1663" s="2" t="n">
        <x:v>4</x:v>
      </x:c>
      <x:c r="W1663" s="2" t="n">
        <x:v>25</x:v>
      </x:c>
      <x:c r="X1663" s="14" t="b">
        <x:v>0</x:v>
      </x:c>
      <x:c r="Y1663" s="14" t="b">
        <x:v>0</x:v>
      </x:c>
      <x:c r="Z1663" s="2" t="n">
        <x:f>ABS(T1663-AA1663)</x:f>
        <x:v>0</x:v>
      </x:c>
      <x:c r="AA1663" s="2" t="n">
        <x:v>159</x:v>
      </x:c>
      <x:c r="AB1663" s="2" t="n">
        <x:f>ABS(K1663-W1663)</x:f>
        <x:v>2</x:v>
      </x:c>
      <x:c r="AC1663" s="2" t="n">
        <x:f>COUNTIF($A$2:$A$1921,A1663)-1</x:f>
        <x:v>0</x:v>
      </x:c>
      <x:c r="AD1663" s="2" t="n">
        <x:f>IF(AND(D1663=D1662,H1663=H1662,C1663=C1662+1),ABS(R1663-T1662),0)</x:f>
        <x:v>0</x:v>
      </x:c>
    </x:row>
    <x:row r="1664" ht="23" customHeight="1">
      <x:c r="A1664" s="2" t="str">
        <x:v>DEMO-403-3-3</x:v>
      </x:c>
      <x:c r="B1664" s="15" t="d">
        <x:v>2026-05-18T00:00:00.000Z</x:v>
      </x:c>
      <x:c r="C1664" s="2" t="n">
        <x:v>3</x:v>
      </x:c>
      <x:c r="D1664" s="2" t="str">
        <x:v>DEMO-403</x:v>
      </x:c>
      <x:c r="E1664" s="2" t="str">
        <x:v>Pocket Organiser</x:v>
      </x:c>
      <x:c r="F1664" s="2" t="str">
        <x:v>Accessories</x:v>
      </x:c>
      <x:c r="G1664" s="2" t="str">
        <x:v>Online</x:v>
      </x:c>
      <x:c r="H1664" s="2" t="str">
        <x:v>Online</x:v>
      </x:c>
      <x:c r="I1664" s="2" t="n">
        <x:v>24</x:v>
      </x:c>
      <x:c r="J1664" s="2" t="n">
        <x:v>1</x:v>
      </x:c>
      <x:c r="K1664" s="2" t="n">
        <x:f>I1664-J1664</x:f>
        <x:v>23</x:v>
      </x:c>
      <x:c r="L1664" s="16" t="n">
        <x:v>20</x:v>
      </x:c>
      <x:c r="M1664" s="16" t="n">
        <x:v>20</x:v>
      </x:c>
      <x:c r="N1664" s="16" t="n">
        <x:v>8.2</x:v>
      </x:c>
      <x:c r="O1664" s="16" t="n">
        <x:f>K1664*M1664</x:f>
        <x:v>460</x:v>
      </x:c>
      <x:c r="P1664" s="16" t="n">
        <x:f>K1664*N1664</x:f>
        <x:v>188.6</x:v>
      </x:c>
      <x:c r="Q1664" s="16" t="n">
        <x:f>O1664-P1664</x:f>
        <x:v>271.4</x:v>
      </x:c>
      <x:c r="R1664" s="2" t="n">
        <x:v>159</x:v>
      </x:c>
      <x:c r="S1664" s="2" t="n">
        <x:v>0</x:v>
      </x:c>
      <x:c r="T1664" s="2" t="n">
        <x:f>R1664+S1664+J1664-I1664</x:f>
        <x:v>136</x:v>
      </x:c>
      <x:c r="U1664" s="2" t="n">
        <x:v>0</x:v>
      </x:c>
      <x:c r="V1664" s="2" t="n">
        <x:v>4</x:v>
      </x:c>
      <x:c r="W1664" s="2" t="n">
        <x:v>26</x:v>
      </x:c>
      <x:c r="X1664" s="14" t="b">
        <x:v>0</x:v>
      </x:c>
      <x:c r="Y1664" s="14" t="b">
        <x:v>0</x:v>
      </x:c>
      <x:c r="Z1664" s="2" t="n">
        <x:f>ABS(T1664-AA1664)</x:f>
        <x:v>0</x:v>
      </x:c>
      <x:c r="AA1664" s="2" t="n">
        <x:v>136</x:v>
      </x:c>
      <x:c r="AB1664" s="2" t="n">
        <x:f>ABS(K1664-W1664)</x:f>
        <x:v>3</x:v>
      </x:c>
      <x:c r="AC1664" s="2" t="n">
        <x:f>COUNTIF($A$2:$A$1921,A1664)-1</x:f>
        <x:v>0</x:v>
      </x:c>
      <x:c r="AD1664" s="2" t="n">
        <x:f>IF(AND(D1664=D1663,H1664=H1663,C1664=C1663+1),ABS(R1664-T1663),0)</x:f>
        <x:v>0</x:v>
      </x:c>
    </x:row>
    <x:row r="1665" ht="23" customHeight="1">
      <x:c r="A1665" s="2" t="str">
        <x:v>DEMO-403-3-4</x:v>
      </x:c>
      <x:c r="B1665" s="15" t="d">
        <x:v>2026-05-25T00:00:00.000Z</x:v>
      </x:c>
      <x:c r="C1665" s="2" t="n">
        <x:v>4</x:v>
      </x:c>
      <x:c r="D1665" s="2" t="str">
        <x:v>DEMO-403</x:v>
      </x:c>
      <x:c r="E1665" s="2" t="str">
        <x:v>Pocket Organiser</x:v>
      </x:c>
      <x:c r="F1665" s="2" t="str">
        <x:v>Accessories</x:v>
      </x:c>
      <x:c r="G1665" s="2" t="str">
        <x:v>Online</x:v>
      </x:c>
      <x:c r="H1665" s="2" t="str">
        <x:v>Online</x:v>
      </x:c>
      <x:c r="I1665" s="2" t="n">
        <x:v>33</x:v>
      </x:c>
      <x:c r="J1665" s="2" t="n">
        <x:v>0</x:v>
      </x:c>
      <x:c r="K1665" s="2" t="n">
        <x:f>I1665-J1665</x:f>
        <x:v>33</x:v>
      </x:c>
      <x:c r="L1665" s="16" t="n">
        <x:v>20</x:v>
      </x:c>
      <x:c r="M1665" s="16" t="n">
        <x:v>20</x:v>
      </x:c>
      <x:c r="N1665" s="16" t="n">
        <x:v>8.2</x:v>
      </x:c>
      <x:c r="O1665" s="16" t="n">
        <x:f>K1665*M1665</x:f>
        <x:v>660</x:v>
      </x:c>
      <x:c r="P1665" s="16" t="n">
        <x:f>K1665*N1665</x:f>
        <x:v>270.59999999999997</x:v>
      </x:c>
      <x:c r="Q1665" s="16" t="n">
        <x:f>O1665-P1665</x:f>
        <x:v>389.40000000000003</x:v>
      </x:c>
      <x:c r="R1665" s="2" t="n">
        <x:v>136</x:v>
      </x:c>
      <x:c r="S1665" s="2" t="n">
        <x:v>0</x:v>
      </x:c>
      <x:c r="T1665" s="2" t="n">
        <x:f>R1665+S1665+J1665-I1665</x:f>
        <x:v>103</x:v>
      </x:c>
      <x:c r="U1665" s="2" t="n">
        <x:v>0</x:v>
      </x:c>
      <x:c r="V1665" s="2" t="n">
        <x:v>4</x:v>
      </x:c>
      <x:c r="W1665" s="2" t="n">
        <x:v>25</x:v>
      </x:c>
      <x:c r="X1665" s="14" t="b">
        <x:v>0</x:v>
      </x:c>
      <x:c r="Y1665" s="14" t="b">
        <x:v>0</x:v>
      </x:c>
      <x:c r="Z1665" s="2" t="n">
        <x:f>ABS(T1665-AA1665)</x:f>
        <x:v>0</x:v>
      </x:c>
      <x:c r="AA1665" s="2" t="n">
        <x:v>103</x:v>
      </x:c>
      <x:c r="AB1665" s="2" t="n">
        <x:f>ABS(K1665-W1665)</x:f>
        <x:v>8</x:v>
      </x:c>
      <x:c r="AC1665" s="2" t="n">
        <x:f>COUNTIF($A$2:$A$1921,A1665)-1</x:f>
        <x:v>0</x:v>
      </x:c>
      <x:c r="AD1665" s="2" t="n">
        <x:f>IF(AND(D1665=D1664,H1665=H1664,C1665=C1664+1),ABS(R1665-T1664),0)</x:f>
        <x:v>0</x:v>
      </x:c>
    </x:row>
    <x:row r="1666" ht="23" customHeight="1">
      <x:c r="A1666" s="2" t="str">
        <x:v>DEMO-403-3-5</x:v>
      </x:c>
      <x:c r="B1666" s="15" t="d">
        <x:v>2026-06-01T00:00:00.000Z</x:v>
      </x:c>
      <x:c r="C1666" s="2" t="n">
        <x:v>5</x:v>
      </x:c>
      <x:c r="D1666" s="2" t="str">
        <x:v>DEMO-403</x:v>
      </x:c>
      <x:c r="E1666" s="2" t="str">
        <x:v>Pocket Organiser</x:v>
      </x:c>
      <x:c r="F1666" s="2" t="str">
        <x:v>Accessories</x:v>
      </x:c>
      <x:c r="G1666" s="2" t="str">
        <x:v>Online</x:v>
      </x:c>
      <x:c r="H1666" s="2" t="str">
        <x:v>Online</x:v>
      </x:c>
      <x:c r="I1666" s="2" t="n">
        <x:v>28</x:v>
      </x:c>
      <x:c r="J1666" s="2" t="n">
        <x:v>0</x:v>
      </x:c>
      <x:c r="K1666" s="2" t="n">
        <x:f>I1666-J1666</x:f>
        <x:v>28</x:v>
      </x:c>
      <x:c r="L1666" s="16" t="n">
        <x:v>20</x:v>
      </x:c>
      <x:c r="M1666" s="16" t="n">
        <x:v>20</x:v>
      </x:c>
      <x:c r="N1666" s="16" t="n">
        <x:v>8.2</x:v>
      </x:c>
      <x:c r="O1666" s="16" t="n">
        <x:f>K1666*M1666</x:f>
        <x:v>560</x:v>
      </x:c>
      <x:c r="P1666" s="16" t="n">
        <x:f>K1666*N1666</x:f>
        <x:v>229.59999999999997</x:v>
      </x:c>
      <x:c r="Q1666" s="16" t="n">
        <x:f>O1666-P1666</x:f>
        <x:v>330.40000000000003</x:v>
      </x:c>
      <x:c r="R1666" s="2" t="n">
        <x:v>103</x:v>
      </x:c>
      <x:c r="S1666" s="2" t="n">
        <x:v>121</x:v>
      </x:c>
      <x:c r="T1666" s="2" t="n">
        <x:f>R1666+S1666+J1666-I1666</x:f>
        <x:v>196</x:v>
      </x:c>
      <x:c r="U1666" s="2" t="n">
        <x:v>0</x:v>
      </x:c>
      <x:c r="V1666" s="2" t="n">
        <x:v>4</x:v>
      </x:c>
      <x:c r="W1666" s="2" t="n">
        <x:v>27</x:v>
      </x:c>
      <x:c r="X1666" s="14" t="b">
        <x:v>0</x:v>
      </x:c>
      <x:c r="Y1666" s="14" t="b">
        <x:v>0</x:v>
      </x:c>
      <x:c r="Z1666" s="2" t="n">
        <x:f>ABS(T1666-AA1666)</x:f>
        <x:v>0</x:v>
      </x:c>
      <x:c r="AA1666" s="2" t="n">
        <x:v>196</x:v>
      </x:c>
      <x:c r="AB1666" s="2" t="n">
        <x:f>ABS(K1666-W1666)</x:f>
        <x:v>1</x:v>
      </x:c>
      <x:c r="AC1666" s="2" t="n">
        <x:f>COUNTIF($A$2:$A$1921,A1666)-1</x:f>
        <x:v>0</x:v>
      </x:c>
      <x:c r="AD1666" s="2" t="n">
        <x:f>IF(AND(D1666=D1665,H1666=H1665,C1666=C1665+1),ABS(R1666-T1665),0)</x:f>
        <x:v>0</x:v>
      </x:c>
    </x:row>
    <x:row r="1667" ht="23" customHeight="1">
      <x:c r="A1667" s="2" t="str">
        <x:v>DEMO-403-3-6</x:v>
      </x:c>
      <x:c r="B1667" s="15" t="d">
        <x:v>2026-06-08T00:00:00.000Z</x:v>
      </x:c>
      <x:c r="C1667" s="2" t="n">
        <x:v>6</x:v>
      </x:c>
      <x:c r="D1667" s="2" t="str">
        <x:v>DEMO-403</x:v>
      </x:c>
      <x:c r="E1667" s="2" t="str">
        <x:v>Pocket Organiser</x:v>
      </x:c>
      <x:c r="F1667" s="2" t="str">
        <x:v>Accessories</x:v>
      </x:c>
      <x:c r="G1667" s="2" t="str">
        <x:v>Online</x:v>
      </x:c>
      <x:c r="H1667" s="2" t="str">
        <x:v>Online</x:v>
      </x:c>
      <x:c r="I1667" s="2" t="n">
        <x:v>29</x:v>
      </x:c>
      <x:c r="J1667" s="2" t="n">
        <x:v>0</x:v>
      </x:c>
      <x:c r="K1667" s="2" t="n">
        <x:f>I1667-J1667</x:f>
        <x:v>29</x:v>
      </x:c>
      <x:c r="L1667" s="16" t="n">
        <x:v>20</x:v>
      </x:c>
      <x:c r="M1667" s="16" t="n">
        <x:v>20</x:v>
      </x:c>
      <x:c r="N1667" s="16" t="n">
        <x:v>8.2</x:v>
      </x:c>
      <x:c r="O1667" s="16" t="n">
        <x:f>K1667*M1667</x:f>
        <x:v>580</x:v>
      </x:c>
      <x:c r="P1667" s="16" t="n">
        <x:f>K1667*N1667</x:f>
        <x:v>237.79999999999998</x:v>
      </x:c>
      <x:c r="Q1667" s="16" t="n">
        <x:f>O1667-P1667</x:f>
        <x:v>342.20000000000005</x:v>
      </x:c>
      <x:c r="R1667" s="2" t="n">
        <x:v>196</x:v>
      </x:c>
      <x:c r="S1667" s="2" t="n">
        <x:v>0</x:v>
      </x:c>
      <x:c r="T1667" s="2" t="n">
        <x:f>R1667+S1667+J1667-I1667</x:f>
        <x:v>167</x:v>
      </x:c>
      <x:c r="U1667" s="2" t="n">
        <x:v>0</x:v>
      </x:c>
      <x:c r="V1667" s="2" t="n">
        <x:v>4</x:v>
      </x:c>
      <x:c r="W1667" s="2" t="n">
        <x:v>28</x:v>
      </x:c>
      <x:c r="X1667" s="14" t="b">
        <x:v>0</x:v>
      </x:c>
      <x:c r="Y1667" s="14" t="b">
        <x:v>0</x:v>
      </x:c>
      <x:c r="Z1667" s="2" t="n">
        <x:f>ABS(T1667-AA1667)</x:f>
        <x:v>0</x:v>
      </x:c>
      <x:c r="AA1667" s="2" t="n">
        <x:v>167</x:v>
      </x:c>
      <x:c r="AB1667" s="2" t="n">
        <x:f>ABS(K1667-W1667)</x:f>
        <x:v>1</x:v>
      </x:c>
      <x:c r="AC1667" s="2" t="n">
        <x:f>COUNTIF($A$2:$A$1921,A1667)-1</x:f>
        <x:v>0</x:v>
      </x:c>
      <x:c r="AD1667" s="2" t="n">
        <x:f>IF(AND(D1667=D1666,H1667=H1666,C1667=C1666+1),ABS(R1667-T1666),0)</x:f>
        <x:v>0</x:v>
      </x:c>
    </x:row>
    <x:row r="1668" ht="23" customHeight="1">
      <x:c r="A1668" s="2" t="str">
        <x:v>DEMO-403-3-7</x:v>
      </x:c>
      <x:c r="B1668" s="15" t="d">
        <x:v>2026-06-15T00:00:00.000Z</x:v>
      </x:c>
      <x:c r="C1668" s="2" t="n">
        <x:v>7</x:v>
      </x:c>
      <x:c r="D1668" s="2" t="str">
        <x:v>DEMO-403</x:v>
      </x:c>
      <x:c r="E1668" s="2" t="str">
        <x:v>Pocket Organiser</x:v>
      </x:c>
      <x:c r="F1668" s="2" t="str">
        <x:v>Accessories</x:v>
      </x:c>
      <x:c r="G1668" s="2" t="str">
        <x:v>Online</x:v>
      </x:c>
      <x:c r="H1668" s="2" t="str">
        <x:v>Online</x:v>
      </x:c>
      <x:c r="I1668" s="2" t="n">
        <x:v>31</x:v>
      </x:c>
      <x:c r="J1668" s="2" t="n">
        <x:v>0</x:v>
      </x:c>
      <x:c r="K1668" s="2" t="n">
        <x:f>I1668-J1668</x:f>
        <x:v>31</x:v>
      </x:c>
      <x:c r="L1668" s="16" t="n">
        <x:v>20</x:v>
      </x:c>
      <x:c r="M1668" s="16" t="n">
        <x:v>20</x:v>
      </x:c>
      <x:c r="N1668" s="16" t="n">
        <x:v>8.2</x:v>
      </x:c>
      <x:c r="O1668" s="16" t="n">
        <x:f>K1668*M1668</x:f>
        <x:v>620</x:v>
      </x:c>
      <x:c r="P1668" s="16" t="n">
        <x:f>K1668*N1668</x:f>
        <x:v>254.2</x:v>
      </x:c>
      <x:c r="Q1668" s="16" t="n">
        <x:f>O1668-P1668</x:f>
        <x:v>365.8</x:v>
      </x:c>
      <x:c r="R1668" s="2" t="n">
        <x:v>167</x:v>
      </x:c>
      <x:c r="S1668" s="2" t="n">
        <x:v>0</x:v>
      </x:c>
      <x:c r="T1668" s="2" t="n">
        <x:f>R1668+S1668+J1668-I1668</x:f>
        <x:v>136</x:v>
      </x:c>
      <x:c r="U1668" s="2" t="n">
        <x:v>0</x:v>
      </x:c>
      <x:c r="V1668" s="2" t="n">
        <x:v>4</x:v>
      </x:c>
      <x:c r="W1668" s="2" t="n">
        <x:v>28</x:v>
      </x:c>
      <x:c r="X1668" s="14" t="b">
        <x:v>0</x:v>
      </x:c>
      <x:c r="Y1668" s="14" t="b">
        <x:v>0</x:v>
      </x:c>
      <x:c r="Z1668" s="2" t="n">
        <x:f>ABS(T1668-AA1668)</x:f>
        <x:v>0</x:v>
      </x:c>
      <x:c r="AA1668" s="2" t="n">
        <x:v>136</x:v>
      </x:c>
      <x:c r="AB1668" s="2" t="n">
        <x:f>ABS(K1668-W1668)</x:f>
        <x:v>3</x:v>
      </x:c>
      <x:c r="AC1668" s="2" t="n">
        <x:f>COUNTIF($A$2:$A$1921,A1668)-1</x:f>
        <x:v>0</x:v>
      </x:c>
      <x:c r="AD1668" s="2" t="n">
        <x:f>IF(AND(D1668=D1667,H1668=H1667,C1668=C1667+1),ABS(R1668-T1667),0)</x:f>
        <x:v>0</x:v>
      </x:c>
    </x:row>
    <x:row r="1669" ht="23" customHeight="1">
      <x:c r="A1669" s="2" t="str">
        <x:v>DEMO-403-3-8</x:v>
      </x:c>
      <x:c r="B1669" s="15" t="d">
        <x:v>2026-06-22T00:00:00.000Z</x:v>
      </x:c>
      <x:c r="C1669" s="2" t="n">
        <x:v>8</x:v>
      </x:c>
      <x:c r="D1669" s="2" t="str">
        <x:v>DEMO-403</x:v>
      </x:c>
      <x:c r="E1669" s="2" t="str">
        <x:v>Pocket Organiser</x:v>
      </x:c>
      <x:c r="F1669" s="2" t="str">
        <x:v>Accessories</x:v>
      </x:c>
      <x:c r="G1669" s="2" t="str">
        <x:v>Online</x:v>
      </x:c>
      <x:c r="H1669" s="2" t="str">
        <x:v>Online</x:v>
      </x:c>
      <x:c r="I1669" s="2" t="n">
        <x:v>28</x:v>
      </x:c>
      <x:c r="J1669" s="2" t="n">
        <x:v>1</x:v>
      </x:c>
      <x:c r="K1669" s="2" t="n">
        <x:f>I1669-J1669</x:f>
        <x:v>27</x:v>
      </x:c>
      <x:c r="L1669" s="16" t="n">
        <x:v>20</x:v>
      </x:c>
      <x:c r="M1669" s="16" t="n">
        <x:v>20</x:v>
      </x:c>
      <x:c r="N1669" s="16" t="n">
        <x:v>8.2</x:v>
      </x:c>
      <x:c r="O1669" s="16" t="n">
        <x:f>K1669*M1669</x:f>
        <x:v>540</x:v>
      </x:c>
      <x:c r="P1669" s="16" t="n">
        <x:f>K1669*N1669</x:f>
        <x:v>221.39999999999998</x:v>
      </x:c>
      <x:c r="Q1669" s="16" t="n">
        <x:f>O1669-P1669</x:f>
        <x:v>318.6</x:v>
      </x:c>
      <x:c r="R1669" s="2" t="n">
        <x:v>136</x:v>
      </x:c>
      <x:c r="S1669" s="2" t="n">
        <x:v>0</x:v>
      </x:c>
      <x:c r="T1669" s="2" t="n">
        <x:f>R1669+S1669+J1669-I1669</x:f>
        <x:v>109</x:v>
      </x:c>
      <x:c r="U1669" s="2" t="n">
        <x:v>0</x:v>
      </x:c>
      <x:c r="V1669" s="2" t="n">
        <x:v>4</x:v>
      </x:c>
      <x:c r="W1669" s="2" t="n">
        <x:v>30</x:v>
      </x:c>
      <x:c r="X1669" s="14" t="b">
        <x:v>0</x:v>
      </x:c>
      <x:c r="Y1669" s="14" t="b">
        <x:v>0</x:v>
      </x:c>
      <x:c r="Z1669" s="2" t="n">
        <x:f>ABS(T1669-AA1669)</x:f>
        <x:v>0</x:v>
      </x:c>
      <x:c r="AA1669" s="2" t="n">
        <x:v>109</x:v>
      </x:c>
      <x:c r="AB1669" s="2" t="n">
        <x:f>ABS(K1669-W1669)</x:f>
        <x:v>3</x:v>
      </x:c>
      <x:c r="AC1669" s="2" t="n">
        <x:f>COUNTIF($A$2:$A$1921,A1669)-1</x:f>
        <x:v>0</x:v>
      </x:c>
      <x:c r="AD1669" s="2" t="n">
        <x:f>IF(AND(D1669=D1668,H1669=H1668,C1669=C1668+1),ABS(R1669-T1668),0)</x:f>
        <x:v>0</x:v>
      </x:c>
    </x:row>
    <x:row r="1670" ht="23" customHeight="1">
      <x:c r="A1670" s="2" t="str">
        <x:v>DEMO-403-3-9</x:v>
      </x:c>
      <x:c r="B1670" s="15" t="d">
        <x:v>2026-06-29T00:00:00.000Z</x:v>
      </x:c>
      <x:c r="C1670" s="2" t="n">
        <x:v>9</x:v>
      </x:c>
      <x:c r="D1670" s="2" t="str">
        <x:v>DEMO-403</x:v>
      </x:c>
      <x:c r="E1670" s="2" t="str">
        <x:v>Pocket Organiser</x:v>
      </x:c>
      <x:c r="F1670" s="2" t="str">
        <x:v>Accessories</x:v>
      </x:c>
      <x:c r="G1670" s="2" t="str">
        <x:v>Online</x:v>
      </x:c>
      <x:c r="H1670" s="2" t="str">
        <x:v>Online</x:v>
      </x:c>
      <x:c r="I1670" s="2" t="n">
        <x:v>31</x:v>
      </x:c>
      <x:c r="J1670" s="2" t="n">
        <x:v>1</x:v>
      </x:c>
      <x:c r="K1670" s="2" t="n">
        <x:f>I1670-J1670</x:f>
        <x:v>30</x:v>
      </x:c>
      <x:c r="L1670" s="16" t="n">
        <x:v>20</x:v>
      </x:c>
      <x:c r="M1670" s="16" t="n">
        <x:v>20</x:v>
      </x:c>
      <x:c r="N1670" s="16" t="n">
        <x:v>8.2</x:v>
      </x:c>
      <x:c r="O1670" s="16" t="n">
        <x:f>K1670*M1670</x:f>
        <x:v>600</x:v>
      </x:c>
      <x:c r="P1670" s="16" t="n">
        <x:f>K1670*N1670</x:f>
        <x:v>245.99999999999997</x:v>
      </x:c>
      <x:c r="Q1670" s="16" t="n">
        <x:f>O1670-P1670</x:f>
        <x:v>354</x:v>
      </x:c>
      <x:c r="R1670" s="2" t="n">
        <x:v>109</x:v>
      </x:c>
      <x:c r="S1670" s="2" t="n">
        <x:v>121</x:v>
      </x:c>
      <x:c r="T1670" s="2" t="n">
        <x:f>R1670+S1670+J1670-I1670</x:f>
        <x:v>200</x:v>
      </x:c>
      <x:c r="U1670" s="2" t="n">
        <x:v>0</x:v>
      </x:c>
      <x:c r="V1670" s="2" t="n">
        <x:v>4</x:v>
      </x:c>
      <x:c r="W1670" s="2" t="n">
        <x:v>29</x:v>
      </x:c>
      <x:c r="X1670" s="14" t="b">
        <x:v>0</x:v>
      </x:c>
      <x:c r="Y1670" s="14" t="b">
        <x:v>0</x:v>
      </x:c>
      <x:c r="Z1670" s="2" t="n">
        <x:f>ABS(T1670-AA1670)</x:f>
        <x:v>0</x:v>
      </x:c>
      <x:c r="AA1670" s="2" t="n">
        <x:v>200</x:v>
      </x:c>
      <x:c r="AB1670" s="2" t="n">
        <x:f>ABS(K1670-W1670)</x:f>
        <x:v>1</x:v>
      </x:c>
      <x:c r="AC1670" s="2" t="n">
        <x:f>COUNTIF($A$2:$A$1921,A1670)-1</x:f>
        <x:v>0</x:v>
      </x:c>
      <x:c r="AD1670" s="2" t="n">
        <x:f>IF(AND(D1670=D1669,H1670=H1669,C1670=C1669+1),ABS(R1670-T1669),0)</x:f>
        <x:v>0</x:v>
      </x:c>
    </x:row>
    <x:row r="1671" ht="23" customHeight="1">
      <x:c r="A1671" s="2" t="str">
        <x:v>DEMO-403-3-10</x:v>
      </x:c>
      <x:c r="B1671" s="15" t="d">
        <x:v>2026-07-06T00:00:00.000Z</x:v>
      </x:c>
      <x:c r="C1671" s="2" t="n">
        <x:v>10</x:v>
      </x:c>
      <x:c r="D1671" s="2" t="str">
        <x:v>DEMO-403</x:v>
      </x:c>
      <x:c r="E1671" s="2" t="str">
        <x:v>Pocket Organiser</x:v>
      </x:c>
      <x:c r="F1671" s="2" t="str">
        <x:v>Accessories</x:v>
      </x:c>
      <x:c r="G1671" s="2" t="str">
        <x:v>Online</x:v>
      </x:c>
      <x:c r="H1671" s="2" t="str">
        <x:v>Online</x:v>
      </x:c>
      <x:c r="I1671" s="2" t="n">
        <x:v>32</x:v>
      </x:c>
      <x:c r="J1671" s="2" t="n">
        <x:v>0</x:v>
      </x:c>
      <x:c r="K1671" s="2" t="n">
        <x:f>I1671-J1671</x:f>
        <x:v>32</x:v>
      </x:c>
      <x:c r="L1671" s="16" t="n">
        <x:v>20</x:v>
      </x:c>
      <x:c r="M1671" s="16" t="n">
        <x:v>20</x:v>
      </x:c>
      <x:c r="N1671" s="16" t="n">
        <x:v>8.2</x:v>
      </x:c>
      <x:c r="O1671" s="16" t="n">
        <x:f>K1671*M1671</x:f>
        <x:v>640</x:v>
      </x:c>
      <x:c r="P1671" s="16" t="n">
        <x:f>K1671*N1671</x:f>
        <x:v>262.4</x:v>
      </x:c>
      <x:c r="Q1671" s="16" t="n">
        <x:f>O1671-P1671</x:f>
        <x:v>377.6</x:v>
      </x:c>
      <x:c r="R1671" s="2" t="n">
        <x:v>200</x:v>
      </x:c>
      <x:c r="S1671" s="2" t="n">
        <x:v>0</x:v>
      </x:c>
      <x:c r="T1671" s="2" t="n">
        <x:f>R1671+S1671+J1671-I1671</x:f>
        <x:v>168</x:v>
      </x:c>
      <x:c r="U1671" s="2" t="n">
        <x:v>0</x:v>
      </x:c>
      <x:c r="V1671" s="2" t="n">
        <x:v>4</x:v>
      </x:c>
      <x:c r="W1671" s="2" t="n">
        <x:v>29</x:v>
      </x:c>
      <x:c r="X1671" s="14" t="b">
        <x:v>0</x:v>
      </x:c>
      <x:c r="Y1671" s="14" t="b">
        <x:v>0</x:v>
      </x:c>
      <x:c r="Z1671" s="2" t="n">
        <x:f>ABS(T1671-AA1671)</x:f>
        <x:v>0</x:v>
      </x:c>
      <x:c r="AA1671" s="2" t="n">
        <x:v>168</x:v>
      </x:c>
      <x:c r="AB1671" s="2" t="n">
        <x:f>ABS(K1671-W1671)</x:f>
        <x:v>3</x:v>
      </x:c>
      <x:c r="AC1671" s="2" t="n">
        <x:f>COUNTIF($A$2:$A$1921,A1671)-1</x:f>
        <x:v>0</x:v>
      </x:c>
      <x:c r="AD1671" s="2" t="n">
        <x:f>IF(AND(D1671=D1670,H1671=H1670,C1671=C1670+1),ABS(R1671-T1670),0)</x:f>
        <x:v>0</x:v>
      </x:c>
    </x:row>
    <x:row r="1672" ht="23" customHeight="1">
      <x:c r="A1672" s="2" t="str">
        <x:v>DEMO-403-3-11</x:v>
      </x:c>
      <x:c r="B1672" s="15" t="d">
        <x:v>2026-07-13T00:00:00.000Z</x:v>
      </x:c>
      <x:c r="C1672" s="2" t="n">
        <x:v>11</x:v>
      </x:c>
      <x:c r="D1672" s="2" t="str">
        <x:v>DEMO-403</x:v>
      </x:c>
      <x:c r="E1672" s="2" t="str">
        <x:v>Pocket Organiser</x:v>
      </x:c>
      <x:c r="F1672" s="2" t="str">
        <x:v>Accessories</x:v>
      </x:c>
      <x:c r="G1672" s="2" t="str">
        <x:v>Online</x:v>
      </x:c>
      <x:c r="H1672" s="2" t="str">
        <x:v>Online</x:v>
      </x:c>
      <x:c r="I1672" s="2" t="n">
        <x:v>30</x:v>
      </x:c>
      <x:c r="J1672" s="2" t="n">
        <x:v>0</x:v>
      </x:c>
      <x:c r="K1672" s="2" t="n">
        <x:f>I1672-J1672</x:f>
        <x:v>30</x:v>
      </x:c>
      <x:c r="L1672" s="16" t="n">
        <x:v>20</x:v>
      </x:c>
      <x:c r="M1672" s="16" t="n">
        <x:v>20</x:v>
      </x:c>
      <x:c r="N1672" s="16" t="n">
        <x:v>8.2</x:v>
      </x:c>
      <x:c r="O1672" s="16" t="n">
        <x:f>K1672*M1672</x:f>
        <x:v>600</x:v>
      </x:c>
      <x:c r="P1672" s="16" t="n">
        <x:f>K1672*N1672</x:f>
        <x:v>245.99999999999997</x:v>
      </x:c>
      <x:c r="Q1672" s="16" t="n">
        <x:f>O1672-P1672</x:f>
        <x:v>354</x:v>
      </x:c>
      <x:c r="R1672" s="2" t="n">
        <x:v>168</x:v>
      </x:c>
      <x:c r="S1672" s="2" t="n">
        <x:v>0</x:v>
      </x:c>
      <x:c r="T1672" s="2" t="n">
        <x:f>R1672+S1672+J1672-I1672</x:f>
        <x:v>138</x:v>
      </x:c>
      <x:c r="U1672" s="2" t="n">
        <x:v>0</x:v>
      </x:c>
      <x:c r="V1672" s="2" t="n">
        <x:v>4</x:v>
      </x:c>
      <x:c r="W1672" s="2" t="n">
        <x:v>30</x:v>
      </x:c>
      <x:c r="X1672" s="14" t="b">
        <x:v>0</x:v>
      </x:c>
      <x:c r="Y1672" s="14" t="b">
        <x:v>0</x:v>
      </x:c>
      <x:c r="Z1672" s="2" t="n">
        <x:f>ABS(T1672-AA1672)</x:f>
        <x:v>0</x:v>
      </x:c>
      <x:c r="AA1672" s="2" t="n">
        <x:v>138</x:v>
      </x:c>
      <x:c r="AB1672" s="2" t="n">
        <x:f>ABS(K1672-W1672)</x:f>
        <x:v>0</x:v>
      </x:c>
      <x:c r="AC1672" s="2" t="n">
        <x:f>COUNTIF($A$2:$A$1921,A1672)-1</x:f>
        <x:v>0</x:v>
      </x:c>
      <x:c r="AD1672" s="2" t="n">
        <x:f>IF(AND(D1672=D1671,H1672=H1671,C1672=C1671+1),ABS(R1672-T1671),0)</x:f>
        <x:v>0</x:v>
      </x:c>
    </x:row>
    <x:row r="1673" ht="23" customHeight="1">
      <x:c r="A1673" s="2" t="str">
        <x:v>DEMO-403-3-12</x:v>
      </x:c>
      <x:c r="B1673" s="15" t="d">
        <x:v>2026-07-20T00:00:00.000Z</x:v>
      </x:c>
      <x:c r="C1673" s="2" t="n">
        <x:v>12</x:v>
      </x:c>
      <x:c r="D1673" s="2" t="str">
        <x:v>DEMO-403</x:v>
      </x:c>
      <x:c r="E1673" s="2" t="str">
        <x:v>Pocket Organiser</x:v>
      </x:c>
      <x:c r="F1673" s="2" t="str">
        <x:v>Accessories</x:v>
      </x:c>
      <x:c r="G1673" s="2" t="str">
        <x:v>Online</x:v>
      </x:c>
      <x:c r="H1673" s="2" t="str">
        <x:v>Online</x:v>
      </x:c>
      <x:c r="I1673" s="2" t="n">
        <x:v>27</x:v>
      </x:c>
      <x:c r="J1673" s="2" t="n">
        <x:v>0</x:v>
      </x:c>
      <x:c r="K1673" s="2" t="n">
        <x:f>I1673-J1673</x:f>
        <x:v>27</x:v>
      </x:c>
      <x:c r="L1673" s="16" t="n">
        <x:v>20</x:v>
      </x:c>
      <x:c r="M1673" s="16" t="n">
        <x:v>20</x:v>
      </x:c>
      <x:c r="N1673" s="16" t="n">
        <x:v>8.2</x:v>
      </x:c>
      <x:c r="O1673" s="16" t="n">
        <x:f>K1673*M1673</x:f>
        <x:v>540</x:v>
      </x:c>
      <x:c r="P1673" s="16" t="n">
        <x:f>K1673*N1673</x:f>
        <x:v>221.39999999999998</x:v>
      </x:c>
      <x:c r="Q1673" s="16" t="n">
        <x:f>O1673-P1673</x:f>
        <x:v>318.6</x:v>
      </x:c>
      <x:c r="R1673" s="2" t="n">
        <x:v>138</x:v>
      </x:c>
      <x:c r="S1673" s="2" t="n">
        <x:v>0</x:v>
      </x:c>
      <x:c r="T1673" s="2" t="n">
        <x:f>R1673+S1673+J1673-I1673</x:f>
        <x:v>111</x:v>
      </x:c>
      <x:c r="U1673" s="2" t="n">
        <x:v>0</x:v>
      </x:c>
      <x:c r="V1673" s="2" t="n">
        <x:v>4</x:v>
      </x:c>
      <x:c r="W1673" s="2" t="n">
        <x:v>30</x:v>
      </x:c>
      <x:c r="X1673" s="14" t="b">
        <x:v>0</x:v>
      </x:c>
      <x:c r="Y1673" s="14" t="b">
        <x:v>0</x:v>
      </x:c>
      <x:c r="Z1673" s="2" t="n">
        <x:f>ABS(T1673-AA1673)</x:f>
        <x:v>0</x:v>
      </x:c>
      <x:c r="AA1673" s="2" t="n">
        <x:v>111</x:v>
      </x:c>
      <x:c r="AB1673" s="2" t="n">
        <x:f>ABS(K1673-W1673)</x:f>
        <x:v>3</x:v>
      </x:c>
      <x:c r="AC1673" s="2" t="n">
        <x:f>COUNTIF($A$2:$A$1921,A1673)-1</x:f>
        <x:v>0</x:v>
      </x:c>
      <x:c r="AD1673" s="2" t="n">
        <x:f>IF(AND(D1673=D1672,H1673=H1672,C1673=C1672+1),ABS(R1673-T1672),0)</x:f>
        <x:v>0</x:v>
      </x:c>
    </x:row>
    <x:row r="1674" ht="23" customHeight="1">
      <x:c r="A1674" s="2" t="str">
        <x:v>DEMO-403-3-13</x:v>
      </x:c>
      <x:c r="B1674" s="15" t="d">
        <x:v>2026-07-27T00:00:00.000Z</x:v>
      </x:c>
      <x:c r="C1674" s="2" t="n">
        <x:v>13</x:v>
      </x:c>
      <x:c r="D1674" s="2" t="str">
        <x:v>DEMO-403</x:v>
      </x:c>
      <x:c r="E1674" s="2" t="str">
        <x:v>Pocket Organiser</x:v>
      </x:c>
      <x:c r="F1674" s="2" t="str">
        <x:v>Accessories</x:v>
      </x:c>
      <x:c r="G1674" s="2" t="str">
        <x:v>Online</x:v>
      </x:c>
      <x:c r="H1674" s="2" t="str">
        <x:v>Online</x:v>
      </x:c>
      <x:c r="I1674" s="2" t="n">
        <x:v>35</x:v>
      </x:c>
      <x:c r="J1674" s="2" t="n">
        <x:v>1</x:v>
      </x:c>
      <x:c r="K1674" s="2" t="n">
        <x:f>I1674-J1674</x:f>
        <x:v>34</x:v>
      </x:c>
      <x:c r="L1674" s="16" t="n">
        <x:v>20</x:v>
      </x:c>
      <x:c r="M1674" s="16" t="n">
        <x:v>20</x:v>
      </x:c>
      <x:c r="N1674" s="16" t="n">
        <x:v>8.2</x:v>
      </x:c>
      <x:c r="O1674" s="16" t="n">
        <x:f>K1674*M1674</x:f>
        <x:v>680</x:v>
      </x:c>
      <x:c r="P1674" s="16" t="n">
        <x:f>K1674*N1674</x:f>
        <x:v>278.79999999999995</x:v>
      </x:c>
      <x:c r="Q1674" s="16" t="n">
        <x:f>O1674-P1674</x:f>
        <x:v>401.20000000000005</x:v>
      </x:c>
      <x:c r="R1674" s="2" t="n">
        <x:v>111</x:v>
      </x:c>
      <x:c r="S1674" s="2" t="n">
        <x:v>121</x:v>
      </x:c>
      <x:c r="T1674" s="2" t="n">
        <x:f>R1674+S1674+J1674-I1674</x:f>
        <x:v>198</x:v>
      </x:c>
      <x:c r="U1674" s="2" t="n">
        <x:v>0</x:v>
      </x:c>
      <x:c r="V1674" s="2" t="n">
        <x:v>4</x:v>
      </x:c>
      <x:c r="W1674" s="2" t="n">
        <x:v>30</x:v>
      </x:c>
      <x:c r="X1674" s="14" t="b">
        <x:v>0</x:v>
      </x:c>
      <x:c r="Y1674" s="14" t="b">
        <x:v>0</x:v>
      </x:c>
      <x:c r="Z1674" s="2" t="n">
        <x:f>ABS(T1674-AA1674)</x:f>
        <x:v>0</x:v>
      </x:c>
      <x:c r="AA1674" s="2" t="n">
        <x:v>198</x:v>
      </x:c>
      <x:c r="AB1674" s="2" t="n">
        <x:f>ABS(K1674-W1674)</x:f>
        <x:v>4</x:v>
      </x:c>
      <x:c r="AC1674" s="2" t="n">
        <x:f>COUNTIF($A$2:$A$1921,A1674)-1</x:f>
        <x:v>0</x:v>
      </x:c>
      <x:c r="AD1674" s="2" t="n">
        <x:f>IF(AND(D1674=D1673,H1674=H1673,C1674=C1673+1),ABS(R1674-T1673),0)</x:f>
        <x:v>0</x:v>
      </x:c>
    </x:row>
    <x:row r="1675" ht="23" customHeight="1">
      <x:c r="A1675" s="2" t="str">
        <x:v>DEMO-403-3-14</x:v>
      </x:c>
      <x:c r="B1675" s="15" t="d">
        <x:v>2026-08-03T00:00:00.000Z</x:v>
      </x:c>
      <x:c r="C1675" s="2" t="n">
        <x:v>14</x:v>
      </x:c>
      <x:c r="D1675" s="2" t="str">
        <x:v>DEMO-403</x:v>
      </x:c>
      <x:c r="E1675" s="2" t="str">
        <x:v>Pocket Organiser</x:v>
      </x:c>
      <x:c r="F1675" s="2" t="str">
        <x:v>Accessories</x:v>
      </x:c>
      <x:c r="G1675" s="2" t="str">
        <x:v>Online</x:v>
      </x:c>
      <x:c r="H1675" s="2" t="str">
        <x:v>Online</x:v>
      </x:c>
      <x:c r="I1675" s="2" t="n">
        <x:v>33</x:v>
      </x:c>
      <x:c r="J1675" s="2" t="n">
        <x:v>0</x:v>
      </x:c>
      <x:c r="K1675" s="2" t="n">
        <x:f>I1675-J1675</x:f>
        <x:v>33</x:v>
      </x:c>
      <x:c r="L1675" s="16" t="n">
        <x:v>20</x:v>
      </x:c>
      <x:c r="M1675" s="16" t="n">
        <x:v>20</x:v>
      </x:c>
      <x:c r="N1675" s="16" t="n">
        <x:v>8.2</x:v>
      </x:c>
      <x:c r="O1675" s="16" t="n">
        <x:f>K1675*M1675</x:f>
        <x:v>660</x:v>
      </x:c>
      <x:c r="P1675" s="16" t="n">
        <x:f>K1675*N1675</x:f>
        <x:v>270.59999999999997</x:v>
      </x:c>
      <x:c r="Q1675" s="16" t="n">
        <x:f>O1675-P1675</x:f>
        <x:v>389.40000000000003</x:v>
      </x:c>
      <x:c r="R1675" s="2" t="n">
        <x:v>198</x:v>
      </x:c>
      <x:c r="S1675" s="2" t="n">
        <x:v>0</x:v>
      </x:c>
      <x:c r="T1675" s="2" t="n">
        <x:f>R1675+S1675+J1675-I1675</x:f>
        <x:v>165</x:v>
      </x:c>
      <x:c r="U1675" s="2" t="n">
        <x:v>0</x:v>
      </x:c>
      <x:c r="V1675" s="2" t="n">
        <x:v>4</x:v>
      </x:c>
      <x:c r="W1675" s="2" t="n">
        <x:v>31</x:v>
      </x:c>
      <x:c r="X1675" s="14" t="b">
        <x:v>0</x:v>
      </x:c>
      <x:c r="Y1675" s="14" t="b">
        <x:v>0</x:v>
      </x:c>
      <x:c r="Z1675" s="2" t="n">
        <x:f>ABS(T1675-AA1675)</x:f>
        <x:v>0</x:v>
      </x:c>
      <x:c r="AA1675" s="2" t="n">
        <x:v>165</x:v>
      </x:c>
      <x:c r="AB1675" s="2" t="n">
        <x:f>ABS(K1675-W1675)</x:f>
        <x:v>2</x:v>
      </x:c>
      <x:c r="AC1675" s="2" t="n">
        <x:f>COUNTIF($A$2:$A$1921,A1675)-1</x:f>
        <x:v>0</x:v>
      </x:c>
      <x:c r="AD1675" s="2" t="n">
        <x:f>IF(AND(D1675=D1674,H1675=H1674,C1675=C1674+1),ABS(R1675-T1674),0)</x:f>
        <x:v>0</x:v>
      </x:c>
    </x:row>
    <x:row r="1676" ht="23" customHeight="1">
      <x:c r="A1676" s="2" t="str">
        <x:v>DEMO-403-3-15</x:v>
      </x:c>
      <x:c r="B1676" s="15" t="d">
        <x:v>2026-08-10T00:00:00.000Z</x:v>
      </x:c>
      <x:c r="C1676" s="2" t="n">
        <x:v>15</x:v>
      </x:c>
      <x:c r="D1676" s="2" t="str">
        <x:v>DEMO-403</x:v>
      </x:c>
      <x:c r="E1676" s="2" t="str">
        <x:v>Pocket Organiser</x:v>
      </x:c>
      <x:c r="F1676" s="2" t="str">
        <x:v>Accessories</x:v>
      </x:c>
      <x:c r="G1676" s="2" t="str">
        <x:v>Online</x:v>
      </x:c>
      <x:c r="H1676" s="2" t="str">
        <x:v>Online</x:v>
      </x:c>
      <x:c r="I1676" s="2" t="n">
        <x:v>26</x:v>
      </x:c>
      <x:c r="J1676" s="2" t="n">
        <x:v>1</x:v>
      </x:c>
      <x:c r="K1676" s="2" t="n">
        <x:f>I1676-J1676</x:f>
        <x:v>25</x:v>
      </x:c>
      <x:c r="L1676" s="16" t="n">
        <x:v>20</x:v>
      </x:c>
      <x:c r="M1676" s="16" t="n">
        <x:v>20</x:v>
      </x:c>
      <x:c r="N1676" s="16" t="n">
        <x:v>8.2</x:v>
      </x:c>
      <x:c r="O1676" s="16" t="n">
        <x:f>K1676*M1676</x:f>
        <x:v>500</x:v>
      </x:c>
      <x:c r="P1676" s="16" t="n">
        <x:f>K1676*N1676</x:f>
        <x:v>204.99999999999997</x:v>
      </x:c>
      <x:c r="Q1676" s="16" t="n">
        <x:f>O1676-P1676</x:f>
        <x:v>295</x:v>
      </x:c>
      <x:c r="R1676" s="2" t="n">
        <x:v>165</x:v>
      </x:c>
      <x:c r="S1676" s="2" t="n">
        <x:v>0</x:v>
      </x:c>
      <x:c r="T1676" s="2" t="n">
        <x:f>R1676+S1676+J1676-I1676</x:f>
        <x:v>140</x:v>
      </x:c>
      <x:c r="U1676" s="2" t="n">
        <x:v>0</x:v>
      </x:c>
      <x:c r="V1676" s="2" t="n">
        <x:v>4</x:v>
      </x:c>
      <x:c r="W1676" s="2" t="n">
        <x:v>31</x:v>
      </x:c>
      <x:c r="X1676" s="14" t="b">
        <x:v>0</x:v>
      </x:c>
      <x:c r="Y1676" s="14" t="b">
        <x:v>0</x:v>
      </x:c>
      <x:c r="Z1676" s="2" t="n">
        <x:f>ABS(T1676-AA1676)</x:f>
        <x:v>0</x:v>
      </x:c>
      <x:c r="AA1676" s="2" t="n">
        <x:v>140</x:v>
      </x:c>
      <x:c r="AB1676" s="2" t="n">
        <x:f>ABS(K1676-W1676)</x:f>
        <x:v>6</x:v>
      </x:c>
      <x:c r="AC1676" s="2" t="n">
        <x:f>COUNTIF($A$2:$A$1921,A1676)-1</x:f>
        <x:v>0</x:v>
      </x:c>
      <x:c r="AD1676" s="2" t="n">
        <x:f>IF(AND(D1676=D1675,H1676=H1675,C1676=C1675+1),ABS(R1676-T1675),0)</x:f>
        <x:v>0</x:v>
      </x:c>
    </x:row>
    <x:row r="1677" ht="23" customHeight="1">
      <x:c r="A1677" s="2" t="str">
        <x:v>DEMO-403-3-16</x:v>
      </x:c>
      <x:c r="B1677" s="15" t="d">
        <x:v>2026-08-17T00:00:00.000Z</x:v>
      </x:c>
      <x:c r="C1677" s="2" t="n">
        <x:v>16</x:v>
      </x:c>
      <x:c r="D1677" s="2" t="str">
        <x:v>DEMO-403</x:v>
      </x:c>
      <x:c r="E1677" s="2" t="str">
        <x:v>Pocket Organiser</x:v>
      </x:c>
      <x:c r="F1677" s="2" t="str">
        <x:v>Accessories</x:v>
      </x:c>
      <x:c r="G1677" s="2" t="str">
        <x:v>Online</x:v>
      </x:c>
      <x:c r="H1677" s="2" t="str">
        <x:v>Online</x:v>
      </x:c>
      <x:c r="I1677" s="2" t="n">
        <x:v>32</x:v>
      </x:c>
      <x:c r="J1677" s="2" t="n">
        <x:v>1</x:v>
      </x:c>
      <x:c r="K1677" s="2" t="n">
        <x:f>I1677-J1677</x:f>
        <x:v>31</x:v>
      </x:c>
      <x:c r="L1677" s="16" t="n">
        <x:v>20</x:v>
      </x:c>
      <x:c r="M1677" s="16" t="n">
        <x:v>20</x:v>
      </x:c>
      <x:c r="N1677" s="16" t="n">
        <x:v>8.2</x:v>
      </x:c>
      <x:c r="O1677" s="16" t="n">
        <x:f>K1677*M1677</x:f>
        <x:v>620</x:v>
      </x:c>
      <x:c r="P1677" s="16" t="n">
        <x:f>K1677*N1677</x:f>
        <x:v>254.2</x:v>
      </x:c>
      <x:c r="Q1677" s="16" t="n">
        <x:f>O1677-P1677</x:f>
        <x:v>365.8</x:v>
      </x:c>
      <x:c r="R1677" s="2" t="n">
        <x:v>140</x:v>
      </x:c>
      <x:c r="S1677" s="2" t="n">
        <x:v>0</x:v>
      </x:c>
      <x:c r="T1677" s="2" t="n">
        <x:f>R1677+S1677+J1677-I1677</x:f>
        <x:v>109</x:v>
      </x:c>
      <x:c r="U1677" s="2" t="n">
        <x:v>0</x:v>
      </x:c>
      <x:c r="V1677" s="2" t="n">
        <x:v>4</x:v>
      </x:c>
      <x:c r="W1677" s="2" t="n">
        <x:v>30</x:v>
      </x:c>
      <x:c r="X1677" s="14" t="b">
        <x:v>0</x:v>
      </x:c>
      <x:c r="Y1677" s="14" t="b">
        <x:v>0</x:v>
      </x:c>
      <x:c r="Z1677" s="2" t="n">
        <x:f>ABS(T1677-AA1677)</x:f>
        <x:v>0</x:v>
      </x:c>
      <x:c r="AA1677" s="2" t="n">
        <x:v>109</x:v>
      </x:c>
      <x:c r="AB1677" s="2" t="n">
        <x:f>ABS(K1677-W1677)</x:f>
        <x:v>1</x:v>
      </x:c>
      <x:c r="AC1677" s="2" t="n">
        <x:f>COUNTIF($A$2:$A$1921,A1677)-1</x:f>
        <x:v>0</x:v>
      </x:c>
      <x:c r="AD1677" s="2" t="n">
        <x:f>IF(AND(D1677=D1676,H1677=H1676,C1677=C1676+1),ABS(R1677-T1676),0)</x:f>
        <x:v>0</x:v>
      </x:c>
    </x:row>
    <x:row r="1678" ht="23" customHeight="1">
      <x:c r="A1678" s="2" t="str">
        <x:v>DEMO-403-3-17</x:v>
      </x:c>
      <x:c r="B1678" s="15" t="d">
        <x:v>2026-08-24T00:00:00.000Z</x:v>
      </x:c>
      <x:c r="C1678" s="2" t="n">
        <x:v>17</x:v>
      </x:c>
      <x:c r="D1678" s="2" t="str">
        <x:v>DEMO-403</x:v>
      </x:c>
      <x:c r="E1678" s="2" t="str">
        <x:v>Pocket Organiser</x:v>
      </x:c>
      <x:c r="F1678" s="2" t="str">
        <x:v>Accessories</x:v>
      </x:c>
      <x:c r="G1678" s="2" t="str">
        <x:v>Online</x:v>
      </x:c>
      <x:c r="H1678" s="2" t="str">
        <x:v>Online</x:v>
      </x:c>
      <x:c r="I1678" s="2" t="n">
        <x:v>33</x:v>
      </x:c>
      <x:c r="J1678" s="2" t="n">
        <x:v>0</x:v>
      </x:c>
      <x:c r="K1678" s="2" t="n">
        <x:f>I1678-J1678</x:f>
        <x:v>33</x:v>
      </x:c>
      <x:c r="L1678" s="16" t="n">
        <x:v>20</x:v>
      </x:c>
      <x:c r="M1678" s="16" t="n">
        <x:v>20</x:v>
      </x:c>
      <x:c r="N1678" s="16" t="n">
        <x:v>8.2</x:v>
      </x:c>
      <x:c r="O1678" s="16" t="n">
        <x:f>K1678*M1678</x:f>
        <x:v>660</x:v>
      </x:c>
      <x:c r="P1678" s="16" t="n">
        <x:f>K1678*N1678</x:f>
        <x:v>270.59999999999997</x:v>
      </x:c>
      <x:c r="Q1678" s="16" t="n">
        <x:f>O1678-P1678</x:f>
        <x:v>389.40000000000003</x:v>
      </x:c>
      <x:c r="R1678" s="2" t="n">
        <x:v>109</x:v>
      </x:c>
      <x:c r="S1678" s="2" t="n">
        <x:v>121</x:v>
      </x:c>
      <x:c r="T1678" s="2" t="n">
        <x:f>R1678+S1678+J1678-I1678</x:f>
        <x:v>197</x:v>
      </x:c>
      <x:c r="U1678" s="2" t="n">
        <x:v>0</x:v>
      </x:c>
      <x:c r="V1678" s="2" t="n">
        <x:v>4</x:v>
      </x:c>
      <x:c r="W1678" s="2" t="n">
        <x:v>31</x:v>
      </x:c>
      <x:c r="X1678" s="14" t="b">
        <x:v>0</x:v>
      </x:c>
      <x:c r="Y1678" s="14" t="b">
        <x:v>0</x:v>
      </x:c>
      <x:c r="Z1678" s="2" t="n">
        <x:f>ABS(T1678-AA1678)</x:f>
        <x:v>0</x:v>
      </x:c>
      <x:c r="AA1678" s="2" t="n">
        <x:v>197</x:v>
      </x:c>
      <x:c r="AB1678" s="2" t="n">
        <x:f>ABS(K1678-W1678)</x:f>
        <x:v>2</x:v>
      </x:c>
      <x:c r="AC1678" s="2" t="n">
        <x:f>COUNTIF($A$2:$A$1921,A1678)-1</x:f>
        <x:v>0</x:v>
      </x:c>
      <x:c r="AD1678" s="2" t="n">
        <x:f>IF(AND(D1678=D1677,H1678=H1677,C1678=C1677+1),ABS(R1678-T1677),0)</x:f>
        <x:v>0</x:v>
      </x:c>
    </x:row>
    <x:row r="1679" ht="23" customHeight="1">
      <x:c r="A1679" s="2" t="str">
        <x:v>DEMO-403-3-18</x:v>
      </x:c>
      <x:c r="B1679" s="15" t="d">
        <x:v>2026-08-31T00:00:00.000Z</x:v>
      </x:c>
      <x:c r="C1679" s="2" t="n">
        <x:v>18</x:v>
      </x:c>
      <x:c r="D1679" s="2" t="str">
        <x:v>DEMO-403</x:v>
      </x:c>
      <x:c r="E1679" s="2" t="str">
        <x:v>Pocket Organiser</x:v>
      </x:c>
      <x:c r="F1679" s="2" t="str">
        <x:v>Accessories</x:v>
      </x:c>
      <x:c r="G1679" s="2" t="str">
        <x:v>Online</x:v>
      </x:c>
      <x:c r="H1679" s="2" t="str">
        <x:v>Online</x:v>
      </x:c>
      <x:c r="I1679" s="2" t="n">
        <x:v>28</x:v>
      </x:c>
      <x:c r="J1679" s="2" t="n">
        <x:v>0</x:v>
      </x:c>
      <x:c r="K1679" s="2" t="n">
        <x:f>I1679-J1679</x:f>
        <x:v>28</x:v>
      </x:c>
      <x:c r="L1679" s="16" t="n">
        <x:v>20</x:v>
      </x:c>
      <x:c r="M1679" s="16" t="n">
        <x:v>20</x:v>
      </x:c>
      <x:c r="N1679" s="16" t="n">
        <x:v>8.2</x:v>
      </x:c>
      <x:c r="O1679" s="16" t="n">
        <x:f>K1679*M1679</x:f>
        <x:v>560</x:v>
      </x:c>
      <x:c r="P1679" s="16" t="n">
        <x:f>K1679*N1679</x:f>
        <x:v>229.59999999999997</x:v>
      </x:c>
      <x:c r="Q1679" s="16" t="n">
        <x:f>O1679-P1679</x:f>
        <x:v>330.40000000000003</x:v>
      </x:c>
      <x:c r="R1679" s="2" t="n">
        <x:v>197</x:v>
      </x:c>
      <x:c r="S1679" s="2" t="n">
        <x:v>0</x:v>
      </x:c>
      <x:c r="T1679" s="2" t="n">
        <x:f>R1679+S1679+J1679-I1679</x:f>
        <x:v>169</x:v>
      </x:c>
      <x:c r="U1679" s="2" t="n">
        <x:v>0</x:v>
      </x:c>
      <x:c r="V1679" s="2" t="n">
        <x:v>4</x:v>
      </x:c>
      <x:c r="W1679" s="2" t="n">
        <x:v>31</x:v>
      </x:c>
      <x:c r="X1679" s="14" t="b">
        <x:v>0</x:v>
      </x:c>
      <x:c r="Y1679" s="14" t="b">
        <x:v>0</x:v>
      </x:c>
      <x:c r="Z1679" s="2" t="n">
        <x:f>ABS(T1679-AA1679)</x:f>
        <x:v>0</x:v>
      </x:c>
      <x:c r="AA1679" s="2" t="n">
        <x:v>169</x:v>
      </x:c>
      <x:c r="AB1679" s="2" t="n">
        <x:f>ABS(K1679-W1679)</x:f>
        <x:v>3</x:v>
      </x:c>
      <x:c r="AC1679" s="2" t="n">
        <x:f>COUNTIF($A$2:$A$1921,A1679)-1</x:f>
        <x:v>0</x:v>
      </x:c>
      <x:c r="AD1679" s="2" t="n">
        <x:f>IF(AND(D1679=D1678,H1679=H1678,C1679=C1678+1),ABS(R1679-T1678),0)</x:f>
        <x:v>0</x:v>
      </x:c>
    </x:row>
    <x:row r="1680" ht="23" customHeight="1">
      <x:c r="A1680" s="2" t="str">
        <x:v>DEMO-403-3-19</x:v>
      </x:c>
      <x:c r="B1680" s="15" t="d">
        <x:v>2026-09-07T00:00:00.000Z</x:v>
      </x:c>
      <x:c r="C1680" s="2" t="n">
        <x:v>19</x:v>
      </x:c>
      <x:c r="D1680" s="2" t="str">
        <x:v>DEMO-403</x:v>
      </x:c>
      <x:c r="E1680" s="2" t="str">
        <x:v>Pocket Organiser</x:v>
      </x:c>
      <x:c r="F1680" s="2" t="str">
        <x:v>Accessories</x:v>
      </x:c>
      <x:c r="G1680" s="2" t="str">
        <x:v>Online</x:v>
      </x:c>
      <x:c r="H1680" s="2" t="str">
        <x:v>Online</x:v>
      </x:c>
      <x:c r="I1680" s="2" t="n">
        <x:v>24</x:v>
      </x:c>
      <x:c r="J1680" s="2" t="n">
        <x:v>0</x:v>
      </x:c>
      <x:c r="K1680" s="2" t="n">
        <x:f>I1680-J1680</x:f>
        <x:v>24</x:v>
      </x:c>
      <x:c r="L1680" s="16" t="n">
        <x:v>20</x:v>
      </x:c>
      <x:c r="M1680" s="16" t="n">
        <x:v>20</x:v>
      </x:c>
      <x:c r="N1680" s="16" t="n">
        <x:v>8.2</x:v>
      </x:c>
      <x:c r="O1680" s="16" t="n">
        <x:f>K1680*M1680</x:f>
        <x:v>480</x:v>
      </x:c>
      <x:c r="P1680" s="16" t="n">
        <x:f>K1680*N1680</x:f>
        <x:v>196.79999999999998</x:v>
      </x:c>
      <x:c r="Q1680" s="16" t="n">
        <x:f>O1680-P1680</x:f>
        <x:v>283.20000000000005</x:v>
      </x:c>
      <x:c r="R1680" s="2" t="n">
        <x:v>169</x:v>
      </x:c>
      <x:c r="S1680" s="2" t="n">
        <x:v>0</x:v>
      </x:c>
      <x:c r="T1680" s="2" t="n">
        <x:f>R1680+S1680+J1680-I1680</x:f>
        <x:v>145</x:v>
      </x:c>
      <x:c r="U1680" s="2" t="n">
        <x:v>0</x:v>
      </x:c>
      <x:c r="V1680" s="2" t="n">
        <x:v>4</x:v>
      </x:c>
      <x:c r="W1680" s="2" t="n">
        <x:v>29</x:v>
      </x:c>
      <x:c r="X1680" s="14" t="b">
        <x:v>0</x:v>
      </x:c>
      <x:c r="Y1680" s="14" t="b">
        <x:v>0</x:v>
      </x:c>
      <x:c r="Z1680" s="2" t="n">
        <x:f>ABS(T1680-AA1680)</x:f>
        <x:v>0</x:v>
      </x:c>
      <x:c r="AA1680" s="2" t="n">
        <x:v>145</x:v>
      </x:c>
      <x:c r="AB1680" s="2" t="n">
        <x:f>ABS(K1680-W1680)</x:f>
        <x:v>5</x:v>
      </x:c>
      <x:c r="AC1680" s="2" t="n">
        <x:f>COUNTIF($A$2:$A$1921,A1680)-1</x:f>
        <x:v>0</x:v>
      </x:c>
      <x:c r="AD1680" s="2" t="n">
        <x:f>IF(AND(D1680=D1679,H1680=H1679,C1680=C1679+1),ABS(R1680-T1679),0)</x:f>
        <x:v>0</x:v>
      </x:c>
    </x:row>
    <x:row r="1681" ht="23" customHeight="1">
      <x:c r="A1681" s="2" t="str">
        <x:v>DEMO-403-3-20</x:v>
      </x:c>
      <x:c r="B1681" s="15" t="d">
        <x:v>2026-09-14T00:00:00.000Z</x:v>
      </x:c>
      <x:c r="C1681" s="2" t="n">
        <x:v>20</x:v>
      </x:c>
      <x:c r="D1681" s="2" t="str">
        <x:v>DEMO-403</x:v>
      </x:c>
      <x:c r="E1681" s="2" t="str">
        <x:v>Pocket Organiser</x:v>
      </x:c>
      <x:c r="F1681" s="2" t="str">
        <x:v>Accessories</x:v>
      </x:c>
      <x:c r="G1681" s="2" t="str">
        <x:v>Online</x:v>
      </x:c>
      <x:c r="H1681" s="2" t="str">
        <x:v>Online</x:v>
      </x:c>
      <x:c r="I1681" s="2" t="n">
        <x:v>27</x:v>
      </x:c>
      <x:c r="J1681" s="2" t="n">
        <x:v>0</x:v>
      </x:c>
      <x:c r="K1681" s="2" t="n">
        <x:f>I1681-J1681</x:f>
        <x:v>27</x:v>
      </x:c>
      <x:c r="L1681" s="16" t="n">
        <x:v>20</x:v>
      </x:c>
      <x:c r="M1681" s="16" t="n">
        <x:v>20</x:v>
      </x:c>
      <x:c r="N1681" s="16" t="n">
        <x:v>8.2</x:v>
      </x:c>
      <x:c r="O1681" s="16" t="n">
        <x:f>K1681*M1681</x:f>
        <x:v>540</x:v>
      </x:c>
      <x:c r="P1681" s="16" t="n">
        <x:f>K1681*N1681</x:f>
        <x:v>221.39999999999998</x:v>
      </x:c>
      <x:c r="Q1681" s="16" t="n">
        <x:f>O1681-P1681</x:f>
        <x:v>318.6</x:v>
      </x:c>
      <x:c r="R1681" s="2" t="n">
        <x:v>145</x:v>
      </x:c>
      <x:c r="S1681" s="2" t="n">
        <x:v>0</x:v>
      </x:c>
      <x:c r="T1681" s="2" t="n">
        <x:f>R1681+S1681+J1681-I1681</x:f>
        <x:v>118</x:v>
      </x:c>
      <x:c r="U1681" s="2" t="n">
        <x:v>18</x:v>
      </x:c>
      <x:c r="V1681" s="2" t="n">
        <x:v>4</x:v>
      </x:c>
      <x:c r="W1681" s="2" t="n">
        <x:v>29</x:v>
      </x:c>
      <x:c r="X1681" s="14" t="b">
        <x:v>0</x:v>
      </x:c>
      <x:c r="Y1681" s="14" t="b">
        <x:v>0</x:v>
      </x:c>
      <x:c r="Z1681" s="2" t="n">
        <x:f>ABS(T1681-AA1681)</x:f>
        <x:v>0</x:v>
      </x:c>
      <x:c r="AA1681" s="2" t="n">
        <x:v>118</x:v>
      </x:c>
      <x:c r="AB1681" s="2" t="n">
        <x:f>ABS(K1681-W1681)</x:f>
        <x:v>2</x:v>
      </x:c>
      <x:c r="AC1681" s="2" t="n">
        <x:f>COUNTIF($A$2:$A$1921,A1681)-1</x:f>
        <x:v>0</x:v>
      </x:c>
      <x:c r="AD1681" s="2" t="n">
        <x:f>IF(AND(D1681=D1680,H1681=H1680,C1681=C1680+1),ABS(R1681-T1680),0)</x:f>
        <x:v>0</x:v>
      </x:c>
    </x:row>
    <x:row r="1682" ht="23" customHeight="1">
      <x:c r="A1682" s="2" t="str">
        <x:v>DEMO-404-0-1</x:v>
      </x:c>
      <x:c r="B1682" s="15" t="d">
        <x:v>2026-05-04T00:00:00.000Z</x:v>
      </x:c>
      <x:c r="C1682" s="2" t="n">
        <x:v>1</x:v>
      </x:c>
      <x:c r="D1682" s="2" t="str">
        <x:v>DEMO-404</x:v>
      </x:c>
      <x:c r="E1682" s="2" t="str">
        <x:v>Woven Lanyard</x:v>
      </x:c>
      <x:c r="F1682" s="2" t="str">
        <x:v>Accessories</x:v>
      </x:c>
      <x:c r="G1682" s="2" t="str">
        <x:v>Stores</x:v>
      </x:c>
      <x:c r="H1682" s="2" t="str">
        <x:v>North Arcade</x:v>
      </x:c>
      <x:c r="I1682" s="2" t="n">
        <x:v>7</x:v>
      </x:c>
      <x:c r="J1682" s="2" t="n">
        <x:v>0</x:v>
      </x:c>
      <x:c r="K1682" s="2" t="n">
        <x:f>I1682-J1682</x:f>
        <x:v>7</x:v>
      </x:c>
      <x:c r="L1682" s="16" t="n">
        <x:v>22</x:v>
      </x:c>
      <x:c r="M1682" s="16" t="n">
        <x:v>22</x:v>
      </x:c>
      <x:c r="N1682" s="16" t="n">
        <x:v>9.57</x:v>
      </x:c>
      <x:c r="O1682" s="16" t="n">
        <x:f>K1682*M1682</x:f>
        <x:v>154</x:v>
      </x:c>
      <x:c r="P1682" s="16" t="n">
        <x:f>K1682*N1682</x:f>
        <x:v>66.99000000000001</x:v>
      </x:c>
      <x:c r="Q1682" s="16" t="n">
        <x:f>O1682-P1682</x:f>
        <x:v>87.00999999999999</x:v>
      </x:c>
      <x:c r="R1682" s="2" t="n">
        <x:v>90</x:v>
      </x:c>
      <x:c r="S1682" s="2" t="n">
        <x:v>34</x:v>
      </x:c>
      <x:c r="T1682" s="2" t="n">
        <x:f>R1682+S1682+J1682-I1682</x:f>
        <x:v>117</x:v>
      </x:c>
      <x:c r="U1682" s="2" t="n">
        <x:v>0</x:v>
      </x:c>
      <x:c r="V1682" s="2" t="n">
        <x:v>2</x:v>
      </x:c>
      <x:c r="W1682" s="2" t="n">
        <x:v>8</x:v>
      </x:c>
      <x:c r="X1682" s="14" t="b">
        <x:v>0</x:v>
      </x:c>
      <x:c r="Y1682" s="14" t="b">
        <x:v>0</x:v>
      </x:c>
      <x:c r="Z1682" s="2" t="n">
        <x:f>ABS(T1682-AA1682)</x:f>
        <x:v>0</x:v>
      </x:c>
      <x:c r="AA1682" s="2" t="n">
        <x:v>117</x:v>
      </x:c>
      <x:c r="AB1682" s="2" t="n">
        <x:f>ABS(K1682-W1682)</x:f>
        <x:v>1</x:v>
      </x:c>
      <x:c r="AC1682" s="2" t="n">
        <x:f>COUNTIF($A$2:$A$1921,A1682)-1</x:f>
        <x:v>0</x:v>
      </x:c>
      <x:c r="AD1682" s="2" t="n">
        <x:f>IF(AND(D1682=D1681,H1682=H1681,C1682=C1681+1),ABS(R1682-T1681),0)</x:f>
        <x:v>0</x:v>
      </x:c>
    </x:row>
    <x:row r="1683" ht="23" customHeight="1">
      <x:c r="A1683" s="2" t="str">
        <x:v>DEMO-404-0-2</x:v>
      </x:c>
      <x:c r="B1683" s="15" t="d">
        <x:v>2026-05-11T00:00:00.000Z</x:v>
      </x:c>
      <x:c r="C1683" s="2" t="n">
        <x:v>2</x:v>
      </x:c>
      <x:c r="D1683" s="2" t="str">
        <x:v>DEMO-404</x:v>
      </x:c>
      <x:c r="E1683" s="2" t="str">
        <x:v>Woven Lanyard</x:v>
      </x:c>
      <x:c r="F1683" s="2" t="str">
        <x:v>Accessories</x:v>
      </x:c>
      <x:c r="G1683" s="2" t="str">
        <x:v>Stores</x:v>
      </x:c>
      <x:c r="H1683" s="2" t="str">
        <x:v>North Arcade</x:v>
      </x:c>
      <x:c r="I1683" s="2" t="n">
        <x:v>8</x:v>
      </x:c>
      <x:c r="J1683" s="2" t="n">
        <x:v>1</x:v>
      </x:c>
      <x:c r="K1683" s="2" t="n">
        <x:f>I1683-J1683</x:f>
        <x:v>7</x:v>
      </x:c>
      <x:c r="L1683" s="16" t="n">
        <x:v>22</x:v>
      </x:c>
      <x:c r="M1683" s="16" t="n">
        <x:v>22</x:v>
      </x:c>
      <x:c r="N1683" s="16" t="n">
        <x:v>9.57</x:v>
      </x:c>
      <x:c r="O1683" s="16" t="n">
        <x:f>K1683*M1683</x:f>
        <x:v>154</x:v>
      </x:c>
      <x:c r="P1683" s="16" t="n">
        <x:f>K1683*N1683</x:f>
        <x:v>66.99000000000001</x:v>
      </x:c>
      <x:c r="Q1683" s="16" t="n">
        <x:f>O1683-P1683</x:f>
        <x:v>87.00999999999999</x:v>
      </x:c>
      <x:c r="R1683" s="2" t="n">
        <x:v>117</x:v>
      </x:c>
      <x:c r="S1683" s="2" t="n">
        <x:v>0</x:v>
      </x:c>
      <x:c r="T1683" s="2" t="n">
        <x:f>R1683+S1683+J1683-I1683</x:f>
        <x:v>110</x:v>
      </x:c>
      <x:c r="U1683" s="2" t="n">
        <x:v>0</x:v>
      </x:c>
      <x:c r="V1683" s="2" t="n">
        <x:v>2</x:v>
      </x:c>
      <x:c r="W1683" s="2" t="n">
        <x:v>7</x:v>
      </x:c>
      <x:c r="X1683" s="14" t="b">
        <x:v>0</x:v>
      </x:c>
      <x:c r="Y1683" s="14" t="b">
        <x:v>0</x:v>
      </x:c>
      <x:c r="Z1683" s="2" t="n">
        <x:f>ABS(T1683-AA1683)</x:f>
        <x:v>0</x:v>
      </x:c>
      <x:c r="AA1683" s="2" t="n">
        <x:v>110</x:v>
      </x:c>
      <x:c r="AB1683" s="2" t="n">
        <x:f>ABS(K1683-W1683)</x:f>
        <x:v>0</x:v>
      </x:c>
      <x:c r="AC1683" s="2" t="n">
        <x:f>COUNTIF($A$2:$A$1921,A1683)-1</x:f>
        <x:v>0</x:v>
      </x:c>
      <x:c r="AD1683" s="2" t="n">
        <x:f>IF(AND(D1683=D1682,H1683=H1682,C1683=C1682+1),ABS(R1683-T1682),0)</x:f>
        <x:v>0</x:v>
      </x:c>
    </x:row>
    <x:row r="1684" ht="23" customHeight="1">
      <x:c r="A1684" s="2" t="str">
        <x:v>DEMO-404-0-3</x:v>
      </x:c>
      <x:c r="B1684" s="15" t="d">
        <x:v>2026-05-18T00:00:00.000Z</x:v>
      </x:c>
      <x:c r="C1684" s="2" t="n">
        <x:v>3</x:v>
      </x:c>
      <x:c r="D1684" s="2" t="str">
        <x:v>DEMO-404</x:v>
      </x:c>
      <x:c r="E1684" s="2" t="str">
        <x:v>Woven Lanyard</x:v>
      </x:c>
      <x:c r="F1684" s="2" t="str">
        <x:v>Accessories</x:v>
      </x:c>
      <x:c r="G1684" s="2" t="str">
        <x:v>Stores</x:v>
      </x:c>
      <x:c r="H1684" s="2" t="str">
        <x:v>North Arcade</x:v>
      </x:c>
      <x:c r="I1684" s="2" t="n">
        <x:v>6</x:v>
      </x:c>
      <x:c r="J1684" s="2" t="n">
        <x:v>0</x:v>
      </x:c>
      <x:c r="K1684" s="2" t="n">
        <x:f>I1684-J1684</x:f>
        <x:v>6</x:v>
      </x:c>
      <x:c r="L1684" s="16" t="n">
        <x:v>22</x:v>
      </x:c>
      <x:c r="M1684" s="16" t="n">
        <x:v>22</x:v>
      </x:c>
      <x:c r="N1684" s="16" t="n">
        <x:v>9.57</x:v>
      </x:c>
      <x:c r="O1684" s="16" t="n">
        <x:f>K1684*M1684</x:f>
        <x:v>132</x:v>
      </x:c>
      <x:c r="P1684" s="16" t="n">
        <x:f>K1684*N1684</x:f>
        <x:v>57.42</x:v>
      </x:c>
      <x:c r="Q1684" s="16" t="n">
        <x:f>O1684-P1684</x:f>
        <x:v>74.58</x:v>
      </x:c>
      <x:c r="R1684" s="2" t="n">
        <x:v>110</x:v>
      </x:c>
      <x:c r="S1684" s="2" t="n">
        <x:v>0</x:v>
      </x:c>
      <x:c r="T1684" s="2" t="n">
        <x:f>R1684+S1684+J1684-I1684</x:f>
        <x:v>104</x:v>
      </x:c>
      <x:c r="U1684" s="2" t="n">
        <x:v>0</x:v>
      </x:c>
      <x:c r="V1684" s="2" t="n">
        <x:v>2</x:v>
      </x:c>
      <x:c r="W1684" s="2" t="n">
        <x:v>7</x:v>
      </x:c>
      <x:c r="X1684" s="14" t="b">
        <x:v>0</x:v>
      </x:c>
      <x:c r="Y1684" s="14" t="b">
        <x:v>0</x:v>
      </x:c>
      <x:c r="Z1684" s="2" t="n">
        <x:f>ABS(T1684-AA1684)</x:f>
        <x:v>0</x:v>
      </x:c>
      <x:c r="AA1684" s="2" t="n">
        <x:v>104</x:v>
      </x:c>
      <x:c r="AB1684" s="2" t="n">
        <x:f>ABS(K1684-W1684)</x:f>
        <x:v>1</x:v>
      </x:c>
      <x:c r="AC1684" s="2" t="n">
        <x:f>COUNTIF($A$2:$A$1921,A1684)-1</x:f>
        <x:v>0</x:v>
      </x:c>
      <x:c r="AD1684" s="2" t="n">
        <x:f>IF(AND(D1684=D1683,H1684=H1683,C1684=C1683+1),ABS(R1684-T1683),0)</x:f>
        <x:v>0</x:v>
      </x:c>
    </x:row>
    <x:row r="1685" ht="23" customHeight="1">
      <x:c r="A1685" s="2" t="str">
        <x:v>DEMO-404-0-4</x:v>
      </x:c>
      <x:c r="B1685" s="15" t="d">
        <x:v>2026-05-25T00:00:00.000Z</x:v>
      </x:c>
      <x:c r="C1685" s="2" t="n">
        <x:v>4</x:v>
      </x:c>
      <x:c r="D1685" s="2" t="str">
        <x:v>DEMO-404</x:v>
      </x:c>
      <x:c r="E1685" s="2" t="str">
        <x:v>Woven Lanyard</x:v>
      </x:c>
      <x:c r="F1685" s="2" t="str">
        <x:v>Accessories</x:v>
      </x:c>
      <x:c r="G1685" s="2" t="str">
        <x:v>Stores</x:v>
      </x:c>
      <x:c r="H1685" s="2" t="str">
        <x:v>North Arcade</x:v>
      </x:c>
      <x:c r="I1685" s="2" t="n">
        <x:v>7</x:v>
      </x:c>
      <x:c r="J1685" s="2" t="n">
        <x:v>0</x:v>
      </x:c>
      <x:c r="K1685" s="2" t="n">
        <x:f>I1685-J1685</x:f>
        <x:v>7</x:v>
      </x:c>
      <x:c r="L1685" s="16" t="n">
        <x:v>22</x:v>
      </x:c>
      <x:c r="M1685" s="16" t="n">
        <x:v>22</x:v>
      </x:c>
      <x:c r="N1685" s="16" t="n">
        <x:v>9.57</x:v>
      </x:c>
      <x:c r="O1685" s="16" t="n">
        <x:f>K1685*M1685</x:f>
        <x:v>154</x:v>
      </x:c>
      <x:c r="P1685" s="16" t="n">
        <x:f>K1685*N1685</x:f>
        <x:v>66.99000000000001</x:v>
      </x:c>
      <x:c r="Q1685" s="16" t="n">
        <x:f>O1685-P1685</x:f>
        <x:v>87.00999999999999</x:v>
      </x:c>
      <x:c r="R1685" s="2" t="n">
        <x:v>104</x:v>
      </x:c>
      <x:c r="S1685" s="2" t="n">
        <x:v>0</x:v>
      </x:c>
      <x:c r="T1685" s="2" t="n">
        <x:f>R1685+S1685+J1685-I1685</x:f>
        <x:v>97</x:v>
      </x:c>
      <x:c r="U1685" s="2" t="n">
        <x:v>0</x:v>
      </x:c>
      <x:c r="V1685" s="2" t="n">
        <x:v>2</x:v>
      </x:c>
      <x:c r="W1685" s="2" t="n">
        <x:v>7</x:v>
      </x:c>
      <x:c r="X1685" s="14" t="b">
        <x:v>0</x:v>
      </x:c>
      <x:c r="Y1685" s="14" t="b">
        <x:v>0</x:v>
      </x:c>
      <x:c r="Z1685" s="2" t="n">
        <x:f>ABS(T1685-AA1685)</x:f>
        <x:v>0</x:v>
      </x:c>
      <x:c r="AA1685" s="2" t="n">
        <x:v>97</x:v>
      </x:c>
      <x:c r="AB1685" s="2" t="n">
        <x:f>ABS(K1685-W1685)</x:f>
        <x:v>0</x:v>
      </x:c>
      <x:c r="AC1685" s="2" t="n">
        <x:f>COUNTIF($A$2:$A$1921,A1685)-1</x:f>
        <x:v>0</x:v>
      </x:c>
      <x:c r="AD1685" s="2" t="n">
        <x:f>IF(AND(D1685=D1684,H1685=H1684,C1685=C1684+1),ABS(R1685-T1684),0)</x:f>
        <x:v>0</x:v>
      </x:c>
    </x:row>
    <x:row r="1686" ht="23" customHeight="1">
      <x:c r="A1686" s="2" t="str">
        <x:v>DEMO-404-0-5</x:v>
      </x:c>
      <x:c r="B1686" s="15" t="d">
        <x:v>2026-06-01T00:00:00.000Z</x:v>
      </x:c>
      <x:c r="C1686" s="2" t="n">
        <x:v>5</x:v>
      </x:c>
      <x:c r="D1686" s="2" t="str">
        <x:v>DEMO-404</x:v>
      </x:c>
      <x:c r="E1686" s="2" t="str">
        <x:v>Woven Lanyard</x:v>
      </x:c>
      <x:c r="F1686" s="2" t="str">
        <x:v>Accessories</x:v>
      </x:c>
      <x:c r="G1686" s="2" t="str">
        <x:v>Stores</x:v>
      </x:c>
      <x:c r="H1686" s="2" t="str">
        <x:v>North Arcade</x:v>
      </x:c>
      <x:c r="I1686" s="2" t="n">
        <x:v>10</x:v>
      </x:c>
      <x:c r="J1686" s="2" t="n">
        <x:v>0</x:v>
      </x:c>
      <x:c r="K1686" s="2" t="n">
        <x:f>I1686-J1686</x:f>
        <x:v>10</x:v>
      </x:c>
      <x:c r="L1686" s="16" t="n">
        <x:v>22</x:v>
      </x:c>
      <x:c r="M1686" s="16" t="n">
        <x:v>22</x:v>
      </x:c>
      <x:c r="N1686" s="16" t="n">
        <x:v>9.57</x:v>
      </x:c>
      <x:c r="O1686" s="16" t="n">
        <x:f>K1686*M1686</x:f>
        <x:v>220</x:v>
      </x:c>
      <x:c r="P1686" s="16" t="n">
        <x:f>K1686*N1686</x:f>
        <x:v>95.7</x:v>
      </x:c>
      <x:c r="Q1686" s="16" t="n">
        <x:f>O1686-P1686</x:f>
        <x:v>124.3</x:v>
      </x:c>
      <x:c r="R1686" s="2" t="n">
        <x:v>97</x:v>
      </x:c>
      <x:c r="S1686" s="2" t="n">
        <x:v>34</x:v>
      </x:c>
      <x:c r="T1686" s="2" t="n">
        <x:f>R1686+S1686+J1686-I1686</x:f>
        <x:v>121</x:v>
      </x:c>
      <x:c r="U1686" s="2" t="n">
        <x:v>0</x:v>
      </x:c>
      <x:c r="V1686" s="2" t="n">
        <x:v>2</x:v>
      </x:c>
      <x:c r="W1686" s="2" t="n">
        <x:v>7</x:v>
      </x:c>
      <x:c r="X1686" s="14" t="b">
        <x:v>0</x:v>
      </x:c>
      <x:c r="Y1686" s="14" t="b">
        <x:v>0</x:v>
      </x:c>
      <x:c r="Z1686" s="2" t="n">
        <x:f>ABS(T1686-AA1686)</x:f>
        <x:v>0</x:v>
      </x:c>
      <x:c r="AA1686" s="2" t="n">
        <x:v>121</x:v>
      </x:c>
      <x:c r="AB1686" s="2" t="n">
        <x:f>ABS(K1686-W1686)</x:f>
        <x:v>3</x:v>
      </x:c>
      <x:c r="AC1686" s="2" t="n">
        <x:f>COUNTIF($A$2:$A$1921,A1686)-1</x:f>
        <x:v>0</x:v>
      </x:c>
      <x:c r="AD1686" s="2" t="n">
        <x:f>IF(AND(D1686=D1685,H1686=H1685,C1686=C1685+1),ABS(R1686-T1685),0)</x:f>
        <x:v>0</x:v>
      </x:c>
    </x:row>
    <x:row r="1687" ht="23" customHeight="1">
      <x:c r="A1687" s="2" t="str">
        <x:v>DEMO-404-0-6</x:v>
      </x:c>
      <x:c r="B1687" s="15" t="d">
        <x:v>2026-06-08T00:00:00.000Z</x:v>
      </x:c>
      <x:c r="C1687" s="2" t="n">
        <x:v>6</x:v>
      </x:c>
      <x:c r="D1687" s="2" t="str">
        <x:v>DEMO-404</x:v>
      </x:c>
      <x:c r="E1687" s="2" t="str">
        <x:v>Woven Lanyard</x:v>
      </x:c>
      <x:c r="F1687" s="2" t="str">
        <x:v>Accessories</x:v>
      </x:c>
      <x:c r="G1687" s="2" t="str">
        <x:v>Stores</x:v>
      </x:c>
      <x:c r="H1687" s="2" t="str">
        <x:v>North Arcade</x:v>
      </x:c>
      <x:c r="I1687" s="2" t="n">
        <x:v>10</x:v>
      </x:c>
      <x:c r="J1687" s="2" t="n">
        <x:v>0</x:v>
      </x:c>
      <x:c r="K1687" s="2" t="n">
        <x:f>I1687-J1687</x:f>
        <x:v>10</x:v>
      </x:c>
      <x:c r="L1687" s="16" t="n">
        <x:v>22</x:v>
      </x:c>
      <x:c r="M1687" s="16" t="n">
        <x:v>22</x:v>
      </x:c>
      <x:c r="N1687" s="16" t="n">
        <x:v>9.57</x:v>
      </x:c>
      <x:c r="O1687" s="16" t="n">
        <x:f>K1687*M1687</x:f>
        <x:v>220</x:v>
      </x:c>
      <x:c r="P1687" s="16" t="n">
        <x:f>K1687*N1687</x:f>
        <x:v>95.7</x:v>
      </x:c>
      <x:c r="Q1687" s="16" t="n">
        <x:f>O1687-P1687</x:f>
        <x:v>124.3</x:v>
      </x:c>
      <x:c r="R1687" s="2" t="n">
        <x:v>121</x:v>
      </x:c>
      <x:c r="S1687" s="2" t="n">
        <x:v>0</x:v>
      </x:c>
      <x:c r="T1687" s="2" t="n">
        <x:f>R1687+S1687+J1687-I1687</x:f>
        <x:v>111</x:v>
      </x:c>
      <x:c r="U1687" s="2" t="n">
        <x:v>0</x:v>
      </x:c>
      <x:c r="V1687" s="2" t="n">
        <x:v>2</x:v>
      </x:c>
      <x:c r="W1687" s="2" t="n">
        <x:v>8</x:v>
      </x:c>
      <x:c r="X1687" s="14" t="b">
        <x:v>0</x:v>
      </x:c>
      <x:c r="Y1687" s="14" t="b">
        <x:v>0</x:v>
      </x:c>
      <x:c r="Z1687" s="2" t="n">
        <x:f>ABS(T1687-AA1687)</x:f>
        <x:v>0</x:v>
      </x:c>
      <x:c r="AA1687" s="2" t="n">
        <x:v>111</x:v>
      </x:c>
      <x:c r="AB1687" s="2" t="n">
        <x:f>ABS(K1687-W1687)</x:f>
        <x:v>2</x:v>
      </x:c>
      <x:c r="AC1687" s="2" t="n">
        <x:f>COUNTIF($A$2:$A$1921,A1687)-1</x:f>
        <x:v>0</x:v>
      </x:c>
      <x:c r="AD1687" s="2" t="n">
        <x:f>IF(AND(D1687=D1686,H1687=H1686,C1687=C1686+1),ABS(R1687-T1686),0)</x:f>
        <x:v>0</x:v>
      </x:c>
    </x:row>
    <x:row r="1688" ht="23" customHeight="1">
      <x:c r="A1688" s="2" t="str">
        <x:v>DEMO-404-0-7</x:v>
      </x:c>
      <x:c r="B1688" s="15" t="d">
        <x:v>2026-06-15T00:00:00.000Z</x:v>
      </x:c>
      <x:c r="C1688" s="2" t="n">
        <x:v>7</x:v>
      </x:c>
      <x:c r="D1688" s="2" t="str">
        <x:v>DEMO-404</x:v>
      </x:c>
      <x:c r="E1688" s="2" t="str">
        <x:v>Woven Lanyard</x:v>
      </x:c>
      <x:c r="F1688" s="2" t="str">
        <x:v>Accessories</x:v>
      </x:c>
      <x:c r="G1688" s="2" t="str">
        <x:v>Stores</x:v>
      </x:c>
      <x:c r="H1688" s="2" t="str">
        <x:v>North Arcade</x:v>
      </x:c>
      <x:c r="I1688" s="2" t="n">
        <x:v>9</x:v>
      </x:c>
      <x:c r="J1688" s="2" t="n">
        <x:v>0</x:v>
      </x:c>
      <x:c r="K1688" s="2" t="n">
        <x:f>I1688-J1688</x:f>
        <x:v>9</x:v>
      </x:c>
      <x:c r="L1688" s="16" t="n">
        <x:v>22</x:v>
      </x:c>
      <x:c r="M1688" s="16" t="n">
        <x:v>22</x:v>
      </x:c>
      <x:c r="N1688" s="16" t="n">
        <x:v>9.57</x:v>
      </x:c>
      <x:c r="O1688" s="16" t="n">
        <x:f>K1688*M1688</x:f>
        <x:v>198</x:v>
      </x:c>
      <x:c r="P1688" s="16" t="n">
        <x:f>K1688*N1688</x:f>
        <x:v>86.13</x:v>
      </x:c>
      <x:c r="Q1688" s="16" t="n">
        <x:f>O1688-P1688</x:f>
        <x:v>111.87</x:v>
      </x:c>
      <x:c r="R1688" s="2" t="n">
        <x:v>111</x:v>
      </x:c>
      <x:c r="S1688" s="2" t="n">
        <x:v>0</x:v>
      </x:c>
      <x:c r="T1688" s="2" t="n">
        <x:f>R1688+S1688+J1688-I1688</x:f>
        <x:v>102</x:v>
      </x:c>
      <x:c r="U1688" s="2" t="n">
        <x:v>0</x:v>
      </x:c>
      <x:c r="V1688" s="2" t="n">
        <x:v>2</x:v>
      </x:c>
      <x:c r="W1688" s="2" t="n">
        <x:v>8</x:v>
      </x:c>
      <x:c r="X1688" s="14" t="b">
        <x:v>0</x:v>
      </x:c>
      <x:c r="Y1688" s="14" t="b">
        <x:v>0</x:v>
      </x:c>
      <x:c r="Z1688" s="2" t="n">
        <x:f>ABS(T1688-AA1688)</x:f>
        <x:v>0</x:v>
      </x:c>
      <x:c r="AA1688" s="2" t="n">
        <x:v>102</x:v>
      </x:c>
      <x:c r="AB1688" s="2" t="n">
        <x:f>ABS(K1688-W1688)</x:f>
        <x:v>1</x:v>
      </x:c>
      <x:c r="AC1688" s="2" t="n">
        <x:f>COUNTIF($A$2:$A$1921,A1688)-1</x:f>
        <x:v>0</x:v>
      </x:c>
      <x:c r="AD1688" s="2" t="n">
        <x:f>IF(AND(D1688=D1687,H1688=H1687,C1688=C1687+1),ABS(R1688-T1687),0)</x:f>
        <x:v>0</x:v>
      </x:c>
    </x:row>
    <x:row r="1689" ht="23" customHeight="1">
      <x:c r="A1689" s="2" t="str">
        <x:v>DEMO-404-0-8</x:v>
      </x:c>
      <x:c r="B1689" s="15" t="d">
        <x:v>2026-06-22T00:00:00.000Z</x:v>
      </x:c>
      <x:c r="C1689" s="2" t="n">
        <x:v>8</x:v>
      </x:c>
      <x:c r="D1689" s="2" t="str">
        <x:v>DEMO-404</x:v>
      </x:c>
      <x:c r="E1689" s="2" t="str">
        <x:v>Woven Lanyard</x:v>
      </x:c>
      <x:c r="F1689" s="2" t="str">
        <x:v>Accessories</x:v>
      </x:c>
      <x:c r="G1689" s="2" t="str">
        <x:v>Stores</x:v>
      </x:c>
      <x:c r="H1689" s="2" t="str">
        <x:v>North Arcade</x:v>
      </x:c>
      <x:c r="I1689" s="2" t="n">
        <x:v>9</x:v>
      </x:c>
      <x:c r="J1689" s="2" t="n">
        <x:v>0</x:v>
      </x:c>
      <x:c r="K1689" s="2" t="n">
        <x:f>I1689-J1689</x:f>
        <x:v>9</x:v>
      </x:c>
      <x:c r="L1689" s="16" t="n">
        <x:v>22</x:v>
      </x:c>
      <x:c r="M1689" s="16" t="n">
        <x:v>22</x:v>
      </x:c>
      <x:c r="N1689" s="16" t="n">
        <x:v>9.57</x:v>
      </x:c>
      <x:c r="O1689" s="16" t="n">
        <x:f>K1689*M1689</x:f>
        <x:v>198</x:v>
      </x:c>
      <x:c r="P1689" s="16" t="n">
        <x:f>K1689*N1689</x:f>
        <x:v>86.13</x:v>
      </x:c>
      <x:c r="Q1689" s="16" t="n">
        <x:f>O1689-P1689</x:f>
        <x:v>111.87</x:v>
      </x:c>
      <x:c r="R1689" s="2" t="n">
        <x:v>102</x:v>
      </x:c>
      <x:c r="S1689" s="2" t="n">
        <x:v>0</x:v>
      </x:c>
      <x:c r="T1689" s="2" t="n">
        <x:f>R1689+S1689+J1689-I1689</x:f>
        <x:v>93</x:v>
      </x:c>
      <x:c r="U1689" s="2" t="n">
        <x:v>0</x:v>
      </x:c>
      <x:c r="V1689" s="2" t="n">
        <x:v>2</x:v>
      </x:c>
      <x:c r="W1689" s="2" t="n">
        <x:v>9</x:v>
      </x:c>
      <x:c r="X1689" s="14" t="b">
        <x:v>0</x:v>
      </x:c>
      <x:c r="Y1689" s="14" t="b">
        <x:v>0</x:v>
      </x:c>
      <x:c r="Z1689" s="2" t="n">
        <x:f>ABS(T1689-AA1689)</x:f>
        <x:v>0</x:v>
      </x:c>
      <x:c r="AA1689" s="2" t="n">
        <x:v>93</x:v>
      </x:c>
      <x:c r="AB1689" s="2" t="n">
        <x:f>ABS(K1689-W1689)</x:f>
        <x:v>0</x:v>
      </x:c>
      <x:c r="AC1689" s="2" t="n">
        <x:f>COUNTIF($A$2:$A$1921,A1689)-1</x:f>
        <x:v>0</x:v>
      </x:c>
      <x:c r="AD1689" s="2" t="n">
        <x:f>IF(AND(D1689=D1688,H1689=H1688,C1689=C1688+1),ABS(R1689-T1688),0)</x:f>
        <x:v>0</x:v>
      </x:c>
    </x:row>
    <x:row r="1690" ht="23" customHeight="1">
      <x:c r="A1690" s="2" t="str">
        <x:v>DEMO-404-0-9</x:v>
      </x:c>
      <x:c r="B1690" s="15" t="d">
        <x:v>2026-06-29T00:00:00.000Z</x:v>
      </x:c>
      <x:c r="C1690" s="2" t="n">
        <x:v>9</x:v>
      </x:c>
      <x:c r="D1690" s="2" t="str">
        <x:v>DEMO-404</x:v>
      </x:c>
      <x:c r="E1690" s="2" t="str">
        <x:v>Woven Lanyard</x:v>
      </x:c>
      <x:c r="F1690" s="2" t="str">
        <x:v>Accessories</x:v>
      </x:c>
      <x:c r="G1690" s="2" t="str">
        <x:v>Stores</x:v>
      </x:c>
      <x:c r="H1690" s="2" t="str">
        <x:v>North Arcade</x:v>
      </x:c>
      <x:c r="I1690" s="2" t="n">
        <x:v>7</x:v>
      </x:c>
      <x:c r="J1690" s="2" t="n">
        <x:v>0</x:v>
      </x:c>
      <x:c r="K1690" s="2" t="n">
        <x:f>I1690-J1690</x:f>
        <x:v>7</x:v>
      </x:c>
      <x:c r="L1690" s="16" t="n">
        <x:v>22</x:v>
      </x:c>
      <x:c r="M1690" s="16" t="n">
        <x:v>22</x:v>
      </x:c>
      <x:c r="N1690" s="16" t="n">
        <x:v>9.57</x:v>
      </x:c>
      <x:c r="O1690" s="16" t="n">
        <x:f>K1690*M1690</x:f>
        <x:v>154</x:v>
      </x:c>
      <x:c r="P1690" s="16" t="n">
        <x:f>K1690*N1690</x:f>
        <x:v>66.99000000000001</x:v>
      </x:c>
      <x:c r="Q1690" s="16" t="n">
        <x:f>O1690-P1690</x:f>
        <x:v>87.00999999999999</x:v>
      </x:c>
      <x:c r="R1690" s="2" t="n">
        <x:v>93</x:v>
      </x:c>
      <x:c r="S1690" s="2" t="n">
        <x:v>34</x:v>
      </x:c>
      <x:c r="T1690" s="2" t="n">
        <x:f>R1690+S1690+J1690-I1690</x:f>
        <x:v>120</x:v>
      </x:c>
      <x:c r="U1690" s="2" t="n">
        <x:v>0</x:v>
      </x:c>
      <x:c r="V1690" s="2" t="n">
        <x:v>2</x:v>
      </x:c>
      <x:c r="W1690" s="2" t="n">
        <x:v>10</x:v>
      </x:c>
      <x:c r="X1690" s="14" t="b">
        <x:v>0</x:v>
      </x:c>
      <x:c r="Y1690" s="14" t="b">
        <x:v>0</x:v>
      </x:c>
      <x:c r="Z1690" s="2" t="n">
        <x:f>ABS(T1690-AA1690)</x:f>
        <x:v>0</x:v>
      </x:c>
      <x:c r="AA1690" s="2" t="n">
        <x:v>120</x:v>
      </x:c>
      <x:c r="AB1690" s="2" t="n">
        <x:f>ABS(K1690-W1690)</x:f>
        <x:v>3</x:v>
      </x:c>
      <x:c r="AC1690" s="2" t="n">
        <x:f>COUNTIF($A$2:$A$1921,A1690)-1</x:f>
        <x:v>0</x:v>
      </x:c>
      <x:c r="AD1690" s="2" t="n">
        <x:f>IF(AND(D1690=D1689,H1690=H1689,C1690=C1689+1),ABS(R1690-T1689),0)</x:f>
        <x:v>0</x:v>
      </x:c>
    </x:row>
    <x:row r="1691" ht="23" customHeight="1">
      <x:c r="A1691" s="2" t="str">
        <x:v>DEMO-404-0-10</x:v>
      </x:c>
      <x:c r="B1691" s="15" t="d">
        <x:v>2026-07-06T00:00:00.000Z</x:v>
      </x:c>
      <x:c r="C1691" s="2" t="n">
        <x:v>10</x:v>
      </x:c>
      <x:c r="D1691" s="2" t="str">
        <x:v>DEMO-404</x:v>
      </x:c>
      <x:c r="E1691" s="2" t="str">
        <x:v>Woven Lanyard</x:v>
      </x:c>
      <x:c r="F1691" s="2" t="str">
        <x:v>Accessories</x:v>
      </x:c>
      <x:c r="G1691" s="2" t="str">
        <x:v>Stores</x:v>
      </x:c>
      <x:c r="H1691" s="2" t="str">
        <x:v>North Arcade</x:v>
      </x:c>
      <x:c r="I1691" s="2" t="n">
        <x:v>9</x:v>
      </x:c>
      <x:c r="J1691" s="2" t="n">
        <x:v>0</x:v>
      </x:c>
      <x:c r="K1691" s="2" t="n">
        <x:f>I1691-J1691</x:f>
        <x:v>9</x:v>
      </x:c>
      <x:c r="L1691" s="16" t="n">
        <x:v>22</x:v>
      </x:c>
      <x:c r="M1691" s="16" t="n">
        <x:v>22</x:v>
      </x:c>
      <x:c r="N1691" s="16" t="n">
        <x:v>9.57</x:v>
      </x:c>
      <x:c r="O1691" s="16" t="n">
        <x:f>K1691*M1691</x:f>
        <x:v>198</x:v>
      </x:c>
      <x:c r="P1691" s="16" t="n">
        <x:f>K1691*N1691</x:f>
        <x:v>86.13</x:v>
      </x:c>
      <x:c r="Q1691" s="16" t="n">
        <x:f>O1691-P1691</x:f>
        <x:v>111.87</x:v>
      </x:c>
      <x:c r="R1691" s="2" t="n">
        <x:v>120</x:v>
      </x:c>
      <x:c r="S1691" s="2" t="n">
        <x:v>0</x:v>
      </x:c>
      <x:c r="T1691" s="2" t="n">
        <x:f>R1691+S1691+J1691-I1691</x:f>
        <x:v>111</x:v>
      </x:c>
      <x:c r="U1691" s="2" t="n">
        <x:v>0</x:v>
      </x:c>
      <x:c r="V1691" s="2" t="n">
        <x:v>2</x:v>
      </x:c>
      <x:c r="W1691" s="2" t="n">
        <x:v>9</x:v>
      </x:c>
      <x:c r="X1691" s="14" t="b">
        <x:v>0</x:v>
      </x:c>
      <x:c r="Y1691" s="14" t="b">
        <x:v>0</x:v>
      </x:c>
      <x:c r="Z1691" s="2" t="n">
        <x:f>ABS(T1691-AA1691)</x:f>
        <x:v>0</x:v>
      </x:c>
      <x:c r="AA1691" s="2" t="n">
        <x:v>111</x:v>
      </x:c>
      <x:c r="AB1691" s="2" t="n">
        <x:f>ABS(K1691-W1691)</x:f>
        <x:v>0</x:v>
      </x:c>
      <x:c r="AC1691" s="2" t="n">
        <x:f>COUNTIF($A$2:$A$1921,A1691)-1</x:f>
        <x:v>0</x:v>
      </x:c>
      <x:c r="AD1691" s="2" t="n">
        <x:f>IF(AND(D1691=D1690,H1691=H1690,C1691=C1690+1),ABS(R1691-T1690),0)</x:f>
        <x:v>0</x:v>
      </x:c>
    </x:row>
    <x:row r="1692" ht="23" customHeight="1">
      <x:c r="A1692" s="2" t="str">
        <x:v>DEMO-404-0-11</x:v>
      </x:c>
      <x:c r="B1692" s="15" t="d">
        <x:v>2026-07-13T00:00:00.000Z</x:v>
      </x:c>
      <x:c r="C1692" s="2" t="n">
        <x:v>11</x:v>
      </x:c>
      <x:c r="D1692" s="2" t="str">
        <x:v>DEMO-404</x:v>
      </x:c>
      <x:c r="E1692" s="2" t="str">
        <x:v>Woven Lanyard</x:v>
      </x:c>
      <x:c r="F1692" s="2" t="str">
        <x:v>Accessories</x:v>
      </x:c>
      <x:c r="G1692" s="2" t="str">
        <x:v>Stores</x:v>
      </x:c>
      <x:c r="H1692" s="2" t="str">
        <x:v>North Arcade</x:v>
      </x:c>
      <x:c r="I1692" s="2" t="n">
        <x:v>9</x:v>
      </x:c>
      <x:c r="J1692" s="2" t="n">
        <x:v>0</x:v>
      </x:c>
      <x:c r="K1692" s="2" t="n">
        <x:f>I1692-J1692</x:f>
        <x:v>9</x:v>
      </x:c>
      <x:c r="L1692" s="16" t="n">
        <x:v>22</x:v>
      </x:c>
      <x:c r="M1692" s="16" t="n">
        <x:v>22</x:v>
      </x:c>
      <x:c r="N1692" s="16" t="n">
        <x:v>9.57</x:v>
      </x:c>
      <x:c r="O1692" s="16" t="n">
        <x:f>K1692*M1692</x:f>
        <x:v>198</x:v>
      </x:c>
      <x:c r="P1692" s="16" t="n">
        <x:f>K1692*N1692</x:f>
        <x:v>86.13</x:v>
      </x:c>
      <x:c r="Q1692" s="16" t="n">
        <x:f>O1692-P1692</x:f>
        <x:v>111.87</x:v>
      </x:c>
      <x:c r="R1692" s="2" t="n">
        <x:v>111</x:v>
      </x:c>
      <x:c r="S1692" s="2" t="n">
        <x:v>0</x:v>
      </x:c>
      <x:c r="T1692" s="2" t="n">
        <x:f>R1692+S1692+J1692-I1692</x:f>
        <x:v>102</x:v>
      </x:c>
      <x:c r="U1692" s="2" t="n">
        <x:v>0</x:v>
      </x:c>
      <x:c r="V1692" s="2" t="n">
        <x:v>2</x:v>
      </x:c>
      <x:c r="W1692" s="2" t="n">
        <x:v>9</x:v>
      </x:c>
      <x:c r="X1692" s="14" t="b">
        <x:v>0</x:v>
      </x:c>
      <x:c r="Y1692" s="14" t="b">
        <x:v>0</x:v>
      </x:c>
      <x:c r="Z1692" s="2" t="n">
        <x:f>ABS(T1692-AA1692)</x:f>
        <x:v>0</x:v>
      </x:c>
      <x:c r="AA1692" s="2" t="n">
        <x:v>102</x:v>
      </x:c>
      <x:c r="AB1692" s="2" t="n">
        <x:f>ABS(K1692-W1692)</x:f>
        <x:v>0</x:v>
      </x:c>
      <x:c r="AC1692" s="2" t="n">
        <x:f>COUNTIF($A$2:$A$1921,A1692)-1</x:f>
        <x:v>0</x:v>
      </x:c>
      <x:c r="AD1692" s="2" t="n">
        <x:f>IF(AND(D1692=D1691,H1692=H1691,C1692=C1691+1),ABS(R1692-T1691),0)</x:f>
        <x:v>0</x:v>
      </x:c>
    </x:row>
    <x:row r="1693" ht="23" customHeight="1">
      <x:c r="A1693" s="2" t="str">
        <x:v>DEMO-404-0-12</x:v>
      </x:c>
      <x:c r="B1693" s="15" t="d">
        <x:v>2026-07-20T00:00:00.000Z</x:v>
      </x:c>
      <x:c r="C1693" s="2" t="n">
        <x:v>12</x:v>
      </x:c>
      <x:c r="D1693" s="2" t="str">
        <x:v>DEMO-404</x:v>
      </x:c>
      <x:c r="E1693" s="2" t="str">
        <x:v>Woven Lanyard</x:v>
      </x:c>
      <x:c r="F1693" s="2" t="str">
        <x:v>Accessories</x:v>
      </x:c>
      <x:c r="G1693" s="2" t="str">
        <x:v>Stores</x:v>
      </x:c>
      <x:c r="H1693" s="2" t="str">
        <x:v>North Arcade</x:v>
      </x:c>
      <x:c r="I1693" s="2" t="n">
        <x:v>7</x:v>
      </x:c>
      <x:c r="J1693" s="2" t="n">
        <x:v>0</x:v>
      </x:c>
      <x:c r="K1693" s="2" t="n">
        <x:f>I1693-J1693</x:f>
        <x:v>7</x:v>
      </x:c>
      <x:c r="L1693" s="16" t="n">
        <x:v>22</x:v>
      </x:c>
      <x:c r="M1693" s="16" t="n">
        <x:v>22</x:v>
      </x:c>
      <x:c r="N1693" s="16" t="n">
        <x:v>9.57</x:v>
      </x:c>
      <x:c r="O1693" s="16" t="n">
        <x:f>K1693*M1693</x:f>
        <x:v>154</x:v>
      </x:c>
      <x:c r="P1693" s="16" t="n">
        <x:f>K1693*N1693</x:f>
        <x:v>66.99000000000001</x:v>
      </x:c>
      <x:c r="Q1693" s="16" t="n">
        <x:f>O1693-P1693</x:f>
        <x:v>87.00999999999999</x:v>
      </x:c>
      <x:c r="R1693" s="2" t="n">
        <x:v>102</x:v>
      </x:c>
      <x:c r="S1693" s="2" t="n">
        <x:v>0</x:v>
      </x:c>
      <x:c r="T1693" s="2" t="n">
        <x:f>R1693+S1693+J1693-I1693</x:f>
        <x:v>95</x:v>
      </x:c>
      <x:c r="U1693" s="2" t="n">
        <x:v>0</x:v>
      </x:c>
      <x:c r="V1693" s="2" t="n">
        <x:v>2</x:v>
      </x:c>
      <x:c r="W1693" s="2" t="n">
        <x:v>9</x:v>
      </x:c>
      <x:c r="X1693" s="14" t="b">
        <x:v>0</x:v>
      </x:c>
      <x:c r="Y1693" s="14" t="b">
        <x:v>0</x:v>
      </x:c>
      <x:c r="Z1693" s="2" t="n">
        <x:f>ABS(T1693-AA1693)</x:f>
        <x:v>0</x:v>
      </x:c>
      <x:c r="AA1693" s="2" t="n">
        <x:v>95</x:v>
      </x:c>
      <x:c r="AB1693" s="2" t="n">
        <x:f>ABS(K1693-W1693)</x:f>
        <x:v>2</x:v>
      </x:c>
      <x:c r="AC1693" s="2" t="n">
        <x:f>COUNTIF($A$2:$A$1921,A1693)-1</x:f>
        <x:v>0</x:v>
      </x:c>
      <x:c r="AD1693" s="2" t="n">
        <x:f>IF(AND(D1693=D1692,H1693=H1692,C1693=C1692+1),ABS(R1693-T1692),0)</x:f>
        <x:v>0</x:v>
      </x:c>
    </x:row>
    <x:row r="1694" ht="23" customHeight="1">
      <x:c r="A1694" s="2" t="str">
        <x:v>DEMO-404-0-13</x:v>
      </x:c>
      <x:c r="B1694" s="15" t="d">
        <x:v>2026-07-27T00:00:00.000Z</x:v>
      </x:c>
      <x:c r="C1694" s="2" t="n">
        <x:v>13</x:v>
      </x:c>
      <x:c r="D1694" s="2" t="str">
        <x:v>DEMO-404</x:v>
      </x:c>
      <x:c r="E1694" s="2" t="str">
        <x:v>Woven Lanyard</x:v>
      </x:c>
      <x:c r="F1694" s="2" t="str">
        <x:v>Accessories</x:v>
      </x:c>
      <x:c r="G1694" s="2" t="str">
        <x:v>Stores</x:v>
      </x:c>
      <x:c r="H1694" s="2" t="str">
        <x:v>North Arcade</x:v>
      </x:c>
      <x:c r="I1694" s="2" t="n">
        <x:v>7</x:v>
      </x:c>
      <x:c r="J1694" s="2" t="n">
        <x:v>0</x:v>
      </x:c>
      <x:c r="K1694" s="2" t="n">
        <x:f>I1694-J1694</x:f>
        <x:v>7</x:v>
      </x:c>
      <x:c r="L1694" s="16" t="n">
        <x:v>22</x:v>
      </x:c>
      <x:c r="M1694" s="16" t="n">
        <x:v>22</x:v>
      </x:c>
      <x:c r="N1694" s="16" t="n">
        <x:v>9.57</x:v>
      </x:c>
      <x:c r="O1694" s="16" t="n">
        <x:f>K1694*M1694</x:f>
        <x:v>154</x:v>
      </x:c>
      <x:c r="P1694" s="16" t="n">
        <x:f>K1694*N1694</x:f>
        <x:v>66.99000000000001</x:v>
      </x:c>
      <x:c r="Q1694" s="16" t="n">
        <x:f>O1694-P1694</x:f>
        <x:v>87.00999999999999</x:v>
      </x:c>
      <x:c r="R1694" s="2" t="n">
        <x:v>95</x:v>
      </x:c>
      <x:c r="S1694" s="2" t="n">
        <x:v>34</x:v>
      </x:c>
      <x:c r="T1694" s="2" t="n">
        <x:f>R1694+S1694+J1694-I1694</x:f>
        <x:v>122</x:v>
      </x:c>
      <x:c r="U1694" s="2" t="n">
        <x:v>0</x:v>
      </x:c>
      <x:c r="V1694" s="2" t="n">
        <x:v>2</x:v>
      </x:c>
      <x:c r="W1694" s="2" t="n">
        <x:v>8</x:v>
      </x:c>
      <x:c r="X1694" s="14" t="b">
        <x:v>0</x:v>
      </x:c>
      <x:c r="Y1694" s="14" t="b">
        <x:v>0</x:v>
      </x:c>
      <x:c r="Z1694" s="2" t="n">
        <x:f>ABS(T1694-AA1694)</x:f>
        <x:v>0</x:v>
      </x:c>
      <x:c r="AA1694" s="2" t="n">
        <x:v>122</x:v>
      </x:c>
      <x:c r="AB1694" s="2" t="n">
        <x:f>ABS(K1694-W1694)</x:f>
        <x:v>1</x:v>
      </x:c>
      <x:c r="AC1694" s="2" t="n">
        <x:f>COUNTIF($A$2:$A$1921,A1694)-1</x:f>
        <x:v>0</x:v>
      </x:c>
      <x:c r="AD1694" s="2" t="n">
        <x:f>IF(AND(D1694=D1693,H1694=H1693,C1694=C1693+1),ABS(R1694-T1693),0)</x:f>
        <x:v>0</x:v>
      </x:c>
    </x:row>
    <x:row r="1695" ht="23" customHeight="1">
      <x:c r="A1695" s="2" t="str">
        <x:v>DEMO-404-0-14</x:v>
      </x:c>
      <x:c r="B1695" s="15" t="d">
        <x:v>2026-08-03T00:00:00.000Z</x:v>
      </x:c>
      <x:c r="C1695" s="2" t="n">
        <x:v>14</x:v>
      </x:c>
      <x:c r="D1695" s="2" t="str">
        <x:v>DEMO-404</x:v>
      </x:c>
      <x:c r="E1695" s="2" t="str">
        <x:v>Woven Lanyard</x:v>
      </x:c>
      <x:c r="F1695" s="2" t="str">
        <x:v>Accessories</x:v>
      </x:c>
      <x:c r="G1695" s="2" t="str">
        <x:v>Stores</x:v>
      </x:c>
      <x:c r="H1695" s="2" t="str">
        <x:v>North Arcade</x:v>
      </x:c>
      <x:c r="I1695" s="2" t="n">
        <x:v>9</x:v>
      </x:c>
      <x:c r="J1695" s="2" t="n">
        <x:v>1</x:v>
      </x:c>
      <x:c r="K1695" s="2" t="n">
        <x:f>I1695-J1695</x:f>
        <x:v>8</x:v>
      </x:c>
      <x:c r="L1695" s="16" t="n">
        <x:v>22</x:v>
      </x:c>
      <x:c r="M1695" s="16" t="n">
        <x:v>22</x:v>
      </x:c>
      <x:c r="N1695" s="16" t="n">
        <x:v>9.57</x:v>
      </x:c>
      <x:c r="O1695" s="16" t="n">
        <x:f>K1695*M1695</x:f>
        <x:v>176</x:v>
      </x:c>
      <x:c r="P1695" s="16" t="n">
        <x:f>K1695*N1695</x:f>
        <x:v>76.56</x:v>
      </x:c>
      <x:c r="Q1695" s="16" t="n">
        <x:f>O1695-P1695</x:f>
        <x:v>99.44</x:v>
      </x:c>
      <x:c r="R1695" s="2" t="n">
        <x:v>122</x:v>
      </x:c>
      <x:c r="S1695" s="2" t="n">
        <x:v>0</x:v>
      </x:c>
      <x:c r="T1695" s="2" t="n">
        <x:f>R1695+S1695+J1695-I1695</x:f>
        <x:v>114</x:v>
      </x:c>
      <x:c r="U1695" s="2" t="n">
        <x:v>0</x:v>
      </x:c>
      <x:c r="V1695" s="2" t="n">
        <x:v>2</x:v>
      </x:c>
      <x:c r="W1695" s="2" t="n">
        <x:v>8</x:v>
      </x:c>
      <x:c r="X1695" s="14" t="b">
        <x:v>0</x:v>
      </x:c>
      <x:c r="Y1695" s="14" t="b">
        <x:v>0</x:v>
      </x:c>
      <x:c r="Z1695" s="2" t="n">
        <x:f>ABS(T1695-AA1695)</x:f>
        <x:v>0</x:v>
      </x:c>
      <x:c r="AA1695" s="2" t="n">
        <x:v>114</x:v>
      </x:c>
      <x:c r="AB1695" s="2" t="n">
        <x:f>ABS(K1695-W1695)</x:f>
        <x:v>0</x:v>
      </x:c>
      <x:c r="AC1695" s="2" t="n">
        <x:f>COUNTIF($A$2:$A$1921,A1695)-1</x:f>
        <x:v>0</x:v>
      </x:c>
      <x:c r="AD1695" s="2" t="n">
        <x:f>IF(AND(D1695=D1694,H1695=H1694,C1695=C1694+1),ABS(R1695-T1694),0)</x:f>
        <x:v>0</x:v>
      </x:c>
    </x:row>
    <x:row r="1696" ht="23" customHeight="1">
      <x:c r="A1696" s="2" t="str">
        <x:v>DEMO-404-0-15</x:v>
      </x:c>
      <x:c r="B1696" s="15" t="d">
        <x:v>2026-08-10T00:00:00.000Z</x:v>
      </x:c>
      <x:c r="C1696" s="2" t="n">
        <x:v>15</x:v>
      </x:c>
      <x:c r="D1696" s="2" t="str">
        <x:v>DEMO-404</x:v>
      </x:c>
      <x:c r="E1696" s="2" t="str">
        <x:v>Woven Lanyard</x:v>
      </x:c>
      <x:c r="F1696" s="2" t="str">
        <x:v>Accessories</x:v>
      </x:c>
      <x:c r="G1696" s="2" t="str">
        <x:v>Stores</x:v>
      </x:c>
      <x:c r="H1696" s="2" t="str">
        <x:v>North Arcade</x:v>
      </x:c>
      <x:c r="I1696" s="2" t="n">
        <x:v>8</x:v>
      </x:c>
      <x:c r="J1696" s="2" t="n">
        <x:v>0</x:v>
      </x:c>
      <x:c r="K1696" s="2" t="n">
        <x:f>I1696-J1696</x:f>
        <x:v>8</x:v>
      </x:c>
      <x:c r="L1696" s="16" t="n">
        <x:v>22</x:v>
      </x:c>
      <x:c r="M1696" s="16" t="n">
        <x:v>22</x:v>
      </x:c>
      <x:c r="N1696" s="16" t="n">
        <x:v>9.57</x:v>
      </x:c>
      <x:c r="O1696" s="16" t="n">
        <x:f>K1696*M1696</x:f>
        <x:v>176</x:v>
      </x:c>
      <x:c r="P1696" s="16" t="n">
        <x:f>K1696*N1696</x:f>
        <x:v>76.56</x:v>
      </x:c>
      <x:c r="Q1696" s="16" t="n">
        <x:f>O1696-P1696</x:f>
        <x:v>99.44</x:v>
      </x:c>
      <x:c r="R1696" s="2" t="n">
        <x:v>114</x:v>
      </x:c>
      <x:c r="S1696" s="2" t="n">
        <x:v>0</x:v>
      </x:c>
      <x:c r="T1696" s="2" t="n">
        <x:f>R1696+S1696+J1696-I1696</x:f>
        <x:v>106</x:v>
      </x:c>
      <x:c r="U1696" s="2" t="n">
        <x:v>0</x:v>
      </x:c>
      <x:c r="V1696" s="2" t="n">
        <x:v>2</x:v>
      </x:c>
      <x:c r="W1696" s="2" t="n">
        <x:v>8</x:v>
      </x:c>
      <x:c r="X1696" s="14" t="b">
        <x:v>0</x:v>
      </x:c>
      <x:c r="Y1696" s="14" t="b">
        <x:v>0</x:v>
      </x:c>
      <x:c r="Z1696" s="2" t="n">
        <x:f>ABS(T1696-AA1696)</x:f>
        <x:v>0</x:v>
      </x:c>
      <x:c r="AA1696" s="2" t="n">
        <x:v>106</x:v>
      </x:c>
      <x:c r="AB1696" s="2" t="n">
        <x:f>ABS(K1696-W1696)</x:f>
        <x:v>0</x:v>
      </x:c>
      <x:c r="AC1696" s="2" t="n">
        <x:f>COUNTIF($A$2:$A$1921,A1696)-1</x:f>
        <x:v>0</x:v>
      </x:c>
      <x:c r="AD1696" s="2" t="n">
        <x:f>IF(AND(D1696=D1695,H1696=H1695,C1696=C1695+1),ABS(R1696-T1695),0)</x:f>
        <x:v>0</x:v>
      </x:c>
    </x:row>
    <x:row r="1697" ht="23" customHeight="1">
      <x:c r="A1697" s="2" t="str">
        <x:v>DEMO-404-0-16</x:v>
      </x:c>
      <x:c r="B1697" s="15" t="d">
        <x:v>2026-08-17T00:00:00.000Z</x:v>
      </x:c>
      <x:c r="C1697" s="2" t="n">
        <x:v>16</x:v>
      </x:c>
      <x:c r="D1697" s="2" t="str">
        <x:v>DEMO-404</x:v>
      </x:c>
      <x:c r="E1697" s="2" t="str">
        <x:v>Woven Lanyard</x:v>
      </x:c>
      <x:c r="F1697" s="2" t="str">
        <x:v>Accessories</x:v>
      </x:c>
      <x:c r="G1697" s="2" t="str">
        <x:v>Stores</x:v>
      </x:c>
      <x:c r="H1697" s="2" t="str">
        <x:v>North Arcade</x:v>
      </x:c>
      <x:c r="I1697" s="2" t="n">
        <x:v>8</x:v>
      </x:c>
      <x:c r="J1697" s="2" t="n">
        <x:v>0</x:v>
      </x:c>
      <x:c r="K1697" s="2" t="n">
        <x:f>I1697-J1697</x:f>
        <x:v>8</x:v>
      </x:c>
      <x:c r="L1697" s="16" t="n">
        <x:v>22</x:v>
      </x:c>
      <x:c r="M1697" s="16" t="n">
        <x:v>22</x:v>
      </x:c>
      <x:c r="N1697" s="16" t="n">
        <x:v>9.57</x:v>
      </x:c>
      <x:c r="O1697" s="16" t="n">
        <x:f>K1697*M1697</x:f>
        <x:v>176</x:v>
      </x:c>
      <x:c r="P1697" s="16" t="n">
        <x:f>K1697*N1697</x:f>
        <x:v>76.56</x:v>
      </x:c>
      <x:c r="Q1697" s="16" t="n">
        <x:f>O1697-P1697</x:f>
        <x:v>99.44</x:v>
      </x:c>
      <x:c r="R1697" s="2" t="n">
        <x:v>106</x:v>
      </x:c>
      <x:c r="S1697" s="2" t="n">
        <x:v>0</x:v>
      </x:c>
      <x:c r="T1697" s="2" t="n">
        <x:f>R1697+S1697+J1697-I1697</x:f>
        <x:v>98</x:v>
      </x:c>
      <x:c r="U1697" s="2" t="n">
        <x:v>0</x:v>
      </x:c>
      <x:c r="V1697" s="2" t="n">
        <x:v>2</x:v>
      </x:c>
      <x:c r="W1697" s="2" t="n">
        <x:v>8</x:v>
      </x:c>
      <x:c r="X1697" s="14" t="b">
        <x:v>0</x:v>
      </x:c>
      <x:c r="Y1697" s="14" t="b">
        <x:v>0</x:v>
      </x:c>
      <x:c r="Z1697" s="2" t="n">
        <x:f>ABS(T1697-AA1697)</x:f>
        <x:v>0</x:v>
      </x:c>
      <x:c r="AA1697" s="2" t="n">
        <x:v>98</x:v>
      </x:c>
      <x:c r="AB1697" s="2" t="n">
        <x:f>ABS(K1697-W1697)</x:f>
        <x:v>0</x:v>
      </x:c>
      <x:c r="AC1697" s="2" t="n">
        <x:f>COUNTIF($A$2:$A$1921,A1697)-1</x:f>
        <x:v>0</x:v>
      </x:c>
      <x:c r="AD1697" s="2" t="n">
        <x:f>IF(AND(D1697=D1696,H1697=H1696,C1697=C1696+1),ABS(R1697-T1696),0)</x:f>
        <x:v>0</x:v>
      </x:c>
    </x:row>
    <x:row r="1698" ht="23" customHeight="1">
      <x:c r="A1698" s="2" t="str">
        <x:v>DEMO-404-0-17</x:v>
      </x:c>
      <x:c r="B1698" s="15" t="d">
        <x:v>2026-08-24T00:00:00.000Z</x:v>
      </x:c>
      <x:c r="C1698" s="2" t="n">
        <x:v>17</x:v>
      </x:c>
      <x:c r="D1698" s="2" t="str">
        <x:v>DEMO-404</x:v>
      </x:c>
      <x:c r="E1698" s="2" t="str">
        <x:v>Woven Lanyard</x:v>
      </x:c>
      <x:c r="F1698" s="2" t="str">
        <x:v>Accessories</x:v>
      </x:c>
      <x:c r="G1698" s="2" t="str">
        <x:v>Stores</x:v>
      </x:c>
      <x:c r="H1698" s="2" t="str">
        <x:v>North Arcade</x:v>
      </x:c>
      <x:c r="I1698" s="2" t="n">
        <x:v>9</x:v>
      </x:c>
      <x:c r="J1698" s="2" t="n">
        <x:v>0</x:v>
      </x:c>
      <x:c r="K1698" s="2" t="n">
        <x:f>I1698-J1698</x:f>
        <x:v>9</x:v>
      </x:c>
      <x:c r="L1698" s="16" t="n">
        <x:v>22</x:v>
      </x:c>
      <x:c r="M1698" s="16" t="n">
        <x:v>22</x:v>
      </x:c>
      <x:c r="N1698" s="16" t="n">
        <x:v>9.57</x:v>
      </x:c>
      <x:c r="O1698" s="16" t="n">
        <x:f>K1698*M1698</x:f>
        <x:v>198</x:v>
      </x:c>
      <x:c r="P1698" s="16" t="n">
        <x:f>K1698*N1698</x:f>
        <x:v>86.13</x:v>
      </x:c>
      <x:c r="Q1698" s="16" t="n">
        <x:f>O1698-P1698</x:f>
        <x:v>111.87</x:v>
      </x:c>
      <x:c r="R1698" s="2" t="n">
        <x:v>98</x:v>
      </x:c>
      <x:c r="S1698" s="2" t="n">
        <x:v>34</x:v>
      </x:c>
      <x:c r="T1698" s="2" t="n">
        <x:f>R1698+S1698+J1698-I1698</x:f>
        <x:v>123</x:v>
      </x:c>
      <x:c r="U1698" s="2" t="n">
        <x:v>0</x:v>
      </x:c>
      <x:c r="V1698" s="2" t="n">
        <x:v>2</x:v>
      </x:c>
      <x:c r="W1698" s="2" t="n">
        <x:v>8</x:v>
      </x:c>
      <x:c r="X1698" s="14" t="b">
        <x:v>0</x:v>
      </x:c>
      <x:c r="Y1698" s="14" t="b">
        <x:v>0</x:v>
      </x:c>
      <x:c r="Z1698" s="2" t="n">
        <x:f>ABS(T1698-AA1698)</x:f>
        <x:v>0</x:v>
      </x:c>
      <x:c r="AA1698" s="2" t="n">
        <x:v>123</x:v>
      </x:c>
      <x:c r="AB1698" s="2" t="n">
        <x:f>ABS(K1698-W1698)</x:f>
        <x:v>1</x:v>
      </x:c>
      <x:c r="AC1698" s="2" t="n">
        <x:f>COUNTIF($A$2:$A$1921,A1698)-1</x:f>
        <x:v>0</x:v>
      </x:c>
      <x:c r="AD1698" s="2" t="n">
        <x:f>IF(AND(D1698=D1697,H1698=H1697,C1698=C1697+1),ABS(R1698-T1697),0)</x:f>
        <x:v>0</x:v>
      </x:c>
    </x:row>
    <x:row r="1699" ht="23" customHeight="1">
      <x:c r="A1699" s="2" t="str">
        <x:v>DEMO-404-0-18</x:v>
      </x:c>
      <x:c r="B1699" s="15" t="d">
        <x:v>2026-08-31T00:00:00.000Z</x:v>
      </x:c>
      <x:c r="C1699" s="2" t="n">
        <x:v>18</x:v>
      </x:c>
      <x:c r="D1699" s="2" t="str">
        <x:v>DEMO-404</x:v>
      </x:c>
      <x:c r="E1699" s="2" t="str">
        <x:v>Woven Lanyard</x:v>
      </x:c>
      <x:c r="F1699" s="2" t="str">
        <x:v>Accessories</x:v>
      </x:c>
      <x:c r="G1699" s="2" t="str">
        <x:v>Stores</x:v>
      </x:c>
      <x:c r="H1699" s="2" t="str">
        <x:v>North Arcade</x:v>
      </x:c>
      <x:c r="I1699" s="2" t="n">
        <x:v>8</x:v>
      </x:c>
      <x:c r="J1699" s="2" t="n">
        <x:v>0</x:v>
      </x:c>
      <x:c r="K1699" s="2" t="n">
        <x:f>I1699-J1699</x:f>
        <x:v>8</x:v>
      </x:c>
      <x:c r="L1699" s="16" t="n">
        <x:v>22</x:v>
      </x:c>
      <x:c r="M1699" s="16" t="n">
        <x:v>22</x:v>
      </x:c>
      <x:c r="N1699" s="16" t="n">
        <x:v>9.57</x:v>
      </x:c>
      <x:c r="O1699" s="16" t="n">
        <x:f>K1699*M1699</x:f>
        <x:v>176</x:v>
      </x:c>
      <x:c r="P1699" s="16" t="n">
        <x:f>K1699*N1699</x:f>
        <x:v>76.56</x:v>
      </x:c>
      <x:c r="Q1699" s="16" t="n">
        <x:f>O1699-P1699</x:f>
        <x:v>99.44</x:v>
      </x:c>
      <x:c r="R1699" s="2" t="n">
        <x:v>123</x:v>
      </x:c>
      <x:c r="S1699" s="2" t="n">
        <x:v>0</x:v>
      </x:c>
      <x:c r="T1699" s="2" t="n">
        <x:f>R1699+S1699+J1699-I1699</x:f>
        <x:v>115</x:v>
      </x:c>
      <x:c r="U1699" s="2" t="n">
        <x:v>0</x:v>
      </x:c>
      <x:c r="V1699" s="2" t="n">
        <x:v>2</x:v>
      </x:c>
      <x:c r="W1699" s="2" t="n">
        <x:v>8</x:v>
      </x:c>
      <x:c r="X1699" s="14" t="b">
        <x:v>0</x:v>
      </x:c>
      <x:c r="Y1699" s="14" t="b">
        <x:v>0</x:v>
      </x:c>
      <x:c r="Z1699" s="2" t="n">
        <x:f>ABS(T1699-AA1699)</x:f>
        <x:v>0</x:v>
      </x:c>
      <x:c r="AA1699" s="2" t="n">
        <x:v>115</x:v>
      </x:c>
      <x:c r="AB1699" s="2" t="n">
        <x:f>ABS(K1699-W1699)</x:f>
        <x:v>0</x:v>
      </x:c>
      <x:c r="AC1699" s="2" t="n">
        <x:f>COUNTIF($A$2:$A$1921,A1699)-1</x:f>
        <x:v>0</x:v>
      </x:c>
      <x:c r="AD1699" s="2" t="n">
        <x:f>IF(AND(D1699=D1698,H1699=H1698,C1699=C1698+1),ABS(R1699-T1698),0)</x:f>
        <x:v>0</x:v>
      </x:c>
    </x:row>
    <x:row r="1700" ht="23" customHeight="1">
      <x:c r="A1700" s="2" t="str">
        <x:v>DEMO-404-0-19</x:v>
      </x:c>
      <x:c r="B1700" s="15" t="d">
        <x:v>2026-09-07T00:00:00.000Z</x:v>
      </x:c>
      <x:c r="C1700" s="2" t="n">
        <x:v>19</x:v>
      </x:c>
      <x:c r="D1700" s="2" t="str">
        <x:v>DEMO-404</x:v>
      </x:c>
      <x:c r="E1700" s="2" t="str">
        <x:v>Woven Lanyard</x:v>
      </x:c>
      <x:c r="F1700" s="2" t="str">
        <x:v>Accessories</x:v>
      </x:c>
      <x:c r="G1700" s="2" t="str">
        <x:v>Stores</x:v>
      </x:c>
      <x:c r="H1700" s="2" t="str">
        <x:v>North Arcade</x:v>
      </x:c>
      <x:c r="I1700" s="2" t="n">
        <x:v>8</x:v>
      </x:c>
      <x:c r="J1700" s="2" t="n">
        <x:v>1</x:v>
      </x:c>
      <x:c r="K1700" s="2" t="n">
        <x:f>I1700-J1700</x:f>
        <x:v>7</x:v>
      </x:c>
      <x:c r="L1700" s="16" t="n">
        <x:v>22</x:v>
      </x:c>
      <x:c r="M1700" s="16" t="n">
        <x:v>22</x:v>
      </x:c>
      <x:c r="N1700" s="16" t="n">
        <x:v>9.57</x:v>
      </x:c>
      <x:c r="O1700" s="16" t="n">
        <x:f>K1700*M1700</x:f>
        <x:v>154</x:v>
      </x:c>
      <x:c r="P1700" s="16" t="n">
        <x:f>K1700*N1700</x:f>
        <x:v>66.99000000000001</x:v>
      </x:c>
      <x:c r="Q1700" s="16" t="n">
        <x:f>O1700-P1700</x:f>
        <x:v>87.00999999999999</x:v>
      </x:c>
      <x:c r="R1700" s="2" t="n">
        <x:v>115</x:v>
      </x:c>
      <x:c r="S1700" s="2" t="n">
        <x:v>0</x:v>
      </x:c>
      <x:c r="T1700" s="2" t="n">
        <x:f>R1700+S1700+J1700-I1700</x:f>
        <x:v>108</x:v>
      </x:c>
      <x:c r="U1700" s="2" t="n">
        <x:v>0</x:v>
      </x:c>
      <x:c r="V1700" s="2" t="n">
        <x:v>2</x:v>
      </x:c>
      <x:c r="W1700" s="2" t="n">
        <x:v>8</x:v>
      </x:c>
      <x:c r="X1700" s="14" t="b">
        <x:v>0</x:v>
      </x:c>
      <x:c r="Y1700" s="14" t="b">
        <x:v>0</x:v>
      </x:c>
      <x:c r="Z1700" s="2" t="n">
        <x:f>ABS(T1700-AA1700)</x:f>
        <x:v>0</x:v>
      </x:c>
      <x:c r="AA1700" s="2" t="n">
        <x:v>108</x:v>
      </x:c>
      <x:c r="AB1700" s="2" t="n">
        <x:f>ABS(K1700-W1700)</x:f>
        <x:v>1</x:v>
      </x:c>
      <x:c r="AC1700" s="2" t="n">
        <x:f>COUNTIF($A$2:$A$1921,A1700)-1</x:f>
        <x:v>0</x:v>
      </x:c>
      <x:c r="AD1700" s="2" t="n">
        <x:f>IF(AND(D1700=D1699,H1700=H1699,C1700=C1699+1),ABS(R1700-T1699),0)</x:f>
        <x:v>0</x:v>
      </x:c>
    </x:row>
    <x:row r="1701" ht="23" customHeight="1">
      <x:c r="A1701" s="2" t="str">
        <x:v>DEMO-404-0-20</x:v>
      </x:c>
      <x:c r="B1701" s="15" t="d">
        <x:v>2026-09-14T00:00:00.000Z</x:v>
      </x:c>
      <x:c r="C1701" s="2" t="n">
        <x:v>20</x:v>
      </x:c>
      <x:c r="D1701" s="2" t="str">
        <x:v>DEMO-404</x:v>
      </x:c>
      <x:c r="E1701" s="2" t="str">
        <x:v>Woven Lanyard</x:v>
      </x:c>
      <x:c r="F1701" s="2" t="str">
        <x:v>Accessories</x:v>
      </x:c>
      <x:c r="G1701" s="2" t="str">
        <x:v>Stores</x:v>
      </x:c>
      <x:c r="H1701" s="2" t="str">
        <x:v>North Arcade</x:v>
      </x:c>
      <x:c r="I1701" s="2" t="n">
        <x:v>9</x:v>
      </x:c>
      <x:c r="J1701" s="2" t="n">
        <x:v>0</x:v>
      </x:c>
      <x:c r="K1701" s="2" t="n">
        <x:f>I1701-J1701</x:f>
        <x:v>9</x:v>
      </x:c>
      <x:c r="L1701" s="16" t="n">
        <x:v>22</x:v>
      </x:c>
      <x:c r="M1701" s="16" t="n">
        <x:v>22</x:v>
      </x:c>
      <x:c r="N1701" s="16" t="n">
        <x:v>9.57</x:v>
      </x:c>
      <x:c r="O1701" s="16" t="n">
        <x:f>K1701*M1701</x:f>
        <x:v>198</x:v>
      </x:c>
      <x:c r="P1701" s="16" t="n">
        <x:f>K1701*N1701</x:f>
        <x:v>86.13</x:v>
      </x:c>
      <x:c r="Q1701" s="16" t="n">
        <x:f>O1701-P1701</x:f>
        <x:v>111.87</x:v>
      </x:c>
      <x:c r="R1701" s="2" t="n">
        <x:v>108</x:v>
      </x:c>
      <x:c r="S1701" s="2" t="n">
        <x:v>0</x:v>
      </x:c>
      <x:c r="T1701" s="2" t="n">
        <x:f>R1701+S1701+J1701-I1701</x:f>
        <x:v>99</x:v>
      </x:c>
      <x:c r="U1701" s="2" t="n">
        <x:v>18</x:v>
      </x:c>
      <x:c r="V1701" s="2" t="n">
        <x:v>2</x:v>
      </x:c>
      <x:c r="W1701" s="2" t="n">
        <x:v>8</x:v>
      </x:c>
      <x:c r="X1701" s="14" t="b">
        <x:v>0</x:v>
      </x:c>
      <x:c r="Y1701" s="14" t="b">
        <x:v>0</x:v>
      </x:c>
      <x:c r="Z1701" s="2" t="n">
        <x:f>ABS(T1701-AA1701)</x:f>
        <x:v>0</x:v>
      </x:c>
      <x:c r="AA1701" s="2" t="n">
        <x:v>99</x:v>
      </x:c>
      <x:c r="AB1701" s="2" t="n">
        <x:f>ABS(K1701-W1701)</x:f>
        <x:v>1</x:v>
      </x:c>
      <x:c r="AC1701" s="2" t="n">
        <x:f>COUNTIF($A$2:$A$1921,A1701)-1</x:f>
        <x:v>0</x:v>
      </x:c>
      <x:c r="AD1701" s="2" t="n">
        <x:f>IF(AND(D1701=D1700,H1701=H1700,C1701=C1700+1),ABS(R1701-T1700),0)</x:f>
        <x:v>0</x:v>
      </x:c>
    </x:row>
    <x:row r="1702" ht="23" customHeight="1">
      <x:c r="A1702" s="2" t="str">
        <x:v>DEMO-404-1-1</x:v>
      </x:c>
      <x:c r="B1702" s="15" t="d">
        <x:v>2026-05-04T00:00:00.000Z</x:v>
      </x:c>
      <x:c r="C1702" s="2" t="n">
        <x:v>1</x:v>
      </x:c>
      <x:c r="D1702" s="2" t="str">
        <x:v>DEMO-404</x:v>
      </x:c>
      <x:c r="E1702" s="2" t="str">
        <x:v>Woven Lanyard</x:v>
      </x:c>
      <x:c r="F1702" s="2" t="str">
        <x:v>Accessories</x:v>
      </x:c>
      <x:c r="G1702" s="2" t="str">
        <x:v>Stores</x:v>
      </x:c>
      <x:c r="H1702" s="2" t="str">
        <x:v>Riverside</x:v>
      </x:c>
      <x:c r="I1702" s="2" t="n">
        <x:v>9</x:v>
      </x:c>
      <x:c r="J1702" s="2" t="n">
        <x:v>0</x:v>
      </x:c>
      <x:c r="K1702" s="2" t="n">
        <x:f>I1702-J1702</x:f>
        <x:v>9</x:v>
      </x:c>
      <x:c r="L1702" s="16" t="n">
        <x:v>22</x:v>
      </x:c>
      <x:c r="M1702" s="16" t="n">
        <x:v>22</x:v>
      </x:c>
      <x:c r="N1702" s="16" t="n">
        <x:v>9.57</x:v>
      </x:c>
      <x:c r="O1702" s="16" t="n">
        <x:f>K1702*M1702</x:f>
        <x:v>198</x:v>
      </x:c>
      <x:c r="P1702" s="16" t="n">
        <x:f>K1702*N1702</x:f>
        <x:v>86.13</x:v>
      </x:c>
      <x:c r="Q1702" s="16" t="n">
        <x:f>O1702-P1702</x:f>
        <x:v>111.87</x:v>
      </x:c>
      <x:c r="R1702" s="2" t="n">
        <x:v>90</x:v>
      </x:c>
      <x:c r="S1702" s="2" t="n">
        <x:v>34</x:v>
      </x:c>
      <x:c r="T1702" s="2" t="n">
        <x:f>R1702+S1702+J1702-I1702</x:f>
        <x:v>115</x:v>
      </x:c>
      <x:c r="U1702" s="2" t="n">
        <x:v>0</x:v>
      </x:c>
      <x:c r="V1702" s="2" t="n">
        <x:v>2</x:v>
      </x:c>
      <x:c r="W1702" s="2" t="n">
        <x:v>8</x:v>
      </x:c>
      <x:c r="X1702" s="14" t="b">
        <x:v>0</x:v>
      </x:c>
      <x:c r="Y1702" s="14" t="b">
        <x:v>0</x:v>
      </x:c>
      <x:c r="Z1702" s="2" t="n">
        <x:f>ABS(T1702-AA1702)</x:f>
        <x:v>0</x:v>
      </x:c>
      <x:c r="AA1702" s="2" t="n">
        <x:v>115</x:v>
      </x:c>
      <x:c r="AB1702" s="2" t="n">
        <x:f>ABS(K1702-W1702)</x:f>
        <x:v>1</x:v>
      </x:c>
      <x:c r="AC1702" s="2" t="n">
        <x:f>COUNTIF($A$2:$A$1921,A1702)-1</x:f>
        <x:v>0</x:v>
      </x:c>
      <x:c r="AD1702" s="2" t="n">
        <x:f>IF(AND(D1702=D1701,H1702=H1701,C1702=C1701+1),ABS(R1702-T1701),0)</x:f>
        <x:v>0</x:v>
      </x:c>
    </x:row>
    <x:row r="1703" ht="23" customHeight="1">
      <x:c r="A1703" s="2" t="str">
        <x:v>DEMO-404-1-2</x:v>
      </x:c>
      <x:c r="B1703" s="15" t="d">
        <x:v>2026-05-11T00:00:00.000Z</x:v>
      </x:c>
      <x:c r="C1703" s="2" t="n">
        <x:v>2</x:v>
      </x:c>
      <x:c r="D1703" s="2" t="str">
        <x:v>DEMO-404</x:v>
      </x:c>
      <x:c r="E1703" s="2" t="str">
        <x:v>Woven Lanyard</x:v>
      </x:c>
      <x:c r="F1703" s="2" t="str">
        <x:v>Accessories</x:v>
      </x:c>
      <x:c r="G1703" s="2" t="str">
        <x:v>Stores</x:v>
      </x:c>
      <x:c r="H1703" s="2" t="str">
        <x:v>Riverside</x:v>
      </x:c>
      <x:c r="I1703" s="2" t="n">
        <x:v>7</x:v>
      </x:c>
      <x:c r="J1703" s="2" t="n">
        <x:v>1</x:v>
      </x:c>
      <x:c r="K1703" s="2" t="n">
        <x:f>I1703-J1703</x:f>
        <x:v>6</x:v>
      </x:c>
      <x:c r="L1703" s="16" t="n">
        <x:v>22</x:v>
      </x:c>
      <x:c r="M1703" s="16" t="n">
        <x:v>22</x:v>
      </x:c>
      <x:c r="N1703" s="16" t="n">
        <x:v>9.57</x:v>
      </x:c>
      <x:c r="O1703" s="16" t="n">
        <x:f>K1703*M1703</x:f>
        <x:v>132</x:v>
      </x:c>
      <x:c r="P1703" s="16" t="n">
        <x:f>K1703*N1703</x:f>
        <x:v>57.42</x:v>
      </x:c>
      <x:c r="Q1703" s="16" t="n">
        <x:f>O1703-P1703</x:f>
        <x:v>74.58</x:v>
      </x:c>
      <x:c r="R1703" s="2" t="n">
        <x:v>115</x:v>
      </x:c>
      <x:c r="S1703" s="2" t="n">
        <x:v>0</x:v>
      </x:c>
      <x:c r="T1703" s="2" t="n">
        <x:f>R1703+S1703+J1703-I1703</x:f>
        <x:v>109</x:v>
      </x:c>
      <x:c r="U1703" s="2" t="n">
        <x:v>0</x:v>
      </x:c>
      <x:c r="V1703" s="2" t="n">
        <x:v>2</x:v>
      </x:c>
      <x:c r="W1703" s="2" t="n">
        <x:v>9</x:v>
      </x:c>
      <x:c r="X1703" s="14" t="b">
        <x:v>0</x:v>
      </x:c>
      <x:c r="Y1703" s="14" t="b">
        <x:v>0</x:v>
      </x:c>
      <x:c r="Z1703" s="2" t="n">
        <x:f>ABS(T1703-AA1703)</x:f>
        <x:v>0</x:v>
      </x:c>
      <x:c r="AA1703" s="2" t="n">
        <x:v>109</x:v>
      </x:c>
      <x:c r="AB1703" s="2" t="n">
        <x:f>ABS(K1703-W1703)</x:f>
        <x:v>3</x:v>
      </x:c>
      <x:c r="AC1703" s="2" t="n">
        <x:f>COUNTIF($A$2:$A$1921,A1703)-1</x:f>
        <x:v>0</x:v>
      </x:c>
      <x:c r="AD1703" s="2" t="n">
        <x:f>IF(AND(D1703=D1702,H1703=H1702,C1703=C1702+1),ABS(R1703-T1702),0)</x:f>
        <x:v>0</x:v>
      </x:c>
    </x:row>
    <x:row r="1704" ht="23" customHeight="1">
      <x:c r="A1704" s="2" t="str">
        <x:v>DEMO-404-1-3</x:v>
      </x:c>
      <x:c r="B1704" s="15" t="d">
        <x:v>2026-05-18T00:00:00.000Z</x:v>
      </x:c>
      <x:c r="C1704" s="2" t="n">
        <x:v>3</x:v>
      </x:c>
      <x:c r="D1704" s="2" t="str">
        <x:v>DEMO-404</x:v>
      </x:c>
      <x:c r="E1704" s="2" t="str">
        <x:v>Woven Lanyard</x:v>
      </x:c>
      <x:c r="F1704" s="2" t="str">
        <x:v>Accessories</x:v>
      </x:c>
      <x:c r="G1704" s="2" t="str">
        <x:v>Stores</x:v>
      </x:c>
      <x:c r="H1704" s="2" t="str">
        <x:v>Riverside</x:v>
      </x:c>
      <x:c r="I1704" s="2" t="n">
        <x:v>6</x:v>
      </x:c>
      <x:c r="J1704" s="2" t="n">
        <x:v>0</x:v>
      </x:c>
      <x:c r="K1704" s="2" t="n">
        <x:f>I1704-J1704</x:f>
        <x:v>6</x:v>
      </x:c>
      <x:c r="L1704" s="16" t="n">
        <x:v>22</x:v>
      </x:c>
      <x:c r="M1704" s="16" t="n">
        <x:v>22</x:v>
      </x:c>
      <x:c r="N1704" s="16" t="n">
        <x:v>9.57</x:v>
      </x:c>
      <x:c r="O1704" s="16" t="n">
        <x:f>K1704*M1704</x:f>
        <x:v>132</x:v>
      </x:c>
      <x:c r="P1704" s="16" t="n">
        <x:f>K1704*N1704</x:f>
        <x:v>57.42</x:v>
      </x:c>
      <x:c r="Q1704" s="16" t="n">
        <x:f>O1704-P1704</x:f>
        <x:v>74.58</x:v>
      </x:c>
      <x:c r="R1704" s="2" t="n">
        <x:v>109</x:v>
      </x:c>
      <x:c r="S1704" s="2" t="n">
        <x:v>0</x:v>
      </x:c>
      <x:c r="T1704" s="2" t="n">
        <x:f>R1704+S1704+J1704-I1704</x:f>
        <x:v>103</x:v>
      </x:c>
      <x:c r="U1704" s="2" t="n">
        <x:v>0</x:v>
      </x:c>
      <x:c r="V1704" s="2" t="n">
        <x:v>2</x:v>
      </x:c>
      <x:c r="W1704" s="2" t="n">
        <x:v>8</x:v>
      </x:c>
      <x:c r="X1704" s="14" t="b">
        <x:v>0</x:v>
      </x:c>
      <x:c r="Y1704" s="14" t="b">
        <x:v>0</x:v>
      </x:c>
      <x:c r="Z1704" s="2" t="n">
        <x:f>ABS(T1704-AA1704)</x:f>
        <x:v>0</x:v>
      </x:c>
      <x:c r="AA1704" s="2" t="n">
        <x:v>103</x:v>
      </x:c>
      <x:c r="AB1704" s="2" t="n">
        <x:f>ABS(K1704-W1704)</x:f>
        <x:v>2</x:v>
      </x:c>
      <x:c r="AC1704" s="2" t="n">
        <x:f>COUNTIF($A$2:$A$1921,A1704)-1</x:f>
        <x:v>0</x:v>
      </x:c>
      <x:c r="AD1704" s="2" t="n">
        <x:f>IF(AND(D1704=D1703,H1704=H1703,C1704=C1703+1),ABS(R1704-T1703),0)</x:f>
        <x:v>0</x:v>
      </x:c>
    </x:row>
    <x:row r="1705" ht="23" customHeight="1">
      <x:c r="A1705" s="2" t="str">
        <x:v>DEMO-404-1-4</x:v>
      </x:c>
      <x:c r="B1705" s="15" t="d">
        <x:v>2026-05-25T00:00:00.000Z</x:v>
      </x:c>
      <x:c r="C1705" s="2" t="n">
        <x:v>4</x:v>
      </x:c>
      <x:c r="D1705" s="2" t="str">
        <x:v>DEMO-404</x:v>
      </x:c>
      <x:c r="E1705" s="2" t="str">
        <x:v>Woven Lanyard</x:v>
      </x:c>
      <x:c r="F1705" s="2" t="str">
        <x:v>Accessories</x:v>
      </x:c>
      <x:c r="G1705" s="2" t="str">
        <x:v>Stores</x:v>
      </x:c>
      <x:c r="H1705" s="2" t="str">
        <x:v>Riverside</x:v>
      </x:c>
      <x:c r="I1705" s="2" t="n">
        <x:v>7</x:v>
      </x:c>
      <x:c r="J1705" s="2" t="n">
        <x:v>0</x:v>
      </x:c>
      <x:c r="K1705" s="2" t="n">
        <x:f>I1705-J1705</x:f>
        <x:v>7</x:v>
      </x:c>
      <x:c r="L1705" s="16" t="n">
        <x:v>22</x:v>
      </x:c>
      <x:c r="M1705" s="16" t="n">
        <x:v>22</x:v>
      </x:c>
      <x:c r="N1705" s="16" t="n">
        <x:v>9.57</x:v>
      </x:c>
      <x:c r="O1705" s="16" t="n">
        <x:f>K1705*M1705</x:f>
        <x:v>154</x:v>
      </x:c>
      <x:c r="P1705" s="16" t="n">
        <x:f>K1705*N1705</x:f>
        <x:v>66.99000000000001</x:v>
      </x:c>
      <x:c r="Q1705" s="16" t="n">
        <x:f>O1705-P1705</x:f>
        <x:v>87.00999999999999</x:v>
      </x:c>
      <x:c r="R1705" s="2" t="n">
        <x:v>103</x:v>
      </x:c>
      <x:c r="S1705" s="2" t="n">
        <x:v>0</x:v>
      </x:c>
      <x:c r="T1705" s="2" t="n">
        <x:f>R1705+S1705+J1705-I1705</x:f>
        <x:v>96</x:v>
      </x:c>
      <x:c r="U1705" s="2" t="n">
        <x:v>0</x:v>
      </x:c>
      <x:c r="V1705" s="2" t="n">
        <x:v>2</x:v>
      </x:c>
      <x:c r="W1705" s="2" t="n">
        <x:v>7</x:v>
      </x:c>
      <x:c r="X1705" s="14" t="b">
        <x:v>0</x:v>
      </x:c>
      <x:c r="Y1705" s="14" t="b">
        <x:v>0</x:v>
      </x:c>
      <x:c r="Z1705" s="2" t="n">
        <x:f>ABS(T1705-AA1705)</x:f>
        <x:v>0</x:v>
      </x:c>
      <x:c r="AA1705" s="2" t="n">
        <x:v>96</x:v>
      </x:c>
      <x:c r="AB1705" s="2" t="n">
        <x:f>ABS(K1705-W1705)</x:f>
        <x:v>0</x:v>
      </x:c>
      <x:c r="AC1705" s="2" t="n">
        <x:f>COUNTIF($A$2:$A$1921,A1705)-1</x:f>
        <x:v>0</x:v>
      </x:c>
      <x:c r="AD1705" s="2" t="n">
        <x:f>IF(AND(D1705=D1704,H1705=H1704,C1705=C1704+1),ABS(R1705-T1704),0)</x:f>
        <x:v>0</x:v>
      </x:c>
    </x:row>
    <x:row r="1706" ht="23" customHeight="1">
      <x:c r="A1706" s="2" t="str">
        <x:v>DEMO-404-1-5</x:v>
      </x:c>
      <x:c r="B1706" s="15" t="d">
        <x:v>2026-06-01T00:00:00.000Z</x:v>
      </x:c>
      <x:c r="C1706" s="2" t="n">
        <x:v>5</x:v>
      </x:c>
      <x:c r="D1706" s="2" t="str">
        <x:v>DEMO-404</x:v>
      </x:c>
      <x:c r="E1706" s="2" t="str">
        <x:v>Woven Lanyard</x:v>
      </x:c>
      <x:c r="F1706" s="2" t="str">
        <x:v>Accessories</x:v>
      </x:c>
      <x:c r="G1706" s="2" t="str">
        <x:v>Stores</x:v>
      </x:c>
      <x:c r="H1706" s="2" t="str">
        <x:v>Riverside</x:v>
      </x:c>
      <x:c r="I1706" s="2" t="n">
        <x:v>7</x:v>
      </x:c>
      <x:c r="J1706" s="2" t="n">
        <x:v>0</x:v>
      </x:c>
      <x:c r="K1706" s="2" t="n">
        <x:f>I1706-J1706</x:f>
        <x:v>7</x:v>
      </x:c>
      <x:c r="L1706" s="16" t="n">
        <x:v>22</x:v>
      </x:c>
      <x:c r="M1706" s="16" t="n">
        <x:v>22</x:v>
      </x:c>
      <x:c r="N1706" s="16" t="n">
        <x:v>9.57</x:v>
      </x:c>
      <x:c r="O1706" s="16" t="n">
        <x:f>K1706*M1706</x:f>
        <x:v>154</x:v>
      </x:c>
      <x:c r="P1706" s="16" t="n">
        <x:f>K1706*N1706</x:f>
        <x:v>66.99000000000001</x:v>
      </x:c>
      <x:c r="Q1706" s="16" t="n">
        <x:f>O1706-P1706</x:f>
        <x:v>87.00999999999999</x:v>
      </x:c>
      <x:c r="R1706" s="2" t="n">
        <x:v>96</x:v>
      </x:c>
      <x:c r="S1706" s="2" t="n">
        <x:v>34</x:v>
      </x:c>
      <x:c r="T1706" s="2" t="n">
        <x:f>R1706+S1706+J1706-I1706</x:f>
        <x:v>123</x:v>
      </x:c>
      <x:c r="U1706" s="2" t="n">
        <x:v>0</x:v>
      </x:c>
      <x:c r="V1706" s="2" t="n">
        <x:v>2</x:v>
      </x:c>
      <x:c r="W1706" s="2" t="n">
        <x:v>7</x:v>
      </x:c>
      <x:c r="X1706" s="14" t="b">
        <x:v>0</x:v>
      </x:c>
      <x:c r="Y1706" s="14" t="b">
        <x:v>0</x:v>
      </x:c>
      <x:c r="Z1706" s="2" t="n">
        <x:f>ABS(T1706-AA1706)</x:f>
        <x:v>0</x:v>
      </x:c>
      <x:c r="AA1706" s="2" t="n">
        <x:v>123</x:v>
      </x:c>
      <x:c r="AB1706" s="2" t="n">
        <x:f>ABS(K1706-W1706)</x:f>
        <x:v>0</x:v>
      </x:c>
      <x:c r="AC1706" s="2" t="n">
        <x:f>COUNTIF($A$2:$A$1921,A1706)-1</x:f>
        <x:v>0</x:v>
      </x:c>
      <x:c r="AD1706" s="2" t="n">
        <x:f>IF(AND(D1706=D1705,H1706=H1705,C1706=C1705+1),ABS(R1706-T1705),0)</x:f>
        <x:v>0</x:v>
      </x:c>
    </x:row>
    <x:row r="1707" ht="23" customHeight="1">
      <x:c r="A1707" s="2" t="str">
        <x:v>DEMO-404-1-6</x:v>
      </x:c>
      <x:c r="B1707" s="15" t="d">
        <x:v>2026-06-08T00:00:00.000Z</x:v>
      </x:c>
      <x:c r="C1707" s="2" t="n">
        <x:v>6</x:v>
      </x:c>
      <x:c r="D1707" s="2" t="str">
        <x:v>DEMO-404</x:v>
      </x:c>
      <x:c r="E1707" s="2" t="str">
        <x:v>Woven Lanyard</x:v>
      </x:c>
      <x:c r="F1707" s="2" t="str">
        <x:v>Accessories</x:v>
      </x:c>
      <x:c r="G1707" s="2" t="str">
        <x:v>Stores</x:v>
      </x:c>
      <x:c r="H1707" s="2" t="str">
        <x:v>Riverside</x:v>
      </x:c>
      <x:c r="I1707" s="2" t="n">
        <x:v>8</x:v>
      </x:c>
      <x:c r="J1707" s="2" t="n">
        <x:v>0</x:v>
      </x:c>
      <x:c r="K1707" s="2" t="n">
        <x:f>I1707-J1707</x:f>
        <x:v>8</x:v>
      </x:c>
      <x:c r="L1707" s="16" t="n">
        <x:v>22</x:v>
      </x:c>
      <x:c r="M1707" s="16" t="n">
        <x:v>22</x:v>
      </x:c>
      <x:c r="N1707" s="16" t="n">
        <x:v>9.57</x:v>
      </x:c>
      <x:c r="O1707" s="16" t="n">
        <x:f>K1707*M1707</x:f>
        <x:v>176</x:v>
      </x:c>
      <x:c r="P1707" s="16" t="n">
        <x:f>K1707*N1707</x:f>
        <x:v>76.56</x:v>
      </x:c>
      <x:c r="Q1707" s="16" t="n">
        <x:f>O1707-P1707</x:f>
        <x:v>99.44</x:v>
      </x:c>
      <x:c r="R1707" s="2" t="n">
        <x:v>123</x:v>
      </x:c>
      <x:c r="S1707" s="2" t="n">
        <x:v>0</x:v>
      </x:c>
      <x:c r="T1707" s="2" t="n">
        <x:f>R1707+S1707+J1707-I1707</x:f>
        <x:v>115</x:v>
      </x:c>
      <x:c r="U1707" s="2" t="n">
        <x:v>0</x:v>
      </x:c>
      <x:c r="V1707" s="2" t="n">
        <x:v>2</x:v>
      </x:c>
      <x:c r="W1707" s="2" t="n">
        <x:v>7</x:v>
      </x:c>
      <x:c r="X1707" s="14" t="b">
        <x:v>0</x:v>
      </x:c>
      <x:c r="Y1707" s="14" t="b">
        <x:v>0</x:v>
      </x:c>
      <x:c r="Z1707" s="2" t="n">
        <x:f>ABS(T1707-AA1707)</x:f>
        <x:v>0</x:v>
      </x:c>
      <x:c r="AA1707" s="2" t="n">
        <x:v>115</x:v>
      </x:c>
      <x:c r="AB1707" s="2" t="n">
        <x:f>ABS(K1707-W1707)</x:f>
        <x:v>1</x:v>
      </x:c>
      <x:c r="AC1707" s="2" t="n">
        <x:f>COUNTIF($A$2:$A$1921,A1707)-1</x:f>
        <x:v>0</x:v>
      </x:c>
      <x:c r="AD1707" s="2" t="n">
        <x:f>IF(AND(D1707=D1706,H1707=H1706,C1707=C1706+1),ABS(R1707-T1706),0)</x:f>
        <x:v>0</x:v>
      </x:c>
    </x:row>
    <x:row r="1708" ht="23" customHeight="1">
      <x:c r="A1708" s="2" t="str">
        <x:v>DEMO-404-1-7</x:v>
      </x:c>
      <x:c r="B1708" s="15" t="d">
        <x:v>2026-06-15T00:00:00.000Z</x:v>
      </x:c>
      <x:c r="C1708" s="2" t="n">
        <x:v>7</x:v>
      </x:c>
      <x:c r="D1708" s="2" t="str">
        <x:v>DEMO-404</x:v>
      </x:c>
      <x:c r="E1708" s="2" t="str">
        <x:v>Woven Lanyard</x:v>
      </x:c>
      <x:c r="F1708" s="2" t="str">
        <x:v>Accessories</x:v>
      </x:c>
      <x:c r="G1708" s="2" t="str">
        <x:v>Stores</x:v>
      </x:c>
      <x:c r="H1708" s="2" t="str">
        <x:v>Riverside</x:v>
      </x:c>
      <x:c r="I1708" s="2" t="n">
        <x:v>8</x:v>
      </x:c>
      <x:c r="J1708" s="2" t="n">
        <x:v>0</x:v>
      </x:c>
      <x:c r="K1708" s="2" t="n">
        <x:f>I1708-J1708</x:f>
        <x:v>8</x:v>
      </x:c>
      <x:c r="L1708" s="16" t="n">
        <x:v>22</x:v>
      </x:c>
      <x:c r="M1708" s="16" t="n">
        <x:v>22</x:v>
      </x:c>
      <x:c r="N1708" s="16" t="n">
        <x:v>9.57</x:v>
      </x:c>
      <x:c r="O1708" s="16" t="n">
        <x:f>K1708*M1708</x:f>
        <x:v>176</x:v>
      </x:c>
      <x:c r="P1708" s="16" t="n">
        <x:f>K1708*N1708</x:f>
        <x:v>76.56</x:v>
      </x:c>
      <x:c r="Q1708" s="16" t="n">
        <x:f>O1708-P1708</x:f>
        <x:v>99.44</x:v>
      </x:c>
      <x:c r="R1708" s="2" t="n">
        <x:v>115</x:v>
      </x:c>
      <x:c r="S1708" s="2" t="n">
        <x:v>0</x:v>
      </x:c>
      <x:c r="T1708" s="2" t="n">
        <x:f>R1708+S1708+J1708-I1708</x:f>
        <x:v>107</x:v>
      </x:c>
      <x:c r="U1708" s="2" t="n">
        <x:v>0</x:v>
      </x:c>
      <x:c r="V1708" s="2" t="n">
        <x:v>2</x:v>
      </x:c>
      <x:c r="W1708" s="2" t="n">
        <x:v>7</x:v>
      </x:c>
      <x:c r="X1708" s="14" t="b">
        <x:v>0</x:v>
      </x:c>
      <x:c r="Y1708" s="14" t="b">
        <x:v>0</x:v>
      </x:c>
      <x:c r="Z1708" s="2" t="n">
        <x:f>ABS(T1708-AA1708)</x:f>
        <x:v>0</x:v>
      </x:c>
      <x:c r="AA1708" s="2" t="n">
        <x:v>107</x:v>
      </x:c>
      <x:c r="AB1708" s="2" t="n">
        <x:f>ABS(K1708-W1708)</x:f>
        <x:v>1</x:v>
      </x:c>
      <x:c r="AC1708" s="2" t="n">
        <x:f>COUNTIF($A$2:$A$1921,A1708)-1</x:f>
        <x:v>0</x:v>
      </x:c>
      <x:c r="AD1708" s="2" t="n">
        <x:f>IF(AND(D1708=D1707,H1708=H1707,C1708=C1707+1),ABS(R1708-T1707),0)</x:f>
        <x:v>0</x:v>
      </x:c>
    </x:row>
    <x:row r="1709" ht="23" customHeight="1">
      <x:c r="A1709" s="2" t="str">
        <x:v>DEMO-404-1-8</x:v>
      </x:c>
      <x:c r="B1709" s="15" t="d">
        <x:v>2026-06-22T00:00:00.000Z</x:v>
      </x:c>
      <x:c r="C1709" s="2" t="n">
        <x:v>8</x:v>
      </x:c>
      <x:c r="D1709" s="2" t="str">
        <x:v>DEMO-404</x:v>
      </x:c>
      <x:c r="E1709" s="2" t="str">
        <x:v>Woven Lanyard</x:v>
      </x:c>
      <x:c r="F1709" s="2" t="str">
        <x:v>Accessories</x:v>
      </x:c>
      <x:c r="G1709" s="2" t="str">
        <x:v>Stores</x:v>
      </x:c>
      <x:c r="H1709" s="2" t="str">
        <x:v>Riverside</x:v>
      </x:c>
      <x:c r="I1709" s="2" t="n">
        <x:v>8</x:v>
      </x:c>
      <x:c r="J1709" s="2" t="n">
        <x:v>1</x:v>
      </x:c>
      <x:c r="K1709" s="2" t="n">
        <x:f>I1709-J1709</x:f>
        <x:v>7</x:v>
      </x:c>
      <x:c r="L1709" s="16" t="n">
        <x:v>22</x:v>
      </x:c>
      <x:c r="M1709" s="16" t="n">
        <x:v>22</x:v>
      </x:c>
      <x:c r="N1709" s="16" t="n">
        <x:v>9.57</x:v>
      </x:c>
      <x:c r="O1709" s="16" t="n">
        <x:f>K1709*M1709</x:f>
        <x:v>154</x:v>
      </x:c>
      <x:c r="P1709" s="16" t="n">
        <x:f>K1709*N1709</x:f>
        <x:v>66.99000000000001</x:v>
      </x:c>
      <x:c r="Q1709" s="16" t="n">
        <x:f>O1709-P1709</x:f>
        <x:v>87.00999999999999</x:v>
      </x:c>
      <x:c r="R1709" s="2" t="n">
        <x:v>107</x:v>
      </x:c>
      <x:c r="S1709" s="2" t="n">
        <x:v>0</x:v>
      </x:c>
      <x:c r="T1709" s="2" t="n">
        <x:f>R1709+S1709+J1709-I1709</x:f>
        <x:v>100</x:v>
      </x:c>
      <x:c r="U1709" s="2" t="n">
        <x:v>0</x:v>
      </x:c>
      <x:c r="V1709" s="2" t="n">
        <x:v>2</x:v>
      </x:c>
      <x:c r="W1709" s="2" t="n">
        <x:v>8</x:v>
      </x:c>
      <x:c r="X1709" s="14" t="b">
        <x:v>0</x:v>
      </x:c>
      <x:c r="Y1709" s="14" t="b">
        <x:v>0</x:v>
      </x:c>
      <x:c r="Z1709" s="2" t="n">
        <x:f>ABS(T1709-AA1709)</x:f>
        <x:v>0</x:v>
      </x:c>
      <x:c r="AA1709" s="2" t="n">
        <x:v>100</x:v>
      </x:c>
      <x:c r="AB1709" s="2" t="n">
        <x:f>ABS(K1709-W1709)</x:f>
        <x:v>1</x:v>
      </x:c>
      <x:c r="AC1709" s="2" t="n">
        <x:f>COUNTIF($A$2:$A$1921,A1709)-1</x:f>
        <x:v>0</x:v>
      </x:c>
      <x:c r="AD1709" s="2" t="n">
        <x:f>IF(AND(D1709=D1708,H1709=H1708,C1709=C1708+1),ABS(R1709-T1708),0)</x:f>
        <x:v>0</x:v>
      </x:c>
    </x:row>
    <x:row r="1710" ht="23" customHeight="1">
      <x:c r="A1710" s="2" t="str">
        <x:v>DEMO-404-1-9</x:v>
      </x:c>
      <x:c r="B1710" s="15" t="d">
        <x:v>2026-06-29T00:00:00.000Z</x:v>
      </x:c>
      <x:c r="C1710" s="2" t="n">
        <x:v>9</x:v>
      </x:c>
      <x:c r="D1710" s="2" t="str">
        <x:v>DEMO-404</x:v>
      </x:c>
      <x:c r="E1710" s="2" t="str">
        <x:v>Woven Lanyard</x:v>
      </x:c>
      <x:c r="F1710" s="2" t="str">
        <x:v>Accessories</x:v>
      </x:c>
      <x:c r="G1710" s="2" t="str">
        <x:v>Stores</x:v>
      </x:c>
      <x:c r="H1710" s="2" t="str">
        <x:v>Riverside</x:v>
      </x:c>
      <x:c r="I1710" s="2" t="n">
        <x:v>8</x:v>
      </x:c>
      <x:c r="J1710" s="2" t="n">
        <x:v>0</x:v>
      </x:c>
      <x:c r="K1710" s="2" t="n">
        <x:f>I1710-J1710</x:f>
        <x:v>8</x:v>
      </x:c>
      <x:c r="L1710" s="16" t="n">
        <x:v>22</x:v>
      </x:c>
      <x:c r="M1710" s="16" t="n">
        <x:v>22</x:v>
      </x:c>
      <x:c r="N1710" s="16" t="n">
        <x:v>9.57</x:v>
      </x:c>
      <x:c r="O1710" s="16" t="n">
        <x:f>K1710*M1710</x:f>
        <x:v>176</x:v>
      </x:c>
      <x:c r="P1710" s="16" t="n">
        <x:f>K1710*N1710</x:f>
        <x:v>76.56</x:v>
      </x:c>
      <x:c r="Q1710" s="16" t="n">
        <x:f>O1710-P1710</x:f>
        <x:v>99.44</x:v>
      </x:c>
      <x:c r="R1710" s="2" t="n">
        <x:v>100</x:v>
      </x:c>
      <x:c r="S1710" s="2" t="n">
        <x:v>34</x:v>
      </x:c>
      <x:c r="T1710" s="2" t="n">
        <x:f>R1710+S1710+J1710-I1710</x:f>
        <x:v>126</x:v>
      </x:c>
      <x:c r="U1710" s="2" t="n">
        <x:v>0</x:v>
      </x:c>
      <x:c r="V1710" s="2" t="n">
        <x:v>2</x:v>
      </x:c>
      <x:c r="W1710" s="2" t="n">
        <x:v>8</x:v>
      </x:c>
      <x:c r="X1710" s="14" t="b">
        <x:v>0</x:v>
      </x:c>
      <x:c r="Y1710" s="14" t="b">
        <x:v>0</x:v>
      </x:c>
      <x:c r="Z1710" s="2" t="n">
        <x:f>ABS(T1710-AA1710)</x:f>
        <x:v>0</x:v>
      </x:c>
      <x:c r="AA1710" s="2" t="n">
        <x:v>126</x:v>
      </x:c>
      <x:c r="AB1710" s="2" t="n">
        <x:f>ABS(K1710-W1710)</x:f>
        <x:v>0</x:v>
      </x:c>
      <x:c r="AC1710" s="2" t="n">
        <x:f>COUNTIF($A$2:$A$1921,A1710)-1</x:f>
        <x:v>0</x:v>
      </x:c>
      <x:c r="AD1710" s="2" t="n">
        <x:f>IF(AND(D1710=D1709,H1710=H1709,C1710=C1709+1),ABS(R1710-T1709),0)</x:f>
        <x:v>0</x:v>
      </x:c>
    </x:row>
    <x:row r="1711" ht="23" customHeight="1">
      <x:c r="A1711" s="2" t="str">
        <x:v>DEMO-404-1-10</x:v>
      </x:c>
      <x:c r="B1711" s="15" t="d">
        <x:v>2026-07-06T00:00:00.000Z</x:v>
      </x:c>
      <x:c r="C1711" s="2" t="n">
        <x:v>10</x:v>
      </x:c>
      <x:c r="D1711" s="2" t="str">
        <x:v>DEMO-404</x:v>
      </x:c>
      <x:c r="E1711" s="2" t="str">
        <x:v>Woven Lanyard</x:v>
      </x:c>
      <x:c r="F1711" s="2" t="str">
        <x:v>Accessories</x:v>
      </x:c>
      <x:c r="G1711" s="2" t="str">
        <x:v>Stores</x:v>
      </x:c>
      <x:c r="H1711" s="2" t="str">
        <x:v>Riverside</x:v>
      </x:c>
      <x:c r="I1711" s="2" t="n">
        <x:v>8</x:v>
      </x:c>
      <x:c r="J1711" s="2" t="n">
        <x:v>0</x:v>
      </x:c>
      <x:c r="K1711" s="2" t="n">
        <x:f>I1711-J1711</x:f>
        <x:v>8</x:v>
      </x:c>
      <x:c r="L1711" s="16" t="n">
        <x:v>22</x:v>
      </x:c>
      <x:c r="M1711" s="16" t="n">
        <x:v>22</x:v>
      </x:c>
      <x:c r="N1711" s="16" t="n">
        <x:v>9.57</x:v>
      </x:c>
      <x:c r="O1711" s="16" t="n">
        <x:f>K1711*M1711</x:f>
        <x:v>176</x:v>
      </x:c>
      <x:c r="P1711" s="16" t="n">
        <x:f>K1711*N1711</x:f>
        <x:v>76.56</x:v>
      </x:c>
      <x:c r="Q1711" s="16" t="n">
        <x:f>O1711-P1711</x:f>
        <x:v>99.44</x:v>
      </x:c>
      <x:c r="R1711" s="2" t="n">
        <x:v>126</x:v>
      </x:c>
      <x:c r="S1711" s="2" t="n">
        <x:v>0</x:v>
      </x:c>
      <x:c r="T1711" s="2" t="n">
        <x:f>R1711+S1711+J1711-I1711</x:f>
        <x:v>118</x:v>
      </x:c>
      <x:c r="U1711" s="2" t="n">
        <x:v>0</x:v>
      </x:c>
      <x:c r="V1711" s="2" t="n">
        <x:v>2</x:v>
      </x:c>
      <x:c r="W1711" s="2" t="n">
        <x:v>8</x:v>
      </x:c>
      <x:c r="X1711" s="14" t="b">
        <x:v>0</x:v>
      </x:c>
      <x:c r="Y1711" s="14" t="b">
        <x:v>0</x:v>
      </x:c>
      <x:c r="Z1711" s="2" t="n">
        <x:f>ABS(T1711-AA1711)</x:f>
        <x:v>0</x:v>
      </x:c>
      <x:c r="AA1711" s="2" t="n">
        <x:v>118</x:v>
      </x:c>
      <x:c r="AB1711" s="2" t="n">
        <x:f>ABS(K1711-W1711)</x:f>
        <x:v>0</x:v>
      </x:c>
      <x:c r="AC1711" s="2" t="n">
        <x:f>COUNTIF($A$2:$A$1921,A1711)-1</x:f>
        <x:v>0</x:v>
      </x:c>
      <x:c r="AD1711" s="2" t="n">
        <x:f>IF(AND(D1711=D1710,H1711=H1710,C1711=C1710+1),ABS(R1711-T1710),0)</x:f>
        <x:v>0</x:v>
      </x:c>
    </x:row>
    <x:row r="1712" ht="23" customHeight="1">
      <x:c r="A1712" s="2" t="str">
        <x:v>DEMO-404-1-11</x:v>
      </x:c>
      <x:c r="B1712" s="15" t="d">
        <x:v>2026-07-13T00:00:00.000Z</x:v>
      </x:c>
      <x:c r="C1712" s="2" t="n">
        <x:v>11</x:v>
      </x:c>
      <x:c r="D1712" s="2" t="str">
        <x:v>DEMO-404</x:v>
      </x:c>
      <x:c r="E1712" s="2" t="str">
        <x:v>Woven Lanyard</x:v>
      </x:c>
      <x:c r="F1712" s="2" t="str">
        <x:v>Accessories</x:v>
      </x:c>
      <x:c r="G1712" s="2" t="str">
        <x:v>Stores</x:v>
      </x:c>
      <x:c r="H1712" s="2" t="str">
        <x:v>Riverside</x:v>
      </x:c>
      <x:c r="I1712" s="2" t="n">
        <x:v>9</x:v>
      </x:c>
      <x:c r="J1712" s="2" t="n">
        <x:v>0</x:v>
      </x:c>
      <x:c r="K1712" s="2" t="n">
        <x:f>I1712-J1712</x:f>
        <x:v>9</x:v>
      </x:c>
      <x:c r="L1712" s="16" t="n">
        <x:v>22</x:v>
      </x:c>
      <x:c r="M1712" s="16" t="n">
        <x:v>22</x:v>
      </x:c>
      <x:c r="N1712" s="16" t="n">
        <x:v>9.57</x:v>
      </x:c>
      <x:c r="O1712" s="16" t="n">
        <x:f>K1712*M1712</x:f>
        <x:v>198</x:v>
      </x:c>
      <x:c r="P1712" s="16" t="n">
        <x:f>K1712*N1712</x:f>
        <x:v>86.13</x:v>
      </x:c>
      <x:c r="Q1712" s="16" t="n">
        <x:f>O1712-P1712</x:f>
        <x:v>111.87</x:v>
      </x:c>
      <x:c r="R1712" s="2" t="n">
        <x:v>118</x:v>
      </x:c>
      <x:c r="S1712" s="2" t="n">
        <x:v>0</x:v>
      </x:c>
      <x:c r="T1712" s="2" t="n">
        <x:f>R1712+S1712+J1712-I1712</x:f>
        <x:v>109</x:v>
      </x:c>
      <x:c r="U1712" s="2" t="n">
        <x:v>0</x:v>
      </x:c>
      <x:c r="V1712" s="2" t="n">
        <x:v>2</x:v>
      </x:c>
      <x:c r="W1712" s="2" t="n">
        <x:v>8</x:v>
      </x:c>
      <x:c r="X1712" s="14" t="b">
        <x:v>0</x:v>
      </x:c>
      <x:c r="Y1712" s="14" t="b">
        <x:v>0</x:v>
      </x:c>
      <x:c r="Z1712" s="2" t="n">
        <x:f>ABS(T1712-AA1712)</x:f>
        <x:v>0</x:v>
      </x:c>
      <x:c r="AA1712" s="2" t="n">
        <x:v>109</x:v>
      </x:c>
      <x:c r="AB1712" s="2" t="n">
        <x:f>ABS(K1712-W1712)</x:f>
        <x:v>1</x:v>
      </x:c>
      <x:c r="AC1712" s="2" t="n">
        <x:f>COUNTIF($A$2:$A$1921,A1712)-1</x:f>
        <x:v>0</x:v>
      </x:c>
      <x:c r="AD1712" s="2" t="n">
        <x:f>IF(AND(D1712=D1711,H1712=H1711,C1712=C1711+1),ABS(R1712-T1711),0)</x:f>
        <x:v>0</x:v>
      </x:c>
    </x:row>
    <x:row r="1713" ht="23" customHeight="1">
      <x:c r="A1713" s="2" t="str">
        <x:v>DEMO-404-1-12</x:v>
      </x:c>
      <x:c r="B1713" s="15" t="d">
        <x:v>2026-07-20T00:00:00.000Z</x:v>
      </x:c>
      <x:c r="C1713" s="2" t="n">
        <x:v>12</x:v>
      </x:c>
      <x:c r="D1713" s="2" t="str">
        <x:v>DEMO-404</x:v>
      </x:c>
      <x:c r="E1713" s="2" t="str">
        <x:v>Woven Lanyard</x:v>
      </x:c>
      <x:c r="F1713" s="2" t="str">
        <x:v>Accessories</x:v>
      </x:c>
      <x:c r="G1713" s="2" t="str">
        <x:v>Stores</x:v>
      </x:c>
      <x:c r="H1713" s="2" t="str">
        <x:v>Riverside</x:v>
      </x:c>
      <x:c r="I1713" s="2" t="n">
        <x:v>7</x:v>
      </x:c>
      <x:c r="J1713" s="2" t="n">
        <x:v>0</x:v>
      </x:c>
      <x:c r="K1713" s="2" t="n">
        <x:f>I1713-J1713</x:f>
        <x:v>7</x:v>
      </x:c>
      <x:c r="L1713" s="16" t="n">
        <x:v>22</x:v>
      </x:c>
      <x:c r="M1713" s="16" t="n">
        <x:v>22</x:v>
      </x:c>
      <x:c r="N1713" s="16" t="n">
        <x:v>9.57</x:v>
      </x:c>
      <x:c r="O1713" s="16" t="n">
        <x:f>K1713*M1713</x:f>
        <x:v>154</x:v>
      </x:c>
      <x:c r="P1713" s="16" t="n">
        <x:f>K1713*N1713</x:f>
        <x:v>66.99000000000001</x:v>
      </x:c>
      <x:c r="Q1713" s="16" t="n">
        <x:f>O1713-P1713</x:f>
        <x:v>87.00999999999999</x:v>
      </x:c>
      <x:c r="R1713" s="2" t="n">
        <x:v>109</x:v>
      </x:c>
      <x:c r="S1713" s="2" t="n">
        <x:v>0</x:v>
      </x:c>
      <x:c r="T1713" s="2" t="n">
        <x:f>R1713+S1713+J1713-I1713</x:f>
        <x:v>102</x:v>
      </x:c>
      <x:c r="U1713" s="2" t="n">
        <x:v>0</x:v>
      </x:c>
      <x:c r="V1713" s="2" t="n">
        <x:v>2</x:v>
      </x:c>
      <x:c r="W1713" s="2" t="n">
        <x:v>8</x:v>
      </x:c>
      <x:c r="X1713" s="14" t="b">
        <x:v>0</x:v>
      </x:c>
      <x:c r="Y1713" s="14" t="b">
        <x:v>0</x:v>
      </x:c>
      <x:c r="Z1713" s="2" t="n">
        <x:f>ABS(T1713-AA1713)</x:f>
        <x:v>0</x:v>
      </x:c>
      <x:c r="AA1713" s="2" t="n">
        <x:v>102</x:v>
      </x:c>
      <x:c r="AB1713" s="2" t="n">
        <x:f>ABS(K1713-W1713)</x:f>
        <x:v>1</x:v>
      </x:c>
      <x:c r="AC1713" s="2" t="n">
        <x:f>COUNTIF($A$2:$A$1921,A1713)-1</x:f>
        <x:v>0</x:v>
      </x:c>
      <x:c r="AD1713" s="2" t="n">
        <x:f>IF(AND(D1713=D1712,H1713=H1712,C1713=C1712+1),ABS(R1713-T1712),0)</x:f>
        <x:v>0</x:v>
      </x:c>
    </x:row>
    <x:row r="1714" ht="23" customHeight="1">
      <x:c r="A1714" s="2" t="str">
        <x:v>DEMO-404-1-13</x:v>
      </x:c>
      <x:c r="B1714" s="15" t="d">
        <x:v>2026-07-27T00:00:00.000Z</x:v>
      </x:c>
      <x:c r="C1714" s="2" t="n">
        <x:v>13</x:v>
      </x:c>
      <x:c r="D1714" s="2" t="str">
        <x:v>DEMO-404</x:v>
      </x:c>
      <x:c r="E1714" s="2" t="str">
        <x:v>Woven Lanyard</x:v>
      </x:c>
      <x:c r="F1714" s="2" t="str">
        <x:v>Accessories</x:v>
      </x:c>
      <x:c r="G1714" s="2" t="str">
        <x:v>Stores</x:v>
      </x:c>
      <x:c r="H1714" s="2" t="str">
        <x:v>Riverside</x:v>
      </x:c>
      <x:c r="I1714" s="2" t="n">
        <x:v>9</x:v>
      </x:c>
      <x:c r="J1714" s="2" t="n">
        <x:v>1</x:v>
      </x:c>
      <x:c r="K1714" s="2" t="n">
        <x:f>I1714-J1714</x:f>
        <x:v>8</x:v>
      </x:c>
      <x:c r="L1714" s="16" t="n">
        <x:v>22</x:v>
      </x:c>
      <x:c r="M1714" s="16" t="n">
        <x:v>22</x:v>
      </x:c>
      <x:c r="N1714" s="16" t="n">
        <x:v>9.57</x:v>
      </x:c>
      <x:c r="O1714" s="16" t="n">
        <x:f>K1714*M1714</x:f>
        <x:v>176</x:v>
      </x:c>
      <x:c r="P1714" s="16" t="n">
        <x:f>K1714*N1714</x:f>
        <x:v>76.56</x:v>
      </x:c>
      <x:c r="Q1714" s="16" t="n">
        <x:f>O1714-P1714</x:f>
        <x:v>99.44</x:v>
      </x:c>
      <x:c r="R1714" s="2" t="n">
        <x:v>102</x:v>
      </x:c>
      <x:c r="S1714" s="2" t="n">
        <x:v>34</x:v>
      </x:c>
      <x:c r="T1714" s="2" t="n">
        <x:f>R1714+S1714+J1714-I1714</x:f>
        <x:v>128</x:v>
      </x:c>
      <x:c r="U1714" s="2" t="n">
        <x:v>0</x:v>
      </x:c>
      <x:c r="V1714" s="2" t="n">
        <x:v>2</x:v>
      </x:c>
      <x:c r="W1714" s="2" t="n">
        <x:v>8</x:v>
      </x:c>
      <x:c r="X1714" s="14" t="b">
        <x:v>0</x:v>
      </x:c>
      <x:c r="Y1714" s="14" t="b">
        <x:v>0</x:v>
      </x:c>
      <x:c r="Z1714" s="2" t="n">
        <x:f>ABS(T1714-AA1714)</x:f>
        <x:v>0</x:v>
      </x:c>
      <x:c r="AA1714" s="2" t="n">
        <x:v>128</x:v>
      </x:c>
      <x:c r="AB1714" s="2" t="n">
        <x:f>ABS(K1714-W1714)</x:f>
        <x:v>0</x:v>
      </x:c>
      <x:c r="AC1714" s="2" t="n">
        <x:f>COUNTIF($A$2:$A$1921,A1714)-1</x:f>
        <x:v>0</x:v>
      </x:c>
      <x:c r="AD1714" s="2" t="n">
        <x:f>IF(AND(D1714=D1713,H1714=H1713,C1714=C1713+1),ABS(R1714-T1713),0)</x:f>
        <x:v>0</x:v>
      </x:c>
    </x:row>
    <x:row r="1715" ht="23" customHeight="1">
      <x:c r="A1715" s="2" t="str">
        <x:v>DEMO-404-1-14</x:v>
      </x:c>
      <x:c r="B1715" s="15" t="d">
        <x:v>2026-08-03T00:00:00.000Z</x:v>
      </x:c>
      <x:c r="C1715" s="2" t="n">
        <x:v>14</x:v>
      </x:c>
      <x:c r="D1715" s="2" t="str">
        <x:v>DEMO-404</x:v>
      </x:c>
      <x:c r="E1715" s="2" t="str">
        <x:v>Woven Lanyard</x:v>
      </x:c>
      <x:c r="F1715" s="2" t="str">
        <x:v>Accessories</x:v>
      </x:c>
      <x:c r="G1715" s="2" t="str">
        <x:v>Stores</x:v>
      </x:c>
      <x:c r="H1715" s="2" t="str">
        <x:v>Riverside</x:v>
      </x:c>
      <x:c r="I1715" s="2" t="n">
        <x:v>8</x:v>
      </x:c>
      <x:c r="J1715" s="2" t="n">
        <x:v>0</x:v>
      </x:c>
      <x:c r="K1715" s="2" t="n">
        <x:f>I1715-J1715</x:f>
        <x:v>8</x:v>
      </x:c>
      <x:c r="L1715" s="16" t="n">
        <x:v>22</x:v>
      </x:c>
      <x:c r="M1715" s="16" t="n">
        <x:v>22</x:v>
      </x:c>
      <x:c r="N1715" s="16" t="n">
        <x:v>9.57</x:v>
      </x:c>
      <x:c r="O1715" s="16" t="n">
        <x:f>K1715*M1715</x:f>
        <x:v>176</x:v>
      </x:c>
      <x:c r="P1715" s="16" t="n">
        <x:f>K1715*N1715</x:f>
        <x:v>76.56</x:v>
      </x:c>
      <x:c r="Q1715" s="16" t="n">
        <x:f>O1715-P1715</x:f>
        <x:v>99.44</x:v>
      </x:c>
      <x:c r="R1715" s="2" t="n">
        <x:v>128</x:v>
      </x:c>
      <x:c r="S1715" s="2" t="n">
        <x:v>0</x:v>
      </x:c>
      <x:c r="T1715" s="2" t="n">
        <x:f>R1715+S1715+J1715-I1715</x:f>
        <x:v>120</x:v>
      </x:c>
      <x:c r="U1715" s="2" t="n">
        <x:v>0</x:v>
      </x:c>
      <x:c r="V1715" s="2" t="n">
        <x:v>2</x:v>
      </x:c>
      <x:c r="W1715" s="2" t="n">
        <x:v>8</x:v>
      </x:c>
      <x:c r="X1715" s="14" t="b">
        <x:v>0</x:v>
      </x:c>
      <x:c r="Y1715" s="14" t="b">
        <x:v>0</x:v>
      </x:c>
      <x:c r="Z1715" s="2" t="n">
        <x:f>ABS(T1715-AA1715)</x:f>
        <x:v>0</x:v>
      </x:c>
      <x:c r="AA1715" s="2" t="n">
        <x:v>120</x:v>
      </x:c>
      <x:c r="AB1715" s="2" t="n">
        <x:f>ABS(K1715-W1715)</x:f>
        <x:v>0</x:v>
      </x:c>
      <x:c r="AC1715" s="2" t="n">
        <x:f>COUNTIF($A$2:$A$1921,A1715)-1</x:f>
        <x:v>0</x:v>
      </x:c>
      <x:c r="AD1715" s="2" t="n">
        <x:f>IF(AND(D1715=D1714,H1715=H1714,C1715=C1714+1),ABS(R1715-T1714),0)</x:f>
        <x:v>0</x:v>
      </x:c>
    </x:row>
    <x:row r="1716" ht="23" customHeight="1">
      <x:c r="A1716" s="2" t="str">
        <x:v>DEMO-404-1-15</x:v>
      </x:c>
      <x:c r="B1716" s="15" t="d">
        <x:v>2026-08-10T00:00:00.000Z</x:v>
      </x:c>
      <x:c r="C1716" s="2" t="n">
        <x:v>15</x:v>
      </x:c>
      <x:c r="D1716" s="2" t="str">
        <x:v>DEMO-404</x:v>
      </x:c>
      <x:c r="E1716" s="2" t="str">
        <x:v>Woven Lanyard</x:v>
      </x:c>
      <x:c r="F1716" s="2" t="str">
        <x:v>Accessories</x:v>
      </x:c>
      <x:c r="G1716" s="2" t="str">
        <x:v>Stores</x:v>
      </x:c>
      <x:c r="H1716" s="2" t="str">
        <x:v>Riverside</x:v>
      </x:c>
      <x:c r="I1716" s="2" t="n">
        <x:v>7</x:v>
      </x:c>
      <x:c r="J1716" s="2" t="n">
        <x:v>1</x:v>
      </x:c>
      <x:c r="K1716" s="2" t="n">
        <x:f>I1716-J1716</x:f>
        <x:v>6</x:v>
      </x:c>
      <x:c r="L1716" s="16" t="n">
        <x:v>22</x:v>
      </x:c>
      <x:c r="M1716" s="16" t="n">
        <x:v>22</x:v>
      </x:c>
      <x:c r="N1716" s="16" t="n">
        <x:v>9.57</x:v>
      </x:c>
      <x:c r="O1716" s="16" t="n">
        <x:f>K1716*M1716</x:f>
        <x:v>132</x:v>
      </x:c>
      <x:c r="P1716" s="16" t="n">
        <x:f>K1716*N1716</x:f>
        <x:v>57.42</x:v>
      </x:c>
      <x:c r="Q1716" s="16" t="n">
        <x:f>O1716-P1716</x:f>
        <x:v>74.58</x:v>
      </x:c>
      <x:c r="R1716" s="2" t="n">
        <x:v>120</x:v>
      </x:c>
      <x:c r="S1716" s="2" t="n">
        <x:v>0</x:v>
      </x:c>
      <x:c r="T1716" s="2" t="n">
        <x:f>R1716+S1716+J1716-I1716</x:f>
        <x:v>114</x:v>
      </x:c>
      <x:c r="U1716" s="2" t="n">
        <x:v>0</x:v>
      </x:c>
      <x:c r="V1716" s="2" t="n">
        <x:v>2</x:v>
      </x:c>
      <x:c r="W1716" s="2" t="n">
        <x:v>8</x:v>
      </x:c>
      <x:c r="X1716" s="14" t="b">
        <x:v>0</x:v>
      </x:c>
      <x:c r="Y1716" s="14" t="b">
        <x:v>0</x:v>
      </x:c>
      <x:c r="Z1716" s="2" t="n">
        <x:f>ABS(T1716-AA1716)</x:f>
        <x:v>0</x:v>
      </x:c>
      <x:c r="AA1716" s="2" t="n">
        <x:v>114</x:v>
      </x:c>
      <x:c r="AB1716" s="2" t="n">
        <x:f>ABS(K1716-W1716)</x:f>
        <x:v>2</x:v>
      </x:c>
      <x:c r="AC1716" s="2" t="n">
        <x:f>COUNTIF($A$2:$A$1921,A1716)-1</x:f>
        <x:v>0</x:v>
      </x:c>
      <x:c r="AD1716" s="2" t="n">
        <x:f>IF(AND(D1716=D1715,H1716=H1715,C1716=C1715+1),ABS(R1716-T1715),0)</x:f>
        <x:v>0</x:v>
      </x:c>
    </x:row>
    <x:row r="1717" ht="23" customHeight="1">
      <x:c r="A1717" s="2" t="str">
        <x:v>DEMO-404-1-16</x:v>
      </x:c>
      <x:c r="B1717" s="15" t="d">
        <x:v>2026-08-17T00:00:00.000Z</x:v>
      </x:c>
      <x:c r="C1717" s="2" t="n">
        <x:v>16</x:v>
      </x:c>
      <x:c r="D1717" s="2" t="str">
        <x:v>DEMO-404</x:v>
      </x:c>
      <x:c r="E1717" s="2" t="str">
        <x:v>Woven Lanyard</x:v>
      </x:c>
      <x:c r="F1717" s="2" t="str">
        <x:v>Accessories</x:v>
      </x:c>
      <x:c r="G1717" s="2" t="str">
        <x:v>Stores</x:v>
      </x:c>
      <x:c r="H1717" s="2" t="str">
        <x:v>Riverside</x:v>
      </x:c>
      <x:c r="I1717" s="2" t="n">
        <x:v>8</x:v>
      </x:c>
      <x:c r="J1717" s="2" t="n">
        <x:v>0</x:v>
      </x:c>
      <x:c r="K1717" s="2" t="n">
        <x:f>I1717-J1717</x:f>
        <x:v>8</x:v>
      </x:c>
      <x:c r="L1717" s="16" t="n">
        <x:v>22</x:v>
      </x:c>
      <x:c r="M1717" s="16" t="n">
        <x:v>22</x:v>
      </x:c>
      <x:c r="N1717" s="16" t="n">
        <x:v>9.57</x:v>
      </x:c>
      <x:c r="O1717" s="16" t="n">
        <x:f>K1717*M1717</x:f>
        <x:v>176</x:v>
      </x:c>
      <x:c r="P1717" s="16" t="n">
        <x:f>K1717*N1717</x:f>
        <x:v>76.56</x:v>
      </x:c>
      <x:c r="Q1717" s="16" t="n">
        <x:f>O1717-P1717</x:f>
        <x:v>99.44</x:v>
      </x:c>
      <x:c r="R1717" s="2" t="n">
        <x:v>114</x:v>
      </x:c>
      <x:c r="S1717" s="2" t="n">
        <x:v>0</x:v>
      </x:c>
      <x:c r="T1717" s="2" t="n">
        <x:f>R1717+S1717+J1717-I1717</x:f>
        <x:v>106</x:v>
      </x:c>
      <x:c r="U1717" s="2" t="n">
        <x:v>0</x:v>
      </x:c>
      <x:c r="V1717" s="2" t="n">
        <x:v>2</x:v>
      </x:c>
      <x:c r="W1717" s="2" t="n">
        <x:v>7</x:v>
      </x:c>
      <x:c r="X1717" s="14" t="b">
        <x:v>0</x:v>
      </x:c>
      <x:c r="Y1717" s="14" t="b">
        <x:v>0</x:v>
      </x:c>
      <x:c r="Z1717" s="2" t="n">
        <x:f>ABS(T1717-AA1717)</x:f>
        <x:v>0</x:v>
      </x:c>
      <x:c r="AA1717" s="2" t="n">
        <x:v>106</x:v>
      </x:c>
      <x:c r="AB1717" s="2" t="n">
        <x:f>ABS(K1717-W1717)</x:f>
        <x:v>1</x:v>
      </x:c>
      <x:c r="AC1717" s="2" t="n">
        <x:f>COUNTIF($A$2:$A$1921,A1717)-1</x:f>
        <x:v>0</x:v>
      </x:c>
      <x:c r="AD1717" s="2" t="n">
        <x:f>IF(AND(D1717=D1716,H1717=H1716,C1717=C1716+1),ABS(R1717-T1716),0)</x:f>
        <x:v>0</x:v>
      </x:c>
    </x:row>
    <x:row r="1718" ht="23" customHeight="1">
      <x:c r="A1718" s="2" t="str">
        <x:v>DEMO-404-1-17</x:v>
      </x:c>
      <x:c r="B1718" s="15" t="d">
        <x:v>2026-08-24T00:00:00.000Z</x:v>
      </x:c>
      <x:c r="C1718" s="2" t="n">
        <x:v>17</x:v>
      </x:c>
      <x:c r="D1718" s="2" t="str">
        <x:v>DEMO-404</x:v>
      </x:c>
      <x:c r="E1718" s="2" t="str">
        <x:v>Woven Lanyard</x:v>
      </x:c>
      <x:c r="F1718" s="2" t="str">
        <x:v>Accessories</x:v>
      </x:c>
      <x:c r="G1718" s="2" t="str">
        <x:v>Stores</x:v>
      </x:c>
      <x:c r="H1718" s="2" t="str">
        <x:v>Riverside</x:v>
      </x:c>
      <x:c r="I1718" s="2" t="n">
        <x:v>8</x:v>
      </x:c>
      <x:c r="J1718" s="2" t="n">
        <x:v>1</x:v>
      </x:c>
      <x:c r="K1718" s="2" t="n">
        <x:f>I1718-J1718</x:f>
        <x:v>7</x:v>
      </x:c>
      <x:c r="L1718" s="16" t="n">
        <x:v>22</x:v>
      </x:c>
      <x:c r="M1718" s="16" t="n">
        <x:v>22</x:v>
      </x:c>
      <x:c r="N1718" s="16" t="n">
        <x:v>9.57</x:v>
      </x:c>
      <x:c r="O1718" s="16" t="n">
        <x:f>K1718*M1718</x:f>
        <x:v>154</x:v>
      </x:c>
      <x:c r="P1718" s="16" t="n">
        <x:f>K1718*N1718</x:f>
        <x:v>66.99000000000001</x:v>
      </x:c>
      <x:c r="Q1718" s="16" t="n">
        <x:f>O1718-P1718</x:f>
        <x:v>87.00999999999999</x:v>
      </x:c>
      <x:c r="R1718" s="2" t="n">
        <x:v>106</x:v>
      </x:c>
      <x:c r="S1718" s="2" t="n">
        <x:v>34</x:v>
      </x:c>
      <x:c r="T1718" s="2" t="n">
        <x:f>R1718+S1718+J1718-I1718</x:f>
        <x:v>133</x:v>
      </x:c>
      <x:c r="U1718" s="2" t="n">
        <x:v>0</x:v>
      </x:c>
      <x:c r="V1718" s="2" t="n">
        <x:v>2</x:v>
      </x:c>
      <x:c r="W1718" s="2" t="n">
        <x:v>8</x:v>
      </x:c>
      <x:c r="X1718" s="14" t="b">
        <x:v>0</x:v>
      </x:c>
      <x:c r="Y1718" s="14" t="b">
        <x:v>0</x:v>
      </x:c>
      <x:c r="Z1718" s="2" t="n">
        <x:f>ABS(T1718-AA1718)</x:f>
        <x:v>0</x:v>
      </x:c>
      <x:c r="AA1718" s="2" t="n">
        <x:v>133</x:v>
      </x:c>
      <x:c r="AB1718" s="2" t="n">
        <x:f>ABS(K1718-W1718)</x:f>
        <x:v>1</x:v>
      </x:c>
      <x:c r="AC1718" s="2" t="n">
        <x:f>COUNTIF($A$2:$A$1921,A1718)-1</x:f>
        <x:v>0</x:v>
      </x:c>
      <x:c r="AD1718" s="2" t="n">
        <x:f>IF(AND(D1718=D1717,H1718=H1717,C1718=C1717+1),ABS(R1718-T1717),0)</x:f>
        <x:v>0</x:v>
      </x:c>
    </x:row>
    <x:row r="1719" ht="23" customHeight="1">
      <x:c r="A1719" s="2" t="str">
        <x:v>DEMO-404-1-18</x:v>
      </x:c>
      <x:c r="B1719" s="15" t="d">
        <x:v>2026-08-31T00:00:00.000Z</x:v>
      </x:c>
      <x:c r="C1719" s="2" t="n">
        <x:v>18</x:v>
      </x:c>
      <x:c r="D1719" s="2" t="str">
        <x:v>DEMO-404</x:v>
      </x:c>
      <x:c r="E1719" s="2" t="str">
        <x:v>Woven Lanyard</x:v>
      </x:c>
      <x:c r="F1719" s="2" t="str">
        <x:v>Accessories</x:v>
      </x:c>
      <x:c r="G1719" s="2" t="str">
        <x:v>Stores</x:v>
      </x:c>
      <x:c r="H1719" s="2" t="str">
        <x:v>Riverside</x:v>
      </x:c>
      <x:c r="I1719" s="2" t="n">
        <x:v>7</x:v>
      </x:c>
      <x:c r="J1719" s="2" t="n">
        <x:v>0</x:v>
      </x:c>
      <x:c r="K1719" s="2" t="n">
        <x:f>I1719-J1719</x:f>
        <x:v>7</x:v>
      </x:c>
      <x:c r="L1719" s="16" t="n">
        <x:v>22</x:v>
      </x:c>
      <x:c r="M1719" s="16" t="n">
        <x:v>22</x:v>
      </x:c>
      <x:c r="N1719" s="16" t="n">
        <x:v>9.57</x:v>
      </x:c>
      <x:c r="O1719" s="16" t="n">
        <x:f>K1719*M1719</x:f>
        <x:v>154</x:v>
      </x:c>
      <x:c r="P1719" s="16" t="n">
        <x:f>K1719*N1719</x:f>
        <x:v>66.99000000000001</x:v>
      </x:c>
      <x:c r="Q1719" s="16" t="n">
        <x:f>O1719-P1719</x:f>
        <x:v>87.00999999999999</x:v>
      </x:c>
      <x:c r="R1719" s="2" t="n">
        <x:v>133</x:v>
      </x:c>
      <x:c r="S1719" s="2" t="n">
        <x:v>0</x:v>
      </x:c>
      <x:c r="T1719" s="2" t="n">
        <x:f>R1719+S1719+J1719-I1719</x:f>
        <x:v>126</x:v>
      </x:c>
      <x:c r="U1719" s="2" t="n">
        <x:v>0</x:v>
      </x:c>
      <x:c r="V1719" s="2" t="n">
        <x:v>2</x:v>
      </x:c>
      <x:c r="W1719" s="2" t="n">
        <x:v>7</x:v>
      </x:c>
      <x:c r="X1719" s="14" t="b">
        <x:v>0</x:v>
      </x:c>
      <x:c r="Y1719" s="14" t="b">
        <x:v>0</x:v>
      </x:c>
      <x:c r="Z1719" s="2" t="n">
        <x:f>ABS(T1719-AA1719)</x:f>
        <x:v>0</x:v>
      </x:c>
      <x:c r="AA1719" s="2" t="n">
        <x:v>126</x:v>
      </x:c>
      <x:c r="AB1719" s="2" t="n">
        <x:f>ABS(K1719-W1719)</x:f>
        <x:v>0</x:v>
      </x:c>
      <x:c r="AC1719" s="2" t="n">
        <x:f>COUNTIF($A$2:$A$1921,A1719)-1</x:f>
        <x:v>0</x:v>
      </x:c>
      <x:c r="AD1719" s="2" t="n">
        <x:f>IF(AND(D1719=D1718,H1719=H1718,C1719=C1718+1),ABS(R1719-T1718),0)</x:f>
        <x:v>0</x:v>
      </x:c>
    </x:row>
    <x:row r="1720" ht="23" customHeight="1">
      <x:c r="A1720" s="2" t="str">
        <x:v>DEMO-404-1-19</x:v>
      </x:c>
      <x:c r="B1720" s="15" t="d">
        <x:v>2026-09-07T00:00:00.000Z</x:v>
      </x:c>
      <x:c r="C1720" s="2" t="n">
        <x:v>19</x:v>
      </x:c>
      <x:c r="D1720" s="2" t="str">
        <x:v>DEMO-404</x:v>
      </x:c>
      <x:c r="E1720" s="2" t="str">
        <x:v>Woven Lanyard</x:v>
      </x:c>
      <x:c r="F1720" s="2" t="str">
        <x:v>Accessories</x:v>
      </x:c>
      <x:c r="G1720" s="2" t="str">
        <x:v>Stores</x:v>
      </x:c>
      <x:c r="H1720" s="2" t="str">
        <x:v>Riverside</x:v>
      </x:c>
      <x:c r="I1720" s="2" t="n">
        <x:v>9</x:v>
      </x:c>
      <x:c r="J1720" s="2" t="n">
        <x:v>0</x:v>
      </x:c>
      <x:c r="K1720" s="2" t="n">
        <x:f>I1720-J1720</x:f>
        <x:v>9</x:v>
      </x:c>
      <x:c r="L1720" s="16" t="n">
        <x:v>22</x:v>
      </x:c>
      <x:c r="M1720" s="16" t="n">
        <x:v>22</x:v>
      </x:c>
      <x:c r="N1720" s="16" t="n">
        <x:v>9.57</x:v>
      </x:c>
      <x:c r="O1720" s="16" t="n">
        <x:f>K1720*M1720</x:f>
        <x:v>198</x:v>
      </x:c>
      <x:c r="P1720" s="16" t="n">
        <x:f>K1720*N1720</x:f>
        <x:v>86.13</x:v>
      </x:c>
      <x:c r="Q1720" s="16" t="n">
        <x:f>O1720-P1720</x:f>
        <x:v>111.87</x:v>
      </x:c>
      <x:c r="R1720" s="2" t="n">
        <x:v>126</x:v>
      </x:c>
      <x:c r="S1720" s="2" t="n">
        <x:v>0</x:v>
      </x:c>
      <x:c r="T1720" s="2" t="n">
        <x:f>R1720+S1720+J1720-I1720</x:f>
        <x:v>117</x:v>
      </x:c>
      <x:c r="U1720" s="2" t="n">
        <x:v>0</x:v>
      </x:c>
      <x:c r="V1720" s="2" t="n">
        <x:v>2</x:v>
      </x:c>
      <x:c r="W1720" s="2" t="n">
        <x:v>7</x:v>
      </x:c>
      <x:c r="X1720" s="14" t="b">
        <x:v>0</x:v>
      </x:c>
      <x:c r="Y1720" s="14" t="b">
        <x:v>0</x:v>
      </x:c>
      <x:c r="Z1720" s="2" t="n">
        <x:f>ABS(T1720-AA1720)</x:f>
        <x:v>0</x:v>
      </x:c>
      <x:c r="AA1720" s="2" t="n">
        <x:v>117</x:v>
      </x:c>
      <x:c r="AB1720" s="2" t="n">
        <x:f>ABS(K1720-W1720)</x:f>
        <x:v>2</x:v>
      </x:c>
      <x:c r="AC1720" s="2" t="n">
        <x:f>COUNTIF($A$2:$A$1921,A1720)-1</x:f>
        <x:v>0</x:v>
      </x:c>
      <x:c r="AD1720" s="2" t="n">
        <x:f>IF(AND(D1720=D1719,H1720=H1719,C1720=C1719+1),ABS(R1720-T1719),0)</x:f>
        <x:v>0</x:v>
      </x:c>
    </x:row>
    <x:row r="1721" ht="23" customHeight="1">
      <x:c r="A1721" s="2" t="str">
        <x:v>DEMO-404-1-20</x:v>
      </x:c>
      <x:c r="B1721" s="15" t="d">
        <x:v>2026-09-14T00:00:00.000Z</x:v>
      </x:c>
      <x:c r="C1721" s="2" t="n">
        <x:v>20</x:v>
      </x:c>
      <x:c r="D1721" s="2" t="str">
        <x:v>DEMO-404</x:v>
      </x:c>
      <x:c r="E1721" s="2" t="str">
        <x:v>Woven Lanyard</x:v>
      </x:c>
      <x:c r="F1721" s="2" t="str">
        <x:v>Accessories</x:v>
      </x:c>
      <x:c r="G1721" s="2" t="str">
        <x:v>Stores</x:v>
      </x:c>
      <x:c r="H1721" s="2" t="str">
        <x:v>Riverside</x:v>
      </x:c>
      <x:c r="I1721" s="2" t="n">
        <x:v>7</x:v>
      </x:c>
      <x:c r="J1721" s="2" t="n">
        <x:v>0</x:v>
      </x:c>
      <x:c r="K1721" s="2" t="n">
        <x:f>I1721-J1721</x:f>
        <x:v>7</x:v>
      </x:c>
      <x:c r="L1721" s="16" t="n">
        <x:v>22</x:v>
      </x:c>
      <x:c r="M1721" s="16" t="n">
        <x:v>22</x:v>
      </x:c>
      <x:c r="N1721" s="16" t="n">
        <x:v>9.57</x:v>
      </x:c>
      <x:c r="O1721" s="16" t="n">
        <x:f>K1721*M1721</x:f>
        <x:v>154</x:v>
      </x:c>
      <x:c r="P1721" s="16" t="n">
        <x:f>K1721*N1721</x:f>
        <x:v>66.99000000000001</x:v>
      </x:c>
      <x:c r="Q1721" s="16" t="n">
        <x:f>O1721-P1721</x:f>
        <x:v>87.00999999999999</x:v>
      </x:c>
      <x:c r="R1721" s="2" t="n">
        <x:v>117</x:v>
      </x:c>
      <x:c r="S1721" s="2" t="n">
        <x:v>0</x:v>
      </x:c>
      <x:c r="T1721" s="2" t="n">
        <x:f>R1721+S1721+J1721-I1721</x:f>
        <x:v>110</x:v>
      </x:c>
      <x:c r="U1721" s="2" t="n">
        <x:v>18</x:v>
      </x:c>
      <x:c r="V1721" s="2" t="n">
        <x:v>2</x:v>
      </x:c>
      <x:c r="W1721" s="2" t="n">
        <x:v>8</x:v>
      </x:c>
      <x:c r="X1721" s="14" t="b">
        <x:v>0</x:v>
      </x:c>
      <x:c r="Y1721" s="14" t="b">
        <x:v>0</x:v>
      </x:c>
      <x:c r="Z1721" s="2" t="n">
        <x:f>ABS(T1721-AA1721)</x:f>
        <x:v>0</x:v>
      </x:c>
      <x:c r="AA1721" s="2" t="n">
        <x:v>110</x:v>
      </x:c>
      <x:c r="AB1721" s="2" t="n">
        <x:f>ABS(K1721-W1721)</x:f>
        <x:v>1</x:v>
      </x:c>
      <x:c r="AC1721" s="2" t="n">
        <x:f>COUNTIF($A$2:$A$1921,A1721)-1</x:f>
        <x:v>0</x:v>
      </x:c>
      <x:c r="AD1721" s="2" t="n">
        <x:f>IF(AND(D1721=D1720,H1721=H1720,C1721=C1720+1),ABS(R1721-T1720),0)</x:f>
        <x:v>0</x:v>
      </x:c>
    </x:row>
    <x:row r="1722" ht="23" customHeight="1">
      <x:c r="A1722" s="2" t="str">
        <x:v>DEMO-404-2-1</x:v>
      </x:c>
      <x:c r="B1722" s="15" t="d">
        <x:v>2026-05-04T00:00:00.000Z</x:v>
      </x:c>
      <x:c r="C1722" s="2" t="n">
        <x:v>1</x:v>
      </x:c>
      <x:c r="D1722" s="2" t="str">
        <x:v>DEMO-404</x:v>
      </x:c>
      <x:c r="E1722" s="2" t="str">
        <x:v>Woven Lanyard</x:v>
      </x:c>
      <x:c r="F1722" s="2" t="str">
        <x:v>Accessories</x:v>
      </x:c>
      <x:c r="G1722" s="2" t="str">
        <x:v>Stores</x:v>
      </x:c>
      <x:c r="H1722" s="2" t="str">
        <x:v>Central Market</x:v>
      </x:c>
      <x:c r="I1722" s="2" t="n">
        <x:v>8</x:v>
      </x:c>
      <x:c r="J1722" s="2" t="n">
        <x:v>0</x:v>
      </x:c>
      <x:c r="K1722" s="2" t="n">
        <x:f>I1722-J1722</x:f>
        <x:v>8</x:v>
      </x:c>
      <x:c r="L1722" s="16" t="n">
        <x:v>22</x:v>
      </x:c>
      <x:c r="M1722" s="16" t="n">
        <x:v>22</x:v>
      </x:c>
      <x:c r="N1722" s="16" t="n">
        <x:v>9.57</x:v>
      </x:c>
      <x:c r="O1722" s="16" t="n">
        <x:f>K1722*M1722</x:f>
        <x:v>176</x:v>
      </x:c>
      <x:c r="P1722" s="16" t="n">
        <x:f>K1722*N1722</x:f>
        <x:v>76.56</x:v>
      </x:c>
      <x:c r="Q1722" s="16" t="n">
        <x:f>O1722-P1722</x:f>
        <x:v>99.44</x:v>
      </x:c>
      <x:c r="R1722" s="2" t="n">
        <x:v>90</x:v>
      </x:c>
      <x:c r="S1722" s="2" t="n">
        <x:v>34</x:v>
      </x:c>
      <x:c r="T1722" s="2" t="n">
        <x:f>R1722+S1722+J1722-I1722</x:f>
        <x:v>116</x:v>
      </x:c>
      <x:c r="U1722" s="2" t="n">
        <x:v>0</x:v>
      </x:c>
      <x:c r="V1722" s="2" t="n">
        <x:v>2</x:v>
      </x:c>
      <x:c r="W1722" s="2" t="n">
        <x:v>8</x:v>
      </x:c>
      <x:c r="X1722" s="14" t="b">
        <x:v>0</x:v>
      </x:c>
      <x:c r="Y1722" s="14" t="b">
        <x:v>0</x:v>
      </x:c>
      <x:c r="Z1722" s="2" t="n">
        <x:f>ABS(T1722-AA1722)</x:f>
        <x:v>0</x:v>
      </x:c>
      <x:c r="AA1722" s="2" t="n">
        <x:v>116</x:v>
      </x:c>
      <x:c r="AB1722" s="2" t="n">
        <x:f>ABS(K1722-W1722)</x:f>
        <x:v>0</x:v>
      </x:c>
      <x:c r="AC1722" s="2" t="n">
        <x:f>COUNTIF($A$2:$A$1921,A1722)-1</x:f>
        <x:v>0</x:v>
      </x:c>
      <x:c r="AD1722" s="2" t="n">
        <x:f>IF(AND(D1722=D1721,H1722=H1721,C1722=C1721+1),ABS(R1722-T1721),0)</x:f>
        <x:v>0</x:v>
      </x:c>
    </x:row>
    <x:row r="1723" ht="23" customHeight="1">
      <x:c r="A1723" s="2" t="str">
        <x:v>DEMO-404-2-2</x:v>
      </x:c>
      <x:c r="B1723" s="15" t="d">
        <x:v>2026-05-11T00:00:00.000Z</x:v>
      </x:c>
      <x:c r="C1723" s="2" t="n">
        <x:v>2</x:v>
      </x:c>
      <x:c r="D1723" s="2" t="str">
        <x:v>DEMO-404</x:v>
      </x:c>
      <x:c r="E1723" s="2" t="str">
        <x:v>Woven Lanyard</x:v>
      </x:c>
      <x:c r="F1723" s="2" t="str">
        <x:v>Accessories</x:v>
      </x:c>
      <x:c r="G1723" s="2" t="str">
        <x:v>Stores</x:v>
      </x:c>
      <x:c r="H1723" s="2" t="str">
        <x:v>Central Market</x:v>
      </x:c>
      <x:c r="I1723" s="2" t="n">
        <x:v>7</x:v>
      </x:c>
      <x:c r="J1723" s="2" t="n">
        <x:v>0</x:v>
      </x:c>
      <x:c r="K1723" s="2" t="n">
        <x:f>I1723-J1723</x:f>
        <x:v>7</x:v>
      </x:c>
      <x:c r="L1723" s="16" t="n">
        <x:v>22</x:v>
      </x:c>
      <x:c r="M1723" s="16" t="n">
        <x:v>22</x:v>
      </x:c>
      <x:c r="N1723" s="16" t="n">
        <x:v>9.57</x:v>
      </x:c>
      <x:c r="O1723" s="16" t="n">
        <x:f>K1723*M1723</x:f>
        <x:v>154</x:v>
      </x:c>
      <x:c r="P1723" s="16" t="n">
        <x:f>K1723*N1723</x:f>
        <x:v>66.99000000000001</x:v>
      </x:c>
      <x:c r="Q1723" s="16" t="n">
        <x:f>O1723-P1723</x:f>
        <x:v>87.00999999999999</x:v>
      </x:c>
      <x:c r="R1723" s="2" t="n">
        <x:v>116</x:v>
      </x:c>
      <x:c r="S1723" s="2" t="n">
        <x:v>0</x:v>
      </x:c>
      <x:c r="T1723" s="2" t="n">
        <x:f>R1723+S1723+J1723-I1723</x:f>
        <x:v>109</x:v>
      </x:c>
      <x:c r="U1723" s="2" t="n">
        <x:v>0</x:v>
      </x:c>
      <x:c r="V1723" s="2" t="n">
        <x:v>2</x:v>
      </x:c>
      <x:c r="W1723" s="2" t="n">
        <x:v>8</x:v>
      </x:c>
      <x:c r="X1723" s="14" t="b">
        <x:v>0</x:v>
      </x:c>
      <x:c r="Y1723" s="14" t="b">
        <x:v>0</x:v>
      </x:c>
      <x:c r="Z1723" s="2" t="n">
        <x:f>ABS(T1723-AA1723)</x:f>
        <x:v>0</x:v>
      </x:c>
      <x:c r="AA1723" s="2" t="n">
        <x:v>109</x:v>
      </x:c>
      <x:c r="AB1723" s="2" t="n">
        <x:f>ABS(K1723-W1723)</x:f>
        <x:v>1</x:v>
      </x:c>
      <x:c r="AC1723" s="2" t="n">
        <x:f>COUNTIF($A$2:$A$1921,A1723)-1</x:f>
        <x:v>0</x:v>
      </x:c>
      <x:c r="AD1723" s="2" t="n">
        <x:f>IF(AND(D1723=D1722,H1723=H1722,C1723=C1722+1),ABS(R1723-T1722),0)</x:f>
        <x:v>0</x:v>
      </x:c>
    </x:row>
    <x:row r="1724" ht="23" customHeight="1">
      <x:c r="A1724" s="2" t="str">
        <x:v>DEMO-404-2-3</x:v>
      </x:c>
      <x:c r="B1724" s="15" t="d">
        <x:v>2026-05-18T00:00:00.000Z</x:v>
      </x:c>
      <x:c r="C1724" s="2" t="n">
        <x:v>3</x:v>
      </x:c>
      <x:c r="D1724" s="2" t="str">
        <x:v>DEMO-404</x:v>
      </x:c>
      <x:c r="E1724" s="2" t="str">
        <x:v>Woven Lanyard</x:v>
      </x:c>
      <x:c r="F1724" s="2" t="str">
        <x:v>Accessories</x:v>
      </x:c>
      <x:c r="G1724" s="2" t="str">
        <x:v>Stores</x:v>
      </x:c>
      <x:c r="H1724" s="2" t="str">
        <x:v>Central Market</x:v>
      </x:c>
      <x:c r="I1724" s="2" t="n">
        <x:v>7</x:v>
      </x:c>
      <x:c r="J1724" s="2" t="n">
        <x:v>0</x:v>
      </x:c>
      <x:c r="K1724" s="2" t="n">
        <x:f>I1724-J1724</x:f>
        <x:v>7</x:v>
      </x:c>
      <x:c r="L1724" s="16" t="n">
        <x:v>22</x:v>
      </x:c>
      <x:c r="M1724" s="16" t="n">
        <x:v>22</x:v>
      </x:c>
      <x:c r="N1724" s="16" t="n">
        <x:v>9.57</x:v>
      </x:c>
      <x:c r="O1724" s="16" t="n">
        <x:f>K1724*M1724</x:f>
        <x:v>154</x:v>
      </x:c>
      <x:c r="P1724" s="16" t="n">
        <x:f>K1724*N1724</x:f>
        <x:v>66.99000000000001</x:v>
      </x:c>
      <x:c r="Q1724" s="16" t="n">
        <x:f>O1724-P1724</x:f>
        <x:v>87.00999999999999</x:v>
      </x:c>
      <x:c r="R1724" s="2" t="n">
        <x:v>109</x:v>
      </x:c>
      <x:c r="S1724" s="2" t="n">
        <x:v>0</x:v>
      </x:c>
      <x:c r="T1724" s="2" t="n">
        <x:f>R1724+S1724+J1724-I1724</x:f>
        <x:v>102</x:v>
      </x:c>
      <x:c r="U1724" s="2" t="n">
        <x:v>0</x:v>
      </x:c>
      <x:c r="V1724" s="2" t="n">
        <x:v>2</x:v>
      </x:c>
      <x:c r="W1724" s="2" t="n">
        <x:v>8</x:v>
      </x:c>
      <x:c r="X1724" s="14" t="b">
        <x:v>0</x:v>
      </x:c>
      <x:c r="Y1724" s="14" t="b">
        <x:v>0</x:v>
      </x:c>
      <x:c r="Z1724" s="2" t="n">
        <x:f>ABS(T1724-AA1724)</x:f>
        <x:v>0</x:v>
      </x:c>
      <x:c r="AA1724" s="2" t="n">
        <x:v>102</x:v>
      </x:c>
      <x:c r="AB1724" s="2" t="n">
        <x:f>ABS(K1724-W1724)</x:f>
        <x:v>1</x:v>
      </x:c>
      <x:c r="AC1724" s="2" t="n">
        <x:f>COUNTIF($A$2:$A$1921,A1724)-1</x:f>
        <x:v>0</x:v>
      </x:c>
      <x:c r="AD1724" s="2" t="n">
        <x:f>IF(AND(D1724=D1723,H1724=H1723,C1724=C1723+1),ABS(R1724-T1723),0)</x:f>
        <x:v>0</x:v>
      </x:c>
    </x:row>
    <x:row r="1725" ht="23" customHeight="1">
      <x:c r="A1725" s="2" t="str">
        <x:v>DEMO-404-2-4</x:v>
      </x:c>
      <x:c r="B1725" s="15" t="d">
        <x:v>2026-05-25T00:00:00.000Z</x:v>
      </x:c>
      <x:c r="C1725" s="2" t="n">
        <x:v>4</x:v>
      </x:c>
      <x:c r="D1725" s="2" t="str">
        <x:v>DEMO-404</x:v>
      </x:c>
      <x:c r="E1725" s="2" t="str">
        <x:v>Woven Lanyard</x:v>
      </x:c>
      <x:c r="F1725" s="2" t="str">
        <x:v>Accessories</x:v>
      </x:c>
      <x:c r="G1725" s="2" t="str">
        <x:v>Stores</x:v>
      </x:c>
      <x:c r="H1725" s="2" t="str">
        <x:v>Central Market</x:v>
      </x:c>
      <x:c r="I1725" s="2" t="n">
        <x:v>7</x:v>
      </x:c>
      <x:c r="J1725" s="2" t="n">
        <x:v>0</x:v>
      </x:c>
      <x:c r="K1725" s="2" t="n">
        <x:f>I1725-J1725</x:f>
        <x:v>7</x:v>
      </x:c>
      <x:c r="L1725" s="16" t="n">
        <x:v>22</x:v>
      </x:c>
      <x:c r="M1725" s="16" t="n">
        <x:v>22</x:v>
      </x:c>
      <x:c r="N1725" s="16" t="n">
        <x:v>9.57</x:v>
      </x:c>
      <x:c r="O1725" s="16" t="n">
        <x:f>K1725*M1725</x:f>
        <x:v>154</x:v>
      </x:c>
      <x:c r="P1725" s="16" t="n">
        <x:f>K1725*N1725</x:f>
        <x:v>66.99000000000001</x:v>
      </x:c>
      <x:c r="Q1725" s="16" t="n">
        <x:f>O1725-P1725</x:f>
        <x:v>87.00999999999999</x:v>
      </x:c>
      <x:c r="R1725" s="2" t="n">
        <x:v>102</x:v>
      </x:c>
      <x:c r="S1725" s="2" t="n">
        <x:v>0</x:v>
      </x:c>
      <x:c r="T1725" s="2" t="n">
        <x:f>R1725+S1725+J1725-I1725</x:f>
        <x:v>95</x:v>
      </x:c>
      <x:c r="U1725" s="2" t="n">
        <x:v>0</x:v>
      </x:c>
      <x:c r="V1725" s="2" t="n">
        <x:v>2</x:v>
      </x:c>
      <x:c r="W1725" s="2" t="n">
        <x:v>7</x:v>
      </x:c>
      <x:c r="X1725" s="14" t="b">
        <x:v>0</x:v>
      </x:c>
      <x:c r="Y1725" s="14" t="b">
        <x:v>0</x:v>
      </x:c>
      <x:c r="Z1725" s="2" t="n">
        <x:f>ABS(T1725-AA1725)</x:f>
        <x:v>0</x:v>
      </x:c>
      <x:c r="AA1725" s="2" t="n">
        <x:v>95</x:v>
      </x:c>
      <x:c r="AB1725" s="2" t="n">
        <x:f>ABS(K1725-W1725)</x:f>
        <x:v>0</x:v>
      </x:c>
      <x:c r="AC1725" s="2" t="n">
        <x:f>COUNTIF($A$2:$A$1921,A1725)-1</x:f>
        <x:v>0</x:v>
      </x:c>
      <x:c r="AD1725" s="2" t="n">
        <x:f>IF(AND(D1725=D1724,H1725=H1724,C1725=C1724+1),ABS(R1725-T1724),0)</x:f>
        <x:v>0</x:v>
      </x:c>
    </x:row>
    <x:row r="1726" ht="23" customHeight="1">
      <x:c r="A1726" s="2" t="str">
        <x:v>DEMO-404-2-5</x:v>
      </x:c>
      <x:c r="B1726" s="15" t="d">
        <x:v>2026-06-01T00:00:00.000Z</x:v>
      </x:c>
      <x:c r="C1726" s="2" t="n">
        <x:v>5</x:v>
      </x:c>
      <x:c r="D1726" s="2" t="str">
        <x:v>DEMO-404</x:v>
      </x:c>
      <x:c r="E1726" s="2" t="str">
        <x:v>Woven Lanyard</x:v>
      </x:c>
      <x:c r="F1726" s="2" t="str">
        <x:v>Accessories</x:v>
      </x:c>
      <x:c r="G1726" s="2" t="str">
        <x:v>Stores</x:v>
      </x:c>
      <x:c r="H1726" s="2" t="str">
        <x:v>Central Market</x:v>
      </x:c>
      <x:c r="I1726" s="2" t="n">
        <x:v>9</x:v>
      </x:c>
      <x:c r="J1726" s="2" t="n">
        <x:v>0</x:v>
      </x:c>
      <x:c r="K1726" s="2" t="n">
        <x:f>I1726-J1726</x:f>
        <x:v>9</x:v>
      </x:c>
      <x:c r="L1726" s="16" t="n">
        <x:v>22</x:v>
      </x:c>
      <x:c r="M1726" s="16" t="n">
        <x:v>22</x:v>
      </x:c>
      <x:c r="N1726" s="16" t="n">
        <x:v>9.57</x:v>
      </x:c>
      <x:c r="O1726" s="16" t="n">
        <x:f>K1726*M1726</x:f>
        <x:v>198</x:v>
      </x:c>
      <x:c r="P1726" s="16" t="n">
        <x:f>K1726*N1726</x:f>
        <x:v>86.13</x:v>
      </x:c>
      <x:c r="Q1726" s="16" t="n">
        <x:f>O1726-P1726</x:f>
        <x:v>111.87</x:v>
      </x:c>
      <x:c r="R1726" s="2" t="n">
        <x:v>95</x:v>
      </x:c>
      <x:c r="S1726" s="2" t="n">
        <x:v>34</x:v>
      </x:c>
      <x:c r="T1726" s="2" t="n">
        <x:f>R1726+S1726+J1726-I1726</x:f>
        <x:v>120</x:v>
      </x:c>
      <x:c r="U1726" s="2" t="n">
        <x:v>0</x:v>
      </x:c>
      <x:c r="V1726" s="2" t="n">
        <x:v>2</x:v>
      </x:c>
      <x:c r="W1726" s="2" t="n">
        <x:v>7</x:v>
      </x:c>
      <x:c r="X1726" s="14" t="b">
        <x:v>0</x:v>
      </x:c>
      <x:c r="Y1726" s="14" t="b">
        <x:v>0</x:v>
      </x:c>
      <x:c r="Z1726" s="2" t="n">
        <x:f>ABS(T1726-AA1726)</x:f>
        <x:v>0</x:v>
      </x:c>
      <x:c r="AA1726" s="2" t="n">
        <x:v>120</x:v>
      </x:c>
      <x:c r="AB1726" s="2" t="n">
        <x:f>ABS(K1726-W1726)</x:f>
        <x:v>2</x:v>
      </x:c>
      <x:c r="AC1726" s="2" t="n">
        <x:f>COUNTIF($A$2:$A$1921,A1726)-1</x:f>
        <x:v>0</x:v>
      </x:c>
      <x:c r="AD1726" s="2" t="n">
        <x:f>IF(AND(D1726=D1725,H1726=H1725,C1726=C1725+1),ABS(R1726-T1725),0)</x:f>
        <x:v>0</x:v>
      </x:c>
    </x:row>
    <x:row r="1727" ht="23" customHeight="1">
      <x:c r="A1727" s="2" t="str">
        <x:v>DEMO-404-2-6</x:v>
      </x:c>
      <x:c r="B1727" s="15" t="d">
        <x:v>2026-06-08T00:00:00.000Z</x:v>
      </x:c>
      <x:c r="C1727" s="2" t="n">
        <x:v>6</x:v>
      </x:c>
      <x:c r="D1727" s="2" t="str">
        <x:v>DEMO-404</x:v>
      </x:c>
      <x:c r="E1727" s="2" t="str">
        <x:v>Woven Lanyard</x:v>
      </x:c>
      <x:c r="F1727" s="2" t="str">
        <x:v>Accessories</x:v>
      </x:c>
      <x:c r="G1727" s="2" t="str">
        <x:v>Stores</x:v>
      </x:c>
      <x:c r="H1727" s="2" t="str">
        <x:v>Central Market</x:v>
      </x:c>
      <x:c r="I1727" s="2" t="n">
        <x:v>9</x:v>
      </x:c>
      <x:c r="J1727" s="2" t="n">
        <x:v>0</x:v>
      </x:c>
      <x:c r="K1727" s="2" t="n">
        <x:f>I1727-J1727</x:f>
        <x:v>9</x:v>
      </x:c>
      <x:c r="L1727" s="16" t="n">
        <x:v>22</x:v>
      </x:c>
      <x:c r="M1727" s="16" t="n">
        <x:v>22</x:v>
      </x:c>
      <x:c r="N1727" s="16" t="n">
        <x:v>9.57</x:v>
      </x:c>
      <x:c r="O1727" s="16" t="n">
        <x:f>K1727*M1727</x:f>
        <x:v>198</x:v>
      </x:c>
      <x:c r="P1727" s="16" t="n">
        <x:f>K1727*N1727</x:f>
        <x:v>86.13</x:v>
      </x:c>
      <x:c r="Q1727" s="16" t="n">
        <x:f>O1727-P1727</x:f>
        <x:v>111.87</x:v>
      </x:c>
      <x:c r="R1727" s="2" t="n">
        <x:v>120</x:v>
      </x:c>
      <x:c r="S1727" s="2" t="n">
        <x:v>0</x:v>
      </x:c>
      <x:c r="T1727" s="2" t="n">
        <x:f>R1727+S1727+J1727-I1727</x:f>
        <x:v>111</x:v>
      </x:c>
      <x:c r="U1727" s="2" t="n">
        <x:v>0</x:v>
      </x:c>
      <x:c r="V1727" s="2" t="n">
        <x:v>2</x:v>
      </x:c>
      <x:c r="W1727" s="2" t="n">
        <x:v>8</x:v>
      </x:c>
      <x:c r="X1727" s="14" t="b">
        <x:v>0</x:v>
      </x:c>
      <x:c r="Y1727" s="14" t="b">
        <x:v>0</x:v>
      </x:c>
      <x:c r="Z1727" s="2" t="n">
        <x:f>ABS(T1727-AA1727)</x:f>
        <x:v>0</x:v>
      </x:c>
      <x:c r="AA1727" s="2" t="n">
        <x:v>111</x:v>
      </x:c>
      <x:c r="AB1727" s="2" t="n">
        <x:f>ABS(K1727-W1727)</x:f>
        <x:v>1</x:v>
      </x:c>
      <x:c r="AC1727" s="2" t="n">
        <x:f>COUNTIF($A$2:$A$1921,A1727)-1</x:f>
        <x:v>0</x:v>
      </x:c>
      <x:c r="AD1727" s="2" t="n">
        <x:f>IF(AND(D1727=D1726,H1727=H1726,C1727=C1726+1),ABS(R1727-T1726),0)</x:f>
        <x:v>0</x:v>
      </x:c>
    </x:row>
    <x:row r="1728" ht="23" customHeight="1">
      <x:c r="A1728" s="2" t="str">
        <x:v>DEMO-404-2-7</x:v>
      </x:c>
      <x:c r="B1728" s="15" t="d">
        <x:v>2026-06-15T00:00:00.000Z</x:v>
      </x:c>
      <x:c r="C1728" s="2" t="n">
        <x:v>7</x:v>
      </x:c>
      <x:c r="D1728" s="2" t="str">
        <x:v>DEMO-404</x:v>
      </x:c>
      <x:c r="E1728" s="2" t="str">
        <x:v>Woven Lanyard</x:v>
      </x:c>
      <x:c r="F1728" s="2" t="str">
        <x:v>Accessories</x:v>
      </x:c>
      <x:c r="G1728" s="2" t="str">
        <x:v>Stores</x:v>
      </x:c>
      <x:c r="H1728" s="2" t="str">
        <x:v>Central Market</x:v>
      </x:c>
      <x:c r="I1728" s="2" t="n">
        <x:v>8</x:v>
      </x:c>
      <x:c r="J1728" s="2" t="n">
        <x:v>0</x:v>
      </x:c>
      <x:c r="K1728" s="2" t="n">
        <x:f>I1728-J1728</x:f>
        <x:v>8</x:v>
      </x:c>
      <x:c r="L1728" s="16" t="n">
        <x:v>22</x:v>
      </x:c>
      <x:c r="M1728" s="16" t="n">
        <x:v>22</x:v>
      </x:c>
      <x:c r="N1728" s="16" t="n">
        <x:v>9.57</x:v>
      </x:c>
      <x:c r="O1728" s="16" t="n">
        <x:f>K1728*M1728</x:f>
        <x:v>176</x:v>
      </x:c>
      <x:c r="P1728" s="16" t="n">
        <x:f>K1728*N1728</x:f>
        <x:v>76.56</x:v>
      </x:c>
      <x:c r="Q1728" s="16" t="n">
        <x:f>O1728-P1728</x:f>
        <x:v>99.44</x:v>
      </x:c>
      <x:c r="R1728" s="2" t="n">
        <x:v>111</x:v>
      </x:c>
      <x:c r="S1728" s="2" t="n">
        <x:v>0</x:v>
      </x:c>
      <x:c r="T1728" s="2" t="n">
        <x:f>R1728+S1728+J1728-I1728</x:f>
        <x:v>103</x:v>
      </x:c>
      <x:c r="U1728" s="2" t="n">
        <x:v>0</x:v>
      </x:c>
      <x:c r="V1728" s="2" t="n">
        <x:v>2</x:v>
      </x:c>
      <x:c r="W1728" s="2" t="n">
        <x:v>8</x:v>
      </x:c>
      <x:c r="X1728" s="14" t="b">
        <x:v>0</x:v>
      </x:c>
      <x:c r="Y1728" s="14" t="b">
        <x:v>0</x:v>
      </x:c>
      <x:c r="Z1728" s="2" t="n">
        <x:f>ABS(T1728-AA1728)</x:f>
        <x:v>0</x:v>
      </x:c>
      <x:c r="AA1728" s="2" t="n">
        <x:v>103</x:v>
      </x:c>
      <x:c r="AB1728" s="2" t="n">
        <x:f>ABS(K1728-W1728)</x:f>
        <x:v>0</x:v>
      </x:c>
      <x:c r="AC1728" s="2" t="n">
        <x:f>COUNTIF($A$2:$A$1921,A1728)-1</x:f>
        <x:v>0</x:v>
      </x:c>
      <x:c r="AD1728" s="2" t="n">
        <x:f>IF(AND(D1728=D1727,H1728=H1727,C1728=C1727+1),ABS(R1728-T1727),0)</x:f>
        <x:v>0</x:v>
      </x:c>
    </x:row>
    <x:row r="1729" ht="23" customHeight="1">
      <x:c r="A1729" s="2" t="str">
        <x:v>DEMO-404-2-8</x:v>
      </x:c>
      <x:c r="B1729" s="15" t="d">
        <x:v>2026-06-22T00:00:00.000Z</x:v>
      </x:c>
      <x:c r="C1729" s="2" t="n">
        <x:v>8</x:v>
      </x:c>
      <x:c r="D1729" s="2" t="str">
        <x:v>DEMO-404</x:v>
      </x:c>
      <x:c r="E1729" s="2" t="str">
        <x:v>Woven Lanyard</x:v>
      </x:c>
      <x:c r="F1729" s="2" t="str">
        <x:v>Accessories</x:v>
      </x:c>
      <x:c r="G1729" s="2" t="str">
        <x:v>Stores</x:v>
      </x:c>
      <x:c r="H1729" s="2" t="str">
        <x:v>Central Market</x:v>
      </x:c>
      <x:c r="I1729" s="2" t="n">
        <x:v>8</x:v>
      </x:c>
      <x:c r="J1729" s="2" t="n">
        <x:v>0</x:v>
      </x:c>
      <x:c r="K1729" s="2" t="n">
        <x:f>I1729-J1729</x:f>
        <x:v>8</x:v>
      </x:c>
      <x:c r="L1729" s="16" t="n">
        <x:v>22</x:v>
      </x:c>
      <x:c r="M1729" s="16" t="n">
        <x:v>22</x:v>
      </x:c>
      <x:c r="N1729" s="16" t="n">
        <x:v>9.57</x:v>
      </x:c>
      <x:c r="O1729" s="16" t="n">
        <x:f>K1729*M1729</x:f>
        <x:v>176</x:v>
      </x:c>
      <x:c r="P1729" s="16" t="n">
        <x:f>K1729*N1729</x:f>
        <x:v>76.56</x:v>
      </x:c>
      <x:c r="Q1729" s="16" t="n">
        <x:f>O1729-P1729</x:f>
        <x:v>99.44</x:v>
      </x:c>
      <x:c r="R1729" s="2" t="n">
        <x:v>103</x:v>
      </x:c>
      <x:c r="S1729" s="2" t="n">
        <x:v>0</x:v>
      </x:c>
      <x:c r="T1729" s="2" t="n">
        <x:f>R1729+S1729+J1729-I1729</x:f>
        <x:v>95</x:v>
      </x:c>
      <x:c r="U1729" s="2" t="n">
        <x:v>0</x:v>
      </x:c>
      <x:c r="V1729" s="2" t="n">
        <x:v>2</x:v>
      </x:c>
      <x:c r="W1729" s="2" t="n">
        <x:v>8</x:v>
      </x:c>
      <x:c r="X1729" s="14" t="b">
        <x:v>0</x:v>
      </x:c>
      <x:c r="Y1729" s="14" t="b">
        <x:v>0</x:v>
      </x:c>
      <x:c r="Z1729" s="2" t="n">
        <x:f>ABS(T1729-AA1729)</x:f>
        <x:v>0</x:v>
      </x:c>
      <x:c r="AA1729" s="2" t="n">
        <x:v>95</x:v>
      </x:c>
      <x:c r="AB1729" s="2" t="n">
        <x:f>ABS(K1729-W1729)</x:f>
        <x:v>0</x:v>
      </x:c>
      <x:c r="AC1729" s="2" t="n">
        <x:f>COUNTIF($A$2:$A$1921,A1729)-1</x:f>
        <x:v>0</x:v>
      </x:c>
      <x:c r="AD1729" s="2" t="n">
        <x:f>IF(AND(D1729=D1728,H1729=H1728,C1729=C1728+1),ABS(R1729-T1728),0)</x:f>
        <x:v>0</x:v>
      </x:c>
    </x:row>
    <x:row r="1730" ht="23" customHeight="1">
      <x:c r="A1730" s="2" t="str">
        <x:v>DEMO-404-2-9</x:v>
      </x:c>
      <x:c r="B1730" s="15" t="d">
        <x:v>2026-06-29T00:00:00.000Z</x:v>
      </x:c>
      <x:c r="C1730" s="2" t="n">
        <x:v>9</x:v>
      </x:c>
      <x:c r="D1730" s="2" t="str">
        <x:v>DEMO-404</x:v>
      </x:c>
      <x:c r="E1730" s="2" t="str">
        <x:v>Woven Lanyard</x:v>
      </x:c>
      <x:c r="F1730" s="2" t="str">
        <x:v>Accessories</x:v>
      </x:c>
      <x:c r="G1730" s="2" t="str">
        <x:v>Stores</x:v>
      </x:c>
      <x:c r="H1730" s="2" t="str">
        <x:v>Central Market</x:v>
      </x:c>
      <x:c r="I1730" s="2" t="n">
        <x:v>8</x:v>
      </x:c>
      <x:c r="J1730" s="2" t="n">
        <x:v>0</x:v>
      </x:c>
      <x:c r="K1730" s="2" t="n">
        <x:f>I1730-J1730</x:f>
        <x:v>8</x:v>
      </x:c>
      <x:c r="L1730" s="16" t="n">
        <x:v>22</x:v>
      </x:c>
      <x:c r="M1730" s="16" t="n">
        <x:v>22</x:v>
      </x:c>
      <x:c r="N1730" s="16" t="n">
        <x:v>9.57</x:v>
      </x:c>
      <x:c r="O1730" s="16" t="n">
        <x:f>K1730*M1730</x:f>
        <x:v>176</x:v>
      </x:c>
      <x:c r="P1730" s="16" t="n">
        <x:f>K1730*N1730</x:f>
        <x:v>76.56</x:v>
      </x:c>
      <x:c r="Q1730" s="16" t="n">
        <x:f>O1730-P1730</x:f>
        <x:v>99.44</x:v>
      </x:c>
      <x:c r="R1730" s="2" t="n">
        <x:v>95</x:v>
      </x:c>
      <x:c r="S1730" s="2" t="n">
        <x:v>34</x:v>
      </x:c>
      <x:c r="T1730" s="2" t="n">
        <x:f>R1730+S1730+J1730-I1730</x:f>
        <x:v>121</x:v>
      </x:c>
      <x:c r="U1730" s="2" t="n">
        <x:v>0</x:v>
      </x:c>
      <x:c r="V1730" s="2" t="n">
        <x:v>2</x:v>
      </x:c>
      <x:c r="W1730" s="2" t="n">
        <x:v>9</x:v>
      </x:c>
      <x:c r="X1730" s="14" t="b">
        <x:v>0</x:v>
      </x:c>
      <x:c r="Y1730" s="14" t="b">
        <x:v>0</x:v>
      </x:c>
      <x:c r="Z1730" s="2" t="n">
        <x:f>ABS(T1730-AA1730)</x:f>
        <x:v>0</x:v>
      </x:c>
      <x:c r="AA1730" s="2" t="n">
        <x:v>121</x:v>
      </x:c>
      <x:c r="AB1730" s="2" t="n">
        <x:f>ABS(K1730-W1730)</x:f>
        <x:v>1</x:v>
      </x:c>
      <x:c r="AC1730" s="2" t="n">
        <x:f>COUNTIF($A$2:$A$1921,A1730)-1</x:f>
        <x:v>0</x:v>
      </x:c>
      <x:c r="AD1730" s="2" t="n">
        <x:f>IF(AND(D1730=D1729,H1730=H1729,C1730=C1729+1),ABS(R1730-T1729),0)</x:f>
        <x:v>0</x:v>
      </x:c>
    </x:row>
    <x:row r="1731" ht="23" customHeight="1">
      <x:c r="A1731" s="2" t="str">
        <x:v>DEMO-404-2-10</x:v>
      </x:c>
      <x:c r="B1731" s="15" t="d">
        <x:v>2026-07-06T00:00:00.000Z</x:v>
      </x:c>
      <x:c r="C1731" s="2" t="n">
        <x:v>10</x:v>
      </x:c>
      <x:c r="D1731" s="2" t="str">
        <x:v>DEMO-404</x:v>
      </x:c>
      <x:c r="E1731" s="2" t="str">
        <x:v>Woven Lanyard</x:v>
      </x:c>
      <x:c r="F1731" s="2" t="str">
        <x:v>Accessories</x:v>
      </x:c>
      <x:c r="G1731" s="2" t="str">
        <x:v>Stores</x:v>
      </x:c>
      <x:c r="H1731" s="2" t="str">
        <x:v>Central Market</x:v>
      </x:c>
      <x:c r="I1731" s="2" t="n">
        <x:v>7</x:v>
      </x:c>
      <x:c r="J1731" s="2" t="n">
        <x:v>0</x:v>
      </x:c>
      <x:c r="K1731" s="2" t="n">
        <x:f>I1731-J1731</x:f>
        <x:v>7</x:v>
      </x:c>
      <x:c r="L1731" s="16" t="n">
        <x:v>22</x:v>
      </x:c>
      <x:c r="M1731" s="16" t="n">
        <x:v>22</x:v>
      </x:c>
      <x:c r="N1731" s="16" t="n">
        <x:v>9.57</x:v>
      </x:c>
      <x:c r="O1731" s="16" t="n">
        <x:f>K1731*M1731</x:f>
        <x:v>154</x:v>
      </x:c>
      <x:c r="P1731" s="16" t="n">
        <x:f>K1731*N1731</x:f>
        <x:v>66.99000000000001</x:v>
      </x:c>
      <x:c r="Q1731" s="16" t="n">
        <x:f>O1731-P1731</x:f>
        <x:v>87.00999999999999</x:v>
      </x:c>
      <x:c r="R1731" s="2" t="n">
        <x:v>121</x:v>
      </x:c>
      <x:c r="S1731" s="2" t="n">
        <x:v>0</x:v>
      </x:c>
      <x:c r="T1731" s="2" t="n">
        <x:f>R1731+S1731+J1731-I1731</x:f>
        <x:v>114</x:v>
      </x:c>
      <x:c r="U1731" s="2" t="n">
        <x:v>0</x:v>
      </x:c>
      <x:c r="V1731" s="2" t="n">
        <x:v>2</x:v>
      </x:c>
      <x:c r="W1731" s="2" t="n">
        <x:v>8</x:v>
      </x:c>
      <x:c r="X1731" s="14" t="b">
        <x:v>0</x:v>
      </x:c>
      <x:c r="Y1731" s="14" t="b">
        <x:v>0</x:v>
      </x:c>
      <x:c r="Z1731" s="2" t="n">
        <x:f>ABS(T1731-AA1731)</x:f>
        <x:v>0</x:v>
      </x:c>
      <x:c r="AA1731" s="2" t="n">
        <x:v>114</x:v>
      </x:c>
      <x:c r="AB1731" s="2" t="n">
        <x:f>ABS(K1731-W1731)</x:f>
        <x:v>1</x:v>
      </x:c>
      <x:c r="AC1731" s="2" t="n">
        <x:f>COUNTIF($A$2:$A$1921,A1731)-1</x:f>
        <x:v>0</x:v>
      </x:c>
      <x:c r="AD1731" s="2" t="n">
        <x:f>IF(AND(D1731=D1730,H1731=H1730,C1731=C1730+1),ABS(R1731-T1730),0)</x:f>
        <x:v>0</x:v>
      </x:c>
    </x:row>
    <x:row r="1732" ht="23" customHeight="1">
      <x:c r="A1732" s="2" t="str">
        <x:v>DEMO-404-2-11</x:v>
      </x:c>
      <x:c r="B1732" s="15" t="d">
        <x:v>2026-07-13T00:00:00.000Z</x:v>
      </x:c>
      <x:c r="C1732" s="2" t="n">
        <x:v>11</x:v>
      </x:c>
      <x:c r="D1732" s="2" t="str">
        <x:v>DEMO-404</x:v>
      </x:c>
      <x:c r="E1732" s="2" t="str">
        <x:v>Woven Lanyard</x:v>
      </x:c>
      <x:c r="F1732" s="2" t="str">
        <x:v>Accessories</x:v>
      </x:c>
      <x:c r="G1732" s="2" t="str">
        <x:v>Stores</x:v>
      </x:c>
      <x:c r="H1732" s="2" t="str">
        <x:v>Central Market</x:v>
      </x:c>
      <x:c r="I1732" s="2" t="n">
        <x:v>9</x:v>
      </x:c>
      <x:c r="J1732" s="2" t="n">
        <x:v>0</x:v>
      </x:c>
      <x:c r="K1732" s="2" t="n">
        <x:f>I1732-J1732</x:f>
        <x:v>9</x:v>
      </x:c>
      <x:c r="L1732" s="16" t="n">
        <x:v>22</x:v>
      </x:c>
      <x:c r="M1732" s="16" t="n">
        <x:v>22</x:v>
      </x:c>
      <x:c r="N1732" s="16" t="n">
        <x:v>9.57</x:v>
      </x:c>
      <x:c r="O1732" s="16" t="n">
        <x:f>K1732*M1732</x:f>
        <x:v>198</x:v>
      </x:c>
      <x:c r="P1732" s="16" t="n">
        <x:f>K1732*N1732</x:f>
        <x:v>86.13</x:v>
      </x:c>
      <x:c r="Q1732" s="16" t="n">
        <x:f>O1732-P1732</x:f>
        <x:v>111.87</x:v>
      </x:c>
      <x:c r="R1732" s="2" t="n">
        <x:v>114</x:v>
      </x:c>
      <x:c r="S1732" s="2" t="n">
        <x:v>0</x:v>
      </x:c>
      <x:c r="T1732" s="2" t="n">
        <x:f>R1732+S1732+J1732-I1732</x:f>
        <x:v>105</x:v>
      </x:c>
      <x:c r="U1732" s="2" t="n">
        <x:v>0</x:v>
      </x:c>
      <x:c r="V1732" s="2" t="n">
        <x:v>2</x:v>
      </x:c>
      <x:c r="W1732" s="2" t="n">
        <x:v>8</x:v>
      </x:c>
      <x:c r="X1732" s="14" t="b">
        <x:v>0</x:v>
      </x:c>
      <x:c r="Y1732" s="14" t="b">
        <x:v>0</x:v>
      </x:c>
      <x:c r="Z1732" s="2" t="n">
        <x:f>ABS(T1732-AA1732)</x:f>
        <x:v>0</x:v>
      </x:c>
      <x:c r="AA1732" s="2" t="n">
        <x:v>105</x:v>
      </x:c>
      <x:c r="AB1732" s="2" t="n">
        <x:f>ABS(K1732-W1732)</x:f>
        <x:v>1</x:v>
      </x:c>
      <x:c r="AC1732" s="2" t="n">
        <x:f>COUNTIF($A$2:$A$1921,A1732)-1</x:f>
        <x:v>0</x:v>
      </x:c>
      <x:c r="AD1732" s="2" t="n">
        <x:f>IF(AND(D1732=D1731,H1732=H1731,C1732=C1731+1),ABS(R1732-T1731),0)</x:f>
        <x:v>0</x:v>
      </x:c>
    </x:row>
    <x:row r="1733" ht="23" customHeight="1">
      <x:c r="A1733" s="2" t="str">
        <x:v>DEMO-404-2-12</x:v>
      </x:c>
      <x:c r="B1733" s="15" t="d">
        <x:v>2026-07-20T00:00:00.000Z</x:v>
      </x:c>
      <x:c r="C1733" s="2" t="n">
        <x:v>12</x:v>
      </x:c>
      <x:c r="D1733" s="2" t="str">
        <x:v>DEMO-404</x:v>
      </x:c>
      <x:c r="E1733" s="2" t="str">
        <x:v>Woven Lanyard</x:v>
      </x:c>
      <x:c r="F1733" s="2" t="str">
        <x:v>Accessories</x:v>
      </x:c>
      <x:c r="G1733" s="2" t="str">
        <x:v>Stores</x:v>
      </x:c>
      <x:c r="H1733" s="2" t="str">
        <x:v>Central Market</x:v>
      </x:c>
      <x:c r="I1733" s="2" t="n">
        <x:v>8</x:v>
      </x:c>
      <x:c r="J1733" s="2" t="n">
        <x:v>0</x:v>
      </x:c>
      <x:c r="K1733" s="2" t="n">
        <x:f>I1733-J1733</x:f>
        <x:v>8</x:v>
      </x:c>
      <x:c r="L1733" s="16" t="n">
        <x:v>22</x:v>
      </x:c>
      <x:c r="M1733" s="16" t="n">
        <x:v>22</x:v>
      </x:c>
      <x:c r="N1733" s="16" t="n">
        <x:v>9.57</x:v>
      </x:c>
      <x:c r="O1733" s="16" t="n">
        <x:f>K1733*M1733</x:f>
        <x:v>176</x:v>
      </x:c>
      <x:c r="P1733" s="16" t="n">
        <x:f>K1733*N1733</x:f>
        <x:v>76.56</x:v>
      </x:c>
      <x:c r="Q1733" s="16" t="n">
        <x:f>O1733-P1733</x:f>
        <x:v>99.44</x:v>
      </x:c>
      <x:c r="R1733" s="2" t="n">
        <x:v>105</x:v>
      </x:c>
      <x:c r="S1733" s="2" t="n">
        <x:v>0</x:v>
      </x:c>
      <x:c r="T1733" s="2" t="n">
        <x:f>R1733+S1733+J1733-I1733</x:f>
        <x:v>97</x:v>
      </x:c>
      <x:c r="U1733" s="2" t="n">
        <x:v>0</x:v>
      </x:c>
      <x:c r="V1733" s="2" t="n">
        <x:v>2</x:v>
      </x:c>
      <x:c r="W1733" s="2" t="n">
        <x:v>8</x:v>
      </x:c>
      <x:c r="X1733" s="14" t="b">
        <x:v>0</x:v>
      </x:c>
      <x:c r="Y1733" s="14" t="b">
        <x:v>0</x:v>
      </x:c>
      <x:c r="Z1733" s="2" t="n">
        <x:f>ABS(T1733-AA1733)</x:f>
        <x:v>0</x:v>
      </x:c>
      <x:c r="AA1733" s="2" t="n">
        <x:v>97</x:v>
      </x:c>
      <x:c r="AB1733" s="2" t="n">
        <x:f>ABS(K1733-W1733)</x:f>
        <x:v>0</x:v>
      </x:c>
      <x:c r="AC1733" s="2" t="n">
        <x:f>COUNTIF($A$2:$A$1921,A1733)-1</x:f>
        <x:v>0</x:v>
      </x:c>
      <x:c r="AD1733" s="2" t="n">
        <x:f>IF(AND(D1733=D1732,H1733=H1732,C1733=C1732+1),ABS(R1733-T1732),0)</x:f>
        <x:v>0</x:v>
      </x:c>
    </x:row>
    <x:row r="1734" ht="23" customHeight="1">
      <x:c r="A1734" s="2" t="str">
        <x:v>DEMO-404-2-13</x:v>
      </x:c>
      <x:c r="B1734" s="15" t="d">
        <x:v>2026-07-27T00:00:00.000Z</x:v>
      </x:c>
      <x:c r="C1734" s="2" t="n">
        <x:v>13</x:v>
      </x:c>
      <x:c r="D1734" s="2" t="str">
        <x:v>DEMO-404</x:v>
      </x:c>
      <x:c r="E1734" s="2" t="str">
        <x:v>Woven Lanyard</x:v>
      </x:c>
      <x:c r="F1734" s="2" t="str">
        <x:v>Accessories</x:v>
      </x:c>
      <x:c r="G1734" s="2" t="str">
        <x:v>Stores</x:v>
      </x:c>
      <x:c r="H1734" s="2" t="str">
        <x:v>Central Market</x:v>
      </x:c>
      <x:c r="I1734" s="2" t="n">
        <x:v>7</x:v>
      </x:c>
      <x:c r="J1734" s="2" t="n">
        <x:v>1</x:v>
      </x:c>
      <x:c r="K1734" s="2" t="n">
        <x:f>I1734-J1734</x:f>
        <x:v>6</x:v>
      </x:c>
      <x:c r="L1734" s="16" t="n">
        <x:v>22</x:v>
      </x:c>
      <x:c r="M1734" s="16" t="n">
        <x:v>22</x:v>
      </x:c>
      <x:c r="N1734" s="16" t="n">
        <x:v>9.57</x:v>
      </x:c>
      <x:c r="O1734" s="16" t="n">
        <x:f>K1734*M1734</x:f>
        <x:v>132</x:v>
      </x:c>
      <x:c r="P1734" s="16" t="n">
        <x:f>K1734*N1734</x:f>
        <x:v>57.42</x:v>
      </x:c>
      <x:c r="Q1734" s="16" t="n">
        <x:f>O1734-P1734</x:f>
        <x:v>74.58</x:v>
      </x:c>
      <x:c r="R1734" s="2" t="n">
        <x:v>97</x:v>
      </x:c>
      <x:c r="S1734" s="2" t="n">
        <x:v>34</x:v>
      </x:c>
      <x:c r="T1734" s="2" t="n">
        <x:f>R1734+S1734+J1734-I1734</x:f>
        <x:v>125</x:v>
      </x:c>
      <x:c r="U1734" s="2" t="n">
        <x:v>0</x:v>
      </x:c>
      <x:c r="V1734" s="2" t="n">
        <x:v>2</x:v>
      </x:c>
      <x:c r="W1734" s="2" t="n">
        <x:v>8</x:v>
      </x:c>
      <x:c r="X1734" s="14" t="b">
        <x:v>0</x:v>
      </x:c>
      <x:c r="Y1734" s="14" t="b">
        <x:v>0</x:v>
      </x:c>
      <x:c r="Z1734" s="2" t="n">
        <x:f>ABS(T1734-AA1734)</x:f>
        <x:v>0</x:v>
      </x:c>
      <x:c r="AA1734" s="2" t="n">
        <x:v>125</x:v>
      </x:c>
      <x:c r="AB1734" s="2" t="n">
        <x:f>ABS(K1734-W1734)</x:f>
        <x:v>2</x:v>
      </x:c>
      <x:c r="AC1734" s="2" t="n">
        <x:f>COUNTIF($A$2:$A$1921,A1734)-1</x:f>
        <x:v>0</x:v>
      </x:c>
      <x:c r="AD1734" s="2" t="n">
        <x:f>IF(AND(D1734=D1733,H1734=H1733,C1734=C1733+1),ABS(R1734-T1733),0)</x:f>
        <x:v>0</x:v>
      </x:c>
    </x:row>
    <x:row r="1735" ht="23" customHeight="1">
      <x:c r="A1735" s="2" t="str">
        <x:v>DEMO-404-2-14</x:v>
      </x:c>
      <x:c r="B1735" s="15" t="d">
        <x:v>2026-08-03T00:00:00.000Z</x:v>
      </x:c>
      <x:c r="C1735" s="2" t="n">
        <x:v>14</x:v>
      </x:c>
      <x:c r="D1735" s="2" t="str">
        <x:v>DEMO-404</x:v>
      </x:c>
      <x:c r="E1735" s="2" t="str">
        <x:v>Woven Lanyard</x:v>
      </x:c>
      <x:c r="F1735" s="2" t="str">
        <x:v>Accessories</x:v>
      </x:c>
      <x:c r="G1735" s="2" t="str">
        <x:v>Stores</x:v>
      </x:c>
      <x:c r="H1735" s="2" t="str">
        <x:v>Central Market</x:v>
      </x:c>
      <x:c r="I1735" s="2" t="n">
        <x:v>8</x:v>
      </x:c>
      <x:c r="J1735" s="2" t="n">
        <x:v>0</x:v>
      </x:c>
      <x:c r="K1735" s="2" t="n">
        <x:f>I1735-J1735</x:f>
        <x:v>8</x:v>
      </x:c>
      <x:c r="L1735" s="16" t="n">
        <x:v>22</x:v>
      </x:c>
      <x:c r="M1735" s="16" t="n">
        <x:v>22</x:v>
      </x:c>
      <x:c r="N1735" s="16" t="n">
        <x:v>9.57</x:v>
      </x:c>
      <x:c r="O1735" s="16" t="n">
        <x:f>K1735*M1735</x:f>
        <x:v>176</x:v>
      </x:c>
      <x:c r="P1735" s="16" t="n">
        <x:f>K1735*N1735</x:f>
        <x:v>76.56</x:v>
      </x:c>
      <x:c r="Q1735" s="16" t="n">
        <x:f>O1735-P1735</x:f>
        <x:v>99.44</x:v>
      </x:c>
      <x:c r="R1735" s="2" t="n">
        <x:v>125</x:v>
      </x:c>
      <x:c r="S1735" s="2" t="n">
        <x:v>0</x:v>
      </x:c>
      <x:c r="T1735" s="2" t="n">
        <x:f>R1735+S1735+J1735-I1735</x:f>
        <x:v>117</x:v>
      </x:c>
      <x:c r="U1735" s="2" t="n">
        <x:v>0</x:v>
      </x:c>
      <x:c r="V1735" s="2" t="n">
        <x:v>2</x:v>
      </x:c>
      <x:c r="W1735" s="2" t="n">
        <x:v>8</x:v>
      </x:c>
      <x:c r="X1735" s="14" t="b">
        <x:v>0</x:v>
      </x:c>
      <x:c r="Y1735" s="14" t="b">
        <x:v>0</x:v>
      </x:c>
      <x:c r="Z1735" s="2" t="n">
        <x:f>ABS(T1735-AA1735)</x:f>
        <x:v>0</x:v>
      </x:c>
      <x:c r="AA1735" s="2" t="n">
        <x:v>117</x:v>
      </x:c>
      <x:c r="AB1735" s="2" t="n">
        <x:f>ABS(K1735-W1735)</x:f>
        <x:v>0</x:v>
      </x:c>
      <x:c r="AC1735" s="2" t="n">
        <x:f>COUNTIF($A$2:$A$1921,A1735)-1</x:f>
        <x:v>0</x:v>
      </x:c>
      <x:c r="AD1735" s="2" t="n">
        <x:f>IF(AND(D1735=D1734,H1735=H1734,C1735=C1734+1),ABS(R1735-T1734),0)</x:f>
        <x:v>0</x:v>
      </x:c>
    </x:row>
    <x:row r="1736" ht="23" customHeight="1">
      <x:c r="A1736" s="2" t="str">
        <x:v>DEMO-404-2-15</x:v>
      </x:c>
      <x:c r="B1736" s="15" t="d">
        <x:v>2026-08-10T00:00:00.000Z</x:v>
      </x:c>
      <x:c r="C1736" s="2" t="n">
        <x:v>15</x:v>
      </x:c>
      <x:c r="D1736" s="2" t="str">
        <x:v>DEMO-404</x:v>
      </x:c>
      <x:c r="E1736" s="2" t="str">
        <x:v>Woven Lanyard</x:v>
      </x:c>
      <x:c r="F1736" s="2" t="str">
        <x:v>Accessories</x:v>
      </x:c>
      <x:c r="G1736" s="2" t="str">
        <x:v>Stores</x:v>
      </x:c>
      <x:c r="H1736" s="2" t="str">
        <x:v>Central Market</x:v>
      </x:c>
      <x:c r="I1736" s="2" t="n">
        <x:v>9</x:v>
      </x:c>
      <x:c r="J1736" s="2" t="n">
        <x:v>0</x:v>
      </x:c>
      <x:c r="K1736" s="2" t="n">
        <x:f>I1736-J1736</x:f>
        <x:v>9</x:v>
      </x:c>
      <x:c r="L1736" s="16" t="n">
        <x:v>22</x:v>
      </x:c>
      <x:c r="M1736" s="16" t="n">
        <x:v>22</x:v>
      </x:c>
      <x:c r="N1736" s="16" t="n">
        <x:v>9.57</x:v>
      </x:c>
      <x:c r="O1736" s="16" t="n">
        <x:f>K1736*M1736</x:f>
        <x:v>198</x:v>
      </x:c>
      <x:c r="P1736" s="16" t="n">
        <x:f>K1736*N1736</x:f>
        <x:v>86.13</x:v>
      </x:c>
      <x:c r="Q1736" s="16" t="n">
        <x:f>O1736-P1736</x:f>
        <x:v>111.87</x:v>
      </x:c>
      <x:c r="R1736" s="2" t="n">
        <x:v>117</x:v>
      </x:c>
      <x:c r="S1736" s="2" t="n">
        <x:v>0</x:v>
      </x:c>
      <x:c r="T1736" s="2" t="n">
        <x:f>R1736+S1736+J1736-I1736</x:f>
        <x:v>108</x:v>
      </x:c>
      <x:c r="U1736" s="2" t="n">
        <x:v>0</x:v>
      </x:c>
      <x:c r="V1736" s="2" t="n">
        <x:v>2</x:v>
      </x:c>
      <x:c r="W1736" s="2" t="n">
        <x:v>8</x:v>
      </x:c>
      <x:c r="X1736" s="14" t="b">
        <x:v>0</x:v>
      </x:c>
      <x:c r="Y1736" s="14" t="b">
        <x:v>0</x:v>
      </x:c>
      <x:c r="Z1736" s="2" t="n">
        <x:f>ABS(T1736-AA1736)</x:f>
        <x:v>0</x:v>
      </x:c>
      <x:c r="AA1736" s="2" t="n">
        <x:v>108</x:v>
      </x:c>
      <x:c r="AB1736" s="2" t="n">
        <x:f>ABS(K1736-W1736)</x:f>
        <x:v>1</x:v>
      </x:c>
      <x:c r="AC1736" s="2" t="n">
        <x:f>COUNTIF($A$2:$A$1921,A1736)-1</x:f>
        <x:v>0</x:v>
      </x:c>
      <x:c r="AD1736" s="2" t="n">
        <x:f>IF(AND(D1736=D1735,H1736=H1735,C1736=C1735+1),ABS(R1736-T1735),0)</x:f>
        <x:v>0</x:v>
      </x:c>
    </x:row>
    <x:row r="1737" ht="23" customHeight="1">
      <x:c r="A1737" s="2" t="str">
        <x:v>DEMO-404-2-16</x:v>
      </x:c>
      <x:c r="B1737" s="15" t="d">
        <x:v>2026-08-17T00:00:00.000Z</x:v>
      </x:c>
      <x:c r="C1737" s="2" t="n">
        <x:v>16</x:v>
      </x:c>
      <x:c r="D1737" s="2" t="str">
        <x:v>DEMO-404</x:v>
      </x:c>
      <x:c r="E1737" s="2" t="str">
        <x:v>Woven Lanyard</x:v>
      </x:c>
      <x:c r="F1737" s="2" t="str">
        <x:v>Accessories</x:v>
      </x:c>
      <x:c r="G1737" s="2" t="str">
        <x:v>Stores</x:v>
      </x:c>
      <x:c r="H1737" s="2" t="str">
        <x:v>Central Market</x:v>
      </x:c>
      <x:c r="I1737" s="2" t="n">
        <x:v>8</x:v>
      </x:c>
      <x:c r="J1737" s="2" t="n">
        <x:v>0</x:v>
      </x:c>
      <x:c r="K1737" s="2" t="n">
        <x:f>I1737-J1737</x:f>
        <x:v>8</x:v>
      </x:c>
      <x:c r="L1737" s="16" t="n">
        <x:v>22</x:v>
      </x:c>
      <x:c r="M1737" s="16" t="n">
        <x:v>22</x:v>
      </x:c>
      <x:c r="N1737" s="16" t="n">
        <x:v>9.57</x:v>
      </x:c>
      <x:c r="O1737" s="16" t="n">
        <x:f>K1737*M1737</x:f>
        <x:v>176</x:v>
      </x:c>
      <x:c r="P1737" s="16" t="n">
        <x:f>K1737*N1737</x:f>
        <x:v>76.56</x:v>
      </x:c>
      <x:c r="Q1737" s="16" t="n">
        <x:f>O1737-P1737</x:f>
        <x:v>99.44</x:v>
      </x:c>
      <x:c r="R1737" s="2" t="n">
        <x:v>108</x:v>
      </x:c>
      <x:c r="S1737" s="2" t="n">
        <x:v>0</x:v>
      </x:c>
      <x:c r="T1737" s="2" t="n">
        <x:f>R1737+S1737+J1737-I1737</x:f>
        <x:v>100</x:v>
      </x:c>
      <x:c r="U1737" s="2" t="n">
        <x:v>0</x:v>
      </x:c>
      <x:c r="V1737" s="2" t="n">
        <x:v>2</x:v>
      </x:c>
      <x:c r="W1737" s="2" t="n">
        <x:v>8</x:v>
      </x:c>
      <x:c r="X1737" s="14" t="b">
        <x:v>0</x:v>
      </x:c>
      <x:c r="Y1737" s="14" t="b">
        <x:v>0</x:v>
      </x:c>
      <x:c r="Z1737" s="2" t="n">
        <x:f>ABS(T1737-AA1737)</x:f>
        <x:v>0</x:v>
      </x:c>
      <x:c r="AA1737" s="2" t="n">
        <x:v>100</x:v>
      </x:c>
      <x:c r="AB1737" s="2" t="n">
        <x:f>ABS(K1737-W1737)</x:f>
        <x:v>0</x:v>
      </x:c>
      <x:c r="AC1737" s="2" t="n">
        <x:f>COUNTIF($A$2:$A$1921,A1737)-1</x:f>
        <x:v>0</x:v>
      </x:c>
      <x:c r="AD1737" s="2" t="n">
        <x:f>IF(AND(D1737=D1736,H1737=H1736,C1737=C1736+1),ABS(R1737-T1736),0)</x:f>
        <x:v>0</x:v>
      </x:c>
    </x:row>
    <x:row r="1738" ht="23" customHeight="1">
      <x:c r="A1738" s="2" t="str">
        <x:v>DEMO-404-2-17</x:v>
      </x:c>
      <x:c r="B1738" s="15" t="d">
        <x:v>2026-08-24T00:00:00.000Z</x:v>
      </x:c>
      <x:c r="C1738" s="2" t="n">
        <x:v>17</x:v>
      </x:c>
      <x:c r="D1738" s="2" t="str">
        <x:v>DEMO-404</x:v>
      </x:c>
      <x:c r="E1738" s="2" t="str">
        <x:v>Woven Lanyard</x:v>
      </x:c>
      <x:c r="F1738" s="2" t="str">
        <x:v>Accessories</x:v>
      </x:c>
      <x:c r="G1738" s="2" t="str">
        <x:v>Stores</x:v>
      </x:c>
      <x:c r="H1738" s="2" t="str">
        <x:v>Central Market</x:v>
      </x:c>
      <x:c r="I1738" s="2" t="n">
        <x:v>9</x:v>
      </x:c>
      <x:c r="J1738" s="2" t="n">
        <x:v>0</x:v>
      </x:c>
      <x:c r="K1738" s="2" t="n">
        <x:f>I1738-J1738</x:f>
        <x:v>9</x:v>
      </x:c>
      <x:c r="L1738" s="16" t="n">
        <x:v>22</x:v>
      </x:c>
      <x:c r="M1738" s="16" t="n">
        <x:v>22</x:v>
      </x:c>
      <x:c r="N1738" s="16" t="n">
        <x:v>9.57</x:v>
      </x:c>
      <x:c r="O1738" s="16" t="n">
        <x:f>K1738*M1738</x:f>
        <x:v>198</x:v>
      </x:c>
      <x:c r="P1738" s="16" t="n">
        <x:f>K1738*N1738</x:f>
        <x:v>86.13</x:v>
      </x:c>
      <x:c r="Q1738" s="16" t="n">
        <x:f>O1738-P1738</x:f>
        <x:v>111.87</x:v>
      </x:c>
      <x:c r="R1738" s="2" t="n">
        <x:v>100</x:v>
      </x:c>
      <x:c r="S1738" s="2" t="n">
        <x:v>34</x:v>
      </x:c>
      <x:c r="T1738" s="2" t="n">
        <x:f>R1738+S1738+J1738-I1738</x:f>
        <x:v>125</x:v>
      </x:c>
      <x:c r="U1738" s="2" t="n">
        <x:v>0</x:v>
      </x:c>
      <x:c r="V1738" s="2" t="n">
        <x:v>2</x:v>
      </x:c>
      <x:c r="W1738" s="2" t="n">
        <x:v>8</x:v>
      </x:c>
      <x:c r="X1738" s="14" t="b">
        <x:v>0</x:v>
      </x:c>
      <x:c r="Y1738" s="14" t="b">
        <x:v>0</x:v>
      </x:c>
      <x:c r="Z1738" s="2" t="n">
        <x:f>ABS(T1738-AA1738)</x:f>
        <x:v>0</x:v>
      </x:c>
      <x:c r="AA1738" s="2" t="n">
        <x:v>125</x:v>
      </x:c>
      <x:c r="AB1738" s="2" t="n">
        <x:f>ABS(K1738-W1738)</x:f>
        <x:v>1</x:v>
      </x:c>
      <x:c r="AC1738" s="2" t="n">
        <x:f>COUNTIF($A$2:$A$1921,A1738)-1</x:f>
        <x:v>0</x:v>
      </x:c>
      <x:c r="AD1738" s="2" t="n">
        <x:f>IF(AND(D1738=D1737,H1738=H1737,C1738=C1737+1),ABS(R1738-T1737),0)</x:f>
        <x:v>0</x:v>
      </x:c>
    </x:row>
    <x:row r="1739" ht="23" customHeight="1">
      <x:c r="A1739" s="2" t="str">
        <x:v>DEMO-404-2-18</x:v>
      </x:c>
      <x:c r="B1739" s="15" t="d">
        <x:v>2026-08-31T00:00:00.000Z</x:v>
      </x:c>
      <x:c r="C1739" s="2" t="n">
        <x:v>18</x:v>
      </x:c>
      <x:c r="D1739" s="2" t="str">
        <x:v>DEMO-404</x:v>
      </x:c>
      <x:c r="E1739" s="2" t="str">
        <x:v>Woven Lanyard</x:v>
      </x:c>
      <x:c r="F1739" s="2" t="str">
        <x:v>Accessories</x:v>
      </x:c>
      <x:c r="G1739" s="2" t="str">
        <x:v>Stores</x:v>
      </x:c>
      <x:c r="H1739" s="2" t="str">
        <x:v>Central Market</x:v>
      </x:c>
      <x:c r="I1739" s="2" t="n">
        <x:v>8</x:v>
      </x:c>
      <x:c r="J1739" s="2" t="n">
        <x:v>0</x:v>
      </x:c>
      <x:c r="K1739" s="2" t="n">
        <x:f>I1739-J1739</x:f>
        <x:v>8</x:v>
      </x:c>
      <x:c r="L1739" s="16" t="n">
        <x:v>22</x:v>
      </x:c>
      <x:c r="M1739" s="16" t="n">
        <x:v>22</x:v>
      </x:c>
      <x:c r="N1739" s="16" t="n">
        <x:v>9.57</x:v>
      </x:c>
      <x:c r="O1739" s="16" t="n">
        <x:f>K1739*M1739</x:f>
        <x:v>176</x:v>
      </x:c>
      <x:c r="P1739" s="16" t="n">
        <x:f>K1739*N1739</x:f>
        <x:v>76.56</x:v>
      </x:c>
      <x:c r="Q1739" s="16" t="n">
        <x:f>O1739-P1739</x:f>
        <x:v>99.44</x:v>
      </x:c>
      <x:c r="R1739" s="2" t="n">
        <x:v>125</x:v>
      </x:c>
      <x:c r="S1739" s="2" t="n">
        <x:v>0</x:v>
      </x:c>
      <x:c r="T1739" s="2" t="n">
        <x:f>R1739+S1739+J1739-I1739</x:f>
        <x:v>117</x:v>
      </x:c>
      <x:c r="U1739" s="2" t="n">
        <x:v>0</x:v>
      </x:c>
      <x:c r="V1739" s="2" t="n">
        <x:v>2</x:v>
      </x:c>
      <x:c r="W1739" s="2" t="n">
        <x:v>9</x:v>
      </x:c>
      <x:c r="X1739" s="14" t="b">
        <x:v>0</x:v>
      </x:c>
      <x:c r="Y1739" s="14" t="b">
        <x:v>0</x:v>
      </x:c>
      <x:c r="Z1739" s="2" t="n">
        <x:f>ABS(T1739-AA1739)</x:f>
        <x:v>0</x:v>
      </x:c>
      <x:c r="AA1739" s="2" t="n">
        <x:v>117</x:v>
      </x:c>
      <x:c r="AB1739" s="2" t="n">
        <x:f>ABS(K1739-W1739)</x:f>
        <x:v>1</x:v>
      </x:c>
      <x:c r="AC1739" s="2" t="n">
        <x:f>COUNTIF($A$2:$A$1921,A1739)-1</x:f>
        <x:v>0</x:v>
      </x:c>
      <x:c r="AD1739" s="2" t="n">
        <x:f>IF(AND(D1739=D1738,H1739=H1738,C1739=C1738+1),ABS(R1739-T1738),0)</x:f>
        <x:v>0</x:v>
      </x:c>
    </x:row>
    <x:row r="1740" ht="23" customHeight="1">
      <x:c r="A1740" s="2" t="str">
        <x:v>DEMO-404-2-19</x:v>
      </x:c>
      <x:c r="B1740" s="15" t="d">
        <x:v>2026-09-07T00:00:00.000Z</x:v>
      </x:c>
      <x:c r="C1740" s="2" t="n">
        <x:v>19</x:v>
      </x:c>
      <x:c r="D1740" s="2" t="str">
        <x:v>DEMO-404</x:v>
      </x:c>
      <x:c r="E1740" s="2" t="str">
        <x:v>Woven Lanyard</x:v>
      </x:c>
      <x:c r="F1740" s="2" t="str">
        <x:v>Accessories</x:v>
      </x:c>
      <x:c r="G1740" s="2" t="str">
        <x:v>Stores</x:v>
      </x:c>
      <x:c r="H1740" s="2" t="str">
        <x:v>Central Market</x:v>
      </x:c>
      <x:c r="I1740" s="2" t="n">
        <x:v>8</x:v>
      </x:c>
      <x:c r="J1740" s="2" t="n">
        <x:v>0</x:v>
      </x:c>
      <x:c r="K1740" s="2" t="n">
        <x:f>I1740-J1740</x:f>
        <x:v>8</x:v>
      </x:c>
      <x:c r="L1740" s="16" t="n">
        <x:v>22</x:v>
      </x:c>
      <x:c r="M1740" s="16" t="n">
        <x:v>22</x:v>
      </x:c>
      <x:c r="N1740" s="16" t="n">
        <x:v>9.57</x:v>
      </x:c>
      <x:c r="O1740" s="16" t="n">
        <x:f>K1740*M1740</x:f>
        <x:v>176</x:v>
      </x:c>
      <x:c r="P1740" s="16" t="n">
        <x:f>K1740*N1740</x:f>
        <x:v>76.56</x:v>
      </x:c>
      <x:c r="Q1740" s="16" t="n">
        <x:f>O1740-P1740</x:f>
        <x:v>99.44</x:v>
      </x:c>
      <x:c r="R1740" s="2" t="n">
        <x:v>117</x:v>
      </x:c>
      <x:c r="S1740" s="2" t="n">
        <x:v>0</x:v>
      </x:c>
      <x:c r="T1740" s="2" t="n">
        <x:f>R1740+S1740+J1740-I1740</x:f>
        <x:v>109</x:v>
      </x:c>
      <x:c r="U1740" s="2" t="n">
        <x:v>0</x:v>
      </x:c>
      <x:c r="V1740" s="2" t="n">
        <x:v>2</x:v>
      </x:c>
      <x:c r="W1740" s="2" t="n">
        <x:v>9</x:v>
      </x:c>
      <x:c r="X1740" s="14" t="b">
        <x:v>0</x:v>
      </x:c>
      <x:c r="Y1740" s="14" t="b">
        <x:v>0</x:v>
      </x:c>
      <x:c r="Z1740" s="2" t="n">
        <x:f>ABS(T1740-AA1740)</x:f>
        <x:v>0</x:v>
      </x:c>
      <x:c r="AA1740" s="2" t="n">
        <x:v>109</x:v>
      </x:c>
      <x:c r="AB1740" s="2" t="n">
        <x:f>ABS(K1740-W1740)</x:f>
        <x:v>1</x:v>
      </x:c>
      <x:c r="AC1740" s="2" t="n">
        <x:f>COUNTIF($A$2:$A$1921,A1740)-1</x:f>
        <x:v>0</x:v>
      </x:c>
      <x:c r="AD1740" s="2" t="n">
        <x:f>IF(AND(D1740=D1739,H1740=H1739,C1740=C1739+1),ABS(R1740-T1739),0)</x:f>
        <x:v>0</x:v>
      </x:c>
    </x:row>
    <x:row r="1741" ht="23" customHeight="1">
      <x:c r="A1741" s="2" t="str">
        <x:v>DEMO-404-2-20</x:v>
      </x:c>
      <x:c r="B1741" s="15" t="d">
        <x:v>2026-09-14T00:00:00.000Z</x:v>
      </x:c>
      <x:c r="C1741" s="2" t="n">
        <x:v>20</x:v>
      </x:c>
      <x:c r="D1741" s="2" t="str">
        <x:v>DEMO-404</x:v>
      </x:c>
      <x:c r="E1741" s="2" t="str">
        <x:v>Woven Lanyard</x:v>
      </x:c>
      <x:c r="F1741" s="2" t="str">
        <x:v>Accessories</x:v>
      </x:c>
      <x:c r="G1741" s="2" t="str">
        <x:v>Stores</x:v>
      </x:c>
      <x:c r="H1741" s="2" t="str">
        <x:v>Central Market</x:v>
      </x:c>
      <x:c r="I1741" s="2" t="n">
        <x:v>7</x:v>
      </x:c>
      <x:c r="J1741" s="2" t="n">
        <x:v>0</x:v>
      </x:c>
      <x:c r="K1741" s="2" t="n">
        <x:f>I1741-J1741</x:f>
        <x:v>7</x:v>
      </x:c>
      <x:c r="L1741" s="16" t="n">
        <x:v>22</x:v>
      </x:c>
      <x:c r="M1741" s="16" t="n">
        <x:v>22</x:v>
      </x:c>
      <x:c r="N1741" s="16" t="n">
        <x:v>9.57</x:v>
      </x:c>
      <x:c r="O1741" s="16" t="n">
        <x:f>K1741*M1741</x:f>
        <x:v>154</x:v>
      </x:c>
      <x:c r="P1741" s="16" t="n">
        <x:f>K1741*N1741</x:f>
        <x:v>66.99000000000001</x:v>
      </x:c>
      <x:c r="Q1741" s="16" t="n">
        <x:f>O1741-P1741</x:f>
        <x:v>87.00999999999999</x:v>
      </x:c>
      <x:c r="R1741" s="2" t="n">
        <x:v>109</x:v>
      </x:c>
      <x:c r="S1741" s="2" t="n">
        <x:v>0</x:v>
      </x:c>
      <x:c r="T1741" s="2" t="n">
        <x:f>R1741+S1741+J1741-I1741</x:f>
        <x:v>102</x:v>
      </x:c>
      <x:c r="U1741" s="2" t="n">
        <x:v>18</x:v>
      </x:c>
      <x:c r="V1741" s="2" t="n">
        <x:v>2</x:v>
      </x:c>
      <x:c r="W1741" s="2" t="n">
        <x:v>8</x:v>
      </x:c>
      <x:c r="X1741" s="14" t="b">
        <x:v>0</x:v>
      </x:c>
      <x:c r="Y1741" s="14" t="b">
        <x:v>0</x:v>
      </x:c>
      <x:c r="Z1741" s="2" t="n">
        <x:f>ABS(T1741-AA1741)</x:f>
        <x:v>0</x:v>
      </x:c>
      <x:c r="AA1741" s="2" t="n">
        <x:v>102</x:v>
      </x:c>
      <x:c r="AB1741" s="2" t="n">
        <x:f>ABS(K1741-W1741)</x:f>
        <x:v>1</x:v>
      </x:c>
      <x:c r="AC1741" s="2" t="n">
        <x:f>COUNTIF($A$2:$A$1921,A1741)-1</x:f>
        <x:v>0</x:v>
      </x:c>
      <x:c r="AD1741" s="2" t="n">
        <x:f>IF(AND(D1741=D1740,H1741=H1740,C1741=C1740+1),ABS(R1741-T1740),0)</x:f>
        <x:v>0</x:v>
      </x:c>
    </x:row>
    <x:row r="1742" ht="23" customHeight="1">
      <x:c r="A1742" s="2" t="str">
        <x:v>DEMO-404-3-1</x:v>
      </x:c>
      <x:c r="B1742" s="15" t="d">
        <x:v>2026-05-04T00:00:00.000Z</x:v>
      </x:c>
      <x:c r="C1742" s="2" t="n">
        <x:v>1</x:v>
      </x:c>
      <x:c r="D1742" s="2" t="str">
        <x:v>DEMO-404</x:v>
      </x:c>
      <x:c r="E1742" s="2" t="str">
        <x:v>Woven Lanyard</x:v>
      </x:c>
      <x:c r="F1742" s="2" t="str">
        <x:v>Accessories</x:v>
      </x:c>
      <x:c r="G1742" s="2" t="str">
        <x:v>Online</x:v>
      </x:c>
      <x:c r="H1742" s="2" t="str">
        <x:v>Online</x:v>
      </x:c>
      <x:c r="I1742" s="2" t="n">
        <x:v>16</x:v>
      </x:c>
      <x:c r="J1742" s="2" t="n">
        <x:v>0</x:v>
      </x:c>
      <x:c r="K1742" s="2" t="n">
        <x:f>I1742-J1742</x:f>
        <x:v>16</x:v>
      </x:c>
      <x:c r="L1742" s="16" t="n">
        <x:v>22</x:v>
      </x:c>
      <x:c r="M1742" s="16" t="n">
        <x:v>22</x:v>
      </x:c>
      <x:c r="N1742" s="16" t="n">
        <x:v>9.57</x:v>
      </x:c>
      <x:c r="O1742" s="16" t="n">
        <x:f>K1742*M1742</x:f>
        <x:v>352</x:v>
      </x:c>
      <x:c r="P1742" s="16" t="n">
        <x:f>K1742*N1742</x:f>
        <x:v>153.12</x:v>
      </x:c>
      <x:c r="Q1742" s="16" t="n">
        <x:f>O1742-P1742</x:f>
        <x:v>198.88</x:v>
      </x:c>
      <x:c r="R1742" s="2" t="n">
        <x:v>90</x:v>
      </x:c>
      <x:c r="S1742" s="2" t="n">
        <x:v>57</x:v>
      </x:c>
      <x:c r="T1742" s="2" t="n">
        <x:f>R1742+S1742+J1742-I1742</x:f>
        <x:v>131</x:v>
      </x:c>
      <x:c r="U1742" s="2" t="n">
        <x:v>0</x:v>
      </x:c>
      <x:c r="V1742" s="2" t="n">
        <x:v>2</x:v>
      </x:c>
      <x:c r="W1742" s="2" t="n">
        <x:v>14</x:v>
      </x:c>
      <x:c r="X1742" s="14" t="b">
        <x:v>0</x:v>
      </x:c>
      <x:c r="Y1742" s="14" t="b">
        <x:v>0</x:v>
      </x:c>
      <x:c r="Z1742" s="2" t="n">
        <x:f>ABS(T1742-AA1742)</x:f>
        <x:v>0</x:v>
      </x:c>
      <x:c r="AA1742" s="2" t="n">
        <x:v>131</x:v>
      </x:c>
      <x:c r="AB1742" s="2" t="n">
        <x:f>ABS(K1742-W1742)</x:f>
        <x:v>2</x:v>
      </x:c>
      <x:c r="AC1742" s="2" t="n">
        <x:f>COUNTIF($A$2:$A$1921,A1742)-1</x:f>
        <x:v>0</x:v>
      </x:c>
      <x:c r="AD1742" s="2" t="n">
        <x:f>IF(AND(D1742=D1741,H1742=H1741,C1742=C1741+1),ABS(R1742-T1741),0)</x:f>
        <x:v>0</x:v>
      </x:c>
    </x:row>
    <x:row r="1743" ht="23" customHeight="1">
      <x:c r="A1743" s="2" t="str">
        <x:v>DEMO-404-3-2</x:v>
      </x:c>
      <x:c r="B1743" s="15" t="d">
        <x:v>2026-05-11T00:00:00.000Z</x:v>
      </x:c>
      <x:c r="C1743" s="2" t="n">
        <x:v>2</x:v>
      </x:c>
      <x:c r="D1743" s="2" t="str">
        <x:v>DEMO-404</x:v>
      </x:c>
      <x:c r="E1743" s="2" t="str">
        <x:v>Woven Lanyard</x:v>
      </x:c>
      <x:c r="F1743" s="2" t="str">
        <x:v>Accessories</x:v>
      </x:c>
      <x:c r="G1743" s="2" t="str">
        <x:v>Online</x:v>
      </x:c>
      <x:c r="H1743" s="2" t="str">
        <x:v>Online</x:v>
      </x:c>
      <x:c r="I1743" s="2" t="n">
        <x:v>12</x:v>
      </x:c>
      <x:c r="J1743" s="2" t="n">
        <x:v>0</x:v>
      </x:c>
      <x:c r="K1743" s="2" t="n">
        <x:f>I1743-J1743</x:f>
        <x:v>12</x:v>
      </x:c>
      <x:c r="L1743" s="16" t="n">
        <x:v>22</x:v>
      </x:c>
      <x:c r="M1743" s="16" t="n">
        <x:v>22</x:v>
      </x:c>
      <x:c r="N1743" s="16" t="n">
        <x:v>9.57</x:v>
      </x:c>
      <x:c r="O1743" s="16" t="n">
        <x:f>K1743*M1743</x:f>
        <x:v>264</x:v>
      </x:c>
      <x:c r="P1743" s="16" t="n">
        <x:f>K1743*N1743</x:f>
        <x:v>114.84</x:v>
      </x:c>
      <x:c r="Q1743" s="16" t="n">
        <x:f>O1743-P1743</x:f>
        <x:v>149.16</x:v>
      </x:c>
      <x:c r="R1743" s="2" t="n">
        <x:v>131</x:v>
      </x:c>
      <x:c r="S1743" s="2" t="n">
        <x:v>0</x:v>
      </x:c>
      <x:c r="T1743" s="2" t="n">
        <x:f>R1743+S1743+J1743-I1743</x:f>
        <x:v>119</x:v>
      </x:c>
      <x:c r="U1743" s="2" t="n">
        <x:v>0</x:v>
      </x:c>
      <x:c r="V1743" s="2" t="n">
        <x:v>2</x:v>
      </x:c>
      <x:c r="W1743" s="2" t="n">
        <x:v>16</x:v>
      </x:c>
      <x:c r="X1743" s="14" t="b">
        <x:v>0</x:v>
      </x:c>
      <x:c r="Y1743" s="14" t="b">
        <x:v>0</x:v>
      </x:c>
      <x:c r="Z1743" s="2" t="n">
        <x:f>ABS(T1743-AA1743)</x:f>
        <x:v>0</x:v>
      </x:c>
      <x:c r="AA1743" s="2" t="n">
        <x:v>119</x:v>
      </x:c>
      <x:c r="AB1743" s="2" t="n">
        <x:f>ABS(K1743-W1743)</x:f>
        <x:v>4</x:v>
      </x:c>
      <x:c r="AC1743" s="2" t="n">
        <x:f>COUNTIF($A$2:$A$1921,A1743)-1</x:f>
        <x:v>0</x:v>
      </x:c>
      <x:c r="AD1743" s="2" t="n">
        <x:f>IF(AND(D1743=D1742,H1743=H1742,C1743=C1742+1),ABS(R1743-T1742),0)</x:f>
        <x:v>0</x:v>
      </x:c>
    </x:row>
    <x:row r="1744" ht="23" customHeight="1">
      <x:c r="A1744" s="2" t="str">
        <x:v>DEMO-404-3-3</x:v>
      </x:c>
      <x:c r="B1744" s="15" t="d">
        <x:v>2026-05-18T00:00:00.000Z</x:v>
      </x:c>
      <x:c r="C1744" s="2" t="n">
        <x:v>3</x:v>
      </x:c>
      <x:c r="D1744" s="2" t="str">
        <x:v>DEMO-404</x:v>
      </x:c>
      <x:c r="E1744" s="2" t="str">
        <x:v>Woven Lanyard</x:v>
      </x:c>
      <x:c r="F1744" s="2" t="str">
        <x:v>Accessories</x:v>
      </x:c>
      <x:c r="G1744" s="2" t="str">
        <x:v>Online</x:v>
      </x:c>
      <x:c r="H1744" s="2" t="str">
        <x:v>Online</x:v>
      </x:c>
      <x:c r="I1744" s="2" t="n">
        <x:v>12</x:v>
      </x:c>
      <x:c r="J1744" s="2" t="n">
        <x:v>1</x:v>
      </x:c>
      <x:c r="K1744" s="2" t="n">
        <x:f>I1744-J1744</x:f>
        <x:v>11</x:v>
      </x:c>
      <x:c r="L1744" s="16" t="n">
        <x:v>22</x:v>
      </x:c>
      <x:c r="M1744" s="16" t="n">
        <x:v>22</x:v>
      </x:c>
      <x:c r="N1744" s="16" t="n">
        <x:v>9.57</x:v>
      </x:c>
      <x:c r="O1744" s="16" t="n">
        <x:f>K1744*M1744</x:f>
        <x:v>242</x:v>
      </x:c>
      <x:c r="P1744" s="16" t="n">
        <x:f>K1744*N1744</x:f>
        <x:v>105.27000000000001</x:v>
      </x:c>
      <x:c r="Q1744" s="16" t="n">
        <x:f>O1744-P1744</x:f>
        <x:v>136.73</x:v>
      </x:c>
      <x:c r="R1744" s="2" t="n">
        <x:v>119</x:v>
      </x:c>
      <x:c r="S1744" s="2" t="n">
        <x:v>0</x:v>
      </x:c>
      <x:c r="T1744" s="2" t="n">
        <x:f>R1744+S1744+J1744-I1744</x:f>
        <x:v>108</x:v>
      </x:c>
      <x:c r="U1744" s="2" t="n">
        <x:v>0</x:v>
      </x:c>
      <x:c r="V1744" s="2" t="n">
        <x:v>2</x:v>
      </x:c>
      <x:c r="W1744" s="2" t="n">
        <x:v>14</x:v>
      </x:c>
      <x:c r="X1744" s="14" t="b">
        <x:v>0</x:v>
      </x:c>
      <x:c r="Y1744" s="14" t="b">
        <x:v>0</x:v>
      </x:c>
      <x:c r="Z1744" s="2" t="n">
        <x:f>ABS(T1744-AA1744)</x:f>
        <x:v>0</x:v>
      </x:c>
      <x:c r="AA1744" s="2" t="n">
        <x:v>108</x:v>
      </x:c>
      <x:c r="AB1744" s="2" t="n">
        <x:f>ABS(K1744-W1744)</x:f>
        <x:v>3</x:v>
      </x:c>
      <x:c r="AC1744" s="2" t="n">
        <x:f>COUNTIF($A$2:$A$1921,A1744)-1</x:f>
        <x:v>0</x:v>
      </x:c>
      <x:c r="AD1744" s="2" t="n">
        <x:f>IF(AND(D1744=D1743,H1744=H1743,C1744=C1743+1),ABS(R1744-T1743),0)</x:f>
        <x:v>0</x:v>
      </x:c>
    </x:row>
    <x:row r="1745" ht="23" customHeight="1">
      <x:c r="A1745" s="2" t="str">
        <x:v>DEMO-404-3-4</x:v>
      </x:c>
      <x:c r="B1745" s="15" t="d">
        <x:v>2026-05-25T00:00:00.000Z</x:v>
      </x:c>
      <x:c r="C1745" s="2" t="n">
        <x:v>4</x:v>
      </x:c>
      <x:c r="D1745" s="2" t="str">
        <x:v>DEMO-404</x:v>
      </x:c>
      <x:c r="E1745" s="2" t="str">
        <x:v>Woven Lanyard</x:v>
      </x:c>
      <x:c r="F1745" s="2" t="str">
        <x:v>Accessories</x:v>
      </x:c>
      <x:c r="G1745" s="2" t="str">
        <x:v>Online</x:v>
      </x:c>
      <x:c r="H1745" s="2" t="str">
        <x:v>Online</x:v>
      </x:c>
      <x:c r="I1745" s="2" t="n">
        <x:v>12</x:v>
      </x:c>
      <x:c r="J1745" s="2" t="n">
        <x:v>0</x:v>
      </x:c>
      <x:c r="K1745" s="2" t="n">
        <x:f>I1745-J1745</x:f>
        <x:v>12</x:v>
      </x:c>
      <x:c r="L1745" s="16" t="n">
        <x:v>22</x:v>
      </x:c>
      <x:c r="M1745" s="16" t="n">
        <x:v>22</x:v>
      </x:c>
      <x:c r="N1745" s="16" t="n">
        <x:v>9.57</x:v>
      </x:c>
      <x:c r="O1745" s="16" t="n">
        <x:f>K1745*M1745</x:f>
        <x:v>264</x:v>
      </x:c>
      <x:c r="P1745" s="16" t="n">
        <x:f>K1745*N1745</x:f>
        <x:v>114.84</x:v>
      </x:c>
      <x:c r="Q1745" s="16" t="n">
        <x:f>O1745-P1745</x:f>
        <x:v>149.16</x:v>
      </x:c>
      <x:c r="R1745" s="2" t="n">
        <x:v>108</x:v>
      </x:c>
      <x:c r="S1745" s="2" t="n">
        <x:v>0</x:v>
      </x:c>
      <x:c r="T1745" s="2" t="n">
        <x:f>R1745+S1745+J1745-I1745</x:f>
        <x:v>96</x:v>
      </x:c>
      <x:c r="U1745" s="2" t="n">
        <x:v>0</x:v>
      </x:c>
      <x:c r="V1745" s="2" t="n">
        <x:v>2</x:v>
      </x:c>
      <x:c r="W1745" s="2" t="n">
        <x:v>13</x:v>
      </x:c>
      <x:c r="X1745" s="14" t="b">
        <x:v>0</x:v>
      </x:c>
      <x:c r="Y1745" s="14" t="b">
        <x:v>0</x:v>
      </x:c>
      <x:c r="Z1745" s="2" t="n">
        <x:f>ABS(T1745-AA1745)</x:f>
        <x:v>0</x:v>
      </x:c>
      <x:c r="AA1745" s="2" t="n">
        <x:v>96</x:v>
      </x:c>
      <x:c r="AB1745" s="2" t="n">
        <x:f>ABS(K1745-W1745)</x:f>
        <x:v>1</x:v>
      </x:c>
      <x:c r="AC1745" s="2" t="n">
        <x:f>COUNTIF($A$2:$A$1921,A1745)-1</x:f>
        <x:v>0</x:v>
      </x:c>
      <x:c r="AD1745" s="2" t="n">
        <x:f>IF(AND(D1745=D1744,H1745=H1744,C1745=C1744+1),ABS(R1745-T1744),0)</x:f>
        <x:v>0</x:v>
      </x:c>
    </x:row>
    <x:row r="1746" ht="23" customHeight="1">
      <x:c r="A1746" s="2" t="str">
        <x:v>DEMO-404-3-5</x:v>
      </x:c>
      <x:c r="B1746" s="15" t="d">
        <x:v>2026-06-01T00:00:00.000Z</x:v>
      </x:c>
      <x:c r="C1746" s="2" t="n">
        <x:v>5</x:v>
      </x:c>
      <x:c r="D1746" s="2" t="str">
        <x:v>DEMO-404</x:v>
      </x:c>
      <x:c r="E1746" s="2" t="str">
        <x:v>Woven Lanyard</x:v>
      </x:c>
      <x:c r="F1746" s="2" t="str">
        <x:v>Accessories</x:v>
      </x:c>
      <x:c r="G1746" s="2" t="str">
        <x:v>Online</x:v>
      </x:c>
      <x:c r="H1746" s="2" t="str">
        <x:v>Online</x:v>
      </x:c>
      <x:c r="I1746" s="2" t="n">
        <x:v>16</x:v>
      </x:c>
      <x:c r="J1746" s="2" t="n">
        <x:v>0</x:v>
      </x:c>
      <x:c r="K1746" s="2" t="n">
        <x:f>I1746-J1746</x:f>
        <x:v>16</x:v>
      </x:c>
      <x:c r="L1746" s="16" t="n">
        <x:v>22</x:v>
      </x:c>
      <x:c r="M1746" s="16" t="n">
        <x:v>22</x:v>
      </x:c>
      <x:c r="N1746" s="16" t="n">
        <x:v>9.57</x:v>
      </x:c>
      <x:c r="O1746" s="16" t="n">
        <x:f>K1746*M1746</x:f>
        <x:v>352</x:v>
      </x:c>
      <x:c r="P1746" s="16" t="n">
        <x:f>K1746*N1746</x:f>
        <x:v>153.12</x:v>
      </x:c>
      <x:c r="Q1746" s="16" t="n">
        <x:f>O1746-P1746</x:f>
        <x:v>198.88</x:v>
      </x:c>
      <x:c r="R1746" s="2" t="n">
        <x:v>96</x:v>
      </x:c>
      <x:c r="S1746" s="2" t="n">
        <x:v>57</x:v>
      </x:c>
      <x:c r="T1746" s="2" t="n">
        <x:f>R1746+S1746+J1746-I1746</x:f>
        <x:v>137</x:v>
      </x:c>
      <x:c r="U1746" s="2" t="n">
        <x:v>0</x:v>
      </x:c>
      <x:c r="V1746" s="2" t="n">
        <x:v>2</x:v>
      </x:c>
      <x:c r="W1746" s="2" t="n">
        <x:v>13</x:v>
      </x:c>
      <x:c r="X1746" s="14" t="b">
        <x:v>0</x:v>
      </x:c>
      <x:c r="Y1746" s="14" t="b">
        <x:v>0</x:v>
      </x:c>
      <x:c r="Z1746" s="2" t="n">
        <x:f>ABS(T1746-AA1746)</x:f>
        <x:v>0</x:v>
      </x:c>
      <x:c r="AA1746" s="2" t="n">
        <x:v>137</x:v>
      </x:c>
      <x:c r="AB1746" s="2" t="n">
        <x:f>ABS(K1746-W1746)</x:f>
        <x:v>3</x:v>
      </x:c>
      <x:c r="AC1746" s="2" t="n">
        <x:f>COUNTIF($A$2:$A$1921,A1746)-1</x:f>
        <x:v>0</x:v>
      </x:c>
      <x:c r="AD1746" s="2" t="n">
        <x:f>IF(AND(D1746=D1745,H1746=H1745,C1746=C1745+1),ABS(R1746-T1745),0)</x:f>
        <x:v>0</x:v>
      </x:c>
    </x:row>
    <x:row r="1747" ht="23" customHeight="1">
      <x:c r="A1747" s="2" t="str">
        <x:v>DEMO-404-3-6</x:v>
      </x:c>
      <x:c r="B1747" s="15" t="d">
        <x:v>2026-06-08T00:00:00.000Z</x:v>
      </x:c>
      <x:c r="C1747" s="2" t="n">
        <x:v>6</x:v>
      </x:c>
      <x:c r="D1747" s="2" t="str">
        <x:v>DEMO-404</x:v>
      </x:c>
      <x:c r="E1747" s="2" t="str">
        <x:v>Woven Lanyard</x:v>
      </x:c>
      <x:c r="F1747" s="2" t="str">
        <x:v>Accessories</x:v>
      </x:c>
      <x:c r="G1747" s="2" t="str">
        <x:v>Online</x:v>
      </x:c>
      <x:c r="H1747" s="2" t="str">
        <x:v>Online</x:v>
      </x:c>
      <x:c r="I1747" s="2" t="n">
        <x:v>15</x:v>
      </x:c>
      <x:c r="J1747" s="2" t="n">
        <x:v>0</x:v>
      </x:c>
      <x:c r="K1747" s="2" t="n">
        <x:f>I1747-J1747</x:f>
        <x:v>15</x:v>
      </x:c>
      <x:c r="L1747" s="16" t="n">
        <x:v>22</x:v>
      </x:c>
      <x:c r="M1747" s="16" t="n">
        <x:v>22</x:v>
      </x:c>
      <x:c r="N1747" s="16" t="n">
        <x:v>9.57</x:v>
      </x:c>
      <x:c r="O1747" s="16" t="n">
        <x:f>K1747*M1747</x:f>
        <x:v>330</x:v>
      </x:c>
      <x:c r="P1747" s="16" t="n">
        <x:f>K1747*N1747</x:f>
        <x:v>143.55</x:v>
      </x:c>
      <x:c r="Q1747" s="16" t="n">
        <x:f>O1747-P1747</x:f>
        <x:v>186.45</x:v>
      </x:c>
      <x:c r="R1747" s="2" t="n">
        <x:v>137</x:v>
      </x:c>
      <x:c r="S1747" s="2" t="n">
        <x:v>0</x:v>
      </x:c>
      <x:c r="T1747" s="2" t="n">
        <x:f>R1747+S1747+J1747-I1747</x:f>
        <x:v>122</x:v>
      </x:c>
      <x:c r="U1747" s="2" t="n">
        <x:v>0</x:v>
      </x:c>
      <x:c r="V1747" s="2" t="n">
        <x:v>2</x:v>
      </x:c>
      <x:c r="W1747" s="2" t="n">
        <x:v>13</x:v>
      </x:c>
      <x:c r="X1747" s="14" t="b">
        <x:v>0</x:v>
      </x:c>
      <x:c r="Y1747" s="14" t="b">
        <x:v>0</x:v>
      </x:c>
      <x:c r="Z1747" s="2" t="n">
        <x:f>ABS(T1747-AA1747)</x:f>
        <x:v>0</x:v>
      </x:c>
      <x:c r="AA1747" s="2" t="n">
        <x:v>122</x:v>
      </x:c>
      <x:c r="AB1747" s="2" t="n">
        <x:f>ABS(K1747-W1747)</x:f>
        <x:v>2</x:v>
      </x:c>
      <x:c r="AC1747" s="2" t="n">
        <x:f>COUNTIF($A$2:$A$1921,A1747)-1</x:f>
        <x:v>0</x:v>
      </x:c>
      <x:c r="AD1747" s="2" t="n">
        <x:f>IF(AND(D1747=D1746,H1747=H1746,C1747=C1746+1),ABS(R1747-T1746),0)</x:f>
        <x:v>0</x:v>
      </x:c>
    </x:row>
    <x:row r="1748" ht="23" customHeight="1">
      <x:c r="A1748" s="2" t="str">
        <x:v>DEMO-404-3-7</x:v>
      </x:c>
      <x:c r="B1748" s="15" t="d">
        <x:v>2026-06-15T00:00:00.000Z</x:v>
      </x:c>
      <x:c r="C1748" s="2" t="n">
        <x:v>7</x:v>
      </x:c>
      <x:c r="D1748" s="2" t="str">
        <x:v>DEMO-404</x:v>
      </x:c>
      <x:c r="E1748" s="2" t="str">
        <x:v>Woven Lanyard</x:v>
      </x:c>
      <x:c r="F1748" s="2" t="str">
        <x:v>Accessories</x:v>
      </x:c>
      <x:c r="G1748" s="2" t="str">
        <x:v>Online</x:v>
      </x:c>
      <x:c r="H1748" s="2" t="str">
        <x:v>Online</x:v>
      </x:c>
      <x:c r="I1748" s="2" t="n">
        <x:v>12</x:v>
      </x:c>
      <x:c r="J1748" s="2" t="n">
        <x:v>1</x:v>
      </x:c>
      <x:c r="K1748" s="2" t="n">
        <x:f>I1748-J1748</x:f>
        <x:v>11</x:v>
      </x:c>
      <x:c r="L1748" s="16" t="n">
        <x:v>22</x:v>
      </x:c>
      <x:c r="M1748" s="16" t="n">
        <x:v>22</x:v>
      </x:c>
      <x:c r="N1748" s="16" t="n">
        <x:v>9.57</x:v>
      </x:c>
      <x:c r="O1748" s="16" t="n">
        <x:f>K1748*M1748</x:f>
        <x:v>242</x:v>
      </x:c>
      <x:c r="P1748" s="16" t="n">
        <x:f>K1748*N1748</x:f>
        <x:v>105.27000000000001</x:v>
      </x:c>
      <x:c r="Q1748" s="16" t="n">
        <x:f>O1748-P1748</x:f>
        <x:v>136.73</x:v>
      </x:c>
      <x:c r="R1748" s="2" t="n">
        <x:v>122</x:v>
      </x:c>
      <x:c r="S1748" s="2" t="n">
        <x:v>0</x:v>
      </x:c>
      <x:c r="T1748" s="2" t="n">
        <x:f>R1748+S1748+J1748-I1748</x:f>
        <x:v>111</x:v>
      </x:c>
      <x:c r="U1748" s="2" t="n">
        <x:v>0</x:v>
      </x:c>
      <x:c r="V1748" s="2" t="n">
        <x:v>2</x:v>
      </x:c>
      <x:c r="W1748" s="2" t="n">
        <x:v>14</x:v>
      </x:c>
      <x:c r="X1748" s="14" t="b">
        <x:v>0</x:v>
      </x:c>
      <x:c r="Y1748" s="14" t="b">
        <x:v>0</x:v>
      </x:c>
      <x:c r="Z1748" s="2" t="n">
        <x:f>ABS(T1748-AA1748)</x:f>
        <x:v>0</x:v>
      </x:c>
      <x:c r="AA1748" s="2" t="n">
        <x:v>111</x:v>
      </x:c>
      <x:c r="AB1748" s="2" t="n">
        <x:f>ABS(K1748-W1748)</x:f>
        <x:v>3</x:v>
      </x:c>
      <x:c r="AC1748" s="2" t="n">
        <x:f>COUNTIF($A$2:$A$1921,A1748)-1</x:f>
        <x:v>0</x:v>
      </x:c>
      <x:c r="AD1748" s="2" t="n">
        <x:f>IF(AND(D1748=D1747,H1748=H1747,C1748=C1747+1),ABS(R1748-T1747),0)</x:f>
        <x:v>0</x:v>
      </x:c>
    </x:row>
    <x:row r="1749" ht="23" customHeight="1">
      <x:c r="A1749" s="2" t="str">
        <x:v>DEMO-404-3-8</x:v>
      </x:c>
      <x:c r="B1749" s="15" t="d">
        <x:v>2026-06-22T00:00:00.000Z</x:v>
      </x:c>
      <x:c r="C1749" s="2" t="n">
        <x:v>8</x:v>
      </x:c>
      <x:c r="D1749" s="2" t="str">
        <x:v>DEMO-404</x:v>
      </x:c>
      <x:c r="E1749" s="2" t="str">
        <x:v>Woven Lanyard</x:v>
      </x:c>
      <x:c r="F1749" s="2" t="str">
        <x:v>Accessories</x:v>
      </x:c>
      <x:c r="G1749" s="2" t="str">
        <x:v>Online</x:v>
      </x:c>
      <x:c r="H1749" s="2" t="str">
        <x:v>Online</x:v>
      </x:c>
      <x:c r="I1749" s="2" t="n">
        <x:v>16</x:v>
      </x:c>
      <x:c r="J1749" s="2" t="n">
        <x:v>0</x:v>
      </x:c>
      <x:c r="K1749" s="2" t="n">
        <x:f>I1749-J1749</x:f>
        <x:v>16</x:v>
      </x:c>
      <x:c r="L1749" s="16" t="n">
        <x:v>22</x:v>
      </x:c>
      <x:c r="M1749" s="16" t="n">
        <x:v>22</x:v>
      </x:c>
      <x:c r="N1749" s="16" t="n">
        <x:v>9.57</x:v>
      </x:c>
      <x:c r="O1749" s="16" t="n">
        <x:f>K1749*M1749</x:f>
        <x:v>352</x:v>
      </x:c>
      <x:c r="P1749" s="16" t="n">
        <x:f>K1749*N1749</x:f>
        <x:v>153.12</x:v>
      </x:c>
      <x:c r="Q1749" s="16" t="n">
        <x:f>O1749-P1749</x:f>
        <x:v>198.88</x:v>
      </x:c>
      <x:c r="R1749" s="2" t="n">
        <x:v>111</x:v>
      </x:c>
      <x:c r="S1749" s="2" t="n">
        <x:v>0</x:v>
      </x:c>
      <x:c r="T1749" s="2" t="n">
        <x:f>R1749+S1749+J1749-I1749</x:f>
        <x:v>95</x:v>
      </x:c>
      <x:c r="U1749" s="2" t="n">
        <x:v>0</x:v>
      </x:c>
      <x:c r="V1749" s="2" t="n">
        <x:v>2</x:v>
      </x:c>
      <x:c r="W1749" s="2" t="n">
        <x:v>14</x:v>
      </x:c>
      <x:c r="X1749" s="14" t="b">
        <x:v>0</x:v>
      </x:c>
      <x:c r="Y1749" s="14" t="b">
        <x:v>0</x:v>
      </x:c>
      <x:c r="Z1749" s="2" t="n">
        <x:f>ABS(T1749-AA1749)</x:f>
        <x:v>0</x:v>
      </x:c>
      <x:c r="AA1749" s="2" t="n">
        <x:v>95</x:v>
      </x:c>
      <x:c r="AB1749" s="2" t="n">
        <x:f>ABS(K1749-W1749)</x:f>
        <x:v>2</x:v>
      </x:c>
      <x:c r="AC1749" s="2" t="n">
        <x:f>COUNTIF($A$2:$A$1921,A1749)-1</x:f>
        <x:v>0</x:v>
      </x:c>
      <x:c r="AD1749" s="2" t="n">
        <x:f>IF(AND(D1749=D1748,H1749=H1748,C1749=C1748+1),ABS(R1749-T1748),0)</x:f>
        <x:v>0</x:v>
      </x:c>
    </x:row>
    <x:row r="1750" ht="23" customHeight="1">
      <x:c r="A1750" s="2" t="str">
        <x:v>DEMO-404-3-9</x:v>
      </x:c>
      <x:c r="B1750" s="15" t="d">
        <x:v>2026-06-29T00:00:00.000Z</x:v>
      </x:c>
      <x:c r="C1750" s="2" t="n">
        <x:v>9</x:v>
      </x:c>
      <x:c r="D1750" s="2" t="str">
        <x:v>DEMO-404</x:v>
      </x:c>
      <x:c r="E1750" s="2" t="str">
        <x:v>Woven Lanyard</x:v>
      </x:c>
      <x:c r="F1750" s="2" t="str">
        <x:v>Accessories</x:v>
      </x:c>
      <x:c r="G1750" s="2" t="str">
        <x:v>Online</x:v>
      </x:c>
      <x:c r="H1750" s="2" t="str">
        <x:v>Online</x:v>
      </x:c>
      <x:c r="I1750" s="2" t="n">
        <x:v>11</x:v>
      </x:c>
      <x:c r="J1750" s="2" t="n">
        <x:v>1</x:v>
      </x:c>
      <x:c r="K1750" s="2" t="n">
        <x:f>I1750-J1750</x:f>
        <x:v>10</x:v>
      </x:c>
      <x:c r="L1750" s="16" t="n">
        <x:v>22</x:v>
      </x:c>
      <x:c r="M1750" s="16" t="n">
        <x:v>22</x:v>
      </x:c>
      <x:c r="N1750" s="16" t="n">
        <x:v>9.57</x:v>
      </x:c>
      <x:c r="O1750" s="16" t="n">
        <x:f>K1750*M1750</x:f>
        <x:v>220</x:v>
      </x:c>
      <x:c r="P1750" s="16" t="n">
        <x:f>K1750*N1750</x:f>
        <x:v>95.7</x:v>
      </x:c>
      <x:c r="Q1750" s="16" t="n">
        <x:f>O1750-P1750</x:f>
        <x:v>124.3</x:v>
      </x:c>
      <x:c r="R1750" s="2" t="n">
        <x:v>95</x:v>
      </x:c>
      <x:c r="S1750" s="2" t="n">
        <x:v>57</x:v>
      </x:c>
      <x:c r="T1750" s="2" t="n">
        <x:f>R1750+S1750+J1750-I1750</x:f>
        <x:v>142</x:v>
      </x:c>
      <x:c r="U1750" s="2" t="n">
        <x:v>0</x:v>
      </x:c>
      <x:c r="V1750" s="2" t="n">
        <x:v>2</x:v>
      </x:c>
      <x:c r="W1750" s="2" t="n">
        <x:v>15</x:v>
      </x:c>
      <x:c r="X1750" s="14" t="b">
        <x:v>0</x:v>
      </x:c>
      <x:c r="Y1750" s="14" t="b">
        <x:v>0</x:v>
      </x:c>
      <x:c r="Z1750" s="2" t="n">
        <x:f>ABS(T1750-AA1750)</x:f>
        <x:v>0</x:v>
      </x:c>
      <x:c r="AA1750" s="2" t="n">
        <x:v>142</x:v>
      </x:c>
      <x:c r="AB1750" s="2" t="n">
        <x:f>ABS(K1750-W1750)</x:f>
        <x:v>5</x:v>
      </x:c>
      <x:c r="AC1750" s="2" t="n">
        <x:f>COUNTIF($A$2:$A$1921,A1750)-1</x:f>
        <x:v>0</x:v>
      </x:c>
      <x:c r="AD1750" s="2" t="n">
        <x:f>IF(AND(D1750=D1749,H1750=H1749,C1750=C1749+1),ABS(R1750-T1749),0)</x:f>
        <x:v>0</x:v>
      </x:c>
    </x:row>
    <x:row r="1751" ht="23" customHeight="1">
      <x:c r="A1751" s="2" t="str">
        <x:v>DEMO-404-3-10</x:v>
      </x:c>
      <x:c r="B1751" s="15" t="d">
        <x:v>2026-07-06T00:00:00.000Z</x:v>
      </x:c>
      <x:c r="C1751" s="2" t="n">
        <x:v>10</x:v>
      </x:c>
      <x:c r="D1751" s="2" t="str">
        <x:v>DEMO-404</x:v>
      </x:c>
      <x:c r="E1751" s="2" t="str">
        <x:v>Woven Lanyard</x:v>
      </x:c>
      <x:c r="F1751" s="2" t="str">
        <x:v>Accessories</x:v>
      </x:c>
      <x:c r="G1751" s="2" t="str">
        <x:v>Online</x:v>
      </x:c>
      <x:c r="H1751" s="2" t="str">
        <x:v>Online</x:v>
      </x:c>
      <x:c r="I1751" s="2" t="n">
        <x:v>13</x:v>
      </x:c>
      <x:c r="J1751" s="2" t="n">
        <x:v>0</x:v>
      </x:c>
      <x:c r="K1751" s="2" t="n">
        <x:f>I1751-J1751</x:f>
        <x:v>13</x:v>
      </x:c>
      <x:c r="L1751" s="16" t="n">
        <x:v>22</x:v>
      </x:c>
      <x:c r="M1751" s="16" t="n">
        <x:v>22</x:v>
      </x:c>
      <x:c r="N1751" s="16" t="n">
        <x:v>9.57</x:v>
      </x:c>
      <x:c r="O1751" s="16" t="n">
        <x:f>K1751*M1751</x:f>
        <x:v>286</x:v>
      </x:c>
      <x:c r="P1751" s="16" t="n">
        <x:f>K1751*N1751</x:f>
        <x:v>124.41</x:v>
      </x:c>
      <x:c r="Q1751" s="16" t="n">
        <x:f>O1751-P1751</x:f>
        <x:v>161.59</x:v>
      </x:c>
      <x:c r="R1751" s="2" t="n">
        <x:v>142</x:v>
      </x:c>
      <x:c r="S1751" s="2" t="n">
        <x:v>0</x:v>
      </x:c>
      <x:c r="T1751" s="2" t="n">
        <x:f>R1751+S1751+J1751-I1751</x:f>
        <x:v>129</x:v>
      </x:c>
      <x:c r="U1751" s="2" t="n">
        <x:v>0</x:v>
      </x:c>
      <x:c r="V1751" s="2" t="n">
        <x:v>2</x:v>
      </x:c>
      <x:c r="W1751" s="2" t="n">
        <x:v>13</x:v>
      </x:c>
      <x:c r="X1751" s="14" t="b">
        <x:v>0</x:v>
      </x:c>
      <x:c r="Y1751" s="14" t="b">
        <x:v>0</x:v>
      </x:c>
      <x:c r="Z1751" s="2" t="n">
        <x:f>ABS(T1751-AA1751)</x:f>
        <x:v>0</x:v>
      </x:c>
      <x:c r="AA1751" s="2" t="n">
        <x:v>129</x:v>
      </x:c>
      <x:c r="AB1751" s="2" t="n">
        <x:f>ABS(K1751-W1751)</x:f>
        <x:v>0</x:v>
      </x:c>
      <x:c r="AC1751" s="2" t="n">
        <x:f>COUNTIF($A$2:$A$1921,A1751)-1</x:f>
        <x:v>0</x:v>
      </x:c>
      <x:c r="AD1751" s="2" t="n">
        <x:f>IF(AND(D1751=D1750,H1751=H1750,C1751=C1750+1),ABS(R1751-T1750),0)</x:f>
        <x:v>0</x:v>
      </x:c>
    </x:row>
    <x:row r="1752" ht="23" customHeight="1">
      <x:c r="A1752" s="2" t="str">
        <x:v>DEMO-404-3-11</x:v>
      </x:c>
      <x:c r="B1752" s="15" t="d">
        <x:v>2026-07-13T00:00:00.000Z</x:v>
      </x:c>
      <x:c r="C1752" s="2" t="n">
        <x:v>11</x:v>
      </x:c>
      <x:c r="D1752" s="2" t="str">
        <x:v>DEMO-404</x:v>
      </x:c>
      <x:c r="E1752" s="2" t="str">
        <x:v>Woven Lanyard</x:v>
      </x:c>
      <x:c r="F1752" s="2" t="str">
        <x:v>Accessories</x:v>
      </x:c>
      <x:c r="G1752" s="2" t="str">
        <x:v>Online</x:v>
      </x:c>
      <x:c r="H1752" s="2" t="str">
        <x:v>Online</x:v>
      </x:c>
      <x:c r="I1752" s="2" t="n">
        <x:v>16</x:v>
      </x:c>
      <x:c r="J1752" s="2" t="n">
        <x:v>0</x:v>
      </x:c>
      <x:c r="K1752" s="2" t="n">
        <x:f>I1752-J1752</x:f>
        <x:v>16</x:v>
      </x:c>
      <x:c r="L1752" s="16" t="n">
        <x:v>22</x:v>
      </x:c>
      <x:c r="M1752" s="16" t="n">
        <x:v>22</x:v>
      </x:c>
      <x:c r="N1752" s="16" t="n">
        <x:v>9.57</x:v>
      </x:c>
      <x:c r="O1752" s="16" t="n">
        <x:f>K1752*M1752</x:f>
        <x:v>352</x:v>
      </x:c>
      <x:c r="P1752" s="16" t="n">
        <x:f>K1752*N1752</x:f>
        <x:v>153.12</x:v>
      </x:c>
      <x:c r="Q1752" s="16" t="n">
        <x:f>O1752-P1752</x:f>
        <x:v>198.88</x:v>
      </x:c>
      <x:c r="R1752" s="2" t="n">
        <x:v>129</x:v>
      </x:c>
      <x:c r="S1752" s="2" t="n">
        <x:v>0</x:v>
      </x:c>
      <x:c r="T1752" s="2" t="n">
        <x:f>R1752+S1752+J1752-I1752</x:f>
        <x:v>113</x:v>
      </x:c>
      <x:c r="U1752" s="2" t="n">
        <x:v>0</x:v>
      </x:c>
      <x:c r="V1752" s="2" t="n">
        <x:v>2</x:v>
      </x:c>
      <x:c r="W1752" s="2" t="n">
        <x:v>13</x:v>
      </x:c>
      <x:c r="X1752" s="14" t="b">
        <x:v>0</x:v>
      </x:c>
      <x:c r="Y1752" s="14" t="b">
        <x:v>0</x:v>
      </x:c>
      <x:c r="Z1752" s="2" t="n">
        <x:f>ABS(T1752-AA1752)</x:f>
        <x:v>0</x:v>
      </x:c>
      <x:c r="AA1752" s="2" t="n">
        <x:v>113</x:v>
      </x:c>
      <x:c r="AB1752" s="2" t="n">
        <x:f>ABS(K1752-W1752)</x:f>
        <x:v>3</x:v>
      </x:c>
      <x:c r="AC1752" s="2" t="n">
        <x:f>COUNTIF($A$2:$A$1921,A1752)-1</x:f>
        <x:v>0</x:v>
      </x:c>
      <x:c r="AD1752" s="2" t="n">
        <x:f>IF(AND(D1752=D1751,H1752=H1751,C1752=C1751+1),ABS(R1752-T1751),0)</x:f>
        <x:v>0</x:v>
      </x:c>
    </x:row>
    <x:row r="1753" ht="23" customHeight="1">
      <x:c r="A1753" s="2" t="str">
        <x:v>DEMO-404-3-12</x:v>
      </x:c>
      <x:c r="B1753" s="15" t="d">
        <x:v>2026-07-20T00:00:00.000Z</x:v>
      </x:c>
      <x:c r="C1753" s="2" t="n">
        <x:v>12</x:v>
      </x:c>
      <x:c r="D1753" s="2" t="str">
        <x:v>DEMO-404</x:v>
      </x:c>
      <x:c r="E1753" s="2" t="str">
        <x:v>Woven Lanyard</x:v>
      </x:c>
      <x:c r="F1753" s="2" t="str">
        <x:v>Accessories</x:v>
      </x:c>
      <x:c r="G1753" s="2" t="str">
        <x:v>Online</x:v>
      </x:c>
      <x:c r="H1753" s="2" t="str">
        <x:v>Online</x:v>
      </x:c>
      <x:c r="I1753" s="2" t="n">
        <x:v>14</x:v>
      </x:c>
      <x:c r="J1753" s="2" t="n">
        <x:v>0</x:v>
      </x:c>
      <x:c r="K1753" s="2" t="n">
        <x:f>I1753-J1753</x:f>
        <x:v>14</x:v>
      </x:c>
      <x:c r="L1753" s="16" t="n">
        <x:v>22</x:v>
      </x:c>
      <x:c r="M1753" s="16" t="n">
        <x:v>22</x:v>
      </x:c>
      <x:c r="N1753" s="16" t="n">
        <x:v>9.57</x:v>
      </x:c>
      <x:c r="O1753" s="16" t="n">
        <x:f>K1753*M1753</x:f>
        <x:v>308</x:v>
      </x:c>
      <x:c r="P1753" s="16" t="n">
        <x:f>K1753*N1753</x:f>
        <x:v>133.98000000000002</x:v>
      </x:c>
      <x:c r="Q1753" s="16" t="n">
        <x:f>O1753-P1753</x:f>
        <x:v>174.01999999999998</x:v>
      </x:c>
      <x:c r="R1753" s="2" t="n">
        <x:v>113</x:v>
      </x:c>
      <x:c r="S1753" s="2" t="n">
        <x:v>0</x:v>
      </x:c>
      <x:c r="T1753" s="2" t="n">
        <x:f>R1753+S1753+J1753-I1753</x:f>
        <x:v>99</x:v>
      </x:c>
      <x:c r="U1753" s="2" t="n">
        <x:v>0</x:v>
      </x:c>
      <x:c r="V1753" s="2" t="n">
        <x:v>2</x:v>
      </x:c>
      <x:c r="W1753" s="2" t="n">
        <x:v>14</x:v>
      </x:c>
      <x:c r="X1753" s="14" t="b">
        <x:v>0</x:v>
      </x:c>
      <x:c r="Y1753" s="14" t="b">
        <x:v>0</x:v>
      </x:c>
      <x:c r="Z1753" s="2" t="n">
        <x:f>ABS(T1753-AA1753)</x:f>
        <x:v>0</x:v>
      </x:c>
      <x:c r="AA1753" s="2" t="n">
        <x:v>99</x:v>
      </x:c>
      <x:c r="AB1753" s="2" t="n">
        <x:f>ABS(K1753-W1753)</x:f>
        <x:v>0</x:v>
      </x:c>
      <x:c r="AC1753" s="2" t="n">
        <x:f>COUNTIF($A$2:$A$1921,A1753)-1</x:f>
        <x:v>0</x:v>
      </x:c>
      <x:c r="AD1753" s="2" t="n">
        <x:f>IF(AND(D1753=D1752,H1753=H1752,C1753=C1752+1),ABS(R1753-T1752),0)</x:f>
        <x:v>0</x:v>
      </x:c>
    </x:row>
    <x:row r="1754" ht="23" customHeight="1">
      <x:c r="A1754" s="2" t="str">
        <x:v>DEMO-404-3-13</x:v>
      </x:c>
      <x:c r="B1754" s="15" t="d">
        <x:v>2026-07-27T00:00:00.000Z</x:v>
      </x:c>
      <x:c r="C1754" s="2" t="n">
        <x:v>13</x:v>
      </x:c>
      <x:c r="D1754" s="2" t="str">
        <x:v>DEMO-404</x:v>
      </x:c>
      <x:c r="E1754" s="2" t="str">
        <x:v>Woven Lanyard</x:v>
      </x:c>
      <x:c r="F1754" s="2" t="str">
        <x:v>Accessories</x:v>
      </x:c>
      <x:c r="G1754" s="2" t="str">
        <x:v>Online</x:v>
      </x:c>
      <x:c r="H1754" s="2" t="str">
        <x:v>Online</x:v>
      </x:c>
      <x:c r="I1754" s="2" t="n">
        <x:v>15</x:v>
      </x:c>
      <x:c r="J1754" s="2" t="n">
        <x:v>0</x:v>
      </x:c>
      <x:c r="K1754" s="2" t="n">
        <x:f>I1754-J1754</x:f>
        <x:v>15</x:v>
      </x:c>
      <x:c r="L1754" s="16" t="n">
        <x:v>22</x:v>
      </x:c>
      <x:c r="M1754" s="16" t="n">
        <x:v>22</x:v>
      </x:c>
      <x:c r="N1754" s="16" t="n">
        <x:v>9.57</x:v>
      </x:c>
      <x:c r="O1754" s="16" t="n">
        <x:f>K1754*M1754</x:f>
        <x:v>330</x:v>
      </x:c>
      <x:c r="P1754" s="16" t="n">
        <x:f>K1754*N1754</x:f>
        <x:v>143.55</x:v>
      </x:c>
      <x:c r="Q1754" s="16" t="n">
        <x:f>O1754-P1754</x:f>
        <x:v>186.45</x:v>
      </x:c>
      <x:c r="R1754" s="2" t="n">
        <x:v>99</x:v>
      </x:c>
      <x:c r="S1754" s="2" t="n">
        <x:v>57</x:v>
      </x:c>
      <x:c r="T1754" s="2" t="n">
        <x:f>R1754+S1754+J1754-I1754</x:f>
        <x:v>141</x:v>
      </x:c>
      <x:c r="U1754" s="2" t="n">
        <x:v>0</x:v>
      </x:c>
      <x:c r="V1754" s="2" t="n">
        <x:v>2</x:v>
      </x:c>
      <x:c r="W1754" s="2" t="n">
        <x:v>13</x:v>
      </x:c>
      <x:c r="X1754" s="14" t="b">
        <x:v>0</x:v>
      </x:c>
      <x:c r="Y1754" s="14" t="b">
        <x:v>0</x:v>
      </x:c>
      <x:c r="Z1754" s="2" t="n">
        <x:f>ABS(T1754-AA1754)</x:f>
        <x:v>0</x:v>
      </x:c>
      <x:c r="AA1754" s="2" t="n">
        <x:v>141</x:v>
      </x:c>
      <x:c r="AB1754" s="2" t="n">
        <x:f>ABS(K1754-W1754)</x:f>
        <x:v>2</x:v>
      </x:c>
      <x:c r="AC1754" s="2" t="n">
        <x:f>COUNTIF($A$2:$A$1921,A1754)-1</x:f>
        <x:v>0</x:v>
      </x:c>
      <x:c r="AD1754" s="2" t="n">
        <x:f>IF(AND(D1754=D1753,H1754=H1753,C1754=C1753+1),ABS(R1754-T1753),0)</x:f>
        <x:v>0</x:v>
      </x:c>
    </x:row>
    <x:row r="1755" ht="23" customHeight="1">
      <x:c r="A1755" s="2" t="str">
        <x:v>DEMO-404-3-14</x:v>
      </x:c>
      <x:c r="B1755" s="15" t="d">
        <x:v>2026-08-03T00:00:00.000Z</x:v>
      </x:c>
      <x:c r="C1755" s="2" t="n">
        <x:v>14</x:v>
      </x:c>
      <x:c r="D1755" s="2" t="str">
        <x:v>DEMO-404</x:v>
      </x:c>
      <x:c r="E1755" s="2" t="str">
        <x:v>Woven Lanyard</x:v>
      </x:c>
      <x:c r="F1755" s="2" t="str">
        <x:v>Accessories</x:v>
      </x:c>
      <x:c r="G1755" s="2" t="str">
        <x:v>Online</x:v>
      </x:c>
      <x:c r="H1755" s="2" t="str">
        <x:v>Online</x:v>
      </x:c>
      <x:c r="I1755" s="2" t="n">
        <x:v>13</x:v>
      </x:c>
      <x:c r="J1755" s="2" t="n">
        <x:v>0</x:v>
      </x:c>
      <x:c r="K1755" s="2" t="n">
        <x:f>I1755-J1755</x:f>
        <x:v>13</x:v>
      </x:c>
      <x:c r="L1755" s="16" t="n">
        <x:v>22</x:v>
      </x:c>
      <x:c r="M1755" s="16" t="n">
        <x:v>22</x:v>
      </x:c>
      <x:c r="N1755" s="16" t="n">
        <x:v>9.57</x:v>
      </x:c>
      <x:c r="O1755" s="16" t="n">
        <x:f>K1755*M1755</x:f>
        <x:v>286</x:v>
      </x:c>
      <x:c r="P1755" s="16" t="n">
        <x:f>K1755*N1755</x:f>
        <x:v>124.41</x:v>
      </x:c>
      <x:c r="Q1755" s="16" t="n">
        <x:f>O1755-P1755</x:f>
        <x:v>161.59</x:v>
      </x:c>
      <x:c r="R1755" s="2" t="n">
        <x:v>141</x:v>
      </x:c>
      <x:c r="S1755" s="2" t="n">
        <x:v>0</x:v>
      </x:c>
      <x:c r="T1755" s="2" t="n">
        <x:f>R1755+S1755+J1755-I1755</x:f>
        <x:v>128</x:v>
      </x:c>
      <x:c r="U1755" s="2" t="n">
        <x:v>0</x:v>
      </x:c>
      <x:c r="V1755" s="2" t="n">
        <x:v>2</x:v>
      </x:c>
      <x:c r="W1755" s="2" t="n">
        <x:v>15</x:v>
      </x:c>
      <x:c r="X1755" s="14" t="b">
        <x:v>0</x:v>
      </x:c>
      <x:c r="Y1755" s="14" t="b">
        <x:v>0</x:v>
      </x:c>
      <x:c r="Z1755" s="2" t="n">
        <x:f>ABS(T1755-AA1755)</x:f>
        <x:v>0</x:v>
      </x:c>
      <x:c r="AA1755" s="2" t="n">
        <x:v>128</x:v>
      </x:c>
      <x:c r="AB1755" s="2" t="n">
        <x:f>ABS(K1755-W1755)</x:f>
        <x:v>2</x:v>
      </x:c>
      <x:c r="AC1755" s="2" t="n">
        <x:f>COUNTIF($A$2:$A$1921,A1755)-1</x:f>
        <x:v>0</x:v>
      </x:c>
      <x:c r="AD1755" s="2" t="n">
        <x:f>IF(AND(D1755=D1754,H1755=H1754,C1755=C1754+1),ABS(R1755-T1754),0)</x:f>
        <x:v>0</x:v>
      </x:c>
    </x:row>
    <x:row r="1756" ht="23" customHeight="1">
      <x:c r="A1756" s="2" t="str">
        <x:v>DEMO-404-3-15</x:v>
      </x:c>
      <x:c r="B1756" s="15" t="d">
        <x:v>2026-08-10T00:00:00.000Z</x:v>
      </x:c>
      <x:c r="C1756" s="2" t="n">
        <x:v>15</x:v>
      </x:c>
      <x:c r="D1756" s="2" t="str">
        <x:v>DEMO-404</x:v>
      </x:c>
      <x:c r="E1756" s="2" t="str">
        <x:v>Woven Lanyard</x:v>
      </x:c>
      <x:c r="F1756" s="2" t="str">
        <x:v>Accessories</x:v>
      </x:c>
      <x:c r="G1756" s="2" t="str">
        <x:v>Online</x:v>
      </x:c>
      <x:c r="H1756" s="2" t="str">
        <x:v>Online</x:v>
      </x:c>
      <x:c r="I1756" s="2" t="n">
        <x:v>13</x:v>
      </x:c>
      <x:c r="J1756" s="2" t="n">
        <x:v>1</x:v>
      </x:c>
      <x:c r="K1756" s="2" t="n">
        <x:f>I1756-J1756</x:f>
        <x:v>12</x:v>
      </x:c>
      <x:c r="L1756" s="16" t="n">
        <x:v>22</x:v>
      </x:c>
      <x:c r="M1756" s="16" t="n">
        <x:v>22</x:v>
      </x:c>
      <x:c r="N1756" s="16" t="n">
        <x:v>9.57</x:v>
      </x:c>
      <x:c r="O1756" s="16" t="n">
        <x:f>K1756*M1756</x:f>
        <x:v>264</x:v>
      </x:c>
      <x:c r="P1756" s="16" t="n">
        <x:f>K1756*N1756</x:f>
        <x:v>114.84</x:v>
      </x:c>
      <x:c r="Q1756" s="16" t="n">
        <x:f>O1756-P1756</x:f>
        <x:v>149.16</x:v>
      </x:c>
      <x:c r="R1756" s="2" t="n">
        <x:v>128</x:v>
      </x:c>
      <x:c r="S1756" s="2" t="n">
        <x:v>0</x:v>
      </x:c>
      <x:c r="T1756" s="2" t="n">
        <x:f>R1756+S1756+J1756-I1756</x:f>
        <x:v>116</x:v>
      </x:c>
      <x:c r="U1756" s="2" t="n">
        <x:v>0</x:v>
      </x:c>
      <x:c r="V1756" s="2" t="n">
        <x:v>2</x:v>
      </x:c>
      <x:c r="W1756" s="2" t="n">
        <x:v>15</x:v>
      </x:c>
      <x:c r="X1756" s="14" t="b">
        <x:v>0</x:v>
      </x:c>
      <x:c r="Y1756" s="14" t="b">
        <x:v>0</x:v>
      </x:c>
      <x:c r="Z1756" s="2" t="n">
        <x:f>ABS(T1756-AA1756)</x:f>
        <x:v>0</x:v>
      </x:c>
      <x:c r="AA1756" s="2" t="n">
        <x:v>116</x:v>
      </x:c>
      <x:c r="AB1756" s="2" t="n">
        <x:f>ABS(K1756-W1756)</x:f>
        <x:v>3</x:v>
      </x:c>
      <x:c r="AC1756" s="2" t="n">
        <x:f>COUNTIF($A$2:$A$1921,A1756)-1</x:f>
        <x:v>0</x:v>
      </x:c>
      <x:c r="AD1756" s="2" t="n">
        <x:f>IF(AND(D1756=D1755,H1756=H1755,C1756=C1755+1),ABS(R1756-T1755),0)</x:f>
        <x:v>0</x:v>
      </x:c>
    </x:row>
    <x:row r="1757" ht="23" customHeight="1">
      <x:c r="A1757" s="2" t="str">
        <x:v>DEMO-404-3-16</x:v>
      </x:c>
      <x:c r="B1757" s="15" t="d">
        <x:v>2026-08-17T00:00:00.000Z</x:v>
      </x:c>
      <x:c r="C1757" s="2" t="n">
        <x:v>16</x:v>
      </x:c>
      <x:c r="D1757" s="2" t="str">
        <x:v>DEMO-404</x:v>
      </x:c>
      <x:c r="E1757" s="2" t="str">
        <x:v>Woven Lanyard</x:v>
      </x:c>
      <x:c r="F1757" s="2" t="str">
        <x:v>Accessories</x:v>
      </x:c>
      <x:c r="G1757" s="2" t="str">
        <x:v>Online</x:v>
      </x:c>
      <x:c r="H1757" s="2" t="str">
        <x:v>Online</x:v>
      </x:c>
      <x:c r="I1757" s="2" t="n">
        <x:v>15</x:v>
      </x:c>
      <x:c r="J1757" s="2" t="n">
        <x:v>0</x:v>
      </x:c>
      <x:c r="K1757" s="2" t="n">
        <x:f>I1757-J1757</x:f>
        <x:v>15</x:v>
      </x:c>
      <x:c r="L1757" s="16" t="n">
        <x:v>22</x:v>
      </x:c>
      <x:c r="M1757" s="16" t="n">
        <x:v>22</x:v>
      </x:c>
      <x:c r="N1757" s="16" t="n">
        <x:v>9.57</x:v>
      </x:c>
      <x:c r="O1757" s="16" t="n">
        <x:f>K1757*M1757</x:f>
        <x:v>330</x:v>
      </x:c>
      <x:c r="P1757" s="16" t="n">
        <x:f>K1757*N1757</x:f>
        <x:v>143.55</x:v>
      </x:c>
      <x:c r="Q1757" s="16" t="n">
        <x:f>O1757-P1757</x:f>
        <x:v>186.45</x:v>
      </x:c>
      <x:c r="R1757" s="2" t="n">
        <x:v>116</x:v>
      </x:c>
      <x:c r="S1757" s="2" t="n">
        <x:v>0</x:v>
      </x:c>
      <x:c r="T1757" s="2" t="n">
        <x:f>R1757+S1757+J1757-I1757</x:f>
        <x:v>101</x:v>
      </x:c>
      <x:c r="U1757" s="2" t="n">
        <x:v>0</x:v>
      </x:c>
      <x:c r="V1757" s="2" t="n">
        <x:v>2</x:v>
      </x:c>
      <x:c r="W1757" s="2" t="n">
        <x:v>14</x:v>
      </x:c>
      <x:c r="X1757" s="14" t="b">
        <x:v>0</x:v>
      </x:c>
      <x:c r="Y1757" s="14" t="b">
        <x:v>0</x:v>
      </x:c>
      <x:c r="Z1757" s="2" t="n">
        <x:f>ABS(T1757-AA1757)</x:f>
        <x:v>0</x:v>
      </x:c>
      <x:c r="AA1757" s="2" t="n">
        <x:v>101</x:v>
      </x:c>
      <x:c r="AB1757" s="2" t="n">
        <x:f>ABS(K1757-W1757)</x:f>
        <x:v>1</x:v>
      </x:c>
      <x:c r="AC1757" s="2" t="n">
        <x:f>COUNTIF($A$2:$A$1921,A1757)-1</x:f>
        <x:v>0</x:v>
      </x:c>
      <x:c r="AD1757" s="2" t="n">
        <x:f>IF(AND(D1757=D1756,H1757=H1756,C1757=C1756+1),ABS(R1757-T1756),0)</x:f>
        <x:v>0</x:v>
      </x:c>
    </x:row>
    <x:row r="1758" ht="23" customHeight="1">
      <x:c r="A1758" s="2" t="str">
        <x:v>DEMO-404-3-17</x:v>
      </x:c>
      <x:c r="B1758" s="15" t="d">
        <x:v>2026-08-24T00:00:00.000Z</x:v>
      </x:c>
      <x:c r="C1758" s="2" t="n">
        <x:v>17</x:v>
      </x:c>
      <x:c r="D1758" s="2" t="str">
        <x:v>DEMO-404</x:v>
      </x:c>
      <x:c r="E1758" s="2" t="str">
        <x:v>Woven Lanyard</x:v>
      </x:c>
      <x:c r="F1758" s="2" t="str">
        <x:v>Accessories</x:v>
      </x:c>
      <x:c r="G1758" s="2" t="str">
        <x:v>Online</x:v>
      </x:c>
      <x:c r="H1758" s="2" t="str">
        <x:v>Online</x:v>
      </x:c>
      <x:c r="I1758" s="2" t="n">
        <x:v>12</x:v>
      </x:c>
      <x:c r="J1758" s="2" t="n">
        <x:v>0</x:v>
      </x:c>
      <x:c r="K1758" s="2" t="n">
        <x:f>I1758-J1758</x:f>
        <x:v>12</x:v>
      </x:c>
      <x:c r="L1758" s="16" t="n">
        <x:v>22</x:v>
      </x:c>
      <x:c r="M1758" s="16" t="n">
        <x:v>22</x:v>
      </x:c>
      <x:c r="N1758" s="16" t="n">
        <x:v>9.57</x:v>
      </x:c>
      <x:c r="O1758" s="16" t="n">
        <x:f>K1758*M1758</x:f>
        <x:v>264</x:v>
      </x:c>
      <x:c r="P1758" s="16" t="n">
        <x:f>K1758*N1758</x:f>
        <x:v>114.84</x:v>
      </x:c>
      <x:c r="Q1758" s="16" t="n">
        <x:f>O1758-P1758</x:f>
        <x:v>149.16</x:v>
      </x:c>
      <x:c r="R1758" s="2" t="n">
        <x:v>101</x:v>
      </x:c>
      <x:c r="S1758" s="2" t="n">
        <x:v>57</x:v>
      </x:c>
      <x:c r="T1758" s="2" t="n">
        <x:f>R1758+S1758+J1758-I1758</x:f>
        <x:v>146</x:v>
      </x:c>
      <x:c r="U1758" s="2" t="n">
        <x:v>0</x:v>
      </x:c>
      <x:c r="V1758" s="2" t="n">
        <x:v>2</x:v>
      </x:c>
      <x:c r="W1758" s="2" t="n">
        <x:v>14</x:v>
      </x:c>
      <x:c r="X1758" s="14" t="b">
        <x:v>0</x:v>
      </x:c>
      <x:c r="Y1758" s="14" t="b">
        <x:v>0</x:v>
      </x:c>
      <x:c r="Z1758" s="2" t="n">
        <x:f>ABS(T1758-AA1758)</x:f>
        <x:v>0</x:v>
      </x:c>
      <x:c r="AA1758" s="2" t="n">
        <x:v>146</x:v>
      </x:c>
      <x:c r="AB1758" s="2" t="n">
        <x:f>ABS(K1758-W1758)</x:f>
        <x:v>2</x:v>
      </x:c>
      <x:c r="AC1758" s="2" t="n">
        <x:f>COUNTIF($A$2:$A$1921,A1758)-1</x:f>
        <x:v>0</x:v>
      </x:c>
      <x:c r="AD1758" s="2" t="n">
        <x:f>IF(AND(D1758=D1757,H1758=H1757,C1758=C1757+1),ABS(R1758-T1757),0)</x:f>
        <x:v>0</x:v>
      </x:c>
    </x:row>
    <x:row r="1759" ht="23" customHeight="1">
      <x:c r="A1759" s="2" t="str">
        <x:v>DEMO-404-3-18</x:v>
      </x:c>
      <x:c r="B1759" s="15" t="d">
        <x:v>2026-08-31T00:00:00.000Z</x:v>
      </x:c>
      <x:c r="C1759" s="2" t="n">
        <x:v>18</x:v>
      </x:c>
      <x:c r="D1759" s="2" t="str">
        <x:v>DEMO-404</x:v>
      </x:c>
      <x:c r="E1759" s="2" t="str">
        <x:v>Woven Lanyard</x:v>
      </x:c>
      <x:c r="F1759" s="2" t="str">
        <x:v>Accessories</x:v>
      </x:c>
      <x:c r="G1759" s="2" t="str">
        <x:v>Online</x:v>
      </x:c>
      <x:c r="H1759" s="2" t="str">
        <x:v>Online</x:v>
      </x:c>
      <x:c r="I1759" s="2" t="n">
        <x:v>15</x:v>
      </x:c>
      <x:c r="J1759" s="2" t="n">
        <x:v>1</x:v>
      </x:c>
      <x:c r="K1759" s="2" t="n">
        <x:f>I1759-J1759</x:f>
        <x:v>14</x:v>
      </x:c>
      <x:c r="L1759" s="16" t="n">
        <x:v>22</x:v>
      </x:c>
      <x:c r="M1759" s="16" t="n">
        <x:v>22</x:v>
      </x:c>
      <x:c r="N1759" s="16" t="n">
        <x:v>9.57</x:v>
      </x:c>
      <x:c r="O1759" s="16" t="n">
        <x:f>K1759*M1759</x:f>
        <x:v>308</x:v>
      </x:c>
      <x:c r="P1759" s="16" t="n">
        <x:f>K1759*N1759</x:f>
        <x:v>133.98000000000002</x:v>
      </x:c>
      <x:c r="Q1759" s="16" t="n">
        <x:f>O1759-P1759</x:f>
        <x:v>174.01999999999998</x:v>
      </x:c>
      <x:c r="R1759" s="2" t="n">
        <x:v>146</x:v>
      </x:c>
      <x:c r="S1759" s="2" t="n">
        <x:v>0</x:v>
      </x:c>
      <x:c r="T1759" s="2" t="n">
        <x:f>R1759+S1759+J1759-I1759</x:f>
        <x:v>132</x:v>
      </x:c>
      <x:c r="U1759" s="2" t="n">
        <x:v>0</x:v>
      </x:c>
      <x:c r="V1759" s="2" t="n">
        <x:v>2</x:v>
      </x:c>
      <x:c r="W1759" s="2" t="n">
        <x:v>13</x:v>
      </x:c>
      <x:c r="X1759" s="14" t="b">
        <x:v>0</x:v>
      </x:c>
      <x:c r="Y1759" s="14" t="b">
        <x:v>0</x:v>
      </x:c>
      <x:c r="Z1759" s="2" t="n">
        <x:f>ABS(T1759-AA1759)</x:f>
        <x:v>0</x:v>
      </x:c>
      <x:c r="AA1759" s="2" t="n">
        <x:v>132</x:v>
      </x:c>
      <x:c r="AB1759" s="2" t="n">
        <x:f>ABS(K1759-W1759)</x:f>
        <x:v>1</x:v>
      </x:c>
      <x:c r="AC1759" s="2" t="n">
        <x:f>COUNTIF($A$2:$A$1921,A1759)-1</x:f>
        <x:v>0</x:v>
      </x:c>
      <x:c r="AD1759" s="2" t="n">
        <x:f>IF(AND(D1759=D1758,H1759=H1758,C1759=C1758+1),ABS(R1759-T1758),0)</x:f>
        <x:v>0</x:v>
      </x:c>
    </x:row>
    <x:row r="1760" ht="23" customHeight="1">
      <x:c r="A1760" s="2" t="str">
        <x:v>DEMO-404-3-19</x:v>
      </x:c>
      <x:c r="B1760" s="15" t="d">
        <x:v>2026-09-07T00:00:00.000Z</x:v>
      </x:c>
      <x:c r="C1760" s="2" t="n">
        <x:v>19</x:v>
      </x:c>
      <x:c r="D1760" s="2" t="str">
        <x:v>DEMO-404</x:v>
      </x:c>
      <x:c r="E1760" s="2" t="str">
        <x:v>Woven Lanyard</x:v>
      </x:c>
      <x:c r="F1760" s="2" t="str">
        <x:v>Accessories</x:v>
      </x:c>
      <x:c r="G1760" s="2" t="str">
        <x:v>Online</x:v>
      </x:c>
      <x:c r="H1760" s="2" t="str">
        <x:v>Online</x:v>
      </x:c>
      <x:c r="I1760" s="2" t="n">
        <x:v>14</x:v>
      </x:c>
      <x:c r="J1760" s="2" t="n">
        <x:v>0</x:v>
      </x:c>
      <x:c r="K1760" s="2" t="n">
        <x:f>I1760-J1760</x:f>
        <x:v>14</x:v>
      </x:c>
      <x:c r="L1760" s="16" t="n">
        <x:v>22</x:v>
      </x:c>
      <x:c r="M1760" s="16" t="n">
        <x:v>22</x:v>
      </x:c>
      <x:c r="N1760" s="16" t="n">
        <x:v>9.57</x:v>
      </x:c>
      <x:c r="O1760" s="16" t="n">
        <x:f>K1760*M1760</x:f>
        <x:v>308</x:v>
      </x:c>
      <x:c r="P1760" s="16" t="n">
        <x:f>K1760*N1760</x:f>
        <x:v>133.98000000000002</x:v>
      </x:c>
      <x:c r="Q1760" s="16" t="n">
        <x:f>O1760-P1760</x:f>
        <x:v>174.01999999999998</x:v>
      </x:c>
      <x:c r="R1760" s="2" t="n">
        <x:v>132</x:v>
      </x:c>
      <x:c r="S1760" s="2" t="n">
        <x:v>0</x:v>
      </x:c>
      <x:c r="T1760" s="2" t="n">
        <x:f>R1760+S1760+J1760-I1760</x:f>
        <x:v>118</x:v>
      </x:c>
      <x:c r="U1760" s="2" t="n">
        <x:v>0</x:v>
      </x:c>
      <x:c r="V1760" s="2" t="n">
        <x:v>2</x:v>
      </x:c>
      <x:c r="W1760" s="2" t="n">
        <x:v>13</x:v>
      </x:c>
      <x:c r="X1760" s="14" t="b">
        <x:v>0</x:v>
      </x:c>
      <x:c r="Y1760" s="14" t="b">
        <x:v>0</x:v>
      </x:c>
      <x:c r="Z1760" s="2" t="n">
        <x:f>ABS(T1760-AA1760)</x:f>
        <x:v>0</x:v>
      </x:c>
      <x:c r="AA1760" s="2" t="n">
        <x:v>118</x:v>
      </x:c>
      <x:c r="AB1760" s="2" t="n">
        <x:f>ABS(K1760-W1760)</x:f>
        <x:v>1</x:v>
      </x:c>
      <x:c r="AC1760" s="2" t="n">
        <x:f>COUNTIF($A$2:$A$1921,A1760)-1</x:f>
        <x:v>0</x:v>
      </x:c>
      <x:c r="AD1760" s="2" t="n">
        <x:f>IF(AND(D1760=D1759,H1760=H1759,C1760=C1759+1),ABS(R1760-T1759),0)</x:f>
        <x:v>0</x:v>
      </x:c>
    </x:row>
    <x:row r="1761" ht="23" customHeight="1">
      <x:c r="A1761" s="2" t="str">
        <x:v>DEMO-404-3-20</x:v>
      </x:c>
      <x:c r="B1761" s="15" t="d">
        <x:v>2026-09-14T00:00:00.000Z</x:v>
      </x:c>
      <x:c r="C1761" s="2" t="n">
        <x:v>20</x:v>
      </x:c>
      <x:c r="D1761" s="2" t="str">
        <x:v>DEMO-404</x:v>
      </x:c>
      <x:c r="E1761" s="2" t="str">
        <x:v>Woven Lanyard</x:v>
      </x:c>
      <x:c r="F1761" s="2" t="str">
        <x:v>Accessories</x:v>
      </x:c>
      <x:c r="G1761" s="2" t="str">
        <x:v>Online</x:v>
      </x:c>
      <x:c r="H1761" s="2" t="str">
        <x:v>Online</x:v>
      </x:c>
      <x:c r="I1761" s="2" t="n">
        <x:v>14</x:v>
      </x:c>
      <x:c r="J1761" s="2" t="n">
        <x:v>0</x:v>
      </x:c>
      <x:c r="K1761" s="2" t="n">
        <x:f>I1761-J1761</x:f>
        <x:v>14</x:v>
      </x:c>
      <x:c r="L1761" s="16" t="n">
        <x:v>22</x:v>
      </x:c>
      <x:c r="M1761" s="16" t="n">
        <x:v>22</x:v>
      </x:c>
      <x:c r="N1761" s="16" t="n">
        <x:v>9.57</x:v>
      </x:c>
      <x:c r="O1761" s="16" t="n">
        <x:f>K1761*M1761</x:f>
        <x:v>308</x:v>
      </x:c>
      <x:c r="P1761" s="16" t="n">
        <x:f>K1761*N1761</x:f>
        <x:v>133.98000000000002</x:v>
      </x:c>
      <x:c r="Q1761" s="16" t="n">
        <x:f>O1761-P1761</x:f>
        <x:v>174.01999999999998</x:v>
      </x:c>
      <x:c r="R1761" s="2" t="n">
        <x:v>118</x:v>
      </x:c>
      <x:c r="S1761" s="2" t="n">
        <x:v>0</x:v>
      </x:c>
      <x:c r="T1761" s="2" t="n">
        <x:f>R1761+S1761+J1761-I1761</x:f>
        <x:v>104</x:v>
      </x:c>
      <x:c r="U1761" s="2" t="n">
        <x:v>18</x:v>
      </x:c>
      <x:c r="V1761" s="2" t="n">
        <x:v>2</x:v>
      </x:c>
      <x:c r="W1761" s="2" t="n">
        <x:v>14</x:v>
      </x:c>
      <x:c r="X1761" s="14" t="b">
        <x:v>0</x:v>
      </x:c>
      <x:c r="Y1761" s="14" t="b">
        <x:v>0</x:v>
      </x:c>
      <x:c r="Z1761" s="2" t="n">
        <x:f>ABS(T1761-AA1761)</x:f>
        <x:v>0</x:v>
      </x:c>
      <x:c r="AA1761" s="2" t="n">
        <x:v>104</x:v>
      </x:c>
      <x:c r="AB1761" s="2" t="n">
        <x:f>ABS(K1761-W1761)</x:f>
        <x:v>0</x:v>
      </x:c>
      <x:c r="AC1761" s="2" t="n">
        <x:f>COUNTIF($A$2:$A$1921,A1761)-1</x:f>
        <x:v>0</x:v>
      </x:c>
      <x:c r="AD1761" s="2" t="n">
        <x:f>IF(AND(D1761=D1760,H1761=H1760,C1761=C1760+1),ABS(R1761-T1760),0)</x:f>
        <x:v>0</x:v>
      </x:c>
    </x:row>
    <x:row r="1762" ht="23" customHeight="1">
      <x:c r="A1762" s="2" t="str">
        <x:v>DEMO-405-0-1</x:v>
      </x:c>
      <x:c r="B1762" s="15" t="d">
        <x:v>2026-05-04T00:00:00.000Z</x:v>
      </x:c>
      <x:c r="C1762" s="2" t="n">
        <x:v>1</x:v>
      </x:c>
      <x:c r="D1762" s="2" t="str">
        <x:v>DEMO-405</x:v>
      </x:c>
      <x:c r="E1762" s="2" t="str">
        <x:v>Pebble Keyring</x:v>
      </x:c>
      <x:c r="F1762" s="2" t="str">
        <x:v>Accessories</x:v>
      </x:c>
      <x:c r="G1762" s="2" t="str">
        <x:v>Stores</x:v>
      </x:c>
      <x:c r="H1762" s="2" t="str">
        <x:v>North Arcade</x:v>
      </x:c>
      <x:c r="I1762" s="2" t="n">
        <x:v>10</x:v>
      </x:c>
      <x:c r="J1762" s="2" t="n">
        <x:v>1</x:v>
      </x:c>
      <x:c r="K1762" s="2" t="n">
        <x:f>I1762-J1762</x:f>
        <x:v>9</x:v>
      </x:c>
      <x:c r="L1762" s="16" t="n">
        <x:v>24</x:v>
      </x:c>
      <x:c r="M1762" s="16" t="n">
        <x:v>24</x:v>
      </x:c>
      <x:c r="N1762" s="16" t="n">
        <x:v>11.04</x:v>
      </x:c>
      <x:c r="O1762" s="16" t="n">
        <x:f>K1762*M1762</x:f>
        <x:v>216</x:v>
      </x:c>
      <x:c r="P1762" s="16" t="n">
        <x:f>K1762*N1762</x:f>
        <x:v>99.35999999999999</x:v>
      </x:c>
      <x:c r="Q1762" s="16" t="n">
        <x:f>O1762-P1762</x:f>
        <x:v>116.64000000000001</x:v>
      </x:c>
      <x:c r="R1762" s="2" t="n">
        <x:v>90</x:v>
      </x:c>
      <x:c r="S1762" s="2" t="n">
        <x:v>46</x:v>
      </x:c>
      <x:c r="T1762" s="2" t="n">
        <x:f>R1762+S1762+J1762-I1762</x:f>
        <x:v>127</x:v>
      </x:c>
      <x:c r="U1762" s="2" t="n">
        <x:v>0</x:v>
      </x:c>
      <x:c r="V1762" s="2" t="n">
        <x:v>3</x:v>
      </x:c>
      <x:c r="W1762" s="2" t="n">
        <x:v>11</x:v>
      </x:c>
      <x:c r="X1762" s="14" t="b">
        <x:v>0</x:v>
      </x:c>
      <x:c r="Y1762" s="14" t="b">
        <x:v>0</x:v>
      </x:c>
      <x:c r="Z1762" s="2" t="n">
        <x:f>ABS(T1762-AA1762)</x:f>
        <x:v>0</x:v>
      </x:c>
      <x:c r="AA1762" s="2" t="n">
        <x:v>127</x:v>
      </x:c>
      <x:c r="AB1762" s="2" t="n">
        <x:f>ABS(K1762-W1762)</x:f>
        <x:v>2</x:v>
      </x:c>
      <x:c r="AC1762" s="2" t="n">
        <x:f>COUNTIF($A$2:$A$1921,A1762)-1</x:f>
        <x:v>0</x:v>
      </x:c>
      <x:c r="AD1762" s="2" t="n">
        <x:f>IF(AND(D1762=D1761,H1762=H1761,C1762=C1761+1),ABS(R1762-T1761),0)</x:f>
        <x:v>0</x:v>
      </x:c>
    </x:row>
    <x:row r="1763" ht="23" customHeight="1">
      <x:c r="A1763" s="2" t="str">
        <x:v>DEMO-405-0-2</x:v>
      </x:c>
      <x:c r="B1763" s="15" t="d">
        <x:v>2026-05-11T00:00:00.000Z</x:v>
      </x:c>
      <x:c r="C1763" s="2" t="n">
        <x:v>2</x:v>
      </x:c>
      <x:c r="D1763" s="2" t="str">
        <x:v>DEMO-405</x:v>
      </x:c>
      <x:c r="E1763" s="2" t="str">
        <x:v>Pebble Keyring</x:v>
      </x:c>
      <x:c r="F1763" s="2" t="str">
        <x:v>Accessories</x:v>
      </x:c>
      <x:c r="G1763" s="2" t="str">
        <x:v>Stores</x:v>
      </x:c>
      <x:c r="H1763" s="2" t="str">
        <x:v>North Arcade</x:v>
      </x:c>
      <x:c r="I1763" s="2" t="n">
        <x:v>12</x:v>
      </x:c>
      <x:c r="J1763" s="2" t="n">
        <x:v>0</x:v>
      </x:c>
      <x:c r="K1763" s="2" t="n">
        <x:f>I1763-J1763</x:f>
        <x:v>12</x:v>
      </x:c>
      <x:c r="L1763" s="16" t="n">
        <x:v>24</x:v>
      </x:c>
      <x:c r="M1763" s="16" t="n">
        <x:v>24</x:v>
      </x:c>
      <x:c r="N1763" s="16" t="n">
        <x:v>11.04</x:v>
      </x:c>
      <x:c r="O1763" s="16" t="n">
        <x:f>K1763*M1763</x:f>
        <x:v>288</x:v>
      </x:c>
      <x:c r="P1763" s="16" t="n">
        <x:f>K1763*N1763</x:f>
        <x:v>132.48</x:v>
      </x:c>
      <x:c r="Q1763" s="16" t="n">
        <x:f>O1763-P1763</x:f>
        <x:v>155.52</x:v>
      </x:c>
      <x:c r="R1763" s="2" t="n">
        <x:v>127</x:v>
      </x:c>
      <x:c r="S1763" s="2" t="n">
        <x:v>0</x:v>
      </x:c>
      <x:c r="T1763" s="2" t="n">
        <x:f>R1763+S1763+J1763-I1763</x:f>
        <x:v>115</x:v>
      </x:c>
      <x:c r="U1763" s="2" t="n">
        <x:v>0</x:v>
      </x:c>
      <x:c r="V1763" s="2" t="n">
        <x:v>3</x:v>
      </x:c>
      <x:c r="W1763" s="2" t="n">
        <x:v>9</x:v>
      </x:c>
      <x:c r="X1763" s="14" t="b">
        <x:v>0</x:v>
      </x:c>
      <x:c r="Y1763" s="14" t="b">
        <x:v>0</x:v>
      </x:c>
      <x:c r="Z1763" s="2" t="n">
        <x:f>ABS(T1763-AA1763)</x:f>
        <x:v>0</x:v>
      </x:c>
      <x:c r="AA1763" s="2" t="n">
        <x:v>115</x:v>
      </x:c>
      <x:c r="AB1763" s="2" t="n">
        <x:f>ABS(K1763-W1763)</x:f>
        <x:v>3</x:v>
      </x:c>
      <x:c r="AC1763" s="2" t="n">
        <x:f>COUNTIF($A$2:$A$1921,A1763)-1</x:f>
        <x:v>0</x:v>
      </x:c>
      <x:c r="AD1763" s="2" t="n">
        <x:f>IF(AND(D1763=D1762,H1763=H1762,C1763=C1762+1),ABS(R1763-T1762),0)</x:f>
        <x:v>0</x:v>
      </x:c>
    </x:row>
    <x:row r="1764" ht="23" customHeight="1">
      <x:c r="A1764" s="2" t="str">
        <x:v>DEMO-405-0-3</x:v>
      </x:c>
      <x:c r="B1764" s="15" t="d">
        <x:v>2026-05-18T00:00:00.000Z</x:v>
      </x:c>
      <x:c r="C1764" s="2" t="n">
        <x:v>3</x:v>
      </x:c>
      <x:c r="D1764" s="2" t="str">
        <x:v>DEMO-405</x:v>
      </x:c>
      <x:c r="E1764" s="2" t="str">
        <x:v>Pebble Keyring</x:v>
      </x:c>
      <x:c r="F1764" s="2" t="str">
        <x:v>Accessories</x:v>
      </x:c>
      <x:c r="G1764" s="2" t="str">
        <x:v>Stores</x:v>
      </x:c>
      <x:c r="H1764" s="2" t="str">
        <x:v>North Arcade</x:v>
      </x:c>
      <x:c r="I1764" s="2" t="n">
        <x:v>13</x:v>
      </x:c>
      <x:c r="J1764" s="2" t="n">
        <x:v>0</x:v>
      </x:c>
      <x:c r="K1764" s="2" t="n">
        <x:f>I1764-J1764</x:f>
        <x:v>13</x:v>
      </x:c>
      <x:c r="L1764" s="16" t="n">
        <x:v>24</x:v>
      </x:c>
      <x:c r="M1764" s="16" t="n">
        <x:v>24</x:v>
      </x:c>
      <x:c r="N1764" s="16" t="n">
        <x:v>11.04</x:v>
      </x:c>
      <x:c r="O1764" s="16" t="n">
        <x:f>K1764*M1764</x:f>
        <x:v>312</x:v>
      </x:c>
      <x:c r="P1764" s="16" t="n">
        <x:f>K1764*N1764</x:f>
        <x:v>143.51999999999998</x:v>
      </x:c>
      <x:c r="Q1764" s="16" t="n">
        <x:f>O1764-P1764</x:f>
        <x:v>168.48000000000002</x:v>
      </x:c>
      <x:c r="R1764" s="2" t="n">
        <x:v>115</x:v>
      </x:c>
      <x:c r="S1764" s="2" t="n">
        <x:v>0</x:v>
      </x:c>
      <x:c r="T1764" s="2" t="n">
        <x:f>R1764+S1764+J1764-I1764</x:f>
        <x:v>102</x:v>
      </x:c>
      <x:c r="U1764" s="2" t="n">
        <x:v>0</x:v>
      </x:c>
      <x:c r="V1764" s="2" t="n">
        <x:v>3</x:v>
      </x:c>
      <x:c r="W1764" s="2" t="n">
        <x:v>11</x:v>
      </x:c>
      <x:c r="X1764" s="14" t="b">
        <x:v>0</x:v>
      </x:c>
      <x:c r="Y1764" s="14" t="b">
        <x:v>0</x:v>
      </x:c>
      <x:c r="Z1764" s="2" t="n">
        <x:f>ABS(T1764-AA1764)</x:f>
        <x:v>0</x:v>
      </x:c>
      <x:c r="AA1764" s="2" t="n">
        <x:v>102</x:v>
      </x:c>
      <x:c r="AB1764" s="2" t="n">
        <x:f>ABS(K1764-W1764)</x:f>
        <x:v>2</x:v>
      </x:c>
      <x:c r="AC1764" s="2" t="n">
        <x:f>COUNTIF($A$2:$A$1921,A1764)-1</x:f>
        <x:v>0</x:v>
      </x:c>
      <x:c r="AD1764" s="2" t="n">
        <x:f>IF(AND(D1764=D1763,H1764=H1763,C1764=C1763+1),ABS(R1764-T1763),0)</x:f>
        <x:v>0</x:v>
      </x:c>
    </x:row>
    <x:row r="1765" ht="23" customHeight="1">
      <x:c r="A1765" s="2" t="str">
        <x:v>DEMO-405-0-4</x:v>
      </x:c>
      <x:c r="B1765" s="15" t="d">
        <x:v>2026-05-25T00:00:00.000Z</x:v>
      </x:c>
      <x:c r="C1765" s="2" t="n">
        <x:v>4</x:v>
      </x:c>
      <x:c r="D1765" s="2" t="str">
        <x:v>DEMO-405</x:v>
      </x:c>
      <x:c r="E1765" s="2" t="str">
        <x:v>Pebble Keyring</x:v>
      </x:c>
      <x:c r="F1765" s="2" t="str">
        <x:v>Accessories</x:v>
      </x:c>
      <x:c r="G1765" s="2" t="str">
        <x:v>Stores</x:v>
      </x:c>
      <x:c r="H1765" s="2" t="str">
        <x:v>North Arcade</x:v>
      </x:c>
      <x:c r="I1765" s="2" t="n">
        <x:v>12</x:v>
      </x:c>
      <x:c r="J1765" s="2" t="n">
        <x:v>0</x:v>
      </x:c>
      <x:c r="K1765" s="2" t="n">
        <x:f>I1765-J1765</x:f>
        <x:v>12</x:v>
      </x:c>
      <x:c r="L1765" s="16" t="n">
        <x:v>24</x:v>
      </x:c>
      <x:c r="M1765" s="16" t="n">
        <x:v>24</x:v>
      </x:c>
      <x:c r="N1765" s="16" t="n">
        <x:v>11.04</x:v>
      </x:c>
      <x:c r="O1765" s="16" t="n">
        <x:f>K1765*M1765</x:f>
        <x:v>288</x:v>
      </x:c>
      <x:c r="P1765" s="16" t="n">
        <x:f>K1765*N1765</x:f>
        <x:v>132.48</x:v>
      </x:c>
      <x:c r="Q1765" s="16" t="n">
        <x:f>O1765-P1765</x:f>
        <x:v>155.52</x:v>
      </x:c>
      <x:c r="R1765" s="2" t="n">
        <x:v>102</x:v>
      </x:c>
      <x:c r="S1765" s="2" t="n">
        <x:v>0</x:v>
      </x:c>
      <x:c r="T1765" s="2" t="n">
        <x:f>R1765+S1765+J1765-I1765</x:f>
        <x:v>90</x:v>
      </x:c>
      <x:c r="U1765" s="2" t="n">
        <x:v>0</x:v>
      </x:c>
      <x:c r="V1765" s="2" t="n">
        <x:v>3</x:v>
      </x:c>
      <x:c r="W1765" s="2" t="n">
        <x:v>11</x:v>
      </x:c>
      <x:c r="X1765" s="14" t="b">
        <x:v>0</x:v>
      </x:c>
      <x:c r="Y1765" s="14" t="b">
        <x:v>0</x:v>
      </x:c>
      <x:c r="Z1765" s="2" t="n">
        <x:f>ABS(T1765-AA1765)</x:f>
        <x:v>0</x:v>
      </x:c>
      <x:c r="AA1765" s="2" t="n">
        <x:v>90</x:v>
      </x:c>
      <x:c r="AB1765" s="2" t="n">
        <x:f>ABS(K1765-W1765)</x:f>
        <x:v>1</x:v>
      </x:c>
      <x:c r="AC1765" s="2" t="n">
        <x:f>COUNTIF($A$2:$A$1921,A1765)-1</x:f>
        <x:v>0</x:v>
      </x:c>
      <x:c r="AD1765" s="2" t="n">
        <x:f>IF(AND(D1765=D1764,H1765=H1764,C1765=C1764+1),ABS(R1765-T1764),0)</x:f>
        <x:v>0</x:v>
      </x:c>
    </x:row>
    <x:row r="1766" ht="23" customHeight="1">
      <x:c r="A1766" s="2" t="str">
        <x:v>DEMO-405-0-5</x:v>
      </x:c>
      <x:c r="B1766" s="15" t="d">
        <x:v>2026-06-01T00:00:00.000Z</x:v>
      </x:c>
      <x:c r="C1766" s="2" t="n">
        <x:v>5</x:v>
      </x:c>
      <x:c r="D1766" s="2" t="str">
        <x:v>DEMO-405</x:v>
      </x:c>
      <x:c r="E1766" s="2" t="str">
        <x:v>Pebble Keyring</x:v>
      </x:c>
      <x:c r="F1766" s="2" t="str">
        <x:v>Accessories</x:v>
      </x:c>
      <x:c r="G1766" s="2" t="str">
        <x:v>Stores</x:v>
      </x:c>
      <x:c r="H1766" s="2" t="str">
        <x:v>North Arcade</x:v>
      </x:c>
      <x:c r="I1766" s="2" t="n">
        <x:v>10</x:v>
      </x:c>
      <x:c r="J1766" s="2" t="n">
        <x:v>1</x:v>
      </x:c>
      <x:c r="K1766" s="2" t="n">
        <x:f>I1766-J1766</x:f>
        <x:v>9</x:v>
      </x:c>
      <x:c r="L1766" s="16" t="n">
        <x:v>24</x:v>
      </x:c>
      <x:c r="M1766" s="16" t="n">
        <x:v>24</x:v>
      </x:c>
      <x:c r="N1766" s="16" t="n">
        <x:v>11.04</x:v>
      </x:c>
      <x:c r="O1766" s="16" t="n">
        <x:f>K1766*M1766</x:f>
        <x:v>216</x:v>
      </x:c>
      <x:c r="P1766" s="16" t="n">
        <x:f>K1766*N1766</x:f>
        <x:v>99.35999999999999</x:v>
      </x:c>
      <x:c r="Q1766" s="16" t="n">
        <x:f>O1766-P1766</x:f>
        <x:v>116.64000000000001</x:v>
      </x:c>
      <x:c r="R1766" s="2" t="n">
        <x:v>90</x:v>
      </x:c>
      <x:c r="S1766" s="2" t="n">
        <x:v>46</x:v>
      </x:c>
      <x:c r="T1766" s="2" t="n">
        <x:f>R1766+S1766+J1766-I1766</x:f>
        <x:v>127</x:v>
      </x:c>
      <x:c r="U1766" s="2" t="n">
        <x:v>0</x:v>
      </x:c>
      <x:c r="V1766" s="2" t="n">
        <x:v>3</x:v>
      </x:c>
      <x:c r="W1766" s="2" t="n">
        <x:v>12</x:v>
      </x:c>
      <x:c r="X1766" s="14" t="b">
        <x:v>0</x:v>
      </x:c>
      <x:c r="Y1766" s="14" t="b">
        <x:v>0</x:v>
      </x:c>
      <x:c r="Z1766" s="2" t="n">
        <x:f>ABS(T1766-AA1766)</x:f>
        <x:v>0</x:v>
      </x:c>
      <x:c r="AA1766" s="2" t="n">
        <x:v>127</x:v>
      </x:c>
      <x:c r="AB1766" s="2" t="n">
        <x:f>ABS(K1766-W1766)</x:f>
        <x:v>3</x:v>
      </x:c>
      <x:c r="AC1766" s="2" t="n">
        <x:f>COUNTIF($A$2:$A$1921,A1766)-1</x:f>
        <x:v>0</x:v>
      </x:c>
      <x:c r="AD1766" s="2" t="n">
        <x:f>IF(AND(D1766=D1765,H1766=H1765,C1766=C1765+1),ABS(R1766-T1765),0)</x:f>
        <x:v>0</x:v>
      </x:c>
    </x:row>
    <x:row r="1767" ht="23" customHeight="1">
      <x:c r="A1767" s="2" t="str">
        <x:v>DEMO-405-0-6</x:v>
      </x:c>
      <x:c r="B1767" s="15" t="d">
        <x:v>2026-06-08T00:00:00.000Z</x:v>
      </x:c>
      <x:c r="C1767" s="2" t="n">
        <x:v>6</x:v>
      </x:c>
      <x:c r="D1767" s="2" t="str">
        <x:v>DEMO-405</x:v>
      </x:c>
      <x:c r="E1767" s="2" t="str">
        <x:v>Pebble Keyring</x:v>
      </x:c>
      <x:c r="F1767" s="2" t="str">
        <x:v>Accessories</x:v>
      </x:c>
      <x:c r="G1767" s="2" t="str">
        <x:v>Stores</x:v>
      </x:c>
      <x:c r="H1767" s="2" t="str">
        <x:v>North Arcade</x:v>
      </x:c>
      <x:c r="I1767" s="2" t="n">
        <x:v>11</x:v>
      </x:c>
      <x:c r="J1767" s="2" t="n">
        <x:v>1</x:v>
      </x:c>
      <x:c r="K1767" s="2" t="n">
        <x:f>I1767-J1767</x:f>
        <x:v>10</x:v>
      </x:c>
      <x:c r="L1767" s="16" t="n">
        <x:v>24</x:v>
      </x:c>
      <x:c r="M1767" s="16" t="n">
        <x:v>24</x:v>
      </x:c>
      <x:c r="N1767" s="16" t="n">
        <x:v>11.04</x:v>
      </x:c>
      <x:c r="O1767" s="16" t="n">
        <x:f>K1767*M1767</x:f>
        <x:v>240</x:v>
      </x:c>
      <x:c r="P1767" s="16" t="n">
        <x:f>K1767*N1767</x:f>
        <x:v>110.39999999999999</x:v>
      </x:c>
      <x:c r="Q1767" s="16" t="n">
        <x:f>O1767-P1767</x:f>
        <x:v>129.60000000000002</x:v>
      </x:c>
      <x:c r="R1767" s="2" t="n">
        <x:v>127</x:v>
      </x:c>
      <x:c r="S1767" s="2" t="n">
        <x:v>0</x:v>
      </x:c>
      <x:c r="T1767" s="2" t="n">
        <x:f>R1767+S1767+J1767-I1767</x:f>
        <x:v>117</x:v>
      </x:c>
      <x:c r="U1767" s="2" t="n">
        <x:v>0</x:v>
      </x:c>
      <x:c r="V1767" s="2" t="n">
        <x:v>3</x:v>
      </x:c>
      <x:c r="W1767" s="2" t="n">
        <x:v>12</x:v>
      </x:c>
      <x:c r="X1767" s="14" t="b">
        <x:v>0</x:v>
      </x:c>
      <x:c r="Y1767" s="14" t="b">
        <x:v>0</x:v>
      </x:c>
      <x:c r="Z1767" s="2" t="n">
        <x:f>ABS(T1767-AA1767)</x:f>
        <x:v>0</x:v>
      </x:c>
      <x:c r="AA1767" s="2" t="n">
        <x:v>117</x:v>
      </x:c>
      <x:c r="AB1767" s="2" t="n">
        <x:f>ABS(K1767-W1767)</x:f>
        <x:v>2</x:v>
      </x:c>
      <x:c r="AC1767" s="2" t="n">
        <x:f>COUNTIF($A$2:$A$1921,A1767)-1</x:f>
        <x:v>0</x:v>
      </x:c>
      <x:c r="AD1767" s="2" t="n">
        <x:f>IF(AND(D1767=D1766,H1767=H1766,C1767=C1766+1),ABS(R1767-T1766),0)</x:f>
        <x:v>0</x:v>
      </x:c>
    </x:row>
    <x:row r="1768" ht="23" customHeight="1">
      <x:c r="A1768" s="2" t="str">
        <x:v>DEMO-405-0-7</x:v>
      </x:c>
      <x:c r="B1768" s="15" t="d">
        <x:v>2026-06-15T00:00:00.000Z</x:v>
      </x:c>
      <x:c r="C1768" s="2" t="n">
        <x:v>7</x:v>
      </x:c>
      <x:c r="D1768" s="2" t="str">
        <x:v>DEMO-405</x:v>
      </x:c>
      <x:c r="E1768" s="2" t="str">
        <x:v>Pebble Keyring</x:v>
      </x:c>
      <x:c r="F1768" s="2" t="str">
        <x:v>Accessories</x:v>
      </x:c>
      <x:c r="G1768" s="2" t="str">
        <x:v>Stores</x:v>
      </x:c>
      <x:c r="H1768" s="2" t="str">
        <x:v>North Arcade</x:v>
      </x:c>
      <x:c r="I1768" s="2" t="n">
        <x:v>11</x:v>
      </x:c>
      <x:c r="J1768" s="2" t="n">
        <x:v>0</x:v>
      </x:c>
      <x:c r="K1768" s="2" t="n">
        <x:f>I1768-J1768</x:f>
        <x:v>11</x:v>
      </x:c>
      <x:c r="L1768" s="16" t="n">
        <x:v>24</x:v>
      </x:c>
      <x:c r="M1768" s="16" t="n">
        <x:v>24</x:v>
      </x:c>
      <x:c r="N1768" s="16" t="n">
        <x:v>11.04</x:v>
      </x:c>
      <x:c r="O1768" s="16" t="n">
        <x:f>K1768*M1768</x:f>
        <x:v>264</x:v>
      </x:c>
      <x:c r="P1768" s="16" t="n">
        <x:f>K1768*N1768</x:f>
        <x:v>121.44</x:v>
      </x:c>
      <x:c r="Q1768" s="16" t="n">
        <x:f>O1768-P1768</x:f>
        <x:v>142.56</x:v>
      </x:c>
      <x:c r="R1768" s="2" t="n">
        <x:v>117</x:v>
      </x:c>
      <x:c r="S1768" s="2" t="n">
        <x:v>0</x:v>
      </x:c>
      <x:c r="T1768" s="2" t="n">
        <x:f>R1768+S1768+J1768-I1768</x:f>
        <x:v>106</x:v>
      </x:c>
      <x:c r="U1768" s="2" t="n">
        <x:v>0</x:v>
      </x:c>
      <x:c r="V1768" s="2" t="n">
        <x:v>3</x:v>
      </x:c>
      <x:c r="W1768" s="2" t="n">
        <x:v>11</x:v>
      </x:c>
      <x:c r="X1768" s="14" t="b">
        <x:v>0</x:v>
      </x:c>
      <x:c r="Y1768" s="14" t="b">
        <x:v>0</x:v>
      </x:c>
      <x:c r="Z1768" s="2" t="n">
        <x:f>ABS(T1768-AA1768)</x:f>
        <x:v>0</x:v>
      </x:c>
      <x:c r="AA1768" s="2" t="n">
        <x:v>106</x:v>
      </x:c>
      <x:c r="AB1768" s="2" t="n">
        <x:f>ABS(K1768-W1768)</x:f>
        <x:v>0</x:v>
      </x:c>
      <x:c r="AC1768" s="2" t="n">
        <x:f>COUNTIF($A$2:$A$1921,A1768)-1</x:f>
        <x:v>0</x:v>
      </x:c>
      <x:c r="AD1768" s="2" t="n">
        <x:f>IF(AND(D1768=D1767,H1768=H1767,C1768=C1767+1),ABS(R1768-T1767),0)</x:f>
        <x:v>0</x:v>
      </x:c>
    </x:row>
    <x:row r="1769" ht="23" customHeight="1">
      <x:c r="A1769" s="2" t="str">
        <x:v>DEMO-405-0-8</x:v>
      </x:c>
      <x:c r="B1769" s="15" t="d">
        <x:v>2026-06-22T00:00:00.000Z</x:v>
      </x:c>
      <x:c r="C1769" s="2" t="n">
        <x:v>8</x:v>
      </x:c>
      <x:c r="D1769" s="2" t="str">
        <x:v>DEMO-405</x:v>
      </x:c>
      <x:c r="E1769" s="2" t="str">
        <x:v>Pebble Keyring</x:v>
      </x:c>
      <x:c r="F1769" s="2" t="str">
        <x:v>Accessories</x:v>
      </x:c>
      <x:c r="G1769" s="2" t="str">
        <x:v>Stores</x:v>
      </x:c>
      <x:c r="H1769" s="2" t="str">
        <x:v>North Arcade</x:v>
      </x:c>
      <x:c r="I1769" s="2" t="n">
        <x:v>9</x:v>
      </x:c>
      <x:c r="J1769" s="2" t="n">
        <x:v>0</x:v>
      </x:c>
      <x:c r="K1769" s="2" t="n">
        <x:f>I1769-J1769</x:f>
        <x:v>9</x:v>
      </x:c>
      <x:c r="L1769" s="16" t="n">
        <x:v>24</x:v>
      </x:c>
      <x:c r="M1769" s="16" t="n">
        <x:v>24</x:v>
      </x:c>
      <x:c r="N1769" s="16" t="n">
        <x:v>11.04</x:v>
      </x:c>
      <x:c r="O1769" s="16" t="n">
        <x:f>K1769*M1769</x:f>
        <x:v>216</x:v>
      </x:c>
      <x:c r="P1769" s="16" t="n">
        <x:f>K1769*N1769</x:f>
        <x:v>99.35999999999999</x:v>
      </x:c>
      <x:c r="Q1769" s="16" t="n">
        <x:f>O1769-P1769</x:f>
        <x:v>116.64000000000001</x:v>
      </x:c>
      <x:c r="R1769" s="2" t="n">
        <x:v>106</x:v>
      </x:c>
      <x:c r="S1769" s="2" t="n">
        <x:v>0</x:v>
      </x:c>
      <x:c r="T1769" s="2" t="n">
        <x:f>R1769+S1769+J1769-I1769</x:f>
        <x:v>97</x:v>
      </x:c>
      <x:c r="U1769" s="2" t="n">
        <x:v>0</x:v>
      </x:c>
      <x:c r="V1769" s="2" t="n">
        <x:v>3</x:v>
      </x:c>
      <x:c r="W1769" s="2" t="n">
        <x:v>11</x:v>
      </x:c>
      <x:c r="X1769" s="14" t="b">
        <x:v>0</x:v>
      </x:c>
      <x:c r="Y1769" s="14" t="b">
        <x:v>0</x:v>
      </x:c>
      <x:c r="Z1769" s="2" t="n">
        <x:f>ABS(T1769-AA1769)</x:f>
        <x:v>0</x:v>
      </x:c>
      <x:c r="AA1769" s="2" t="n">
        <x:v>97</x:v>
      </x:c>
      <x:c r="AB1769" s="2" t="n">
        <x:f>ABS(K1769-W1769)</x:f>
        <x:v>2</x:v>
      </x:c>
      <x:c r="AC1769" s="2" t="n">
        <x:f>COUNTIF($A$2:$A$1921,A1769)-1</x:f>
        <x:v>0</x:v>
      </x:c>
      <x:c r="AD1769" s="2" t="n">
        <x:f>IF(AND(D1769=D1768,H1769=H1768,C1769=C1768+1),ABS(R1769-T1768),0)</x:f>
        <x:v>0</x:v>
      </x:c>
    </x:row>
    <x:row r="1770" ht="23" customHeight="1">
      <x:c r="A1770" s="2" t="str">
        <x:v>DEMO-405-0-9</x:v>
      </x:c>
      <x:c r="B1770" s="15" t="d">
        <x:v>2026-06-29T00:00:00.000Z</x:v>
      </x:c>
      <x:c r="C1770" s="2" t="n">
        <x:v>9</x:v>
      </x:c>
      <x:c r="D1770" s="2" t="str">
        <x:v>DEMO-405</x:v>
      </x:c>
      <x:c r="E1770" s="2" t="str">
        <x:v>Pebble Keyring</x:v>
      </x:c>
      <x:c r="F1770" s="2" t="str">
        <x:v>Accessories</x:v>
      </x:c>
      <x:c r="G1770" s="2" t="str">
        <x:v>Stores</x:v>
      </x:c>
      <x:c r="H1770" s="2" t="str">
        <x:v>North Arcade</x:v>
      </x:c>
      <x:c r="I1770" s="2" t="n">
        <x:v>11</x:v>
      </x:c>
      <x:c r="J1770" s="2" t="n">
        <x:v>1</x:v>
      </x:c>
      <x:c r="K1770" s="2" t="n">
        <x:f>I1770-J1770</x:f>
        <x:v>10</x:v>
      </x:c>
      <x:c r="L1770" s="16" t="n">
        <x:v>24</x:v>
      </x:c>
      <x:c r="M1770" s="16" t="n">
        <x:v>24</x:v>
      </x:c>
      <x:c r="N1770" s="16" t="n">
        <x:v>11.04</x:v>
      </x:c>
      <x:c r="O1770" s="16" t="n">
        <x:f>K1770*M1770</x:f>
        <x:v>240</x:v>
      </x:c>
      <x:c r="P1770" s="16" t="n">
        <x:f>K1770*N1770</x:f>
        <x:v>110.39999999999999</x:v>
      </x:c>
      <x:c r="Q1770" s="16" t="n">
        <x:f>O1770-P1770</x:f>
        <x:v>129.60000000000002</x:v>
      </x:c>
      <x:c r="R1770" s="2" t="n">
        <x:v>97</x:v>
      </x:c>
      <x:c r="S1770" s="2" t="n">
        <x:v>46</x:v>
      </x:c>
      <x:c r="T1770" s="2" t="n">
        <x:f>R1770+S1770+J1770-I1770</x:f>
        <x:v>133</x:v>
      </x:c>
      <x:c r="U1770" s="2" t="n">
        <x:v>0</x:v>
      </x:c>
      <x:c r="V1770" s="2" t="n">
        <x:v>3</x:v>
      </x:c>
      <x:c r="W1770" s="2" t="n">
        <x:v>10</x:v>
      </x:c>
      <x:c r="X1770" s="14" t="b">
        <x:v>0</x:v>
      </x:c>
      <x:c r="Y1770" s="14" t="b">
        <x:v>0</x:v>
      </x:c>
      <x:c r="Z1770" s="2" t="n">
        <x:f>ABS(T1770-AA1770)</x:f>
        <x:v>0</x:v>
      </x:c>
      <x:c r="AA1770" s="2" t="n">
        <x:v>133</x:v>
      </x:c>
      <x:c r="AB1770" s="2" t="n">
        <x:f>ABS(K1770-W1770)</x:f>
        <x:v>0</x:v>
      </x:c>
      <x:c r="AC1770" s="2" t="n">
        <x:f>COUNTIF($A$2:$A$1921,A1770)-1</x:f>
        <x:v>0</x:v>
      </x:c>
      <x:c r="AD1770" s="2" t="n">
        <x:f>IF(AND(D1770=D1769,H1770=H1769,C1770=C1769+1),ABS(R1770-T1769),0)</x:f>
        <x:v>0</x:v>
      </x:c>
    </x:row>
    <x:row r="1771" ht="23" customHeight="1">
      <x:c r="A1771" s="2" t="str">
        <x:v>DEMO-405-0-10</x:v>
      </x:c>
      <x:c r="B1771" s="15" t="d">
        <x:v>2026-07-06T00:00:00.000Z</x:v>
      </x:c>
      <x:c r="C1771" s="2" t="n">
        <x:v>10</x:v>
      </x:c>
      <x:c r="D1771" s="2" t="str">
        <x:v>DEMO-405</x:v>
      </x:c>
      <x:c r="E1771" s="2" t="str">
        <x:v>Pebble Keyring</x:v>
      </x:c>
      <x:c r="F1771" s="2" t="str">
        <x:v>Accessories</x:v>
      </x:c>
      <x:c r="G1771" s="2" t="str">
        <x:v>Stores</x:v>
      </x:c>
      <x:c r="H1771" s="2" t="str">
        <x:v>North Arcade</x:v>
      </x:c>
      <x:c r="I1771" s="2" t="n">
        <x:v>11</x:v>
      </x:c>
      <x:c r="J1771" s="2" t="n">
        <x:v>0</x:v>
      </x:c>
      <x:c r="K1771" s="2" t="n">
        <x:f>I1771-J1771</x:f>
        <x:v>11</x:v>
      </x:c>
      <x:c r="L1771" s="16" t="n">
        <x:v>24</x:v>
      </x:c>
      <x:c r="M1771" s="16" t="n">
        <x:v>24</x:v>
      </x:c>
      <x:c r="N1771" s="16" t="n">
        <x:v>11.04</x:v>
      </x:c>
      <x:c r="O1771" s="16" t="n">
        <x:f>K1771*M1771</x:f>
        <x:v>264</x:v>
      </x:c>
      <x:c r="P1771" s="16" t="n">
        <x:f>K1771*N1771</x:f>
        <x:v>121.44</x:v>
      </x:c>
      <x:c r="Q1771" s="16" t="n">
        <x:f>O1771-P1771</x:f>
        <x:v>142.56</x:v>
      </x:c>
      <x:c r="R1771" s="2" t="n">
        <x:v>133</x:v>
      </x:c>
      <x:c r="S1771" s="2" t="n">
        <x:v>0</x:v>
      </x:c>
      <x:c r="T1771" s="2" t="n">
        <x:f>R1771+S1771+J1771-I1771</x:f>
        <x:v>122</x:v>
      </x:c>
      <x:c r="U1771" s="2" t="n">
        <x:v>0</x:v>
      </x:c>
      <x:c r="V1771" s="2" t="n">
        <x:v>3</x:v>
      </x:c>
      <x:c r="W1771" s="2" t="n">
        <x:v>10</x:v>
      </x:c>
      <x:c r="X1771" s="14" t="b">
        <x:v>0</x:v>
      </x:c>
      <x:c r="Y1771" s="14" t="b">
        <x:v>0</x:v>
      </x:c>
      <x:c r="Z1771" s="2" t="n">
        <x:f>ABS(T1771-AA1771)</x:f>
        <x:v>0</x:v>
      </x:c>
      <x:c r="AA1771" s="2" t="n">
        <x:v>122</x:v>
      </x:c>
      <x:c r="AB1771" s="2" t="n">
        <x:f>ABS(K1771-W1771)</x:f>
        <x:v>1</x:v>
      </x:c>
      <x:c r="AC1771" s="2" t="n">
        <x:f>COUNTIF($A$2:$A$1921,A1771)-1</x:f>
        <x:v>0</x:v>
      </x:c>
      <x:c r="AD1771" s="2" t="n">
        <x:f>IF(AND(D1771=D1770,H1771=H1770,C1771=C1770+1),ABS(R1771-T1770),0)</x:f>
        <x:v>0</x:v>
      </x:c>
    </x:row>
    <x:row r="1772" ht="23" customHeight="1">
      <x:c r="A1772" s="2" t="str">
        <x:v>DEMO-405-0-11</x:v>
      </x:c>
      <x:c r="B1772" s="15" t="d">
        <x:v>2026-07-13T00:00:00.000Z</x:v>
      </x:c>
      <x:c r="C1772" s="2" t="n">
        <x:v>11</x:v>
      </x:c>
      <x:c r="D1772" s="2" t="str">
        <x:v>DEMO-405</x:v>
      </x:c>
      <x:c r="E1772" s="2" t="str">
        <x:v>Pebble Keyring</x:v>
      </x:c>
      <x:c r="F1772" s="2" t="str">
        <x:v>Accessories</x:v>
      </x:c>
      <x:c r="G1772" s="2" t="str">
        <x:v>Stores</x:v>
      </x:c>
      <x:c r="H1772" s="2" t="str">
        <x:v>North Arcade</x:v>
      </x:c>
      <x:c r="I1772" s="2" t="n">
        <x:v>12</x:v>
      </x:c>
      <x:c r="J1772" s="2" t="n">
        <x:v>1</x:v>
      </x:c>
      <x:c r="K1772" s="2" t="n">
        <x:f>I1772-J1772</x:f>
        <x:v>11</x:v>
      </x:c>
      <x:c r="L1772" s="16" t="n">
        <x:v>24</x:v>
      </x:c>
      <x:c r="M1772" s="16" t="n">
        <x:v>24</x:v>
      </x:c>
      <x:c r="N1772" s="16" t="n">
        <x:v>11.04</x:v>
      </x:c>
      <x:c r="O1772" s="16" t="n">
        <x:f>K1772*M1772</x:f>
        <x:v>264</x:v>
      </x:c>
      <x:c r="P1772" s="16" t="n">
        <x:f>K1772*N1772</x:f>
        <x:v>121.44</x:v>
      </x:c>
      <x:c r="Q1772" s="16" t="n">
        <x:f>O1772-P1772</x:f>
        <x:v>142.56</x:v>
      </x:c>
      <x:c r="R1772" s="2" t="n">
        <x:v>122</x:v>
      </x:c>
      <x:c r="S1772" s="2" t="n">
        <x:v>0</x:v>
      </x:c>
      <x:c r="T1772" s="2" t="n">
        <x:f>R1772+S1772+J1772-I1772</x:f>
        <x:v>111</x:v>
      </x:c>
      <x:c r="U1772" s="2" t="n">
        <x:v>0</x:v>
      </x:c>
      <x:c r="V1772" s="2" t="n">
        <x:v>3</x:v>
      </x:c>
      <x:c r="W1772" s="2" t="n">
        <x:v>10</x:v>
      </x:c>
      <x:c r="X1772" s="14" t="b">
        <x:v>0</x:v>
      </x:c>
      <x:c r="Y1772" s="14" t="b">
        <x:v>0</x:v>
      </x:c>
      <x:c r="Z1772" s="2" t="n">
        <x:f>ABS(T1772-AA1772)</x:f>
        <x:v>0</x:v>
      </x:c>
      <x:c r="AA1772" s="2" t="n">
        <x:v>111</x:v>
      </x:c>
      <x:c r="AB1772" s="2" t="n">
        <x:f>ABS(K1772-W1772)</x:f>
        <x:v>1</x:v>
      </x:c>
      <x:c r="AC1772" s="2" t="n">
        <x:f>COUNTIF($A$2:$A$1921,A1772)-1</x:f>
        <x:v>0</x:v>
      </x:c>
      <x:c r="AD1772" s="2" t="n">
        <x:f>IF(AND(D1772=D1771,H1772=H1771,C1772=C1771+1),ABS(R1772-T1771),0)</x:f>
        <x:v>0</x:v>
      </x:c>
    </x:row>
    <x:row r="1773" ht="23" customHeight="1">
      <x:c r="A1773" s="2" t="str">
        <x:v>DEMO-405-0-12</x:v>
      </x:c>
      <x:c r="B1773" s="15" t="d">
        <x:v>2026-07-20T00:00:00.000Z</x:v>
      </x:c>
      <x:c r="C1773" s="2" t="n">
        <x:v>12</x:v>
      </x:c>
      <x:c r="D1773" s="2" t="str">
        <x:v>DEMO-405</x:v>
      </x:c>
      <x:c r="E1773" s="2" t="str">
        <x:v>Pebble Keyring</x:v>
      </x:c>
      <x:c r="F1773" s="2" t="str">
        <x:v>Accessories</x:v>
      </x:c>
      <x:c r="G1773" s="2" t="str">
        <x:v>Stores</x:v>
      </x:c>
      <x:c r="H1773" s="2" t="str">
        <x:v>North Arcade</x:v>
      </x:c>
      <x:c r="I1773" s="2" t="n">
        <x:v>11</x:v>
      </x:c>
      <x:c r="J1773" s="2" t="n">
        <x:v>0</x:v>
      </x:c>
      <x:c r="K1773" s="2" t="n">
        <x:f>I1773-J1773</x:f>
        <x:v>11</x:v>
      </x:c>
      <x:c r="L1773" s="16" t="n">
        <x:v>24</x:v>
      </x:c>
      <x:c r="M1773" s="16" t="n">
        <x:v>24</x:v>
      </x:c>
      <x:c r="N1773" s="16" t="n">
        <x:v>11.04</x:v>
      </x:c>
      <x:c r="O1773" s="16" t="n">
        <x:f>K1773*M1773</x:f>
        <x:v>264</x:v>
      </x:c>
      <x:c r="P1773" s="16" t="n">
        <x:f>K1773*N1773</x:f>
        <x:v>121.44</x:v>
      </x:c>
      <x:c r="Q1773" s="16" t="n">
        <x:f>O1773-P1773</x:f>
        <x:v>142.56</x:v>
      </x:c>
      <x:c r="R1773" s="2" t="n">
        <x:v>111</x:v>
      </x:c>
      <x:c r="S1773" s="2" t="n">
        <x:v>0</x:v>
      </x:c>
      <x:c r="T1773" s="2" t="n">
        <x:f>R1773+S1773+J1773-I1773</x:f>
        <x:v>100</x:v>
      </x:c>
      <x:c r="U1773" s="2" t="n">
        <x:v>0</x:v>
      </x:c>
      <x:c r="V1773" s="2" t="n">
        <x:v>3</x:v>
      </x:c>
      <x:c r="W1773" s="2" t="n">
        <x:v>10</x:v>
      </x:c>
      <x:c r="X1773" s="14" t="b">
        <x:v>0</x:v>
      </x:c>
      <x:c r="Y1773" s="14" t="b">
        <x:v>0</x:v>
      </x:c>
      <x:c r="Z1773" s="2" t="n">
        <x:f>ABS(T1773-AA1773)</x:f>
        <x:v>0</x:v>
      </x:c>
      <x:c r="AA1773" s="2" t="n">
        <x:v>100</x:v>
      </x:c>
      <x:c r="AB1773" s="2" t="n">
        <x:f>ABS(K1773-W1773)</x:f>
        <x:v>1</x:v>
      </x:c>
      <x:c r="AC1773" s="2" t="n">
        <x:f>COUNTIF($A$2:$A$1921,A1773)-1</x:f>
        <x:v>0</x:v>
      </x:c>
      <x:c r="AD1773" s="2" t="n">
        <x:f>IF(AND(D1773=D1772,H1773=H1772,C1773=C1772+1),ABS(R1773-T1772),0)</x:f>
        <x:v>0</x:v>
      </x:c>
    </x:row>
    <x:row r="1774" ht="23" customHeight="1">
      <x:c r="A1774" s="2" t="str">
        <x:v>DEMO-405-0-13</x:v>
      </x:c>
      <x:c r="B1774" s="15" t="d">
        <x:v>2026-07-27T00:00:00.000Z</x:v>
      </x:c>
      <x:c r="C1774" s="2" t="n">
        <x:v>13</x:v>
      </x:c>
      <x:c r="D1774" s="2" t="str">
        <x:v>DEMO-405</x:v>
      </x:c>
      <x:c r="E1774" s="2" t="str">
        <x:v>Pebble Keyring</x:v>
      </x:c>
      <x:c r="F1774" s="2" t="str">
        <x:v>Accessories</x:v>
      </x:c>
      <x:c r="G1774" s="2" t="str">
        <x:v>Stores</x:v>
      </x:c>
      <x:c r="H1774" s="2" t="str">
        <x:v>North Arcade</x:v>
      </x:c>
      <x:c r="I1774" s="2" t="n">
        <x:v>9</x:v>
      </x:c>
      <x:c r="J1774" s="2" t="n">
        <x:v>0</x:v>
      </x:c>
      <x:c r="K1774" s="2" t="n">
        <x:f>I1774-J1774</x:f>
        <x:v>9</x:v>
      </x:c>
      <x:c r="L1774" s="16" t="n">
        <x:v>24</x:v>
      </x:c>
      <x:c r="M1774" s="16" t="n">
        <x:v>24</x:v>
      </x:c>
      <x:c r="N1774" s="16" t="n">
        <x:v>11.04</x:v>
      </x:c>
      <x:c r="O1774" s="16" t="n">
        <x:f>K1774*M1774</x:f>
        <x:v>216</x:v>
      </x:c>
      <x:c r="P1774" s="16" t="n">
        <x:f>K1774*N1774</x:f>
        <x:v>99.35999999999999</x:v>
      </x:c>
      <x:c r="Q1774" s="16" t="n">
        <x:f>O1774-P1774</x:f>
        <x:v>116.64000000000001</x:v>
      </x:c>
      <x:c r="R1774" s="2" t="n">
        <x:v>100</x:v>
      </x:c>
      <x:c r="S1774" s="2" t="n">
        <x:v>46</x:v>
      </x:c>
      <x:c r="T1774" s="2" t="n">
        <x:f>R1774+S1774+J1774-I1774</x:f>
        <x:v>137</x:v>
      </x:c>
      <x:c r="U1774" s="2" t="n">
        <x:v>0</x:v>
      </x:c>
      <x:c r="V1774" s="2" t="n">
        <x:v>3</x:v>
      </x:c>
      <x:c r="W1774" s="2" t="n">
        <x:v>11</x:v>
      </x:c>
      <x:c r="X1774" s="14" t="b">
        <x:v>0</x:v>
      </x:c>
      <x:c r="Y1774" s="14" t="b">
        <x:v>0</x:v>
      </x:c>
      <x:c r="Z1774" s="2" t="n">
        <x:f>ABS(T1774-AA1774)</x:f>
        <x:v>0</x:v>
      </x:c>
      <x:c r="AA1774" s="2" t="n">
        <x:v>137</x:v>
      </x:c>
      <x:c r="AB1774" s="2" t="n">
        <x:f>ABS(K1774-W1774)</x:f>
        <x:v>2</x:v>
      </x:c>
      <x:c r="AC1774" s="2" t="n">
        <x:f>COUNTIF($A$2:$A$1921,A1774)-1</x:f>
        <x:v>0</x:v>
      </x:c>
      <x:c r="AD1774" s="2" t="n">
        <x:f>IF(AND(D1774=D1773,H1774=H1773,C1774=C1773+1),ABS(R1774-T1773),0)</x:f>
        <x:v>0</x:v>
      </x:c>
    </x:row>
    <x:row r="1775" ht="23" customHeight="1">
      <x:c r="A1775" s="2" t="str">
        <x:v>DEMO-405-0-14</x:v>
      </x:c>
      <x:c r="B1775" s="15" t="d">
        <x:v>2026-08-03T00:00:00.000Z</x:v>
      </x:c>
      <x:c r="C1775" s="2" t="n">
        <x:v>14</x:v>
      </x:c>
      <x:c r="D1775" s="2" t="str">
        <x:v>DEMO-405</x:v>
      </x:c>
      <x:c r="E1775" s="2" t="str">
        <x:v>Pebble Keyring</x:v>
      </x:c>
      <x:c r="F1775" s="2" t="str">
        <x:v>Accessories</x:v>
      </x:c>
      <x:c r="G1775" s="2" t="str">
        <x:v>Stores</x:v>
      </x:c>
      <x:c r="H1775" s="2" t="str">
        <x:v>North Arcade</x:v>
      </x:c>
      <x:c r="I1775" s="2" t="n">
        <x:v>13</x:v>
      </x:c>
      <x:c r="J1775" s="2" t="n">
        <x:v>0</x:v>
      </x:c>
      <x:c r="K1775" s="2" t="n">
        <x:f>I1775-J1775</x:f>
        <x:v>13</x:v>
      </x:c>
      <x:c r="L1775" s="16" t="n">
        <x:v>24</x:v>
      </x:c>
      <x:c r="M1775" s="16" t="n">
        <x:v>24</x:v>
      </x:c>
      <x:c r="N1775" s="16" t="n">
        <x:v>11.04</x:v>
      </x:c>
      <x:c r="O1775" s="16" t="n">
        <x:f>K1775*M1775</x:f>
        <x:v>312</x:v>
      </x:c>
      <x:c r="P1775" s="16" t="n">
        <x:f>K1775*N1775</x:f>
        <x:v>143.51999999999998</x:v>
      </x:c>
      <x:c r="Q1775" s="16" t="n">
        <x:f>O1775-P1775</x:f>
        <x:v>168.48000000000002</x:v>
      </x:c>
      <x:c r="R1775" s="2" t="n">
        <x:v>137</x:v>
      </x:c>
      <x:c r="S1775" s="2" t="n">
        <x:v>0</x:v>
      </x:c>
      <x:c r="T1775" s="2" t="n">
        <x:f>R1775+S1775+J1775-I1775</x:f>
        <x:v>124</x:v>
      </x:c>
      <x:c r="U1775" s="2" t="n">
        <x:v>0</x:v>
      </x:c>
      <x:c r="V1775" s="2" t="n">
        <x:v>3</x:v>
      </x:c>
      <x:c r="W1775" s="2" t="n">
        <x:v>11</x:v>
      </x:c>
      <x:c r="X1775" s="14" t="b">
        <x:v>0</x:v>
      </x:c>
      <x:c r="Y1775" s="14" t="b">
        <x:v>0</x:v>
      </x:c>
      <x:c r="Z1775" s="2" t="n">
        <x:f>ABS(T1775-AA1775)</x:f>
        <x:v>0</x:v>
      </x:c>
      <x:c r="AA1775" s="2" t="n">
        <x:v>124</x:v>
      </x:c>
      <x:c r="AB1775" s="2" t="n">
        <x:f>ABS(K1775-W1775)</x:f>
        <x:v>2</x:v>
      </x:c>
      <x:c r="AC1775" s="2" t="n">
        <x:f>COUNTIF($A$2:$A$1921,A1775)-1</x:f>
        <x:v>0</x:v>
      </x:c>
      <x:c r="AD1775" s="2" t="n">
        <x:f>IF(AND(D1775=D1774,H1775=H1774,C1775=C1774+1),ABS(R1775-T1774),0)</x:f>
        <x:v>0</x:v>
      </x:c>
    </x:row>
    <x:row r="1776" ht="23" customHeight="1">
      <x:c r="A1776" s="2" t="str">
        <x:v>DEMO-405-0-15</x:v>
      </x:c>
      <x:c r="B1776" s="15" t="d">
        <x:v>2026-08-10T00:00:00.000Z</x:v>
      </x:c>
      <x:c r="C1776" s="2" t="n">
        <x:v>15</x:v>
      </x:c>
      <x:c r="D1776" s="2" t="str">
        <x:v>DEMO-405</x:v>
      </x:c>
      <x:c r="E1776" s="2" t="str">
        <x:v>Pebble Keyring</x:v>
      </x:c>
      <x:c r="F1776" s="2" t="str">
        <x:v>Accessories</x:v>
      </x:c>
      <x:c r="G1776" s="2" t="str">
        <x:v>Stores</x:v>
      </x:c>
      <x:c r="H1776" s="2" t="str">
        <x:v>North Arcade</x:v>
      </x:c>
      <x:c r="I1776" s="2" t="n">
        <x:v>9</x:v>
      </x:c>
      <x:c r="J1776" s="2" t="n">
        <x:v>0</x:v>
      </x:c>
      <x:c r="K1776" s="2" t="n">
        <x:f>I1776-J1776</x:f>
        <x:v>9</x:v>
      </x:c>
      <x:c r="L1776" s="16" t="n">
        <x:v>24</x:v>
      </x:c>
      <x:c r="M1776" s="16" t="n">
        <x:v>24</x:v>
      </x:c>
      <x:c r="N1776" s="16" t="n">
        <x:v>11.04</x:v>
      </x:c>
      <x:c r="O1776" s="16" t="n">
        <x:f>K1776*M1776</x:f>
        <x:v>216</x:v>
      </x:c>
      <x:c r="P1776" s="16" t="n">
        <x:f>K1776*N1776</x:f>
        <x:v>99.35999999999999</x:v>
      </x:c>
      <x:c r="Q1776" s="16" t="n">
        <x:f>O1776-P1776</x:f>
        <x:v>116.64000000000001</x:v>
      </x:c>
      <x:c r="R1776" s="2" t="n">
        <x:v>124</x:v>
      </x:c>
      <x:c r="S1776" s="2" t="n">
        <x:v>0</x:v>
      </x:c>
      <x:c r="T1776" s="2" t="n">
        <x:f>R1776+S1776+J1776-I1776</x:f>
        <x:v>115</x:v>
      </x:c>
      <x:c r="U1776" s="2" t="n">
        <x:v>0</x:v>
      </x:c>
      <x:c r="V1776" s="2" t="n">
        <x:v>3</x:v>
      </x:c>
      <x:c r="W1776" s="2" t="n">
        <x:v>11</x:v>
      </x:c>
      <x:c r="X1776" s="14" t="b">
        <x:v>0</x:v>
      </x:c>
      <x:c r="Y1776" s="14" t="b">
        <x:v>0</x:v>
      </x:c>
      <x:c r="Z1776" s="2" t="n">
        <x:f>ABS(T1776-AA1776)</x:f>
        <x:v>0</x:v>
      </x:c>
      <x:c r="AA1776" s="2" t="n">
        <x:v>115</x:v>
      </x:c>
      <x:c r="AB1776" s="2" t="n">
        <x:f>ABS(K1776-W1776)</x:f>
        <x:v>2</x:v>
      </x:c>
      <x:c r="AC1776" s="2" t="n">
        <x:f>COUNTIF($A$2:$A$1921,A1776)-1</x:f>
        <x:v>0</x:v>
      </x:c>
      <x:c r="AD1776" s="2" t="n">
        <x:f>IF(AND(D1776=D1775,H1776=H1775,C1776=C1775+1),ABS(R1776-T1775),0)</x:f>
        <x:v>0</x:v>
      </x:c>
    </x:row>
    <x:row r="1777" ht="23" customHeight="1">
      <x:c r="A1777" s="2" t="str">
        <x:v>DEMO-405-0-16</x:v>
      </x:c>
      <x:c r="B1777" s="15" t="d">
        <x:v>2026-08-17T00:00:00.000Z</x:v>
      </x:c>
      <x:c r="C1777" s="2" t="n">
        <x:v>16</x:v>
      </x:c>
      <x:c r="D1777" s="2" t="str">
        <x:v>DEMO-405</x:v>
      </x:c>
      <x:c r="E1777" s="2" t="str">
        <x:v>Pebble Keyring</x:v>
      </x:c>
      <x:c r="F1777" s="2" t="str">
        <x:v>Accessories</x:v>
      </x:c>
      <x:c r="G1777" s="2" t="str">
        <x:v>Stores</x:v>
      </x:c>
      <x:c r="H1777" s="2" t="str">
        <x:v>North Arcade</x:v>
      </x:c>
      <x:c r="I1777" s="2" t="n">
        <x:v>12</x:v>
      </x:c>
      <x:c r="J1777" s="2" t="n">
        <x:v>1</x:v>
      </x:c>
      <x:c r="K1777" s="2" t="n">
        <x:f>I1777-J1777</x:f>
        <x:v>11</x:v>
      </x:c>
      <x:c r="L1777" s="16" t="n">
        <x:v>24</x:v>
      </x:c>
      <x:c r="M1777" s="16" t="n">
        <x:v>24</x:v>
      </x:c>
      <x:c r="N1777" s="16" t="n">
        <x:v>11.04</x:v>
      </x:c>
      <x:c r="O1777" s="16" t="n">
        <x:f>K1777*M1777</x:f>
        <x:v>264</x:v>
      </x:c>
      <x:c r="P1777" s="16" t="n">
        <x:f>K1777*N1777</x:f>
        <x:v>121.44</x:v>
      </x:c>
      <x:c r="Q1777" s="16" t="n">
        <x:f>O1777-P1777</x:f>
        <x:v>142.56</x:v>
      </x:c>
      <x:c r="R1777" s="2" t="n">
        <x:v>115</x:v>
      </x:c>
      <x:c r="S1777" s="2" t="n">
        <x:v>0</x:v>
      </x:c>
      <x:c r="T1777" s="2" t="n">
        <x:f>R1777+S1777+J1777-I1777</x:f>
        <x:v>104</x:v>
      </x:c>
      <x:c r="U1777" s="2" t="n">
        <x:v>0</x:v>
      </x:c>
      <x:c r="V1777" s="2" t="n">
        <x:v>3</x:v>
      </x:c>
      <x:c r="W1777" s="2" t="n">
        <x:v>11</x:v>
      </x:c>
      <x:c r="X1777" s="14" t="b">
        <x:v>0</x:v>
      </x:c>
      <x:c r="Y1777" s="14" t="b">
        <x:v>0</x:v>
      </x:c>
      <x:c r="Z1777" s="2" t="n">
        <x:f>ABS(T1777-AA1777)</x:f>
        <x:v>0</x:v>
      </x:c>
      <x:c r="AA1777" s="2" t="n">
        <x:v>104</x:v>
      </x:c>
      <x:c r="AB1777" s="2" t="n">
        <x:f>ABS(K1777-W1777)</x:f>
        <x:v>0</x:v>
      </x:c>
      <x:c r="AC1777" s="2" t="n">
        <x:f>COUNTIF($A$2:$A$1921,A1777)-1</x:f>
        <x:v>0</x:v>
      </x:c>
      <x:c r="AD1777" s="2" t="n">
        <x:f>IF(AND(D1777=D1776,H1777=H1776,C1777=C1776+1),ABS(R1777-T1776),0)</x:f>
        <x:v>0</x:v>
      </x:c>
    </x:row>
    <x:row r="1778" ht="23" customHeight="1">
      <x:c r="A1778" s="2" t="str">
        <x:v>DEMO-405-0-17</x:v>
      </x:c>
      <x:c r="B1778" s="15" t="d">
        <x:v>2026-08-24T00:00:00.000Z</x:v>
      </x:c>
      <x:c r="C1778" s="2" t="n">
        <x:v>17</x:v>
      </x:c>
      <x:c r="D1778" s="2" t="str">
        <x:v>DEMO-405</x:v>
      </x:c>
      <x:c r="E1778" s="2" t="str">
        <x:v>Pebble Keyring</x:v>
      </x:c>
      <x:c r="F1778" s="2" t="str">
        <x:v>Accessories</x:v>
      </x:c>
      <x:c r="G1778" s="2" t="str">
        <x:v>Stores</x:v>
      </x:c>
      <x:c r="H1778" s="2" t="str">
        <x:v>North Arcade</x:v>
      </x:c>
      <x:c r="I1778" s="2" t="n">
        <x:v>11</x:v>
      </x:c>
      <x:c r="J1778" s="2" t="n">
        <x:v>0</x:v>
      </x:c>
      <x:c r="K1778" s="2" t="n">
        <x:f>I1778-J1778</x:f>
        <x:v>11</x:v>
      </x:c>
      <x:c r="L1778" s="16" t="n">
        <x:v>24</x:v>
      </x:c>
      <x:c r="M1778" s="16" t="n">
        <x:v>24</x:v>
      </x:c>
      <x:c r="N1778" s="16" t="n">
        <x:v>11.04</x:v>
      </x:c>
      <x:c r="O1778" s="16" t="n">
        <x:f>K1778*M1778</x:f>
        <x:v>264</x:v>
      </x:c>
      <x:c r="P1778" s="16" t="n">
        <x:f>K1778*N1778</x:f>
        <x:v>121.44</x:v>
      </x:c>
      <x:c r="Q1778" s="16" t="n">
        <x:f>O1778-P1778</x:f>
        <x:v>142.56</x:v>
      </x:c>
      <x:c r="R1778" s="2" t="n">
        <x:v>104</x:v>
      </x:c>
      <x:c r="S1778" s="2" t="n">
        <x:v>46</x:v>
      </x:c>
      <x:c r="T1778" s="2" t="n">
        <x:f>R1778+S1778+J1778-I1778</x:f>
        <x:v>139</x:v>
      </x:c>
      <x:c r="U1778" s="2" t="n">
        <x:v>0</x:v>
      </x:c>
      <x:c r="V1778" s="2" t="n">
        <x:v>3</x:v>
      </x:c>
      <x:c r="W1778" s="2" t="n">
        <x:v>11</x:v>
      </x:c>
      <x:c r="X1778" s="14" t="b">
        <x:v>0</x:v>
      </x:c>
      <x:c r="Y1778" s="14" t="b">
        <x:v>0</x:v>
      </x:c>
      <x:c r="Z1778" s="2" t="n">
        <x:f>ABS(T1778-AA1778)</x:f>
        <x:v>0</x:v>
      </x:c>
      <x:c r="AA1778" s="2" t="n">
        <x:v>139</x:v>
      </x:c>
      <x:c r="AB1778" s="2" t="n">
        <x:f>ABS(K1778-W1778)</x:f>
        <x:v>0</x:v>
      </x:c>
      <x:c r="AC1778" s="2" t="n">
        <x:f>COUNTIF($A$2:$A$1921,A1778)-1</x:f>
        <x:v>0</x:v>
      </x:c>
      <x:c r="AD1778" s="2" t="n">
        <x:f>IF(AND(D1778=D1777,H1778=H1777,C1778=C1777+1),ABS(R1778-T1777),0)</x:f>
        <x:v>0</x:v>
      </x:c>
    </x:row>
    <x:row r="1779" ht="23" customHeight="1">
      <x:c r="A1779" s="2" t="str">
        <x:v>DEMO-405-0-18</x:v>
      </x:c>
      <x:c r="B1779" s="15" t="d">
        <x:v>2026-08-31T00:00:00.000Z</x:v>
      </x:c>
      <x:c r="C1779" s="2" t="n">
        <x:v>18</x:v>
      </x:c>
      <x:c r="D1779" s="2" t="str">
        <x:v>DEMO-405</x:v>
      </x:c>
      <x:c r="E1779" s="2" t="str">
        <x:v>Pebble Keyring</x:v>
      </x:c>
      <x:c r="F1779" s="2" t="str">
        <x:v>Accessories</x:v>
      </x:c>
      <x:c r="G1779" s="2" t="str">
        <x:v>Stores</x:v>
      </x:c>
      <x:c r="H1779" s="2" t="str">
        <x:v>North Arcade</x:v>
      </x:c>
      <x:c r="I1779" s="2" t="n">
        <x:v>9</x:v>
      </x:c>
      <x:c r="J1779" s="2" t="n">
        <x:v>0</x:v>
      </x:c>
      <x:c r="K1779" s="2" t="n">
        <x:f>I1779-J1779</x:f>
        <x:v>9</x:v>
      </x:c>
      <x:c r="L1779" s="16" t="n">
        <x:v>24</x:v>
      </x:c>
      <x:c r="M1779" s="16" t="n">
        <x:v>24</x:v>
      </x:c>
      <x:c r="N1779" s="16" t="n">
        <x:v>11.04</x:v>
      </x:c>
      <x:c r="O1779" s="16" t="n">
        <x:f>K1779*M1779</x:f>
        <x:v>216</x:v>
      </x:c>
      <x:c r="P1779" s="16" t="n">
        <x:f>K1779*N1779</x:f>
        <x:v>99.35999999999999</x:v>
      </x:c>
      <x:c r="Q1779" s="16" t="n">
        <x:f>O1779-P1779</x:f>
        <x:v>116.64000000000001</x:v>
      </x:c>
      <x:c r="R1779" s="2" t="n">
        <x:v>139</x:v>
      </x:c>
      <x:c r="S1779" s="2" t="n">
        <x:v>0</x:v>
      </x:c>
      <x:c r="T1779" s="2" t="n">
        <x:f>R1779+S1779+J1779-I1779</x:f>
        <x:v>130</x:v>
      </x:c>
      <x:c r="U1779" s="2" t="n">
        <x:v>0</x:v>
      </x:c>
      <x:c r="V1779" s="2" t="n">
        <x:v>3</x:v>
      </x:c>
      <x:c r="W1779" s="2" t="n">
        <x:v>11</x:v>
      </x:c>
      <x:c r="X1779" s="14" t="b">
        <x:v>0</x:v>
      </x:c>
      <x:c r="Y1779" s="14" t="b">
        <x:v>0</x:v>
      </x:c>
      <x:c r="Z1779" s="2" t="n">
        <x:f>ABS(T1779-AA1779)</x:f>
        <x:v>0</x:v>
      </x:c>
      <x:c r="AA1779" s="2" t="n">
        <x:v>130</x:v>
      </x:c>
      <x:c r="AB1779" s="2" t="n">
        <x:f>ABS(K1779-W1779)</x:f>
        <x:v>2</x:v>
      </x:c>
      <x:c r="AC1779" s="2" t="n">
        <x:f>COUNTIF($A$2:$A$1921,A1779)-1</x:f>
        <x:v>0</x:v>
      </x:c>
      <x:c r="AD1779" s="2" t="n">
        <x:f>IF(AND(D1779=D1778,H1779=H1778,C1779=C1778+1),ABS(R1779-T1778),0)</x:f>
        <x:v>0</x:v>
      </x:c>
    </x:row>
    <x:row r="1780" ht="23" customHeight="1">
      <x:c r="A1780" s="2" t="str">
        <x:v>DEMO-405-0-19</x:v>
      </x:c>
      <x:c r="B1780" s="15" t="d">
        <x:v>2026-09-07T00:00:00.000Z</x:v>
      </x:c>
      <x:c r="C1780" s="2" t="n">
        <x:v>19</x:v>
      </x:c>
      <x:c r="D1780" s="2" t="str">
        <x:v>DEMO-405</x:v>
      </x:c>
      <x:c r="E1780" s="2" t="str">
        <x:v>Pebble Keyring</x:v>
      </x:c>
      <x:c r="F1780" s="2" t="str">
        <x:v>Accessories</x:v>
      </x:c>
      <x:c r="G1780" s="2" t="str">
        <x:v>Stores</x:v>
      </x:c>
      <x:c r="H1780" s="2" t="str">
        <x:v>North Arcade</x:v>
      </x:c>
      <x:c r="I1780" s="2" t="n">
        <x:v>9</x:v>
      </x:c>
      <x:c r="J1780" s="2" t="n">
        <x:v>0</x:v>
      </x:c>
      <x:c r="K1780" s="2" t="n">
        <x:f>I1780-J1780</x:f>
        <x:v>9</x:v>
      </x:c>
      <x:c r="L1780" s="16" t="n">
        <x:v>24</x:v>
      </x:c>
      <x:c r="M1780" s="16" t="n">
        <x:v>24</x:v>
      </x:c>
      <x:c r="N1780" s="16" t="n">
        <x:v>11.04</x:v>
      </x:c>
      <x:c r="O1780" s="16" t="n">
        <x:f>K1780*M1780</x:f>
        <x:v>216</x:v>
      </x:c>
      <x:c r="P1780" s="16" t="n">
        <x:f>K1780*N1780</x:f>
        <x:v>99.35999999999999</x:v>
      </x:c>
      <x:c r="Q1780" s="16" t="n">
        <x:f>O1780-P1780</x:f>
        <x:v>116.64000000000001</x:v>
      </x:c>
      <x:c r="R1780" s="2" t="n">
        <x:v>130</x:v>
      </x:c>
      <x:c r="S1780" s="2" t="n">
        <x:v>0</x:v>
      </x:c>
      <x:c r="T1780" s="2" t="n">
        <x:f>R1780+S1780+J1780-I1780</x:f>
        <x:v>121</x:v>
      </x:c>
      <x:c r="U1780" s="2" t="n">
        <x:v>0</x:v>
      </x:c>
      <x:c r="V1780" s="2" t="n">
        <x:v>3</x:v>
      </x:c>
      <x:c r="W1780" s="2" t="n">
        <x:v>10</x:v>
      </x:c>
      <x:c r="X1780" s="14" t="b">
        <x:v>0</x:v>
      </x:c>
      <x:c r="Y1780" s="14" t="b">
        <x:v>0</x:v>
      </x:c>
      <x:c r="Z1780" s="2" t="n">
        <x:f>ABS(T1780-AA1780)</x:f>
        <x:v>0</x:v>
      </x:c>
      <x:c r="AA1780" s="2" t="n">
        <x:v>121</x:v>
      </x:c>
      <x:c r="AB1780" s="2" t="n">
        <x:f>ABS(K1780-W1780)</x:f>
        <x:v>1</x:v>
      </x:c>
      <x:c r="AC1780" s="2" t="n">
        <x:f>COUNTIF($A$2:$A$1921,A1780)-1</x:f>
        <x:v>0</x:v>
      </x:c>
      <x:c r="AD1780" s="2" t="n">
        <x:f>IF(AND(D1780=D1779,H1780=H1779,C1780=C1779+1),ABS(R1780-T1779),0)</x:f>
        <x:v>0</x:v>
      </x:c>
    </x:row>
    <x:row r="1781" ht="23" customHeight="1">
      <x:c r="A1781" s="2" t="str">
        <x:v>DEMO-405-0-20</x:v>
      </x:c>
      <x:c r="B1781" s="15" t="d">
        <x:v>2026-09-14T00:00:00.000Z</x:v>
      </x:c>
      <x:c r="C1781" s="2" t="n">
        <x:v>20</x:v>
      </x:c>
      <x:c r="D1781" s="2" t="str">
        <x:v>DEMO-405</x:v>
      </x:c>
      <x:c r="E1781" s="2" t="str">
        <x:v>Pebble Keyring</x:v>
      </x:c>
      <x:c r="F1781" s="2" t="str">
        <x:v>Accessories</x:v>
      </x:c>
      <x:c r="G1781" s="2" t="str">
        <x:v>Stores</x:v>
      </x:c>
      <x:c r="H1781" s="2" t="str">
        <x:v>North Arcade</x:v>
      </x:c>
      <x:c r="I1781" s="2" t="n">
        <x:v>12</x:v>
      </x:c>
      <x:c r="J1781" s="2" t="n">
        <x:v>0</x:v>
      </x:c>
      <x:c r="K1781" s="2" t="n">
        <x:f>I1781-J1781</x:f>
        <x:v>12</x:v>
      </x:c>
      <x:c r="L1781" s="16" t="n">
        <x:v>24</x:v>
      </x:c>
      <x:c r="M1781" s="16" t="n">
        <x:v>24</x:v>
      </x:c>
      <x:c r="N1781" s="16" t="n">
        <x:v>11.04</x:v>
      </x:c>
      <x:c r="O1781" s="16" t="n">
        <x:f>K1781*M1781</x:f>
        <x:v>288</x:v>
      </x:c>
      <x:c r="P1781" s="16" t="n">
        <x:f>K1781*N1781</x:f>
        <x:v>132.48</x:v>
      </x:c>
      <x:c r="Q1781" s="16" t="n">
        <x:f>O1781-P1781</x:f>
        <x:v>155.52</x:v>
      </x:c>
      <x:c r="R1781" s="2" t="n">
        <x:v>121</x:v>
      </x:c>
      <x:c r="S1781" s="2" t="n">
        <x:v>0</x:v>
      </x:c>
      <x:c r="T1781" s="2" t="n">
        <x:f>R1781+S1781+J1781-I1781</x:f>
        <x:v>109</x:v>
      </x:c>
      <x:c r="U1781" s="2" t="n">
        <x:v>18</x:v>
      </x:c>
      <x:c r="V1781" s="2" t="n">
        <x:v>3</x:v>
      </x:c>
      <x:c r="W1781" s="2" t="n">
        <x:v>10</x:v>
      </x:c>
      <x:c r="X1781" s="14" t="b">
        <x:v>0</x:v>
      </x:c>
      <x:c r="Y1781" s="14" t="b">
        <x:v>0</x:v>
      </x:c>
      <x:c r="Z1781" s="2" t="n">
        <x:f>ABS(T1781-AA1781)</x:f>
        <x:v>0</x:v>
      </x:c>
      <x:c r="AA1781" s="2" t="n">
        <x:v>109</x:v>
      </x:c>
      <x:c r="AB1781" s="2" t="n">
        <x:f>ABS(K1781-W1781)</x:f>
        <x:v>2</x:v>
      </x:c>
      <x:c r="AC1781" s="2" t="n">
        <x:f>COUNTIF($A$2:$A$1921,A1781)-1</x:f>
        <x:v>0</x:v>
      </x:c>
      <x:c r="AD1781" s="2" t="n">
        <x:f>IF(AND(D1781=D1780,H1781=H1780,C1781=C1780+1),ABS(R1781-T1780),0)</x:f>
        <x:v>0</x:v>
      </x:c>
    </x:row>
    <x:row r="1782" ht="23" customHeight="1">
      <x:c r="A1782" s="2" t="str">
        <x:v>DEMO-405-1-1</x:v>
      </x:c>
      <x:c r="B1782" s="15" t="d">
        <x:v>2026-05-04T00:00:00.000Z</x:v>
      </x:c>
      <x:c r="C1782" s="2" t="n">
        <x:v>1</x:v>
      </x:c>
      <x:c r="D1782" s="2" t="str">
        <x:v>DEMO-405</x:v>
      </x:c>
      <x:c r="E1782" s="2" t="str">
        <x:v>Pebble Keyring</x:v>
      </x:c>
      <x:c r="F1782" s="2" t="str">
        <x:v>Accessories</x:v>
      </x:c>
      <x:c r="G1782" s="2" t="str">
        <x:v>Stores</x:v>
      </x:c>
      <x:c r="H1782" s="2" t="str">
        <x:v>Riverside</x:v>
      </x:c>
      <x:c r="I1782" s="2" t="n">
        <x:v>11</x:v>
      </x:c>
      <x:c r="J1782" s="2" t="n">
        <x:v>0</x:v>
      </x:c>
      <x:c r="K1782" s="2" t="n">
        <x:f>I1782-J1782</x:f>
        <x:v>11</x:v>
      </x:c>
      <x:c r="L1782" s="16" t="n">
        <x:v>24</x:v>
      </x:c>
      <x:c r="M1782" s="16" t="n">
        <x:v>24</x:v>
      </x:c>
      <x:c r="N1782" s="16" t="n">
        <x:v>11.04</x:v>
      </x:c>
      <x:c r="O1782" s="16" t="n">
        <x:f>K1782*M1782</x:f>
        <x:v>264</x:v>
      </x:c>
      <x:c r="P1782" s="16" t="n">
        <x:f>K1782*N1782</x:f>
        <x:v>121.44</x:v>
      </x:c>
      <x:c r="Q1782" s="16" t="n">
        <x:f>O1782-P1782</x:f>
        <x:v>142.56</x:v>
      </x:c>
      <x:c r="R1782" s="2" t="n">
        <x:v>90</x:v>
      </x:c>
      <x:c r="S1782" s="2" t="n">
        <x:v>46</x:v>
      </x:c>
      <x:c r="T1782" s="2" t="n">
        <x:f>R1782+S1782+J1782-I1782</x:f>
        <x:v>125</x:v>
      </x:c>
      <x:c r="U1782" s="2" t="n">
        <x:v>0</x:v>
      </x:c>
      <x:c r="V1782" s="2" t="n">
        <x:v>3</x:v>
      </x:c>
      <x:c r="W1782" s="2" t="n">
        <x:v>11</x:v>
      </x:c>
      <x:c r="X1782" s="14" t="b">
        <x:v>0</x:v>
      </x:c>
      <x:c r="Y1782" s="14" t="b">
        <x:v>0</x:v>
      </x:c>
      <x:c r="Z1782" s="2" t="n">
        <x:f>ABS(T1782-AA1782)</x:f>
        <x:v>0</x:v>
      </x:c>
      <x:c r="AA1782" s="2" t="n">
        <x:v>125</x:v>
      </x:c>
      <x:c r="AB1782" s="2" t="n">
        <x:f>ABS(K1782-W1782)</x:f>
        <x:v>0</x:v>
      </x:c>
      <x:c r="AC1782" s="2" t="n">
        <x:f>COUNTIF($A$2:$A$1921,A1782)-1</x:f>
        <x:v>0</x:v>
      </x:c>
      <x:c r="AD1782" s="2" t="n">
        <x:f>IF(AND(D1782=D1781,H1782=H1781,C1782=C1781+1),ABS(R1782-T1781),0)</x:f>
        <x:v>0</x:v>
      </x:c>
    </x:row>
    <x:row r="1783" ht="23" customHeight="1">
      <x:c r="A1783" s="2" t="str">
        <x:v>DEMO-405-1-2</x:v>
      </x:c>
      <x:c r="B1783" s="15" t="d">
        <x:v>2026-05-11T00:00:00.000Z</x:v>
      </x:c>
      <x:c r="C1783" s="2" t="n">
        <x:v>2</x:v>
      </x:c>
      <x:c r="D1783" s="2" t="str">
        <x:v>DEMO-405</x:v>
      </x:c>
      <x:c r="E1783" s="2" t="str">
        <x:v>Pebble Keyring</x:v>
      </x:c>
      <x:c r="F1783" s="2" t="str">
        <x:v>Accessories</x:v>
      </x:c>
      <x:c r="G1783" s="2" t="str">
        <x:v>Stores</x:v>
      </x:c>
      <x:c r="H1783" s="2" t="str">
        <x:v>Riverside</x:v>
      </x:c>
      <x:c r="I1783" s="2" t="n">
        <x:v>12</x:v>
      </x:c>
      <x:c r="J1783" s="2" t="n">
        <x:v>0</x:v>
      </x:c>
      <x:c r="K1783" s="2" t="n">
        <x:f>I1783-J1783</x:f>
        <x:v>12</x:v>
      </x:c>
      <x:c r="L1783" s="16" t="n">
        <x:v>24</x:v>
      </x:c>
      <x:c r="M1783" s="16" t="n">
        <x:v>24</x:v>
      </x:c>
      <x:c r="N1783" s="16" t="n">
        <x:v>11.04</x:v>
      </x:c>
      <x:c r="O1783" s="16" t="n">
        <x:f>K1783*M1783</x:f>
        <x:v>288</x:v>
      </x:c>
      <x:c r="P1783" s="16" t="n">
        <x:f>K1783*N1783</x:f>
        <x:v>132.48</x:v>
      </x:c>
      <x:c r="Q1783" s="16" t="n">
        <x:f>O1783-P1783</x:f>
        <x:v>155.52</x:v>
      </x:c>
      <x:c r="R1783" s="2" t="n">
        <x:v>125</x:v>
      </x:c>
      <x:c r="S1783" s="2" t="n">
        <x:v>0</x:v>
      </x:c>
      <x:c r="T1783" s="2" t="n">
        <x:f>R1783+S1783+J1783-I1783</x:f>
        <x:v>113</x:v>
      </x:c>
      <x:c r="U1783" s="2" t="n">
        <x:v>0</x:v>
      </x:c>
      <x:c r="V1783" s="2" t="n">
        <x:v>3</x:v>
      </x:c>
      <x:c r="W1783" s="2" t="n">
        <x:v>11</x:v>
      </x:c>
      <x:c r="X1783" s="14" t="b">
        <x:v>0</x:v>
      </x:c>
      <x:c r="Y1783" s="14" t="b">
        <x:v>0</x:v>
      </x:c>
      <x:c r="Z1783" s="2" t="n">
        <x:f>ABS(T1783-AA1783)</x:f>
        <x:v>0</x:v>
      </x:c>
      <x:c r="AA1783" s="2" t="n">
        <x:v>113</x:v>
      </x:c>
      <x:c r="AB1783" s="2" t="n">
        <x:f>ABS(K1783-W1783)</x:f>
        <x:v>1</x:v>
      </x:c>
      <x:c r="AC1783" s="2" t="n">
        <x:f>COUNTIF($A$2:$A$1921,A1783)-1</x:f>
        <x:v>0</x:v>
      </x:c>
      <x:c r="AD1783" s="2" t="n">
        <x:f>IF(AND(D1783=D1782,H1783=H1782,C1783=C1782+1),ABS(R1783-T1782),0)</x:f>
        <x:v>0</x:v>
      </x:c>
    </x:row>
    <x:row r="1784" ht="23" customHeight="1">
      <x:c r="A1784" s="2" t="str">
        <x:v>DEMO-405-1-3</x:v>
      </x:c>
      <x:c r="B1784" s="15" t="d">
        <x:v>2026-05-18T00:00:00.000Z</x:v>
      </x:c>
      <x:c r="C1784" s="2" t="n">
        <x:v>3</x:v>
      </x:c>
      <x:c r="D1784" s="2" t="str">
        <x:v>DEMO-405</x:v>
      </x:c>
      <x:c r="E1784" s="2" t="str">
        <x:v>Pebble Keyring</x:v>
      </x:c>
      <x:c r="F1784" s="2" t="str">
        <x:v>Accessories</x:v>
      </x:c>
      <x:c r="G1784" s="2" t="str">
        <x:v>Stores</x:v>
      </x:c>
      <x:c r="H1784" s="2" t="str">
        <x:v>Riverside</x:v>
      </x:c>
      <x:c r="I1784" s="2" t="n">
        <x:v>11</x:v>
      </x:c>
      <x:c r="J1784" s="2" t="n">
        <x:v>1</x:v>
      </x:c>
      <x:c r="K1784" s="2" t="n">
        <x:f>I1784-J1784</x:f>
        <x:v>10</x:v>
      </x:c>
      <x:c r="L1784" s="16" t="n">
        <x:v>24</x:v>
      </x:c>
      <x:c r="M1784" s="16" t="n">
        <x:v>24</x:v>
      </x:c>
      <x:c r="N1784" s="16" t="n">
        <x:v>11.04</x:v>
      </x:c>
      <x:c r="O1784" s="16" t="n">
        <x:f>K1784*M1784</x:f>
        <x:v>240</x:v>
      </x:c>
      <x:c r="P1784" s="16" t="n">
        <x:f>K1784*N1784</x:f>
        <x:v>110.39999999999999</x:v>
      </x:c>
      <x:c r="Q1784" s="16" t="n">
        <x:f>O1784-P1784</x:f>
        <x:v>129.60000000000002</x:v>
      </x:c>
      <x:c r="R1784" s="2" t="n">
        <x:v>113</x:v>
      </x:c>
      <x:c r="S1784" s="2" t="n">
        <x:v>0</x:v>
      </x:c>
      <x:c r="T1784" s="2" t="n">
        <x:f>R1784+S1784+J1784-I1784</x:f>
        <x:v>103</x:v>
      </x:c>
      <x:c r="U1784" s="2" t="n">
        <x:v>0</x:v>
      </x:c>
      <x:c r="V1784" s="2" t="n">
        <x:v>3</x:v>
      </x:c>
      <x:c r="W1784" s="2" t="n">
        <x:v>12</x:v>
      </x:c>
      <x:c r="X1784" s="14" t="b">
        <x:v>0</x:v>
      </x:c>
      <x:c r="Y1784" s="14" t="b">
        <x:v>0</x:v>
      </x:c>
      <x:c r="Z1784" s="2" t="n">
        <x:f>ABS(T1784-AA1784)</x:f>
        <x:v>0</x:v>
      </x:c>
      <x:c r="AA1784" s="2" t="n">
        <x:v>103</x:v>
      </x:c>
      <x:c r="AB1784" s="2" t="n">
        <x:f>ABS(K1784-W1784)</x:f>
        <x:v>2</x:v>
      </x:c>
      <x:c r="AC1784" s="2" t="n">
        <x:f>COUNTIF($A$2:$A$1921,A1784)-1</x:f>
        <x:v>0</x:v>
      </x:c>
      <x:c r="AD1784" s="2" t="n">
        <x:f>IF(AND(D1784=D1783,H1784=H1783,C1784=C1783+1),ABS(R1784-T1783),0)</x:f>
        <x:v>0</x:v>
      </x:c>
    </x:row>
    <x:row r="1785" ht="23" customHeight="1">
      <x:c r="A1785" s="2" t="str">
        <x:v>DEMO-405-1-4</x:v>
      </x:c>
      <x:c r="B1785" s="15" t="d">
        <x:v>2026-05-25T00:00:00.000Z</x:v>
      </x:c>
      <x:c r="C1785" s="2" t="n">
        <x:v>4</x:v>
      </x:c>
      <x:c r="D1785" s="2" t="str">
        <x:v>DEMO-405</x:v>
      </x:c>
      <x:c r="E1785" s="2" t="str">
        <x:v>Pebble Keyring</x:v>
      </x:c>
      <x:c r="F1785" s="2" t="str">
        <x:v>Accessories</x:v>
      </x:c>
      <x:c r="G1785" s="2" t="str">
        <x:v>Stores</x:v>
      </x:c>
      <x:c r="H1785" s="2" t="str">
        <x:v>Riverside</x:v>
      </x:c>
      <x:c r="I1785" s="2" t="n">
        <x:v>13</x:v>
      </x:c>
      <x:c r="J1785" s="2" t="n">
        <x:v>0</x:v>
      </x:c>
      <x:c r="K1785" s="2" t="n">
        <x:f>I1785-J1785</x:f>
        <x:v>13</x:v>
      </x:c>
      <x:c r="L1785" s="16" t="n">
        <x:v>24</x:v>
      </x:c>
      <x:c r="M1785" s="16" t="n">
        <x:v>24</x:v>
      </x:c>
      <x:c r="N1785" s="16" t="n">
        <x:v>11.04</x:v>
      </x:c>
      <x:c r="O1785" s="16" t="n">
        <x:f>K1785*M1785</x:f>
        <x:v>312</x:v>
      </x:c>
      <x:c r="P1785" s="16" t="n">
        <x:f>K1785*N1785</x:f>
        <x:v>143.51999999999998</x:v>
      </x:c>
      <x:c r="Q1785" s="16" t="n">
        <x:f>O1785-P1785</x:f>
        <x:v>168.48000000000002</x:v>
      </x:c>
      <x:c r="R1785" s="2" t="n">
        <x:v>103</x:v>
      </x:c>
      <x:c r="S1785" s="2" t="n">
        <x:v>0</x:v>
      </x:c>
      <x:c r="T1785" s="2" t="n">
        <x:f>R1785+S1785+J1785-I1785</x:f>
        <x:v>90</x:v>
      </x:c>
      <x:c r="U1785" s="2" t="n">
        <x:v>0</x:v>
      </x:c>
      <x:c r="V1785" s="2" t="n">
        <x:v>3</x:v>
      </x:c>
      <x:c r="W1785" s="2" t="n">
        <x:v>11</x:v>
      </x:c>
      <x:c r="X1785" s="14" t="b">
        <x:v>0</x:v>
      </x:c>
      <x:c r="Y1785" s="14" t="b">
        <x:v>0</x:v>
      </x:c>
      <x:c r="Z1785" s="2" t="n">
        <x:f>ABS(T1785-AA1785)</x:f>
        <x:v>0</x:v>
      </x:c>
      <x:c r="AA1785" s="2" t="n">
        <x:v>90</x:v>
      </x:c>
      <x:c r="AB1785" s="2" t="n">
        <x:f>ABS(K1785-W1785)</x:f>
        <x:v>2</x:v>
      </x:c>
      <x:c r="AC1785" s="2" t="n">
        <x:f>COUNTIF($A$2:$A$1921,A1785)-1</x:f>
        <x:v>0</x:v>
      </x:c>
      <x:c r="AD1785" s="2" t="n">
        <x:f>IF(AND(D1785=D1784,H1785=H1784,C1785=C1784+1),ABS(R1785-T1784),0)</x:f>
        <x:v>0</x:v>
      </x:c>
    </x:row>
    <x:row r="1786" ht="23" customHeight="1">
      <x:c r="A1786" s="2" t="str">
        <x:v>DEMO-405-1-5</x:v>
      </x:c>
      <x:c r="B1786" s="15" t="d">
        <x:v>2026-06-01T00:00:00.000Z</x:v>
      </x:c>
      <x:c r="C1786" s="2" t="n">
        <x:v>5</x:v>
      </x:c>
      <x:c r="D1786" s="2" t="str">
        <x:v>DEMO-405</x:v>
      </x:c>
      <x:c r="E1786" s="2" t="str">
        <x:v>Pebble Keyring</x:v>
      </x:c>
      <x:c r="F1786" s="2" t="str">
        <x:v>Accessories</x:v>
      </x:c>
      <x:c r="G1786" s="2" t="str">
        <x:v>Stores</x:v>
      </x:c>
      <x:c r="H1786" s="2" t="str">
        <x:v>Riverside</x:v>
      </x:c>
      <x:c r="I1786" s="2" t="n">
        <x:v>11</x:v>
      </x:c>
      <x:c r="J1786" s="2" t="n">
        <x:v>1</x:v>
      </x:c>
      <x:c r="K1786" s="2" t="n">
        <x:f>I1786-J1786</x:f>
        <x:v>10</x:v>
      </x:c>
      <x:c r="L1786" s="16" t="n">
        <x:v>24</x:v>
      </x:c>
      <x:c r="M1786" s="16" t="n">
        <x:v>24</x:v>
      </x:c>
      <x:c r="N1786" s="16" t="n">
        <x:v>11.04</x:v>
      </x:c>
      <x:c r="O1786" s="16" t="n">
        <x:f>K1786*M1786</x:f>
        <x:v>240</x:v>
      </x:c>
      <x:c r="P1786" s="16" t="n">
        <x:f>K1786*N1786</x:f>
        <x:v>110.39999999999999</x:v>
      </x:c>
      <x:c r="Q1786" s="16" t="n">
        <x:f>O1786-P1786</x:f>
        <x:v>129.60000000000002</x:v>
      </x:c>
      <x:c r="R1786" s="2" t="n">
        <x:v>90</x:v>
      </x:c>
      <x:c r="S1786" s="2" t="n">
        <x:v>46</x:v>
      </x:c>
      <x:c r="T1786" s="2" t="n">
        <x:f>R1786+S1786+J1786-I1786</x:f>
        <x:v>126</x:v>
      </x:c>
      <x:c r="U1786" s="2" t="n">
        <x:v>0</x:v>
      </x:c>
      <x:c r="V1786" s="2" t="n">
        <x:v>3</x:v>
      </x:c>
      <x:c r="W1786" s="2" t="n">
        <x:v>12</x:v>
      </x:c>
      <x:c r="X1786" s="14" t="b">
        <x:v>0</x:v>
      </x:c>
      <x:c r="Y1786" s="14" t="b">
        <x:v>0</x:v>
      </x:c>
      <x:c r="Z1786" s="2" t="n">
        <x:f>ABS(T1786-AA1786)</x:f>
        <x:v>0</x:v>
      </x:c>
      <x:c r="AA1786" s="2" t="n">
        <x:v>126</x:v>
      </x:c>
      <x:c r="AB1786" s="2" t="n">
        <x:f>ABS(K1786-W1786)</x:f>
        <x:v>2</x:v>
      </x:c>
      <x:c r="AC1786" s="2" t="n">
        <x:f>COUNTIF($A$2:$A$1921,A1786)-1</x:f>
        <x:v>0</x:v>
      </x:c>
      <x:c r="AD1786" s="2" t="n">
        <x:f>IF(AND(D1786=D1785,H1786=H1785,C1786=C1785+1),ABS(R1786-T1785),0)</x:f>
        <x:v>0</x:v>
      </x:c>
    </x:row>
    <x:row r="1787" ht="23" customHeight="1">
      <x:c r="A1787" s="2" t="str">
        <x:v>DEMO-405-1-6</x:v>
      </x:c>
      <x:c r="B1787" s="15" t="d">
        <x:v>2026-06-08T00:00:00.000Z</x:v>
      </x:c>
      <x:c r="C1787" s="2" t="n">
        <x:v>6</x:v>
      </x:c>
      <x:c r="D1787" s="2" t="str">
        <x:v>DEMO-405</x:v>
      </x:c>
      <x:c r="E1787" s="2" t="str">
        <x:v>Pebble Keyring</x:v>
      </x:c>
      <x:c r="F1787" s="2" t="str">
        <x:v>Accessories</x:v>
      </x:c>
      <x:c r="G1787" s="2" t="str">
        <x:v>Stores</x:v>
      </x:c>
      <x:c r="H1787" s="2" t="str">
        <x:v>Riverside</x:v>
      </x:c>
      <x:c r="I1787" s="2" t="n">
        <x:v>9</x:v>
      </x:c>
      <x:c r="J1787" s="2" t="n">
        <x:v>0</x:v>
      </x:c>
      <x:c r="K1787" s="2" t="n">
        <x:f>I1787-J1787</x:f>
        <x:v>9</x:v>
      </x:c>
      <x:c r="L1787" s="16" t="n">
        <x:v>24</x:v>
      </x:c>
      <x:c r="M1787" s="16" t="n">
        <x:v>24</x:v>
      </x:c>
      <x:c r="N1787" s="16" t="n">
        <x:v>11.04</x:v>
      </x:c>
      <x:c r="O1787" s="16" t="n">
        <x:f>K1787*M1787</x:f>
        <x:v>216</x:v>
      </x:c>
      <x:c r="P1787" s="16" t="n">
        <x:f>K1787*N1787</x:f>
        <x:v>99.35999999999999</x:v>
      </x:c>
      <x:c r="Q1787" s="16" t="n">
        <x:f>O1787-P1787</x:f>
        <x:v>116.64000000000001</x:v>
      </x:c>
      <x:c r="R1787" s="2" t="n">
        <x:v>126</x:v>
      </x:c>
      <x:c r="S1787" s="2" t="n">
        <x:v>0</x:v>
      </x:c>
      <x:c r="T1787" s="2" t="n">
        <x:f>R1787+S1787+J1787-I1787</x:f>
        <x:v>117</x:v>
      </x:c>
      <x:c r="U1787" s="2" t="n">
        <x:v>0</x:v>
      </x:c>
      <x:c r="V1787" s="2" t="n">
        <x:v>3</x:v>
      </x:c>
      <x:c r="W1787" s="2" t="n">
        <x:v>11</x:v>
      </x:c>
      <x:c r="X1787" s="14" t="b">
        <x:v>0</x:v>
      </x:c>
      <x:c r="Y1787" s="14" t="b">
        <x:v>0</x:v>
      </x:c>
      <x:c r="Z1787" s="2" t="n">
        <x:f>ABS(T1787-AA1787)</x:f>
        <x:v>0</x:v>
      </x:c>
      <x:c r="AA1787" s="2" t="n">
        <x:v>117</x:v>
      </x:c>
      <x:c r="AB1787" s="2" t="n">
        <x:f>ABS(K1787-W1787)</x:f>
        <x:v>2</x:v>
      </x:c>
      <x:c r="AC1787" s="2" t="n">
        <x:f>COUNTIF($A$2:$A$1921,A1787)-1</x:f>
        <x:v>0</x:v>
      </x:c>
      <x:c r="AD1787" s="2" t="n">
        <x:f>IF(AND(D1787=D1786,H1787=H1786,C1787=C1786+1),ABS(R1787-T1786),0)</x:f>
        <x:v>0</x:v>
      </x:c>
    </x:row>
    <x:row r="1788" ht="23" customHeight="1">
      <x:c r="A1788" s="2" t="str">
        <x:v>DEMO-405-1-7</x:v>
      </x:c>
      <x:c r="B1788" s="15" t="d">
        <x:v>2026-06-15T00:00:00.000Z</x:v>
      </x:c>
      <x:c r="C1788" s="2" t="n">
        <x:v>7</x:v>
      </x:c>
      <x:c r="D1788" s="2" t="str">
        <x:v>DEMO-405</x:v>
      </x:c>
      <x:c r="E1788" s="2" t="str">
        <x:v>Pebble Keyring</x:v>
      </x:c>
      <x:c r="F1788" s="2" t="str">
        <x:v>Accessories</x:v>
      </x:c>
      <x:c r="G1788" s="2" t="str">
        <x:v>Stores</x:v>
      </x:c>
      <x:c r="H1788" s="2" t="str">
        <x:v>Riverside</x:v>
      </x:c>
      <x:c r="I1788" s="2" t="n">
        <x:v>9</x:v>
      </x:c>
      <x:c r="J1788" s="2" t="n">
        <x:v>0</x:v>
      </x:c>
      <x:c r="K1788" s="2" t="n">
        <x:f>I1788-J1788</x:f>
        <x:v>9</x:v>
      </x:c>
      <x:c r="L1788" s="16" t="n">
        <x:v>24</x:v>
      </x:c>
      <x:c r="M1788" s="16" t="n">
        <x:v>24</x:v>
      </x:c>
      <x:c r="N1788" s="16" t="n">
        <x:v>11.04</x:v>
      </x:c>
      <x:c r="O1788" s="16" t="n">
        <x:f>K1788*M1788</x:f>
        <x:v>216</x:v>
      </x:c>
      <x:c r="P1788" s="16" t="n">
        <x:f>K1788*N1788</x:f>
        <x:v>99.35999999999999</x:v>
      </x:c>
      <x:c r="Q1788" s="16" t="n">
        <x:f>O1788-P1788</x:f>
        <x:v>116.64000000000001</x:v>
      </x:c>
      <x:c r="R1788" s="2" t="n">
        <x:v>117</x:v>
      </x:c>
      <x:c r="S1788" s="2" t="n">
        <x:v>0</x:v>
      </x:c>
      <x:c r="T1788" s="2" t="n">
        <x:f>R1788+S1788+J1788-I1788</x:f>
        <x:v>108</x:v>
      </x:c>
      <x:c r="U1788" s="2" t="n">
        <x:v>0</x:v>
      </x:c>
      <x:c r="V1788" s="2" t="n">
        <x:v>3</x:v>
      </x:c>
      <x:c r="W1788" s="2" t="n">
        <x:v>11</x:v>
      </x:c>
      <x:c r="X1788" s="14" t="b">
        <x:v>0</x:v>
      </x:c>
      <x:c r="Y1788" s="14" t="b">
        <x:v>0</x:v>
      </x:c>
      <x:c r="Z1788" s="2" t="n">
        <x:f>ABS(T1788-AA1788)</x:f>
        <x:v>0</x:v>
      </x:c>
      <x:c r="AA1788" s="2" t="n">
        <x:v>108</x:v>
      </x:c>
      <x:c r="AB1788" s="2" t="n">
        <x:f>ABS(K1788-W1788)</x:f>
        <x:v>2</x:v>
      </x:c>
      <x:c r="AC1788" s="2" t="n">
        <x:f>COUNTIF($A$2:$A$1921,A1788)-1</x:f>
        <x:v>0</x:v>
      </x:c>
      <x:c r="AD1788" s="2" t="n">
        <x:f>IF(AND(D1788=D1787,H1788=H1787,C1788=C1787+1),ABS(R1788-T1787),0)</x:f>
        <x:v>0</x:v>
      </x:c>
    </x:row>
    <x:row r="1789" ht="23" customHeight="1">
      <x:c r="A1789" s="2" t="str">
        <x:v>DEMO-405-1-8</x:v>
      </x:c>
      <x:c r="B1789" s="15" t="d">
        <x:v>2026-06-22T00:00:00.000Z</x:v>
      </x:c>
      <x:c r="C1789" s="2" t="n">
        <x:v>8</x:v>
      </x:c>
      <x:c r="D1789" s="2" t="str">
        <x:v>DEMO-405</x:v>
      </x:c>
      <x:c r="E1789" s="2" t="str">
        <x:v>Pebble Keyring</x:v>
      </x:c>
      <x:c r="F1789" s="2" t="str">
        <x:v>Accessories</x:v>
      </x:c>
      <x:c r="G1789" s="2" t="str">
        <x:v>Stores</x:v>
      </x:c>
      <x:c r="H1789" s="2" t="str">
        <x:v>Riverside</x:v>
      </x:c>
      <x:c r="I1789" s="2" t="n">
        <x:v>11</x:v>
      </x:c>
      <x:c r="J1789" s="2" t="n">
        <x:v>1</x:v>
      </x:c>
      <x:c r="K1789" s="2" t="n">
        <x:f>I1789-J1789</x:f>
        <x:v>10</x:v>
      </x:c>
      <x:c r="L1789" s="16" t="n">
        <x:v>24</x:v>
      </x:c>
      <x:c r="M1789" s="16" t="n">
        <x:v>24</x:v>
      </x:c>
      <x:c r="N1789" s="16" t="n">
        <x:v>11.04</x:v>
      </x:c>
      <x:c r="O1789" s="16" t="n">
        <x:f>K1789*M1789</x:f>
        <x:v>240</x:v>
      </x:c>
      <x:c r="P1789" s="16" t="n">
        <x:f>K1789*N1789</x:f>
        <x:v>110.39999999999999</x:v>
      </x:c>
      <x:c r="Q1789" s="16" t="n">
        <x:f>O1789-P1789</x:f>
        <x:v>129.60000000000002</x:v>
      </x:c>
      <x:c r="R1789" s="2" t="n">
        <x:v>108</x:v>
      </x:c>
      <x:c r="S1789" s="2" t="n">
        <x:v>0</x:v>
      </x:c>
      <x:c r="T1789" s="2" t="n">
        <x:f>R1789+S1789+J1789-I1789</x:f>
        <x:v>98</x:v>
      </x:c>
      <x:c r="U1789" s="2" t="n">
        <x:v>0</x:v>
      </x:c>
      <x:c r="V1789" s="2" t="n">
        <x:v>3</x:v>
      </x:c>
      <x:c r="W1789" s="2" t="n">
        <x:v>10</x:v>
      </x:c>
      <x:c r="X1789" s="14" t="b">
        <x:v>0</x:v>
      </x:c>
      <x:c r="Y1789" s="14" t="b">
        <x:v>0</x:v>
      </x:c>
      <x:c r="Z1789" s="2" t="n">
        <x:f>ABS(T1789-AA1789)</x:f>
        <x:v>0</x:v>
      </x:c>
      <x:c r="AA1789" s="2" t="n">
        <x:v>98</x:v>
      </x:c>
      <x:c r="AB1789" s="2" t="n">
        <x:f>ABS(K1789-W1789)</x:f>
        <x:v>0</x:v>
      </x:c>
      <x:c r="AC1789" s="2" t="n">
        <x:f>COUNTIF($A$2:$A$1921,A1789)-1</x:f>
        <x:v>0</x:v>
      </x:c>
      <x:c r="AD1789" s="2" t="n">
        <x:f>IF(AND(D1789=D1788,H1789=H1788,C1789=C1788+1),ABS(R1789-T1788),0)</x:f>
        <x:v>0</x:v>
      </x:c>
    </x:row>
    <x:row r="1790" ht="23" customHeight="1">
      <x:c r="A1790" s="2" t="str">
        <x:v>DEMO-405-1-9</x:v>
      </x:c>
      <x:c r="B1790" s="15" t="d">
        <x:v>2026-06-29T00:00:00.000Z</x:v>
      </x:c>
      <x:c r="C1790" s="2" t="n">
        <x:v>9</x:v>
      </x:c>
      <x:c r="D1790" s="2" t="str">
        <x:v>DEMO-405</x:v>
      </x:c>
      <x:c r="E1790" s="2" t="str">
        <x:v>Pebble Keyring</x:v>
      </x:c>
      <x:c r="F1790" s="2" t="str">
        <x:v>Accessories</x:v>
      </x:c>
      <x:c r="G1790" s="2" t="str">
        <x:v>Stores</x:v>
      </x:c>
      <x:c r="H1790" s="2" t="str">
        <x:v>Riverside</x:v>
      </x:c>
      <x:c r="I1790" s="2" t="n">
        <x:v>11</x:v>
      </x:c>
      <x:c r="J1790" s="2" t="n">
        <x:v>0</x:v>
      </x:c>
      <x:c r="K1790" s="2" t="n">
        <x:f>I1790-J1790</x:f>
        <x:v>11</x:v>
      </x:c>
      <x:c r="L1790" s="16" t="n">
        <x:v>24</x:v>
      </x:c>
      <x:c r="M1790" s="16" t="n">
        <x:v>24</x:v>
      </x:c>
      <x:c r="N1790" s="16" t="n">
        <x:v>11.04</x:v>
      </x:c>
      <x:c r="O1790" s="16" t="n">
        <x:f>K1790*M1790</x:f>
        <x:v>264</x:v>
      </x:c>
      <x:c r="P1790" s="16" t="n">
        <x:f>K1790*N1790</x:f>
        <x:v>121.44</x:v>
      </x:c>
      <x:c r="Q1790" s="16" t="n">
        <x:f>O1790-P1790</x:f>
        <x:v>142.56</x:v>
      </x:c>
      <x:c r="R1790" s="2" t="n">
        <x:v>98</x:v>
      </x:c>
      <x:c r="S1790" s="2" t="n">
        <x:v>46</x:v>
      </x:c>
      <x:c r="T1790" s="2" t="n">
        <x:f>R1790+S1790+J1790-I1790</x:f>
        <x:v>133</x:v>
      </x:c>
      <x:c r="U1790" s="2" t="n">
        <x:v>0</x:v>
      </x:c>
      <x:c r="V1790" s="2" t="n">
        <x:v>3</x:v>
      </x:c>
      <x:c r="W1790" s="2" t="n">
        <x:v>10</x:v>
      </x:c>
      <x:c r="X1790" s="14" t="b">
        <x:v>0</x:v>
      </x:c>
      <x:c r="Y1790" s="14" t="b">
        <x:v>0</x:v>
      </x:c>
      <x:c r="Z1790" s="2" t="n">
        <x:f>ABS(T1790-AA1790)</x:f>
        <x:v>0</x:v>
      </x:c>
      <x:c r="AA1790" s="2" t="n">
        <x:v>133</x:v>
      </x:c>
      <x:c r="AB1790" s="2" t="n">
        <x:f>ABS(K1790-W1790)</x:f>
        <x:v>1</x:v>
      </x:c>
      <x:c r="AC1790" s="2" t="n">
        <x:f>COUNTIF($A$2:$A$1921,A1790)-1</x:f>
        <x:v>0</x:v>
      </x:c>
      <x:c r="AD1790" s="2" t="n">
        <x:f>IF(AND(D1790=D1789,H1790=H1789,C1790=C1789+1),ABS(R1790-T1789),0)</x:f>
        <x:v>0</x:v>
      </x:c>
    </x:row>
    <x:row r="1791" ht="23" customHeight="1">
      <x:c r="A1791" s="2" t="str">
        <x:v>DEMO-405-1-10</x:v>
      </x:c>
      <x:c r="B1791" s="15" t="d">
        <x:v>2026-07-06T00:00:00.000Z</x:v>
      </x:c>
      <x:c r="C1791" s="2" t="n">
        <x:v>10</x:v>
      </x:c>
      <x:c r="D1791" s="2" t="str">
        <x:v>DEMO-405</x:v>
      </x:c>
      <x:c r="E1791" s="2" t="str">
        <x:v>Pebble Keyring</x:v>
      </x:c>
      <x:c r="F1791" s="2" t="str">
        <x:v>Accessories</x:v>
      </x:c>
      <x:c r="G1791" s="2" t="str">
        <x:v>Stores</x:v>
      </x:c>
      <x:c r="H1791" s="2" t="str">
        <x:v>Riverside</x:v>
      </x:c>
      <x:c r="I1791" s="2" t="n">
        <x:v>9</x:v>
      </x:c>
      <x:c r="J1791" s="2" t="n">
        <x:v>0</x:v>
      </x:c>
      <x:c r="K1791" s="2" t="n">
        <x:f>I1791-J1791</x:f>
        <x:v>9</x:v>
      </x:c>
      <x:c r="L1791" s="16" t="n">
        <x:v>24</x:v>
      </x:c>
      <x:c r="M1791" s="16" t="n">
        <x:v>24</x:v>
      </x:c>
      <x:c r="N1791" s="16" t="n">
        <x:v>11.04</x:v>
      </x:c>
      <x:c r="O1791" s="16" t="n">
        <x:f>K1791*M1791</x:f>
        <x:v>216</x:v>
      </x:c>
      <x:c r="P1791" s="16" t="n">
        <x:f>K1791*N1791</x:f>
        <x:v>99.35999999999999</x:v>
      </x:c>
      <x:c r="Q1791" s="16" t="n">
        <x:f>O1791-P1791</x:f>
        <x:v>116.64000000000001</x:v>
      </x:c>
      <x:c r="R1791" s="2" t="n">
        <x:v>133</x:v>
      </x:c>
      <x:c r="S1791" s="2" t="n">
        <x:v>0</x:v>
      </x:c>
      <x:c r="T1791" s="2" t="n">
        <x:f>R1791+S1791+J1791-I1791</x:f>
        <x:v>124</x:v>
      </x:c>
      <x:c r="U1791" s="2" t="n">
        <x:v>0</x:v>
      </x:c>
      <x:c r="V1791" s="2" t="n">
        <x:v>3</x:v>
      </x:c>
      <x:c r="W1791" s="2" t="n">
        <x:v>10</x:v>
      </x:c>
      <x:c r="X1791" s="14" t="b">
        <x:v>0</x:v>
      </x:c>
      <x:c r="Y1791" s="14" t="b">
        <x:v>0</x:v>
      </x:c>
      <x:c r="Z1791" s="2" t="n">
        <x:f>ABS(T1791-AA1791)</x:f>
        <x:v>0</x:v>
      </x:c>
      <x:c r="AA1791" s="2" t="n">
        <x:v>124</x:v>
      </x:c>
      <x:c r="AB1791" s="2" t="n">
        <x:f>ABS(K1791-W1791)</x:f>
        <x:v>1</x:v>
      </x:c>
      <x:c r="AC1791" s="2" t="n">
        <x:f>COUNTIF($A$2:$A$1921,A1791)-1</x:f>
        <x:v>0</x:v>
      </x:c>
      <x:c r="AD1791" s="2" t="n">
        <x:f>IF(AND(D1791=D1790,H1791=H1790,C1791=C1790+1),ABS(R1791-T1790),0)</x:f>
        <x:v>0</x:v>
      </x:c>
    </x:row>
    <x:row r="1792" ht="23" customHeight="1">
      <x:c r="A1792" s="2" t="str">
        <x:v>DEMO-405-1-11</x:v>
      </x:c>
      <x:c r="B1792" s="15" t="d">
        <x:v>2026-07-13T00:00:00.000Z</x:v>
      </x:c>
      <x:c r="C1792" s="2" t="n">
        <x:v>11</x:v>
      </x:c>
      <x:c r="D1792" s="2" t="str">
        <x:v>DEMO-405</x:v>
      </x:c>
      <x:c r="E1792" s="2" t="str">
        <x:v>Pebble Keyring</x:v>
      </x:c>
      <x:c r="F1792" s="2" t="str">
        <x:v>Accessories</x:v>
      </x:c>
      <x:c r="G1792" s="2" t="str">
        <x:v>Stores</x:v>
      </x:c>
      <x:c r="H1792" s="2" t="str">
        <x:v>Riverside</x:v>
      </x:c>
      <x:c r="I1792" s="2" t="n">
        <x:v>11</x:v>
      </x:c>
      <x:c r="J1792" s="2" t="n">
        <x:v>1</x:v>
      </x:c>
      <x:c r="K1792" s="2" t="n">
        <x:f>I1792-J1792</x:f>
        <x:v>10</x:v>
      </x:c>
      <x:c r="L1792" s="16" t="n">
        <x:v>24</x:v>
      </x:c>
      <x:c r="M1792" s="16" t="n">
        <x:v>24</x:v>
      </x:c>
      <x:c r="N1792" s="16" t="n">
        <x:v>11.04</x:v>
      </x:c>
      <x:c r="O1792" s="16" t="n">
        <x:f>K1792*M1792</x:f>
        <x:v>240</x:v>
      </x:c>
      <x:c r="P1792" s="16" t="n">
        <x:f>K1792*N1792</x:f>
        <x:v>110.39999999999999</x:v>
      </x:c>
      <x:c r="Q1792" s="16" t="n">
        <x:f>O1792-P1792</x:f>
        <x:v>129.60000000000002</x:v>
      </x:c>
      <x:c r="R1792" s="2" t="n">
        <x:v>124</x:v>
      </x:c>
      <x:c r="S1792" s="2" t="n">
        <x:v>0</x:v>
      </x:c>
      <x:c r="T1792" s="2" t="n">
        <x:f>R1792+S1792+J1792-I1792</x:f>
        <x:v>114</x:v>
      </x:c>
      <x:c r="U1792" s="2" t="n">
        <x:v>0</x:v>
      </x:c>
      <x:c r="V1792" s="2" t="n">
        <x:v>3</x:v>
      </x:c>
      <x:c r="W1792" s="2" t="n">
        <x:v>10</x:v>
      </x:c>
      <x:c r="X1792" s="14" t="b">
        <x:v>0</x:v>
      </x:c>
      <x:c r="Y1792" s="14" t="b">
        <x:v>0</x:v>
      </x:c>
      <x:c r="Z1792" s="2" t="n">
        <x:f>ABS(T1792-AA1792)</x:f>
        <x:v>0</x:v>
      </x:c>
      <x:c r="AA1792" s="2" t="n">
        <x:v>114</x:v>
      </x:c>
      <x:c r="AB1792" s="2" t="n">
        <x:f>ABS(K1792-W1792)</x:f>
        <x:v>0</x:v>
      </x:c>
      <x:c r="AC1792" s="2" t="n">
        <x:f>COUNTIF($A$2:$A$1921,A1792)-1</x:f>
        <x:v>0</x:v>
      </x:c>
      <x:c r="AD1792" s="2" t="n">
        <x:f>IF(AND(D1792=D1791,H1792=H1791,C1792=C1791+1),ABS(R1792-T1791),0)</x:f>
        <x:v>0</x:v>
      </x:c>
    </x:row>
    <x:row r="1793" ht="23" customHeight="1">
      <x:c r="A1793" s="2" t="str">
        <x:v>DEMO-405-1-12</x:v>
      </x:c>
      <x:c r="B1793" s="15" t="d">
        <x:v>2026-07-20T00:00:00.000Z</x:v>
      </x:c>
      <x:c r="C1793" s="2" t="n">
        <x:v>12</x:v>
      </x:c>
      <x:c r="D1793" s="2" t="str">
        <x:v>DEMO-405</x:v>
      </x:c>
      <x:c r="E1793" s="2" t="str">
        <x:v>Pebble Keyring</x:v>
      </x:c>
      <x:c r="F1793" s="2" t="str">
        <x:v>Accessories</x:v>
      </x:c>
      <x:c r="G1793" s="2" t="str">
        <x:v>Stores</x:v>
      </x:c>
      <x:c r="H1793" s="2" t="str">
        <x:v>Riverside</x:v>
      </x:c>
      <x:c r="I1793" s="2" t="n">
        <x:v>13</x:v>
      </x:c>
      <x:c r="J1793" s="2" t="n">
        <x:v>0</x:v>
      </x:c>
      <x:c r="K1793" s="2" t="n">
        <x:f>I1793-J1793</x:f>
        <x:v>13</x:v>
      </x:c>
      <x:c r="L1793" s="16" t="n">
        <x:v>24</x:v>
      </x:c>
      <x:c r="M1793" s="16" t="n">
        <x:v>24</x:v>
      </x:c>
      <x:c r="N1793" s="16" t="n">
        <x:v>11.04</x:v>
      </x:c>
      <x:c r="O1793" s="16" t="n">
        <x:f>K1793*M1793</x:f>
        <x:v>312</x:v>
      </x:c>
      <x:c r="P1793" s="16" t="n">
        <x:f>K1793*N1793</x:f>
        <x:v>143.51999999999998</x:v>
      </x:c>
      <x:c r="Q1793" s="16" t="n">
        <x:f>O1793-P1793</x:f>
        <x:v>168.48000000000002</x:v>
      </x:c>
      <x:c r="R1793" s="2" t="n">
        <x:v>114</x:v>
      </x:c>
      <x:c r="S1793" s="2" t="n">
        <x:v>0</x:v>
      </x:c>
      <x:c r="T1793" s="2" t="n">
        <x:f>R1793+S1793+J1793-I1793</x:f>
        <x:v>101</x:v>
      </x:c>
      <x:c r="U1793" s="2" t="n">
        <x:v>0</x:v>
      </x:c>
      <x:c r="V1793" s="2" t="n">
        <x:v>3</x:v>
      </x:c>
      <x:c r="W1793" s="2" t="n">
        <x:v>10</x:v>
      </x:c>
      <x:c r="X1793" s="14" t="b">
        <x:v>0</x:v>
      </x:c>
      <x:c r="Y1793" s="14" t="b">
        <x:v>0</x:v>
      </x:c>
      <x:c r="Z1793" s="2" t="n">
        <x:f>ABS(T1793-AA1793)</x:f>
        <x:v>0</x:v>
      </x:c>
      <x:c r="AA1793" s="2" t="n">
        <x:v>101</x:v>
      </x:c>
      <x:c r="AB1793" s="2" t="n">
        <x:f>ABS(K1793-W1793)</x:f>
        <x:v>3</x:v>
      </x:c>
      <x:c r="AC1793" s="2" t="n">
        <x:f>COUNTIF($A$2:$A$1921,A1793)-1</x:f>
        <x:v>0</x:v>
      </x:c>
      <x:c r="AD1793" s="2" t="n">
        <x:f>IF(AND(D1793=D1792,H1793=H1792,C1793=C1792+1),ABS(R1793-T1792),0)</x:f>
        <x:v>0</x:v>
      </x:c>
    </x:row>
    <x:row r="1794" ht="23" customHeight="1">
      <x:c r="A1794" s="2" t="str">
        <x:v>DEMO-405-1-13</x:v>
      </x:c>
      <x:c r="B1794" s="15" t="d">
        <x:v>2026-07-27T00:00:00.000Z</x:v>
      </x:c>
      <x:c r="C1794" s="2" t="n">
        <x:v>13</x:v>
      </x:c>
      <x:c r="D1794" s="2" t="str">
        <x:v>DEMO-405</x:v>
      </x:c>
      <x:c r="E1794" s="2" t="str">
        <x:v>Pebble Keyring</x:v>
      </x:c>
      <x:c r="F1794" s="2" t="str">
        <x:v>Accessories</x:v>
      </x:c>
      <x:c r="G1794" s="2" t="str">
        <x:v>Stores</x:v>
      </x:c>
      <x:c r="H1794" s="2" t="str">
        <x:v>Riverside</x:v>
      </x:c>
      <x:c r="I1794" s="2" t="n">
        <x:v>11</x:v>
      </x:c>
      <x:c r="J1794" s="2" t="n">
        <x:v>0</x:v>
      </x:c>
      <x:c r="K1794" s="2" t="n">
        <x:f>I1794-J1794</x:f>
        <x:v>11</x:v>
      </x:c>
      <x:c r="L1794" s="16" t="n">
        <x:v>24</x:v>
      </x:c>
      <x:c r="M1794" s="16" t="n">
        <x:v>24</x:v>
      </x:c>
      <x:c r="N1794" s="16" t="n">
        <x:v>11.04</x:v>
      </x:c>
      <x:c r="O1794" s="16" t="n">
        <x:f>K1794*M1794</x:f>
        <x:v>264</x:v>
      </x:c>
      <x:c r="P1794" s="16" t="n">
        <x:f>K1794*N1794</x:f>
        <x:v>121.44</x:v>
      </x:c>
      <x:c r="Q1794" s="16" t="n">
        <x:f>O1794-P1794</x:f>
        <x:v>142.56</x:v>
      </x:c>
      <x:c r="R1794" s="2" t="n">
        <x:v>101</x:v>
      </x:c>
      <x:c r="S1794" s="2" t="n">
        <x:v>46</x:v>
      </x:c>
      <x:c r="T1794" s="2" t="n">
        <x:f>R1794+S1794+J1794-I1794</x:f>
        <x:v>136</x:v>
      </x:c>
      <x:c r="U1794" s="2" t="n">
        <x:v>0</x:v>
      </x:c>
      <x:c r="V1794" s="2" t="n">
        <x:v>3</x:v>
      </x:c>
      <x:c r="W1794" s="2" t="n">
        <x:v>11</x:v>
      </x:c>
      <x:c r="X1794" s="14" t="b">
        <x:v>0</x:v>
      </x:c>
      <x:c r="Y1794" s="14" t="b">
        <x:v>0</x:v>
      </x:c>
      <x:c r="Z1794" s="2" t="n">
        <x:f>ABS(T1794-AA1794)</x:f>
        <x:v>0</x:v>
      </x:c>
      <x:c r="AA1794" s="2" t="n">
        <x:v>136</x:v>
      </x:c>
      <x:c r="AB1794" s="2" t="n">
        <x:f>ABS(K1794-W1794)</x:f>
        <x:v>0</x:v>
      </x:c>
      <x:c r="AC1794" s="2" t="n">
        <x:f>COUNTIF($A$2:$A$1921,A1794)-1</x:f>
        <x:v>0</x:v>
      </x:c>
      <x:c r="AD1794" s="2" t="n">
        <x:f>IF(AND(D1794=D1793,H1794=H1793,C1794=C1793+1),ABS(R1794-T1793),0)</x:f>
        <x:v>0</x:v>
      </x:c>
    </x:row>
    <x:row r="1795" ht="23" customHeight="1">
      <x:c r="A1795" s="2" t="str">
        <x:v>DEMO-405-1-14</x:v>
      </x:c>
      <x:c r="B1795" s="15" t="d">
        <x:v>2026-08-03T00:00:00.000Z</x:v>
      </x:c>
      <x:c r="C1795" s="2" t="n">
        <x:v>14</x:v>
      </x:c>
      <x:c r="D1795" s="2" t="str">
        <x:v>DEMO-405</x:v>
      </x:c>
      <x:c r="E1795" s="2" t="str">
        <x:v>Pebble Keyring</x:v>
      </x:c>
      <x:c r="F1795" s="2" t="str">
        <x:v>Accessories</x:v>
      </x:c>
      <x:c r="G1795" s="2" t="str">
        <x:v>Stores</x:v>
      </x:c>
      <x:c r="H1795" s="2" t="str">
        <x:v>Riverside</x:v>
      </x:c>
      <x:c r="I1795" s="2" t="n">
        <x:v>12</x:v>
      </x:c>
      <x:c r="J1795" s="2" t="n">
        <x:v>0</x:v>
      </x:c>
      <x:c r="K1795" s="2" t="n">
        <x:f>I1795-J1795</x:f>
        <x:v>12</x:v>
      </x:c>
      <x:c r="L1795" s="16" t="n">
        <x:v>24</x:v>
      </x:c>
      <x:c r="M1795" s="16" t="n">
        <x:v>24</x:v>
      </x:c>
      <x:c r="N1795" s="16" t="n">
        <x:v>11.04</x:v>
      </x:c>
      <x:c r="O1795" s="16" t="n">
        <x:f>K1795*M1795</x:f>
        <x:v>288</x:v>
      </x:c>
      <x:c r="P1795" s="16" t="n">
        <x:f>K1795*N1795</x:f>
        <x:v>132.48</x:v>
      </x:c>
      <x:c r="Q1795" s="16" t="n">
        <x:f>O1795-P1795</x:f>
        <x:v>155.52</x:v>
      </x:c>
      <x:c r="R1795" s="2" t="n">
        <x:v>136</x:v>
      </x:c>
      <x:c r="S1795" s="2" t="n">
        <x:v>0</x:v>
      </x:c>
      <x:c r="T1795" s="2" t="n">
        <x:f>R1795+S1795+J1795-I1795</x:f>
        <x:v>124</x:v>
      </x:c>
      <x:c r="U1795" s="2" t="n">
        <x:v>0</x:v>
      </x:c>
      <x:c r="V1795" s="2" t="n">
        <x:v>3</x:v>
      </x:c>
      <x:c r="W1795" s="2" t="n">
        <x:v>11</x:v>
      </x:c>
      <x:c r="X1795" s="14" t="b">
        <x:v>0</x:v>
      </x:c>
      <x:c r="Y1795" s="14" t="b">
        <x:v>0</x:v>
      </x:c>
      <x:c r="Z1795" s="2" t="n">
        <x:f>ABS(T1795-AA1795)</x:f>
        <x:v>0</x:v>
      </x:c>
      <x:c r="AA1795" s="2" t="n">
        <x:v>124</x:v>
      </x:c>
      <x:c r="AB1795" s="2" t="n">
        <x:f>ABS(K1795-W1795)</x:f>
        <x:v>1</x:v>
      </x:c>
      <x:c r="AC1795" s="2" t="n">
        <x:f>COUNTIF($A$2:$A$1921,A1795)-1</x:f>
        <x:v>0</x:v>
      </x:c>
      <x:c r="AD1795" s="2" t="n">
        <x:f>IF(AND(D1795=D1794,H1795=H1794,C1795=C1794+1),ABS(R1795-T1794),0)</x:f>
        <x:v>0</x:v>
      </x:c>
    </x:row>
    <x:row r="1796" ht="23" customHeight="1">
      <x:c r="A1796" s="2" t="str">
        <x:v>DEMO-405-1-15</x:v>
      </x:c>
      <x:c r="B1796" s="15" t="d">
        <x:v>2026-08-10T00:00:00.000Z</x:v>
      </x:c>
      <x:c r="C1796" s="2" t="n">
        <x:v>15</x:v>
      </x:c>
      <x:c r="D1796" s="2" t="str">
        <x:v>DEMO-405</x:v>
      </x:c>
      <x:c r="E1796" s="2" t="str">
        <x:v>Pebble Keyring</x:v>
      </x:c>
      <x:c r="F1796" s="2" t="str">
        <x:v>Accessories</x:v>
      </x:c>
      <x:c r="G1796" s="2" t="str">
        <x:v>Stores</x:v>
      </x:c>
      <x:c r="H1796" s="2" t="str">
        <x:v>Riverside</x:v>
      </x:c>
      <x:c r="I1796" s="2" t="n">
        <x:v>10</x:v>
      </x:c>
      <x:c r="J1796" s="2" t="n">
        <x:v>0</x:v>
      </x:c>
      <x:c r="K1796" s="2" t="n">
        <x:f>I1796-J1796</x:f>
        <x:v>10</x:v>
      </x:c>
      <x:c r="L1796" s="16" t="n">
        <x:v>24</x:v>
      </x:c>
      <x:c r="M1796" s="16" t="n">
        <x:v>24</x:v>
      </x:c>
      <x:c r="N1796" s="16" t="n">
        <x:v>11.04</x:v>
      </x:c>
      <x:c r="O1796" s="16" t="n">
        <x:f>K1796*M1796</x:f>
        <x:v>240</x:v>
      </x:c>
      <x:c r="P1796" s="16" t="n">
        <x:f>K1796*N1796</x:f>
        <x:v>110.39999999999999</x:v>
      </x:c>
      <x:c r="Q1796" s="16" t="n">
        <x:f>O1796-P1796</x:f>
        <x:v>129.60000000000002</x:v>
      </x:c>
      <x:c r="R1796" s="2" t="n">
        <x:v>124</x:v>
      </x:c>
      <x:c r="S1796" s="2" t="n">
        <x:v>0</x:v>
      </x:c>
      <x:c r="T1796" s="2" t="n">
        <x:f>R1796+S1796+J1796-I1796</x:f>
        <x:v>114</x:v>
      </x:c>
      <x:c r="U1796" s="2" t="n">
        <x:v>0</x:v>
      </x:c>
      <x:c r="V1796" s="2" t="n">
        <x:v>3</x:v>
      </x:c>
      <x:c r="W1796" s="2" t="n">
        <x:v>12</x:v>
      </x:c>
      <x:c r="X1796" s="14" t="b">
        <x:v>0</x:v>
      </x:c>
      <x:c r="Y1796" s="14" t="b">
        <x:v>0</x:v>
      </x:c>
      <x:c r="Z1796" s="2" t="n">
        <x:f>ABS(T1796-AA1796)</x:f>
        <x:v>0</x:v>
      </x:c>
      <x:c r="AA1796" s="2" t="n">
        <x:v>114</x:v>
      </x:c>
      <x:c r="AB1796" s="2" t="n">
        <x:f>ABS(K1796-W1796)</x:f>
        <x:v>2</x:v>
      </x:c>
      <x:c r="AC1796" s="2" t="n">
        <x:f>COUNTIF($A$2:$A$1921,A1796)-1</x:f>
        <x:v>0</x:v>
      </x:c>
      <x:c r="AD1796" s="2" t="n">
        <x:f>IF(AND(D1796=D1795,H1796=H1795,C1796=C1795+1),ABS(R1796-T1795),0)</x:f>
        <x:v>0</x:v>
      </x:c>
    </x:row>
    <x:row r="1797" ht="23" customHeight="1">
      <x:c r="A1797" s="2" t="str">
        <x:v>DEMO-405-1-16</x:v>
      </x:c>
      <x:c r="B1797" s="15" t="d">
        <x:v>2026-08-17T00:00:00.000Z</x:v>
      </x:c>
      <x:c r="C1797" s="2" t="n">
        <x:v>16</x:v>
      </x:c>
      <x:c r="D1797" s="2" t="str">
        <x:v>DEMO-405</x:v>
      </x:c>
      <x:c r="E1797" s="2" t="str">
        <x:v>Pebble Keyring</x:v>
      </x:c>
      <x:c r="F1797" s="2" t="str">
        <x:v>Accessories</x:v>
      </x:c>
      <x:c r="G1797" s="2" t="str">
        <x:v>Stores</x:v>
      </x:c>
      <x:c r="H1797" s="2" t="str">
        <x:v>Riverside</x:v>
      </x:c>
      <x:c r="I1797" s="2" t="n">
        <x:v>11</x:v>
      </x:c>
      <x:c r="J1797" s="2" t="n">
        <x:v>0</x:v>
      </x:c>
      <x:c r="K1797" s="2" t="n">
        <x:f>I1797-J1797</x:f>
        <x:v>11</x:v>
      </x:c>
      <x:c r="L1797" s="16" t="n">
        <x:v>24</x:v>
      </x:c>
      <x:c r="M1797" s="16" t="n">
        <x:v>24</x:v>
      </x:c>
      <x:c r="N1797" s="16" t="n">
        <x:v>11.04</x:v>
      </x:c>
      <x:c r="O1797" s="16" t="n">
        <x:f>K1797*M1797</x:f>
        <x:v>264</x:v>
      </x:c>
      <x:c r="P1797" s="16" t="n">
        <x:f>K1797*N1797</x:f>
        <x:v>121.44</x:v>
      </x:c>
      <x:c r="Q1797" s="16" t="n">
        <x:f>O1797-P1797</x:f>
        <x:v>142.56</x:v>
      </x:c>
      <x:c r="R1797" s="2" t="n">
        <x:v>114</x:v>
      </x:c>
      <x:c r="S1797" s="2" t="n">
        <x:v>0</x:v>
      </x:c>
      <x:c r="T1797" s="2" t="n">
        <x:f>R1797+S1797+J1797-I1797</x:f>
        <x:v>103</x:v>
      </x:c>
      <x:c r="U1797" s="2" t="n">
        <x:v>0</x:v>
      </x:c>
      <x:c r="V1797" s="2" t="n">
        <x:v>3</x:v>
      </x:c>
      <x:c r="W1797" s="2" t="n">
        <x:v>12</x:v>
      </x:c>
      <x:c r="X1797" s="14" t="b">
        <x:v>0</x:v>
      </x:c>
      <x:c r="Y1797" s="14" t="b">
        <x:v>0</x:v>
      </x:c>
      <x:c r="Z1797" s="2" t="n">
        <x:f>ABS(T1797-AA1797)</x:f>
        <x:v>0</x:v>
      </x:c>
      <x:c r="AA1797" s="2" t="n">
        <x:v>103</x:v>
      </x:c>
      <x:c r="AB1797" s="2" t="n">
        <x:f>ABS(K1797-W1797)</x:f>
        <x:v>1</x:v>
      </x:c>
      <x:c r="AC1797" s="2" t="n">
        <x:f>COUNTIF($A$2:$A$1921,A1797)-1</x:f>
        <x:v>0</x:v>
      </x:c>
      <x:c r="AD1797" s="2" t="n">
        <x:f>IF(AND(D1797=D1796,H1797=H1796,C1797=C1796+1),ABS(R1797-T1796),0)</x:f>
        <x:v>0</x:v>
      </x:c>
    </x:row>
    <x:row r="1798" ht="23" customHeight="1">
      <x:c r="A1798" s="2" t="str">
        <x:v>DEMO-405-1-17</x:v>
      </x:c>
      <x:c r="B1798" s="15" t="d">
        <x:v>2026-08-24T00:00:00.000Z</x:v>
      </x:c>
      <x:c r="C1798" s="2" t="n">
        <x:v>17</x:v>
      </x:c>
      <x:c r="D1798" s="2" t="str">
        <x:v>DEMO-405</x:v>
      </x:c>
      <x:c r="E1798" s="2" t="str">
        <x:v>Pebble Keyring</x:v>
      </x:c>
      <x:c r="F1798" s="2" t="str">
        <x:v>Accessories</x:v>
      </x:c>
      <x:c r="G1798" s="2" t="str">
        <x:v>Stores</x:v>
      </x:c>
      <x:c r="H1798" s="2" t="str">
        <x:v>Riverside</x:v>
      </x:c>
      <x:c r="I1798" s="2" t="n">
        <x:v>11</x:v>
      </x:c>
      <x:c r="J1798" s="2" t="n">
        <x:v>0</x:v>
      </x:c>
      <x:c r="K1798" s="2" t="n">
        <x:f>I1798-J1798</x:f>
        <x:v>11</x:v>
      </x:c>
      <x:c r="L1798" s="16" t="n">
        <x:v>24</x:v>
      </x:c>
      <x:c r="M1798" s="16" t="n">
        <x:v>24</x:v>
      </x:c>
      <x:c r="N1798" s="16" t="n">
        <x:v>11.04</x:v>
      </x:c>
      <x:c r="O1798" s="16" t="n">
        <x:f>K1798*M1798</x:f>
        <x:v>264</x:v>
      </x:c>
      <x:c r="P1798" s="16" t="n">
        <x:f>K1798*N1798</x:f>
        <x:v>121.44</x:v>
      </x:c>
      <x:c r="Q1798" s="16" t="n">
        <x:f>O1798-P1798</x:f>
        <x:v>142.56</x:v>
      </x:c>
      <x:c r="R1798" s="2" t="n">
        <x:v>103</x:v>
      </x:c>
      <x:c r="S1798" s="2" t="n">
        <x:v>46</x:v>
      </x:c>
      <x:c r="T1798" s="2" t="n">
        <x:f>R1798+S1798+J1798-I1798</x:f>
        <x:v>138</x:v>
      </x:c>
      <x:c r="U1798" s="2" t="n">
        <x:v>0</x:v>
      </x:c>
      <x:c r="V1798" s="2" t="n">
        <x:v>3</x:v>
      </x:c>
      <x:c r="W1798" s="2" t="n">
        <x:v>11</x:v>
      </x:c>
      <x:c r="X1798" s="14" t="b">
        <x:v>0</x:v>
      </x:c>
      <x:c r="Y1798" s="14" t="b">
        <x:v>0</x:v>
      </x:c>
      <x:c r="Z1798" s="2" t="n">
        <x:f>ABS(T1798-AA1798)</x:f>
        <x:v>0</x:v>
      </x:c>
      <x:c r="AA1798" s="2" t="n">
        <x:v>138</x:v>
      </x:c>
      <x:c r="AB1798" s="2" t="n">
        <x:f>ABS(K1798-W1798)</x:f>
        <x:v>0</x:v>
      </x:c>
      <x:c r="AC1798" s="2" t="n">
        <x:f>COUNTIF($A$2:$A$1921,A1798)-1</x:f>
        <x:v>0</x:v>
      </x:c>
      <x:c r="AD1798" s="2" t="n">
        <x:f>IF(AND(D1798=D1797,H1798=H1797,C1798=C1797+1),ABS(R1798-T1797),0)</x:f>
        <x:v>0</x:v>
      </x:c>
    </x:row>
    <x:row r="1799" ht="23" customHeight="1">
      <x:c r="A1799" s="2" t="str">
        <x:v>DEMO-405-1-18</x:v>
      </x:c>
      <x:c r="B1799" s="15" t="d">
        <x:v>2026-08-31T00:00:00.000Z</x:v>
      </x:c>
      <x:c r="C1799" s="2" t="n">
        <x:v>18</x:v>
      </x:c>
      <x:c r="D1799" s="2" t="str">
        <x:v>DEMO-405</x:v>
      </x:c>
      <x:c r="E1799" s="2" t="str">
        <x:v>Pebble Keyring</x:v>
      </x:c>
      <x:c r="F1799" s="2" t="str">
        <x:v>Accessories</x:v>
      </x:c>
      <x:c r="G1799" s="2" t="str">
        <x:v>Stores</x:v>
      </x:c>
      <x:c r="H1799" s="2" t="str">
        <x:v>Riverside</x:v>
      </x:c>
      <x:c r="I1799" s="2" t="n">
        <x:v>9</x:v>
      </x:c>
      <x:c r="J1799" s="2" t="n">
        <x:v>0</x:v>
      </x:c>
      <x:c r="K1799" s="2" t="n">
        <x:f>I1799-J1799</x:f>
        <x:v>9</x:v>
      </x:c>
      <x:c r="L1799" s="16" t="n">
        <x:v>24</x:v>
      </x:c>
      <x:c r="M1799" s="16" t="n">
        <x:v>24</x:v>
      </x:c>
      <x:c r="N1799" s="16" t="n">
        <x:v>11.04</x:v>
      </x:c>
      <x:c r="O1799" s="16" t="n">
        <x:f>K1799*M1799</x:f>
        <x:v>216</x:v>
      </x:c>
      <x:c r="P1799" s="16" t="n">
        <x:f>K1799*N1799</x:f>
        <x:v>99.35999999999999</x:v>
      </x:c>
      <x:c r="Q1799" s="16" t="n">
        <x:f>O1799-P1799</x:f>
        <x:v>116.64000000000001</x:v>
      </x:c>
      <x:c r="R1799" s="2" t="n">
        <x:v>138</x:v>
      </x:c>
      <x:c r="S1799" s="2" t="n">
        <x:v>0</x:v>
      </x:c>
      <x:c r="T1799" s="2" t="n">
        <x:f>R1799+S1799+J1799-I1799</x:f>
        <x:v>129</x:v>
      </x:c>
      <x:c r="U1799" s="2" t="n">
        <x:v>0</x:v>
      </x:c>
      <x:c r="V1799" s="2" t="n">
        <x:v>3</x:v>
      </x:c>
      <x:c r="W1799" s="2" t="n">
        <x:v>11</x:v>
      </x:c>
      <x:c r="X1799" s="14" t="b">
        <x:v>0</x:v>
      </x:c>
      <x:c r="Y1799" s="14" t="b">
        <x:v>0</x:v>
      </x:c>
      <x:c r="Z1799" s="2" t="n">
        <x:f>ABS(T1799-AA1799)</x:f>
        <x:v>0</x:v>
      </x:c>
      <x:c r="AA1799" s="2" t="n">
        <x:v>129</x:v>
      </x:c>
      <x:c r="AB1799" s="2" t="n">
        <x:f>ABS(K1799-W1799)</x:f>
        <x:v>2</x:v>
      </x:c>
      <x:c r="AC1799" s="2" t="n">
        <x:f>COUNTIF($A$2:$A$1921,A1799)-1</x:f>
        <x:v>0</x:v>
      </x:c>
      <x:c r="AD1799" s="2" t="n">
        <x:f>IF(AND(D1799=D1798,H1799=H1798,C1799=C1798+1),ABS(R1799-T1798),0)</x:f>
        <x:v>0</x:v>
      </x:c>
    </x:row>
    <x:row r="1800" ht="23" customHeight="1">
      <x:c r="A1800" s="2" t="str">
        <x:v>DEMO-405-1-19</x:v>
      </x:c>
      <x:c r="B1800" s="15" t="d">
        <x:v>2026-09-07T00:00:00.000Z</x:v>
      </x:c>
      <x:c r="C1800" s="2" t="n">
        <x:v>19</x:v>
      </x:c>
      <x:c r="D1800" s="2" t="str">
        <x:v>DEMO-405</x:v>
      </x:c>
      <x:c r="E1800" s="2" t="str">
        <x:v>Pebble Keyring</x:v>
      </x:c>
      <x:c r="F1800" s="2" t="str">
        <x:v>Accessories</x:v>
      </x:c>
      <x:c r="G1800" s="2" t="str">
        <x:v>Stores</x:v>
      </x:c>
      <x:c r="H1800" s="2" t="str">
        <x:v>Riverside</x:v>
      </x:c>
      <x:c r="I1800" s="2" t="n">
        <x:v>10</x:v>
      </x:c>
      <x:c r="J1800" s="2" t="n">
        <x:v>0</x:v>
      </x:c>
      <x:c r="K1800" s="2" t="n">
        <x:f>I1800-J1800</x:f>
        <x:v>10</x:v>
      </x:c>
      <x:c r="L1800" s="16" t="n">
        <x:v>24</x:v>
      </x:c>
      <x:c r="M1800" s="16" t="n">
        <x:v>24</x:v>
      </x:c>
      <x:c r="N1800" s="16" t="n">
        <x:v>11.04</x:v>
      </x:c>
      <x:c r="O1800" s="16" t="n">
        <x:f>K1800*M1800</x:f>
        <x:v>240</x:v>
      </x:c>
      <x:c r="P1800" s="16" t="n">
        <x:f>K1800*N1800</x:f>
        <x:v>110.39999999999999</x:v>
      </x:c>
      <x:c r="Q1800" s="16" t="n">
        <x:f>O1800-P1800</x:f>
        <x:v>129.60000000000002</x:v>
      </x:c>
      <x:c r="R1800" s="2" t="n">
        <x:v>129</x:v>
      </x:c>
      <x:c r="S1800" s="2" t="n">
        <x:v>0</x:v>
      </x:c>
      <x:c r="T1800" s="2" t="n">
        <x:f>R1800+S1800+J1800-I1800</x:f>
        <x:v>119</x:v>
      </x:c>
      <x:c r="U1800" s="2" t="n">
        <x:v>0</x:v>
      </x:c>
      <x:c r="V1800" s="2" t="n">
        <x:v>3</x:v>
      </x:c>
      <x:c r="W1800" s="2" t="n">
        <x:v>10</x:v>
      </x:c>
      <x:c r="X1800" s="14" t="b">
        <x:v>0</x:v>
      </x:c>
      <x:c r="Y1800" s="14" t="b">
        <x:v>0</x:v>
      </x:c>
      <x:c r="Z1800" s="2" t="n">
        <x:f>ABS(T1800-AA1800)</x:f>
        <x:v>0</x:v>
      </x:c>
      <x:c r="AA1800" s="2" t="n">
        <x:v>119</x:v>
      </x:c>
      <x:c r="AB1800" s="2" t="n">
        <x:f>ABS(K1800-W1800)</x:f>
        <x:v>0</x:v>
      </x:c>
      <x:c r="AC1800" s="2" t="n">
        <x:f>COUNTIF($A$2:$A$1921,A1800)-1</x:f>
        <x:v>0</x:v>
      </x:c>
      <x:c r="AD1800" s="2" t="n">
        <x:f>IF(AND(D1800=D1799,H1800=H1799,C1800=C1799+1),ABS(R1800-T1799),0)</x:f>
        <x:v>0</x:v>
      </x:c>
    </x:row>
    <x:row r="1801" ht="23" customHeight="1">
      <x:c r="A1801" s="2" t="str">
        <x:v>DEMO-405-1-20</x:v>
      </x:c>
      <x:c r="B1801" s="15" t="d">
        <x:v>2026-09-14T00:00:00.000Z</x:v>
      </x:c>
      <x:c r="C1801" s="2" t="n">
        <x:v>20</x:v>
      </x:c>
      <x:c r="D1801" s="2" t="str">
        <x:v>DEMO-405</x:v>
      </x:c>
      <x:c r="E1801" s="2" t="str">
        <x:v>Pebble Keyring</x:v>
      </x:c>
      <x:c r="F1801" s="2" t="str">
        <x:v>Accessories</x:v>
      </x:c>
      <x:c r="G1801" s="2" t="str">
        <x:v>Stores</x:v>
      </x:c>
      <x:c r="H1801" s="2" t="str">
        <x:v>Riverside</x:v>
      </x:c>
      <x:c r="I1801" s="2" t="n">
        <x:v>10</x:v>
      </x:c>
      <x:c r="J1801" s="2" t="n">
        <x:v>0</x:v>
      </x:c>
      <x:c r="K1801" s="2" t="n">
        <x:f>I1801-J1801</x:f>
        <x:v>10</x:v>
      </x:c>
      <x:c r="L1801" s="16" t="n">
        <x:v>24</x:v>
      </x:c>
      <x:c r="M1801" s="16" t="n">
        <x:v>24</x:v>
      </x:c>
      <x:c r="N1801" s="16" t="n">
        <x:v>11.04</x:v>
      </x:c>
      <x:c r="O1801" s="16" t="n">
        <x:f>K1801*M1801</x:f>
        <x:v>240</x:v>
      </x:c>
      <x:c r="P1801" s="16" t="n">
        <x:f>K1801*N1801</x:f>
        <x:v>110.39999999999999</x:v>
      </x:c>
      <x:c r="Q1801" s="16" t="n">
        <x:f>O1801-P1801</x:f>
        <x:v>129.60000000000002</x:v>
      </x:c>
      <x:c r="R1801" s="2" t="n">
        <x:v>119</x:v>
      </x:c>
      <x:c r="S1801" s="2" t="n">
        <x:v>0</x:v>
      </x:c>
      <x:c r="T1801" s="2" t="n">
        <x:f>R1801+S1801+J1801-I1801</x:f>
        <x:v>109</x:v>
      </x:c>
      <x:c r="U1801" s="2" t="n">
        <x:v>18</x:v>
      </x:c>
      <x:c r="V1801" s="2" t="n">
        <x:v>3</x:v>
      </x:c>
      <x:c r="W1801" s="2" t="n">
        <x:v>10</x:v>
      </x:c>
      <x:c r="X1801" s="14" t="b">
        <x:v>0</x:v>
      </x:c>
      <x:c r="Y1801" s="14" t="b">
        <x:v>0</x:v>
      </x:c>
      <x:c r="Z1801" s="2" t="n">
        <x:f>ABS(T1801-AA1801)</x:f>
        <x:v>0</x:v>
      </x:c>
      <x:c r="AA1801" s="2" t="n">
        <x:v>109</x:v>
      </x:c>
      <x:c r="AB1801" s="2" t="n">
        <x:f>ABS(K1801-W1801)</x:f>
        <x:v>0</x:v>
      </x:c>
      <x:c r="AC1801" s="2" t="n">
        <x:f>COUNTIF($A$2:$A$1921,A1801)-1</x:f>
        <x:v>0</x:v>
      </x:c>
      <x:c r="AD1801" s="2" t="n">
        <x:f>IF(AND(D1801=D1800,H1801=H1800,C1801=C1800+1),ABS(R1801-T1800),0)</x:f>
        <x:v>0</x:v>
      </x:c>
    </x:row>
    <x:row r="1802" ht="23" customHeight="1">
      <x:c r="A1802" s="2" t="str">
        <x:v>DEMO-405-2-1</x:v>
      </x:c>
      <x:c r="B1802" s="15" t="d">
        <x:v>2026-05-04T00:00:00.000Z</x:v>
      </x:c>
      <x:c r="C1802" s="2" t="n">
        <x:v>1</x:v>
      </x:c>
      <x:c r="D1802" s="2" t="str">
        <x:v>DEMO-405</x:v>
      </x:c>
      <x:c r="E1802" s="2" t="str">
        <x:v>Pebble Keyring</x:v>
      </x:c>
      <x:c r="F1802" s="2" t="str">
        <x:v>Accessories</x:v>
      </x:c>
      <x:c r="G1802" s="2" t="str">
        <x:v>Stores</x:v>
      </x:c>
      <x:c r="H1802" s="2" t="str">
        <x:v>Central Market</x:v>
      </x:c>
      <x:c r="I1802" s="2" t="n">
        <x:v>9</x:v>
      </x:c>
      <x:c r="J1802" s="2" t="n">
        <x:v>1</x:v>
      </x:c>
      <x:c r="K1802" s="2" t="n">
        <x:f>I1802-J1802</x:f>
        <x:v>8</x:v>
      </x:c>
      <x:c r="L1802" s="16" t="n">
        <x:v>24</x:v>
      </x:c>
      <x:c r="M1802" s="16" t="n">
        <x:v>24</x:v>
      </x:c>
      <x:c r="N1802" s="16" t="n">
        <x:v>11.04</x:v>
      </x:c>
      <x:c r="O1802" s="16" t="n">
        <x:f>K1802*M1802</x:f>
        <x:v>192</x:v>
      </x:c>
      <x:c r="P1802" s="16" t="n">
        <x:f>K1802*N1802</x:f>
        <x:v>88.32</x:v>
      </x:c>
      <x:c r="Q1802" s="16" t="n">
        <x:f>O1802-P1802</x:f>
        <x:v>103.68</x:v>
      </x:c>
      <x:c r="R1802" s="2" t="n">
        <x:v>90</x:v>
      </x:c>
      <x:c r="S1802" s="2" t="n">
        <x:v>46</x:v>
      </x:c>
      <x:c r="T1802" s="2" t="n">
        <x:f>R1802+S1802+J1802-I1802</x:f>
        <x:v>128</x:v>
      </x:c>
      <x:c r="U1802" s="2" t="n">
        <x:v>0</x:v>
      </x:c>
      <x:c r="V1802" s="2" t="n">
        <x:v>3</x:v>
      </x:c>
      <x:c r="W1802" s="2" t="n">
        <x:v>11</x:v>
      </x:c>
      <x:c r="X1802" s="14" t="b">
        <x:v>0</x:v>
      </x:c>
      <x:c r="Y1802" s="14" t="b">
        <x:v>0</x:v>
      </x:c>
      <x:c r="Z1802" s="2" t="n">
        <x:f>ABS(T1802-AA1802)</x:f>
        <x:v>0</x:v>
      </x:c>
      <x:c r="AA1802" s="2" t="n">
        <x:v>128</x:v>
      </x:c>
      <x:c r="AB1802" s="2" t="n">
        <x:f>ABS(K1802-W1802)</x:f>
        <x:v>3</x:v>
      </x:c>
      <x:c r="AC1802" s="2" t="n">
        <x:f>COUNTIF($A$2:$A$1921,A1802)-1</x:f>
        <x:v>0</x:v>
      </x:c>
      <x:c r="AD1802" s="2" t="n">
        <x:f>IF(AND(D1802=D1801,H1802=H1801,C1802=C1801+1),ABS(R1802-T1801),0)</x:f>
        <x:v>0</x:v>
      </x:c>
    </x:row>
    <x:row r="1803" ht="23" customHeight="1">
      <x:c r="A1803" s="2" t="str">
        <x:v>DEMO-405-2-2</x:v>
      </x:c>
      <x:c r="B1803" s="15" t="d">
        <x:v>2026-05-11T00:00:00.000Z</x:v>
      </x:c>
      <x:c r="C1803" s="2" t="n">
        <x:v>2</x:v>
      </x:c>
      <x:c r="D1803" s="2" t="str">
        <x:v>DEMO-405</x:v>
      </x:c>
      <x:c r="E1803" s="2" t="str">
        <x:v>Pebble Keyring</x:v>
      </x:c>
      <x:c r="F1803" s="2" t="str">
        <x:v>Accessories</x:v>
      </x:c>
      <x:c r="G1803" s="2" t="str">
        <x:v>Stores</x:v>
      </x:c>
      <x:c r="H1803" s="2" t="str">
        <x:v>Central Market</x:v>
      </x:c>
      <x:c r="I1803" s="2" t="n">
        <x:v>12</x:v>
      </x:c>
      <x:c r="J1803" s="2" t="n">
        <x:v>0</x:v>
      </x:c>
      <x:c r="K1803" s="2" t="n">
        <x:f>I1803-J1803</x:f>
        <x:v>12</x:v>
      </x:c>
      <x:c r="L1803" s="16" t="n">
        <x:v>24</x:v>
      </x:c>
      <x:c r="M1803" s="16" t="n">
        <x:v>24</x:v>
      </x:c>
      <x:c r="N1803" s="16" t="n">
        <x:v>11.04</x:v>
      </x:c>
      <x:c r="O1803" s="16" t="n">
        <x:f>K1803*M1803</x:f>
        <x:v>288</x:v>
      </x:c>
      <x:c r="P1803" s="16" t="n">
        <x:f>K1803*N1803</x:f>
        <x:v>132.48</x:v>
      </x:c>
      <x:c r="Q1803" s="16" t="n">
        <x:f>O1803-P1803</x:f>
        <x:v>155.52</x:v>
      </x:c>
      <x:c r="R1803" s="2" t="n">
        <x:v>128</x:v>
      </x:c>
      <x:c r="S1803" s="2" t="n">
        <x:v>0</x:v>
      </x:c>
      <x:c r="T1803" s="2" t="n">
        <x:f>R1803+S1803+J1803-I1803</x:f>
        <x:v>116</x:v>
      </x:c>
      <x:c r="U1803" s="2" t="n">
        <x:v>0</x:v>
      </x:c>
      <x:c r="V1803" s="2" t="n">
        <x:v>3</x:v>
      </x:c>
      <x:c r="W1803" s="2" t="n">
        <x:v>8</x:v>
      </x:c>
      <x:c r="X1803" s="14" t="b">
        <x:v>0</x:v>
      </x:c>
      <x:c r="Y1803" s="14" t="b">
        <x:v>0</x:v>
      </x:c>
      <x:c r="Z1803" s="2" t="n">
        <x:f>ABS(T1803-AA1803)</x:f>
        <x:v>0</x:v>
      </x:c>
      <x:c r="AA1803" s="2" t="n">
        <x:v>116</x:v>
      </x:c>
      <x:c r="AB1803" s="2" t="n">
        <x:f>ABS(K1803-W1803)</x:f>
        <x:v>4</x:v>
      </x:c>
      <x:c r="AC1803" s="2" t="n">
        <x:f>COUNTIF($A$2:$A$1921,A1803)-1</x:f>
        <x:v>0</x:v>
      </x:c>
      <x:c r="AD1803" s="2" t="n">
        <x:f>IF(AND(D1803=D1802,H1803=H1802,C1803=C1802+1),ABS(R1803-T1802),0)</x:f>
        <x:v>0</x:v>
      </x:c>
    </x:row>
    <x:row r="1804" ht="23" customHeight="1">
      <x:c r="A1804" s="2" t="str">
        <x:v>DEMO-405-2-3</x:v>
      </x:c>
      <x:c r="B1804" s="15" t="d">
        <x:v>2026-05-18T00:00:00.000Z</x:v>
      </x:c>
      <x:c r="C1804" s="2" t="n">
        <x:v>3</x:v>
      </x:c>
      <x:c r="D1804" s="2" t="str">
        <x:v>DEMO-405</x:v>
      </x:c>
      <x:c r="E1804" s="2" t="str">
        <x:v>Pebble Keyring</x:v>
      </x:c>
      <x:c r="F1804" s="2" t="str">
        <x:v>Accessories</x:v>
      </x:c>
      <x:c r="G1804" s="2" t="str">
        <x:v>Stores</x:v>
      </x:c>
      <x:c r="H1804" s="2" t="str">
        <x:v>Central Market</x:v>
      </x:c>
      <x:c r="I1804" s="2" t="n">
        <x:v>10</x:v>
      </x:c>
      <x:c r="J1804" s="2" t="n">
        <x:v>0</x:v>
      </x:c>
      <x:c r="K1804" s="2" t="n">
        <x:f>I1804-J1804</x:f>
        <x:v>10</x:v>
      </x:c>
      <x:c r="L1804" s="16" t="n">
        <x:v>24</x:v>
      </x:c>
      <x:c r="M1804" s="16" t="n">
        <x:v>24</x:v>
      </x:c>
      <x:c r="N1804" s="16" t="n">
        <x:v>11.04</x:v>
      </x:c>
      <x:c r="O1804" s="16" t="n">
        <x:f>K1804*M1804</x:f>
        <x:v>240</x:v>
      </x:c>
      <x:c r="P1804" s="16" t="n">
        <x:f>K1804*N1804</x:f>
        <x:v>110.39999999999999</x:v>
      </x:c>
      <x:c r="Q1804" s="16" t="n">
        <x:f>O1804-P1804</x:f>
        <x:v>129.60000000000002</x:v>
      </x:c>
      <x:c r="R1804" s="2" t="n">
        <x:v>116</x:v>
      </x:c>
      <x:c r="S1804" s="2" t="n">
        <x:v>0</x:v>
      </x:c>
      <x:c r="T1804" s="2" t="n">
        <x:f>R1804+S1804+J1804-I1804</x:f>
        <x:v>106</x:v>
      </x:c>
      <x:c r="U1804" s="2" t="n">
        <x:v>0</x:v>
      </x:c>
      <x:c r="V1804" s="2" t="n">
        <x:v>3</x:v>
      </x:c>
      <x:c r="W1804" s="2" t="n">
        <x:v>10</x:v>
      </x:c>
      <x:c r="X1804" s="14" t="b">
        <x:v>0</x:v>
      </x:c>
      <x:c r="Y1804" s="14" t="b">
        <x:v>0</x:v>
      </x:c>
      <x:c r="Z1804" s="2" t="n">
        <x:f>ABS(T1804-AA1804)</x:f>
        <x:v>0</x:v>
      </x:c>
      <x:c r="AA1804" s="2" t="n">
        <x:v>106</x:v>
      </x:c>
      <x:c r="AB1804" s="2" t="n">
        <x:f>ABS(K1804-W1804)</x:f>
        <x:v>0</x:v>
      </x:c>
      <x:c r="AC1804" s="2" t="n">
        <x:f>COUNTIF($A$2:$A$1921,A1804)-1</x:f>
        <x:v>0</x:v>
      </x:c>
      <x:c r="AD1804" s="2" t="n">
        <x:f>IF(AND(D1804=D1803,H1804=H1803,C1804=C1803+1),ABS(R1804-T1803),0)</x:f>
        <x:v>0</x:v>
      </x:c>
    </x:row>
    <x:row r="1805" ht="23" customHeight="1">
      <x:c r="A1805" s="2" t="str">
        <x:v>DEMO-405-2-4</x:v>
      </x:c>
      <x:c r="B1805" s="15" t="d">
        <x:v>2026-05-25T00:00:00.000Z</x:v>
      </x:c>
      <x:c r="C1805" s="2" t="n">
        <x:v>4</x:v>
      </x:c>
      <x:c r="D1805" s="2" t="str">
        <x:v>DEMO-405</x:v>
      </x:c>
      <x:c r="E1805" s="2" t="str">
        <x:v>Pebble Keyring</x:v>
      </x:c>
      <x:c r="F1805" s="2" t="str">
        <x:v>Accessories</x:v>
      </x:c>
      <x:c r="G1805" s="2" t="str">
        <x:v>Stores</x:v>
      </x:c>
      <x:c r="H1805" s="2" t="str">
        <x:v>Central Market</x:v>
      </x:c>
      <x:c r="I1805" s="2" t="n">
        <x:v>12</x:v>
      </x:c>
      <x:c r="J1805" s="2" t="n">
        <x:v>0</x:v>
      </x:c>
      <x:c r="K1805" s="2" t="n">
        <x:f>I1805-J1805</x:f>
        <x:v>12</x:v>
      </x:c>
      <x:c r="L1805" s="16" t="n">
        <x:v>24</x:v>
      </x:c>
      <x:c r="M1805" s="16" t="n">
        <x:v>24</x:v>
      </x:c>
      <x:c r="N1805" s="16" t="n">
        <x:v>11.04</x:v>
      </x:c>
      <x:c r="O1805" s="16" t="n">
        <x:f>K1805*M1805</x:f>
        <x:v>288</x:v>
      </x:c>
      <x:c r="P1805" s="16" t="n">
        <x:f>K1805*N1805</x:f>
        <x:v>132.48</x:v>
      </x:c>
      <x:c r="Q1805" s="16" t="n">
        <x:f>O1805-P1805</x:f>
        <x:v>155.52</x:v>
      </x:c>
      <x:c r="R1805" s="2" t="n">
        <x:v>106</x:v>
      </x:c>
      <x:c r="S1805" s="2" t="n">
        <x:v>0</x:v>
      </x:c>
      <x:c r="T1805" s="2" t="n">
        <x:f>R1805+S1805+J1805-I1805</x:f>
        <x:v>94</x:v>
      </x:c>
      <x:c r="U1805" s="2" t="n">
        <x:v>0</x:v>
      </x:c>
      <x:c r="V1805" s="2" t="n">
        <x:v>3</x:v>
      </x:c>
      <x:c r="W1805" s="2" t="n">
        <x:v>10</x:v>
      </x:c>
      <x:c r="X1805" s="14" t="b">
        <x:v>0</x:v>
      </x:c>
      <x:c r="Y1805" s="14" t="b">
        <x:v>0</x:v>
      </x:c>
      <x:c r="Z1805" s="2" t="n">
        <x:f>ABS(T1805-AA1805)</x:f>
        <x:v>0</x:v>
      </x:c>
      <x:c r="AA1805" s="2" t="n">
        <x:v>94</x:v>
      </x:c>
      <x:c r="AB1805" s="2" t="n">
        <x:f>ABS(K1805-W1805)</x:f>
        <x:v>2</x:v>
      </x:c>
      <x:c r="AC1805" s="2" t="n">
        <x:f>COUNTIF($A$2:$A$1921,A1805)-1</x:f>
        <x:v>0</x:v>
      </x:c>
      <x:c r="AD1805" s="2" t="n">
        <x:f>IF(AND(D1805=D1804,H1805=H1804,C1805=C1804+1),ABS(R1805-T1804),0)</x:f>
        <x:v>0</x:v>
      </x:c>
    </x:row>
    <x:row r="1806" ht="23" customHeight="1">
      <x:c r="A1806" s="2" t="str">
        <x:v>DEMO-405-2-5</x:v>
      </x:c>
      <x:c r="B1806" s="15" t="d">
        <x:v>2026-06-01T00:00:00.000Z</x:v>
      </x:c>
      <x:c r="C1806" s="2" t="n">
        <x:v>5</x:v>
      </x:c>
      <x:c r="D1806" s="2" t="str">
        <x:v>DEMO-405</x:v>
      </x:c>
      <x:c r="E1806" s="2" t="str">
        <x:v>Pebble Keyring</x:v>
      </x:c>
      <x:c r="F1806" s="2" t="str">
        <x:v>Accessories</x:v>
      </x:c>
      <x:c r="G1806" s="2" t="str">
        <x:v>Stores</x:v>
      </x:c>
      <x:c r="H1806" s="2" t="str">
        <x:v>Central Market</x:v>
      </x:c>
      <x:c r="I1806" s="2" t="n">
        <x:v>12</x:v>
      </x:c>
      <x:c r="J1806" s="2" t="n">
        <x:v>0</x:v>
      </x:c>
      <x:c r="K1806" s="2" t="n">
        <x:f>I1806-J1806</x:f>
        <x:v>12</x:v>
      </x:c>
      <x:c r="L1806" s="16" t="n">
        <x:v>24</x:v>
      </x:c>
      <x:c r="M1806" s="16" t="n">
        <x:v>24</x:v>
      </x:c>
      <x:c r="N1806" s="16" t="n">
        <x:v>11.04</x:v>
      </x:c>
      <x:c r="O1806" s="16" t="n">
        <x:f>K1806*M1806</x:f>
        <x:v>288</x:v>
      </x:c>
      <x:c r="P1806" s="16" t="n">
        <x:f>K1806*N1806</x:f>
        <x:v>132.48</x:v>
      </x:c>
      <x:c r="Q1806" s="16" t="n">
        <x:f>O1806-P1806</x:f>
        <x:v>155.52</x:v>
      </x:c>
      <x:c r="R1806" s="2" t="n">
        <x:v>94</x:v>
      </x:c>
      <x:c r="S1806" s="2" t="n">
        <x:v>46</x:v>
      </x:c>
      <x:c r="T1806" s="2" t="n">
        <x:f>R1806+S1806+J1806-I1806</x:f>
        <x:v>128</x:v>
      </x:c>
      <x:c r="U1806" s="2" t="n">
        <x:v>0</x:v>
      </x:c>
      <x:c r="V1806" s="2" t="n">
        <x:v>3</x:v>
      </x:c>
      <x:c r="W1806" s="2" t="n">
        <x:v>11</x:v>
      </x:c>
      <x:c r="X1806" s="14" t="b">
        <x:v>0</x:v>
      </x:c>
      <x:c r="Y1806" s="14" t="b">
        <x:v>0</x:v>
      </x:c>
      <x:c r="Z1806" s="2" t="n">
        <x:f>ABS(T1806-AA1806)</x:f>
        <x:v>0</x:v>
      </x:c>
      <x:c r="AA1806" s="2" t="n">
        <x:v>128</x:v>
      </x:c>
      <x:c r="AB1806" s="2" t="n">
        <x:f>ABS(K1806-W1806)</x:f>
        <x:v>1</x:v>
      </x:c>
      <x:c r="AC1806" s="2" t="n">
        <x:f>COUNTIF($A$2:$A$1921,A1806)-1</x:f>
        <x:v>0</x:v>
      </x:c>
      <x:c r="AD1806" s="2" t="n">
        <x:f>IF(AND(D1806=D1805,H1806=H1805,C1806=C1805+1),ABS(R1806-T1805),0)</x:f>
        <x:v>0</x:v>
      </x:c>
    </x:row>
    <x:row r="1807" ht="23" customHeight="1">
      <x:c r="A1807" s="2" t="str">
        <x:v>DEMO-405-2-6</x:v>
      </x:c>
      <x:c r="B1807" s="15" t="d">
        <x:v>2026-06-08T00:00:00.000Z</x:v>
      </x:c>
      <x:c r="C1807" s="2" t="n">
        <x:v>6</x:v>
      </x:c>
      <x:c r="D1807" s="2" t="str">
        <x:v>DEMO-405</x:v>
      </x:c>
      <x:c r="E1807" s="2" t="str">
        <x:v>Pebble Keyring</x:v>
      </x:c>
      <x:c r="F1807" s="2" t="str">
        <x:v>Accessories</x:v>
      </x:c>
      <x:c r="G1807" s="2" t="str">
        <x:v>Stores</x:v>
      </x:c>
      <x:c r="H1807" s="2" t="str">
        <x:v>Central Market</x:v>
      </x:c>
      <x:c r="I1807" s="2" t="n">
        <x:v>10</x:v>
      </x:c>
      <x:c r="J1807" s="2" t="n">
        <x:v>0</x:v>
      </x:c>
      <x:c r="K1807" s="2" t="n">
        <x:f>I1807-J1807</x:f>
        <x:v>10</x:v>
      </x:c>
      <x:c r="L1807" s="16" t="n">
        <x:v>24</x:v>
      </x:c>
      <x:c r="M1807" s="16" t="n">
        <x:v>24</x:v>
      </x:c>
      <x:c r="N1807" s="16" t="n">
        <x:v>11.04</x:v>
      </x:c>
      <x:c r="O1807" s="16" t="n">
        <x:f>K1807*M1807</x:f>
        <x:v>240</x:v>
      </x:c>
      <x:c r="P1807" s="16" t="n">
        <x:f>K1807*N1807</x:f>
        <x:v>110.39999999999999</x:v>
      </x:c>
      <x:c r="Q1807" s="16" t="n">
        <x:f>O1807-P1807</x:f>
        <x:v>129.60000000000002</x:v>
      </x:c>
      <x:c r="R1807" s="2" t="n">
        <x:v>128</x:v>
      </x:c>
      <x:c r="S1807" s="2" t="n">
        <x:v>0</x:v>
      </x:c>
      <x:c r="T1807" s="2" t="n">
        <x:f>R1807+S1807+J1807-I1807</x:f>
        <x:v>118</x:v>
      </x:c>
      <x:c r="U1807" s="2" t="n">
        <x:v>0</x:v>
      </x:c>
      <x:c r="V1807" s="2" t="n">
        <x:v>3</x:v>
      </x:c>
      <x:c r="W1807" s="2" t="n">
        <x:v>12</x:v>
      </x:c>
      <x:c r="X1807" s="14" t="b">
        <x:v>0</x:v>
      </x:c>
      <x:c r="Y1807" s="14" t="b">
        <x:v>0</x:v>
      </x:c>
      <x:c r="Z1807" s="2" t="n">
        <x:f>ABS(T1807-AA1807)</x:f>
        <x:v>0</x:v>
      </x:c>
      <x:c r="AA1807" s="2" t="n">
        <x:v>118</x:v>
      </x:c>
      <x:c r="AB1807" s="2" t="n">
        <x:f>ABS(K1807-W1807)</x:f>
        <x:v>2</x:v>
      </x:c>
      <x:c r="AC1807" s="2" t="n">
        <x:f>COUNTIF($A$2:$A$1921,A1807)-1</x:f>
        <x:v>0</x:v>
      </x:c>
      <x:c r="AD1807" s="2" t="n">
        <x:f>IF(AND(D1807=D1806,H1807=H1806,C1807=C1806+1),ABS(R1807-T1806),0)</x:f>
        <x:v>0</x:v>
      </x:c>
    </x:row>
    <x:row r="1808" ht="23" customHeight="1">
      <x:c r="A1808" s="2" t="str">
        <x:v>DEMO-405-2-7</x:v>
      </x:c>
      <x:c r="B1808" s="15" t="d">
        <x:v>2026-06-15T00:00:00.000Z</x:v>
      </x:c>
      <x:c r="C1808" s="2" t="n">
        <x:v>7</x:v>
      </x:c>
      <x:c r="D1808" s="2" t="str">
        <x:v>DEMO-405</x:v>
      </x:c>
      <x:c r="E1808" s="2" t="str">
        <x:v>Pebble Keyring</x:v>
      </x:c>
      <x:c r="F1808" s="2" t="str">
        <x:v>Accessories</x:v>
      </x:c>
      <x:c r="G1808" s="2" t="str">
        <x:v>Stores</x:v>
      </x:c>
      <x:c r="H1808" s="2" t="str">
        <x:v>Central Market</x:v>
      </x:c>
      <x:c r="I1808" s="2" t="n">
        <x:v>11</x:v>
      </x:c>
      <x:c r="J1808" s="2" t="n">
        <x:v>0</x:v>
      </x:c>
      <x:c r="K1808" s="2" t="n">
        <x:f>I1808-J1808</x:f>
        <x:v>11</x:v>
      </x:c>
      <x:c r="L1808" s="16" t="n">
        <x:v>24</x:v>
      </x:c>
      <x:c r="M1808" s="16" t="n">
        <x:v>24</x:v>
      </x:c>
      <x:c r="N1808" s="16" t="n">
        <x:v>11.04</x:v>
      </x:c>
      <x:c r="O1808" s="16" t="n">
        <x:f>K1808*M1808</x:f>
        <x:v>264</x:v>
      </x:c>
      <x:c r="P1808" s="16" t="n">
        <x:f>K1808*N1808</x:f>
        <x:v>121.44</x:v>
      </x:c>
      <x:c r="Q1808" s="16" t="n">
        <x:f>O1808-P1808</x:f>
        <x:v>142.56</x:v>
      </x:c>
      <x:c r="R1808" s="2" t="n">
        <x:v>118</x:v>
      </x:c>
      <x:c r="S1808" s="2" t="n">
        <x:v>0</x:v>
      </x:c>
      <x:c r="T1808" s="2" t="n">
        <x:f>R1808+S1808+J1808-I1808</x:f>
        <x:v>107</x:v>
      </x:c>
      <x:c r="U1808" s="2" t="n">
        <x:v>0</x:v>
      </x:c>
      <x:c r="V1808" s="2" t="n">
        <x:v>3</x:v>
      </x:c>
      <x:c r="W1808" s="2" t="n">
        <x:v>11</x:v>
      </x:c>
      <x:c r="X1808" s="14" t="b">
        <x:v>0</x:v>
      </x:c>
      <x:c r="Y1808" s="14" t="b">
        <x:v>0</x:v>
      </x:c>
      <x:c r="Z1808" s="2" t="n">
        <x:f>ABS(T1808-AA1808)</x:f>
        <x:v>0</x:v>
      </x:c>
      <x:c r="AA1808" s="2" t="n">
        <x:v>107</x:v>
      </x:c>
      <x:c r="AB1808" s="2" t="n">
        <x:f>ABS(K1808-W1808)</x:f>
        <x:v>0</x:v>
      </x:c>
      <x:c r="AC1808" s="2" t="n">
        <x:f>COUNTIF($A$2:$A$1921,A1808)-1</x:f>
        <x:v>0</x:v>
      </x:c>
      <x:c r="AD1808" s="2" t="n">
        <x:f>IF(AND(D1808=D1807,H1808=H1807,C1808=C1807+1),ABS(R1808-T1807),0)</x:f>
        <x:v>0</x:v>
      </x:c>
    </x:row>
    <x:row r="1809" ht="23" customHeight="1">
      <x:c r="A1809" s="2" t="str">
        <x:v>DEMO-405-2-8</x:v>
      </x:c>
      <x:c r="B1809" s="15" t="d">
        <x:v>2026-06-22T00:00:00.000Z</x:v>
      </x:c>
      <x:c r="C1809" s="2" t="n">
        <x:v>8</x:v>
      </x:c>
      <x:c r="D1809" s="2" t="str">
        <x:v>DEMO-405</x:v>
      </x:c>
      <x:c r="E1809" s="2" t="str">
        <x:v>Pebble Keyring</x:v>
      </x:c>
      <x:c r="F1809" s="2" t="str">
        <x:v>Accessories</x:v>
      </x:c>
      <x:c r="G1809" s="2" t="str">
        <x:v>Stores</x:v>
      </x:c>
      <x:c r="H1809" s="2" t="str">
        <x:v>Central Market</x:v>
      </x:c>
      <x:c r="I1809" s="2" t="n">
        <x:v>12</x:v>
      </x:c>
      <x:c r="J1809" s="2" t="n">
        <x:v>0</x:v>
      </x:c>
      <x:c r="K1809" s="2" t="n">
        <x:f>I1809-J1809</x:f>
        <x:v>12</x:v>
      </x:c>
      <x:c r="L1809" s="16" t="n">
        <x:v>24</x:v>
      </x:c>
      <x:c r="M1809" s="16" t="n">
        <x:v>24</x:v>
      </x:c>
      <x:c r="N1809" s="16" t="n">
        <x:v>11.04</x:v>
      </x:c>
      <x:c r="O1809" s="16" t="n">
        <x:f>K1809*M1809</x:f>
        <x:v>288</x:v>
      </x:c>
      <x:c r="P1809" s="16" t="n">
        <x:f>K1809*N1809</x:f>
        <x:v>132.48</x:v>
      </x:c>
      <x:c r="Q1809" s="16" t="n">
        <x:f>O1809-P1809</x:f>
        <x:v>155.52</x:v>
      </x:c>
      <x:c r="R1809" s="2" t="n">
        <x:v>107</x:v>
      </x:c>
      <x:c r="S1809" s="2" t="n">
        <x:v>0</x:v>
      </x:c>
      <x:c r="T1809" s="2" t="n">
        <x:f>R1809+S1809+J1809-I1809</x:f>
        <x:v>95</x:v>
      </x:c>
      <x:c r="U1809" s="2" t="n">
        <x:v>0</x:v>
      </x:c>
      <x:c r="V1809" s="2" t="n">
        <x:v>3</x:v>
      </x:c>
      <x:c r="W1809" s="2" t="n">
        <x:v>11</x:v>
      </x:c>
      <x:c r="X1809" s="14" t="b">
        <x:v>0</x:v>
      </x:c>
      <x:c r="Y1809" s="14" t="b">
        <x:v>0</x:v>
      </x:c>
      <x:c r="Z1809" s="2" t="n">
        <x:f>ABS(T1809-AA1809)</x:f>
        <x:v>0</x:v>
      </x:c>
      <x:c r="AA1809" s="2" t="n">
        <x:v>95</x:v>
      </x:c>
      <x:c r="AB1809" s="2" t="n">
        <x:f>ABS(K1809-W1809)</x:f>
        <x:v>1</x:v>
      </x:c>
      <x:c r="AC1809" s="2" t="n">
        <x:f>COUNTIF($A$2:$A$1921,A1809)-1</x:f>
        <x:v>0</x:v>
      </x:c>
      <x:c r="AD1809" s="2" t="n">
        <x:f>IF(AND(D1809=D1808,H1809=H1808,C1809=C1808+1),ABS(R1809-T1808),0)</x:f>
        <x:v>0</x:v>
      </x:c>
    </x:row>
    <x:row r="1810" ht="23" customHeight="1">
      <x:c r="A1810" s="2" t="str">
        <x:v>DEMO-405-2-9</x:v>
      </x:c>
      <x:c r="B1810" s="15" t="d">
        <x:v>2026-06-29T00:00:00.000Z</x:v>
      </x:c>
      <x:c r="C1810" s="2" t="n">
        <x:v>9</x:v>
      </x:c>
      <x:c r="D1810" s="2" t="str">
        <x:v>DEMO-405</x:v>
      </x:c>
      <x:c r="E1810" s="2" t="str">
        <x:v>Pebble Keyring</x:v>
      </x:c>
      <x:c r="F1810" s="2" t="str">
        <x:v>Accessories</x:v>
      </x:c>
      <x:c r="G1810" s="2" t="str">
        <x:v>Stores</x:v>
      </x:c>
      <x:c r="H1810" s="2" t="str">
        <x:v>Central Market</x:v>
      </x:c>
      <x:c r="I1810" s="2" t="n">
        <x:v>12</x:v>
      </x:c>
      <x:c r="J1810" s="2" t="n">
        <x:v>0</x:v>
      </x:c>
      <x:c r="K1810" s="2" t="n">
        <x:f>I1810-J1810</x:f>
        <x:v>12</x:v>
      </x:c>
      <x:c r="L1810" s="16" t="n">
        <x:v>24</x:v>
      </x:c>
      <x:c r="M1810" s="16" t="n">
        <x:v>24</x:v>
      </x:c>
      <x:c r="N1810" s="16" t="n">
        <x:v>11.04</x:v>
      </x:c>
      <x:c r="O1810" s="16" t="n">
        <x:f>K1810*M1810</x:f>
        <x:v>288</x:v>
      </x:c>
      <x:c r="P1810" s="16" t="n">
        <x:f>K1810*N1810</x:f>
        <x:v>132.48</x:v>
      </x:c>
      <x:c r="Q1810" s="16" t="n">
        <x:f>O1810-P1810</x:f>
        <x:v>155.52</x:v>
      </x:c>
      <x:c r="R1810" s="2" t="n">
        <x:v>95</x:v>
      </x:c>
      <x:c r="S1810" s="2" t="n">
        <x:v>46</x:v>
      </x:c>
      <x:c r="T1810" s="2" t="n">
        <x:f>R1810+S1810+J1810-I1810</x:f>
        <x:v>129</x:v>
      </x:c>
      <x:c r="U1810" s="2" t="n">
        <x:v>0</x:v>
      </x:c>
      <x:c r="V1810" s="2" t="n">
        <x:v>3</x:v>
      </x:c>
      <x:c r="W1810" s="2" t="n">
        <x:v>11</x:v>
      </x:c>
      <x:c r="X1810" s="14" t="b">
        <x:v>0</x:v>
      </x:c>
      <x:c r="Y1810" s="14" t="b">
        <x:v>0</x:v>
      </x:c>
      <x:c r="Z1810" s="2" t="n">
        <x:f>ABS(T1810-AA1810)</x:f>
        <x:v>0</x:v>
      </x:c>
      <x:c r="AA1810" s="2" t="n">
        <x:v>129</x:v>
      </x:c>
      <x:c r="AB1810" s="2" t="n">
        <x:f>ABS(K1810-W1810)</x:f>
        <x:v>1</x:v>
      </x:c>
      <x:c r="AC1810" s="2" t="n">
        <x:f>COUNTIF($A$2:$A$1921,A1810)-1</x:f>
        <x:v>0</x:v>
      </x:c>
      <x:c r="AD1810" s="2" t="n">
        <x:f>IF(AND(D1810=D1809,H1810=H1809,C1810=C1809+1),ABS(R1810-T1809),0)</x:f>
        <x:v>0</x:v>
      </x:c>
    </x:row>
    <x:row r="1811" ht="23" customHeight="1">
      <x:c r="A1811" s="2" t="str">
        <x:v>DEMO-405-2-10</x:v>
      </x:c>
      <x:c r="B1811" s="15" t="d">
        <x:v>2026-07-06T00:00:00.000Z</x:v>
      </x:c>
      <x:c r="C1811" s="2" t="n">
        <x:v>10</x:v>
      </x:c>
      <x:c r="D1811" s="2" t="str">
        <x:v>DEMO-405</x:v>
      </x:c>
      <x:c r="E1811" s="2" t="str">
        <x:v>Pebble Keyring</x:v>
      </x:c>
      <x:c r="F1811" s="2" t="str">
        <x:v>Accessories</x:v>
      </x:c>
      <x:c r="G1811" s="2" t="str">
        <x:v>Stores</x:v>
      </x:c>
      <x:c r="H1811" s="2" t="str">
        <x:v>Central Market</x:v>
      </x:c>
      <x:c r="I1811" s="2" t="n">
        <x:v>11</x:v>
      </x:c>
      <x:c r="J1811" s="2" t="n">
        <x:v>0</x:v>
      </x:c>
      <x:c r="K1811" s="2" t="n">
        <x:f>I1811-J1811</x:f>
        <x:v>11</x:v>
      </x:c>
      <x:c r="L1811" s="16" t="n">
        <x:v>24</x:v>
      </x:c>
      <x:c r="M1811" s="16" t="n">
        <x:v>24</x:v>
      </x:c>
      <x:c r="N1811" s="16" t="n">
        <x:v>11.04</x:v>
      </x:c>
      <x:c r="O1811" s="16" t="n">
        <x:f>K1811*M1811</x:f>
        <x:v>264</x:v>
      </x:c>
      <x:c r="P1811" s="16" t="n">
        <x:f>K1811*N1811</x:f>
        <x:v>121.44</x:v>
      </x:c>
      <x:c r="Q1811" s="16" t="n">
        <x:f>O1811-P1811</x:f>
        <x:v>142.56</x:v>
      </x:c>
      <x:c r="R1811" s="2" t="n">
        <x:v>129</x:v>
      </x:c>
      <x:c r="S1811" s="2" t="n">
        <x:v>0</x:v>
      </x:c>
      <x:c r="T1811" s="2" t="n">
        <x:f>R1811+S1811+J1811-I1811</x:f>
        <x:v>118</x:v>
      </x:c>
      <x:c r="U1811" s="2" t="n">
        <x:v>0</x:v>
      </x:c>
      <x:c r="V1811" s="2" t="n">
        <x:v>3</x:v>
      </x:c>
      <x:c r="W1811" s="2" t="n">
        <x:v>11</x:v>
      </x:c>
      <x:c r="X1811" s="14" t="b">
        <x:v>0</x:v>
      </x:c>
      <x:c r="Y1811" s="14" t="b">
        <x:v>0</x:v>
      </x:c>
      <x:c r="Z1811" s="2" t="n">
        <x:f>ABS(T1811-AA1811)</x:f>
        <x:v>0</x:v>
      </x:c>
      <x:c r="AA1811" s="2" t="n">
        <x:v>118</x:v>
      </x:c>
      <x:c r="AB1811" s="2" t="n">
        <x:f>ABS(K1811-W1811)</x:f>
        <x:v>0</x:v>
      </x:c>
      <x:c r="AC1811" s="2" t="n">
        <x:f>COUNTIF($A$2:$A$1921,A1811)-1</x:f>
        <x:v>0</x:v>
      </x:c>
      <x:c r="AD1811" s="2" t="n">
        <x:f>IF(AND(D1811=D1810,H1811=H1810,C1811=C1810+1),ABS(R1811-T1810),0)</x:f>
        <x:v>0</x:v>
      </x:c>
    </x:row>
    <x:row r="1812" ht="23" customHeight="1">
      <x:c r="A1812" s="2" t="str">
        <x:v>DEMO-405-2-11</x:v>
      </x:c>
      <x:c r="B1812" s="15" t="d">
        <x:v>2026-07-13T00:00:00.000Z</x:v>
      </x:c>
      <x:c r="C1812" s="2" t="n">
        <x:v>11</x:v>
      </x:c>
      <x:c r="D1812" s="2" t="str">
        <x:v>DEMO-405</x:v>
      </x:c>
      <x:c r="E1812" s="2" t="str">
        <x:v>Pebble Keyring</x:v>
      </x:c>
      <x:c r="F1812" s="2" t="str">
        <x:v>Accessories</x:v>
      </x:c>
      <x:c r="G1812" s="2" t="str">
        <x:v>Stores</x:v>
      </x:c>
      <x:c r="H1812" s="2" t="str">
        <x:v>Central Market</x:v>
      </x:c>
      <x:c r="I1812" s="2" t="n">
        <x:v>13</x:v>
      </x:c>
      <x:c r="J1812" s="2" t="n">
        <x:v>0</x:v>
      </x:c>
      <x:c r="K1812" s="2" t="n">
        <x:f>I1812-J1812</x:f>
        <x:v>13</x:v>
      </x:c>
      <x:c r="L1812" s="16" t="n">
        <x:v>24</x:v>
      </x:c>
      <x:c r="M1812" s="16" t="n">
        <x:v>24</x:v>
      </x:c>
      <x:c r="N1812" s="16" t="n">
        <x:v>11.04</x:v>
      </x:c>
      <x:c r="O1812" s="16" t="n">
        <x:f>K1812*M1812</x:f>
        <x:v>312</x:v>
      </x:c>
      <x:c r="P1812" s="16" t="n">
        <x:f>K1812*N1812</x:f>
        <x:v>143.51999999999998</x:v>
      </x:c>
      <x:c r="Q1812" s="16" t="n">
        <x:f>O1812-P1812</x:f>
        <x:v>168.48000000000002</x:v>
      </x:c>
      <x:c r="R1812" s="2" t="n">
        <x:v>118</x:v>
      </x:c>
      <x:c r="S1812" s="2" t="n">
        <x:v>0</x:v>
      </x:c>
      <x:c r="T1812" s="2" t="n">
        <x:f>R1812+S1812+J1812-I1812</x:f>
        <x:v>105</x:v>
      </x:c>
      <x:c r="U1812" s="2" t="n">
        <x:v>0</x:v>
      </x:c>
      <x:c r="V1812" s="2" t="n">
        <x:v>3</x:v>
      </x:c>
      <x:c r="W1812" s="2" t="n">
        <x:v>12</x:v>
      </x:c>
      <x:c r="X1812" s="14" t="b">
        <x:v>0</x:v>
      </x:c>
      <x:c r="Y1812" s="14" t="b">
        <x:v>0</x:v>
      </x:c>
      <x:c r="Z1812" s="2" t="n">
        <x:f>ABS(T1812-AA1812)</x:f>
        <x:v>0</x:v>
      </x:c>
      <x:c r="AA1812" s="2" t="n">
        <x:v>105</x:v>
      </x:c>
      <x:c r="AB1812" s="2" t="n">
        <x:f>ABS(K1812-W1812)</x:f>
        <x:v>1</x:v>
      </x:c>
      <x:c r="AC1812" s="2" t="n">
        <x:f>COUNTIF($A$2:$A$1921,A1812)-1</x:f>
        <x:v>0</x:v>
      </x:c>
      <x:c r="AD1812" s="2" t="n">
        <x:f>IF(AND(D1812=D1811,H1812=H1811,C1812=C1811+1),ABS(R1812-T1811),0)</x:f>
        <x:v>0</x:v>
      </x:c>
    </x:row>
    <x:row r="1813" ht="23" customHeight="1">
      <x:c r="A1813" s="2" t="str">
        <x:v>DEMO-405-2-12</x:v>
      </x:c>
      <x:c r="B1813" s="15" t="d">
        <x:v>2026-07-20T00:00:00.000Z</x:v>
      </x:c>
      <x:c r="C1813" s="2" t="n">
        <x:v>12</x:v>
      </x:c>
      <x:c r="D1813" s="2" t="str">
        <x:v>DEMO-405</x:v>
      </x:c>
      <x:c r="E1813" s="2" t="str">
        <x:v>Pebble Keyring</x:v>
      </x:c>
      <x:c r="F1813" s="2" t="str">
        <x:v>Accessories</x:v>
      </x:c>
      <x:c r="G1813" s="2" t="str">
        <x:v>Stores</x:v>
      </x:c>
      <x:c r="H1813" s="2" t="str">
        <x:v>Central Market</x:v>
      </x:c>
      <x:c r="I1813" s="2" t="n">
        <x:v>12</x:v>
      </x:c>
      <x:c r="J1813" s="2" t="n">
        <x:v>0</x:v>
      </x:c>
      <x:c r="K1813" s="2" t="n">
        <x:f>I1813-J1813</x:f>
        <x:v>12</x:v>
      </x:c>
      <x:c r="L1813" s="16" t="n">
        <x:v>24</x:v>
      </x:c>
      <x:c r="M1813" s="16" t="n">
        <x:v>24</x:v>
      </x:c>
      <x:c r="N1813" s="16" t="n">
        <x:v>11.04</x:v>
      </x:c>
      <x:c r="O1813" s="16" t="n">
        <x:f>K1813*M1813</x:f>
        <x:v>288</x:v>
      </x:c>
      <x:c r="P1813" s="16" t="n">
        <x:f>K1813*N1813</x:f>
        <x:v>132.48</x:v>
      </x:c>
      <x:c r="Q1813" s="16" t="n">
        <x:f>O1813-P1813</x:f>
        <x:v>155.52</x:v>
      </x:c>
      <x:c r="R1813" s="2" t="n">
        <x:v>105</x:v>
      </x:c>
      <x:c r="S1813" s="2" t="n">
        <x:v>0</x:v>
      </x:c>
      <x:c r="T1813" s="2" t="n">
        <x:f>R1813+S1813+J1813-I1813</x:f>
        <x:v>93</x:v>
      </x:c>
      <x:c r="U1813" s="2" t="n">
        <x:v>0</x:v>
      </x:c>
      <x:c r="V1813" s="2" t="n">
        <x:v>3</x:v>
      </x:c>
      <x:c r="W1813" s="2" t="n">
        <x:v>12</x:v>
      </x:c>
      <x:c r="X1813" s="14" t="b">
        <x:v>0</x:v>
      </x:c>
      <x:c r="Y1813" s="14" t="b">
        <x:v>0</x:v>
      </x:c>
      <x:c r="Z1813" s="2" t="n">
        <x:f>ABS(T1813-AA1813)</x:f>
        <x:v>0</x:v>
      </x:c>
      <x:c r="AA1813" s="2" t="n">
        <x:v>93</x:v>
      </x:c>
      <x:c r="AB1813" s="2" t="n">
        <x:f>ABS(K1813-W1813)</x:f>
        <x:v>0</x:v>
      </x:c>
      <x:c r="AC1813" s="2" t="n">
        <x:f>COUNTIF($A$2:$A$1921,A1813)-1</x:f>
        <x:v>0</x:v>
      </x:c>
      <x:c r="AD1813" s="2" t="n">
        <x:f>IF(AND(D1813=D1812,H1813=H1812,C1813=C1812+1),ABS(R1813-T1812),0)</x:f>
        <x:v>0</x:v>
      </x:c>
    </x:row>
    <x:row r="1814" ht="23" customHeight="1">
      <x:c r="A1814" s="2" t="str">
        <x:v>DEMO-405-2-13</x:v>
      </x:c>
      <x:c r="B1814" s="15" t="d">
        <x:v>2026-07-27T00:00:00.000Z</x:v>
      </x:c>
      <x:c r="C1814" s="2" t="n">
        <x:v>13</x:v>
      </x:c>
      <x:c r="D1814" s="2" t="str">
        <x:v>DEMO-405</x:v>
      </x:c>
      <x:c r="E1814" s="2" t="str">
        <x:v>Pebble Keyring</x:v>
      </x:c>
      <x:c r="F1814" s="2" t="str">
        <x:v>Accessories</x:v>
      </x:c>
      <x:c r="G1814" s="2" t="str">
        <x:v>Stores</x:v>
      </x:c>
      <x:c r="H1814" s="2" t="str">
        <x:v>Central Market</x:v>
      </x:c>
      <x:c r="I1814" s="2" t="n">
        <x:v>11</x:v>
      </x:c>
      <x:c r="J1814" s="2" t="n">
        <x:v>1</x:v>
      </x:c>
      <x:c r="K1814" s="2" t="n">
        <x:f>I1814-J1814</x:f>
        <x:v>10</x:v>
      </x:c>
      <x:c r="L1814" s="16" t="n">
        <x:v>24</x:v>
      </x:c>
      <x:c r="M1814" s="16" t="n">
        <x:v>24</x:v>
      </x:c>
      <x:c r="N1814" s="16" t="n">
        <x:v>11.04</x:v>
      </x:c>
      <x:c r="O1814" s="16" t="n">
        <x:f>K1814*M1814</x:f>
        <x:v>240</x:v>
      </x:c>
      <x:c r="P1814" s="16" t="n">
        <x:f>K1814*N1814</x:f>
        <x:v>110.39999999999999</x:v>
      </x:c>
      <x:c r="Q1814" s="16" t="n">
        <x:f>O1814-P1814</x:f>
        <x:v>129.60000000000002</x:v>
      </x:c>
      <x:c r="R1814" s="2" t="n">
        <x:v>93</x:v>
      </x:c>
      <x:c r="S1814" s="2" t="n">
        <x:v>46</x:v>
      </x:c>
      <x:c r="T1814" s="2" t="n">
        <x:f>R1814+S1814+J1814-I1814</x:f>
        <x:v>129</x:v>
      </x:c>
      <x:c r="U1814" s="2" t="n">
        <x:v>0</x:v>
      </x:c>
      <x:c r="V1814" s="2" t="n">
        <x:v>3</x:v>
      </x:c>
      <x:c r="W1814" s="2" t="n">
        <x:v>12</x:v>
      </x:c>
      <x:c r="X1814" s="14" t="b">
        <x:v>0</x:v>
      </x:c>
      <x:c r="Y1814" s="14" t="b">
        <x:v>0</x:v>
      </x:c>
      <x:c r="Z1814" s="2" t="n">
        <x:f>ABS(T1814-AA1814)</x:f>
        <x:v>0</x:v>
      </x:c>
      <x:c r="AA1814" s="2" t="n">
        <x:v>129</x:v>
      </x:c>
      <x:c r="AB1814" s="2" t="n">
        <x:f>ABS(K1814-W1814)</x:f>
        <x:v>2</x:v>
      </x:c>
      <x:c r="AC1814" s="2" t="n">
        <x:f>COUNTIF($A$2:$A$1921,A1814)-1</x:f>
        <x:v>0</x:v>
      </x:c>
      <x:c r="AD1814" s="2" t="n">
        <x:f>IF(AND(D1814=D1813,H1814=H1813,C1814=C1813+1),ABS(R1814-T1813),0)</x:f>
        <x:v>0</x:v>
      </x:c>
    </x:row>
    <x:row r="1815" ht="23" customHeight="1">
      <x:c r="A1815" s="2" t="str">
        <x:v>DEMO-405-2-14</x:v>
      </x:c>
      <x:c r="B1815" s="15" t="d">
        <x:v>2026-08-03T00:00:00.000Z</x:v>
      </x:c>
      <x:c r="C1815" s="2" t="n">
        <x:v>14</x:v>
      </x:c>
      <x:c r="D1815" s="2" t="str">
        <x:v>DEMO-405</x:v>
      </x:c>
      <x:c r="E1815" s="2" t="str">
        <x:v>Pebble Keyring</x:v>
      </x:c>
      <x:c r="F1815" s="2" t="str">
        <x:v>Accessories</x:v>
      </x:c>
      <x:c r="G1815" s="2" t="str">
        <x:v>Stores</x:v>
      </x:c>
      <x:c r="H1815" s="2" t="str">
        <x:v>Central Market</x:v>
      </x:c>
      <x:c r="I1815" s="2" t="n">
        <x:v>12</x:v>
      </x:c>
      <x:c r="J1815" s="2" t="n">
        <x:v>0</x:v>
      </x:c>
      <x:c r="K1815" s="2" t="n">
        <x:f>I1815-J1815</x:f>
        <x:v>12</x:v>
      </x:c>
      <x:c r="L1815" s="16" t="n">
        <x:v>24</x:v>
      </x:c>
      <x:c r="M1815" s="16" t="n">
        <x:v>24</x:v>
      </x:c>
      <x:c r="N1815" s="16" t="n">
        <x:v>11.04</x:v>
      </x:c>
      <x:c r="O1815" s="16" t="n">
        <x:f>K1815*M1815</x:f>
        <x:v>288</x:v>
      </x:c>
      <x:c r="P1815" s="16" t="n">
        <x:f>K1815*N1815</x:f>
        <x:v>132.48</x:v>
      </x:c>
      <x:c r="Q1815" s="16" t="n">
        <x:f>O1815-P1815</x:f>
        <x:v>155.52</x:v>
      </x:c>
      <x:c r="R1815" s="2" t="n">
        <x:v>129</x:v>
      </x:c>
      <x:c r="S1815" s="2" t="n">
        <x:v>0</x:v>
      </x:c>
      <x:c r="T1815" s="2" t="n">
        <x:f>R1815+S1815+J1815-I1815</x:f>
        <x:v>117</x:v>
      </x:c>
      <x:c r="U1815" s="2" t="n">
        <x:v>0</x:v>
      </x:c>
      <x:c r="V1815" s="2" t="n">
        <x:v>3</x:v>
      </x:c>
      <x:c r="W1815" s="2" t="n">
        <x:v>12</x:v>
      </x:c>
      <x:c r="X1815" s="14" t="b">
        <x:v>0</x:v>
      </x:c>
      <x:c r="Y1815" s="14" t="b">
        <x:v>0</x:v>
      </x:c>
      <x:c r="Z1815" s="2" t="n">
        <x:f>ABS(T1815-AA1815)</x:f>
        <x:v>0</x:v>
      </x:c>
      <x:c r="AA1815" s="2" t="n">
        <x:v>117</x:v>
      </x:c>
      <x:c r="AB1815" s="2" t="n">
        <x:f>ABS(K1815-W1815)</x:f>
        <x:v>0</x:v>
      </x:c>
      <x:c r="AC1815" s="2" t="n">
        <x:f>COUNTIF($A$2:$A$1921,A1815)-1</x:f>
        <x:v>0</x:v>
      </x:c>
      <x:c r="AD1815" s="2" t="n">
        <x:f>IF(AND(D1815=D1814,H1815=H1814,C1815=C1814+1),ABS(R1815-T1814),0)</x:f>
        <x:v>0</x:v>
      </x:c>
    </x:row>
    <x:row r="1816" ht="23" customHeight="1">
      <x:c r="A1816" s="2" t="str">
        <x:v>DEMO-405-2-15</x:v>
      </x:c>
      <x:c r="B1816" s="15" t="d">
        <x:v>2026-08-10T00:00:00.000Z</x:v>
      </x:c>
      <x:c r="C1816" s="2" t="n">
        <x:v>15</x:v>
      </x:c>
      <x:c r="D1816" s="2" t="str">
        <x:v>DEMO-405</x:v>
      </x:c>
      <x:c r="E1816" s="2" t="str">
        <x:v>Pebble Keyring</x:v>
      </x:c>
      <x:c r="F1816" s="2" t="str">
        <x:v>Accessories</x:v>
      </x:c>
      <x:c r="G1816" s="2" t="str">
        <x:v>Stores</x:v>
      </x:c>
      <x:c r="H1816" s="2" t="str">
        <x:v>Central Market</x:v>
      </x:c>
      <x:c r="I1816" s="2" t="n">
        <x:v>13</x:v>
      </x:c>
      <x:c r="J1816" s="2" t="n">
        <x:v>0</x:v>
      </x:c>
      <x:c r="K1816" s="2" t="n">
        <x:f>I1816-J1816</x:f>
        <x:v>13</x:v>
      </x:c>
      <x:c r="L1816" s="16" t="n">
        <x:v>24</x:v>
      </x:c>
      <x:c r="M1816" s="16" t="n">
        <x:v>24</x:v>
      </x:c>
      <x:c r="N1816" s="16" t="n">
        <x:v>11.04</x:v>
      </x:c>
      <x:c r="O1816" s="16" t="n">
        <x:f>K1816*M1816</x:f>
        <x:v>312</x:v>
      </x:c>
      <x:c r="P1816" s="16" t="n">
        <x:f>K1816*N1816</x:f>
        <x:v>143.51999999999998</x:v>
      </x:c>
      <x:c r="Q1816" s="16" t="n">
        <x:f>O1816-P1816</x:f>
        <x:v>168.48000000000002</x:v>
      </x:c>
      <x:c r="R1816" s="2" t="n">
        <x:v>117</x:v>
      </x:c>
      <x:c r="S1816" s="2" t="n">
        <x:v>0</x:v>
      </x:c>
      <x:c r="T1816" s="2" t="n">
        <x:f>R1816+S1816+J1816-I1816</x:f>
        <x:v>104</x:v>
      </x:c>
      <x:c r="U1816" s="2" t="n">
        <x:v>0</x:v>
      </x:c>
      <x:c r="V1816" s="2" t="n">
        <x:v>3</x:v>
      </x:c>
      <x:c r="W1816" s="2" t="n">
        <x:v>12</x:v>
      </x:c>
      <x:c r="X1816" s="14" t="b">
        <x:v>0</x:v>
      </x:c>
      <x:c r="Y1816" s="14" t="b">
        <x:v>0</x:v>
      </x:c>
      <x:c r="Z1816" s="2" t="n">
        <x:f>ABS(T1816-AA1816)</x:f>
        <x:v>0</x:v>
      </x:c>
      <x:c r="AA1816" s="2" t="n">
        <x:v>104</x:v>
      </x:c>
      <x:c r="AB1816" s="2" t="n">
        <x:f>ABS(K1816-W1816)</x:f>
        <x:v>1</x:v>
      </x:c>
      <x:c r="AC1816" s="2" t="n">
        <x:f>COUNTIF($A$2:$A$1921,A1816)-1</x:f>
        <x:v>0</x:v>
      </x:c>
      <x:c r="AD1816" s="2" t="n">
        <x:f>IF(AND(D1816=D1815,H1816=H1815,C1816=C1815+1),ABS(R1816-T1815),0)</x:f>
        <x:v>0</x:v>
      </x:c>
    </x:row>
    <x:row r="1817" ht="23" customHeight="1">
      <x:c r="A1817" s="2" t="str">
        <x:v>DEMO-405-2-16</x:v>
      </x:c>
      <x:c r="B1817" s="15" t="d">
        <x:v>2026-08-17T00:00:00.000Z</x:v>
      </x:c>
      <x:c r="C1817" s="2" t="n">
        <x:v>16</x:v>
      </x:c>
      <x:c r="D1817" s="2" t="str">
        <x:v>DEMO-405</x:v>
      </x:c>
      <x:c r="E1817" s="2" t="str">
        <x:v>Pebble Keyring</x:v>
      </x:c>
      <x:c r="F1817" s="2" t="str">
        <x:v>Accessories</x:v>
      </x:c>
      <x:c r="G1817" s="2" t="str">
        <x:v>Stores</x:v>
      </x:c>
      <x:c r="H1817" s="2" t="str">
        <x:v>Central Market</x:v>
      </x:c>
      <x:c r="I1817" s="2" t="n">
        <x:v>10</x:v>
      </x:c>
      <x:c r="J1817" s="2" t="n">
        <x:v>1</x:v>
      </x:c>
      <x:c r="K1817" s="2" t="n">
        <x:f>I1817-J1817</x:f>
        <x:v>9</x:v>
      </x:c>
      <x:c r="L1817" s="16" t="n">
        <x:v>24</x:v>
      </x:c>
      <x:c r="M1817" s="16" t="n">
        <x:v>24</x:v>
      </x:c>
      <x:c r="N1817" s="16" t="n">
        <x:v>11.04</x:v>
      </x:c>
      <x:c r="O1817" s="16" t="n">
        <x:f>K1817*M1817</x:f>
        <x:v>216</x:v>
      </x:c>
      <x:c r="P1817" s="16" t="n">
        <x:f>K1817*N1817</x:f>
        <x:v>99.35999999999999</x:v>
      </x:c>
      <x:c r="Q1817" s="16" t="n">
        <x:f>O1817-P1817</x:f>
        <x:v>116.64000000000001</x:v>
      </x:c>
      <x:c r="R1817" s="2" t="n">
        <x:v>104</x:v>
      </x:c>
      <x:c r="S1817" s="2" t="n">
        <x:v>0</x:v>
      </x:c>
      <x:c r="T1817" s="2" t="n">
        <x:f>R1817+S1817+J1817-I1817</x:f>
        <x:v>95</x:v>
      </x:c>
      <x:c r="U1817" s="2" t="n">
        <x:v>0</x:v>
      </x:c>
      <x:c r="V1817" s="2" t="n">
        <x:v>3</x:v>
      </x:c>
      <x:c r="W1817" s="2" t="n">
        <x:v>12</x:v>
      </x:c>
      <x:c r="X1817" s="14" t="b">
        <x:v>0</x:v>
      </x:c>
      <x:c r="Y1817" s="14" t="b">
        <x:v>0</x:v>
      </x:c>
      <x:c r="Z1817" s="2" t="n">
        <x:f>ABS(T1817-AA1817)</x:f>
        <x:v>0</x:v>
      </x:c>
      <x:c r="AA1817" s="2" t="n">
        <x:v>95</x:v>
      </x:c>
      <x:c r="AB1817" s="2" t="n">
        <x:f>ABS(K1817-W1817)</x:f>
        <x:v>3</x:v>
      </x:c>
      <x:c r="AC1817" s="2" t="n">
        <x:f>COUNTIF($A$2:$A$1921,A1817)-1</x:f>
        <x:v>0</x:v>
      </x:c>
      <x:c r="AD1817" s="2" t="n">
        <x:f>IF(AND(D1817=D1816,H1817=H1816,C1817=C1816+1),ABS(R1817-T1816),0)</x:f>
        <x:v>0</x:v>
      </x:c>
    </x:row>
    <x:row r="1818" ht="23" customHeight="1">
      <x:c r="A1818" s="2" t="str">
        <x:v>DEMO-405-2-17</x:v>
      </x:c>
      <x:c r="B1818" s="15" t="d">
        <x:v>2026-08-24T00:00:00.000Z</x:v>
      </x:c>
      <x:c r="C1818" s="2" t="n">
        <x:v>17</x:v>
      </x:c>
      <x:c r="D1818" s="2" t="str">
        <x:v>DEMO-405</x:v>
      </x:c>
      <x:c r="E1818" s="2" t="str">
        <x:v>Pebble Keyring</x:v>
      </x:c>
      <x:c r="F1818" s="2" t="str">
        <x:v>Accessories</x:v>
      </x:c>
      <x:c r="G1818" s="2" t="str">
        <x:v>Stores</x:v>
      </x:c>
      <x:c r="H1818" s="2" t="str">
        <x:v>Central Market</x:v>
      </x:c>
      <x:c r="I1818" s="2" t="n">
        <x:v>10</x:v>
      </x:c>
      <x:c r="J1818" s="2" t="n">
        <x:v>0</x:v>
      </x:c>
      <x:c r="K1818" s="2" t="n">
        <x:f>I1818-J1818</x:f>
        <x:v>10</x:v>
      </x:c>
      <x:c r="L1818" s="16" t="n">
        <x:v>24</x:v>
      </x:c>
      <x:c r="M1818" s="16" t="n">
        <x:v>24</x:v>
      </x:c>
      <x:c r="N1818" s="16" t="n">
        <x:v>11.04</x:v>
      </x:c>
      <x:c r="O1818" s="16" t="n">
        <x:f>K1818*M1818</x:f>
        <x:v>240</x:v>
      </x:c>
      <x:c r="P1818" s="16" t="n">
        <x:f>K1818*N1818</x:f>
        <x:v>110.39999999999999</x:v>
      </x:c>
      <x:c r="Q1818" s="16" t="n">
        <x:f>O1818-P1818</x:f>
        <x:v>129.60000000000002</x:v>
      </x:c>
      <x:c r="R1818" s="2" t="n">
        <x:v>95</x:v>
      </x:c>
      <x:c r="S1818" s="2" t="n">
        <x:v>46</x:v>
      </x:c>
      <x:c r="T1818" s="2" t="n">
        <x:f>R1818+S1818+J1818-I1818</x:f>
        <x:v>131</x:v>
      </x:c>
      <x:c r="U1818" s="2" t="n">
        <x:v>0</x:v>
      </x:c>
      <x:c r="V1818" s="2" t="n">
        <x:v>3</x:v>
      </x:c>
      <x:c r="W1818" s="2" t="n">
        <x:v>11</x:v>
      </x:c>
      <x:c r="X1818" s="14" t="b">
        <x:v>0</x:v>
      </x:c>
      <x:c r="Y1818" s="14" t="b">
        <x:v>0</x:v>
      </x:c>
      <x:c r="Z1818" s="2" t="n">
        <x:f>ABS(T1818-AA1818)</x:f>
        <x:v>0</x:v>
      </x:c>
      <x:c r="AA1818" s="2" t="n">
        <x:v>131</x:v>
      </x:c>
      <x:c r="AB1818" s="2" t="n">
        <x:f>ABS(K1818-W1818)</x:f>
        <x:v>1</x:v>
      </x:c>
      <x:c r="AC1818" s="2" t="n">
        <x:f>COUNTIF($A$2:$A$1921,A1818)-1</x:f>
        <x:v>0</x:v>
      </x:c>
      <x:c r="AD1818" s="2" t="n">
        <x:f>IF(AND(D1818=D1817,H1818=H1817,C1818=C1817+1),ABS(R1818-T1817),0)</x:f>
        <x:v>0</x:v>
      </x:c>
    </x:row>
    <x:row r="1819" ht="23" customHeight="1">
      <x:c r="A1819" s="2" t="str">
        <x:v>DEMO-405-2-18</x:v>
      </x:c>
      <x:c r="B1819" s="15" t="d">
        <x:v>2026-08-31T00:00:00.000Z</x:v>
      </x:c>
      <x:c r="C1819" s="2" t="n">
        <x:v>18</x:v>
      </x:c>
      <x:c r="D1819" s="2" t="str">
        <x:v>DEMO-405</x:v>
      </x:c>
      <x:c r="E1819" s="2" t="str">
        <x:v>Pebble Keyring</x:v>
      </x:c>
      <x:c r="F1819" s="2" t="str">
        <x:v>Accessories</x:v>
      </x:c>
      <x:c r="G1819" s="2" t="str">
        <x:v>Stores</x:v>
      </x:c>
      <x:c r="H1819" s="2" t="str">
        <x:v>Central Market</x:v>
      </x:c>
      <x:c r="I1819" s="2" t="n">
        <x:v>11</x:v>
      </x:c>
      <x:c r="J1819" s="2" t="n">
        <x:v>1</x:v>
      </x:c>
      <x:c r="K1819" s="2" t="n">
        <x:f>I1819-J1819</x:f>
        <x:v>10</x:v>
      </x:c>
      <x:c r="L1819" s="16" t="n">
        <x:v>24</x:v>
      </x:c>
      <x:c r="M1819" s="16" t="n">
        <x:v>24</x:v>
      </x:c>
      <x:c r="N1819" s="16" t="n">
        <x:v>11.04</x:v>
      </x:c>
      <x:c r="O1819" s="16" t="n">
        <x:f>K1819*M1819</x:f>
        <x:v>240</x:v>
      </x:c>
      <x:c r="P1819" s="16" t="n">
        <x:f>K1819*N1819</x:f>
        <x:v>110.39999999999999</x:v>
      </x:c>
      <x:c r="Q1819" s="16" t="n">
        <x:f>O1819-P1819</x:f>
        <x:v>129.60000000000002</x:v>
      </x:c>
      <x:c r="R1819" s="2" t="n">
        <x:v>131</x:v>
      </x:c>
      <x:c r="S1819" s="2" t="n">
        <x:v>0</x:v>
      </x:c>
      <x:c r="T1819" s="2" t="n">
        <x:f>R1819+S1819+J1819-I1819</x:f>
        <x:v>121</x:v>
      </x:c>
      <x:c r="U1819" s="2" t="n">
        <x:v>0</x:v>
      </x:c>
      <x:c r="V1819" s="2" t="n">
        <x:v>3</x:v>
      </x:c>
      <x:c r="W1819" s="2" t="n">
        <x:v>11</x:v>
      </x:c>
      <x:c r="X1819" s="14" t="b">
        <x:v>0</x:v>
      </x:c>
      <x:c r="Y1819" s="14" t="b">
        <x:v>0</x:v>
      </x:c>
      <x:c r="Z1819" s="2" t="n">
        <x:f>ABS(T1819-AA1819)</x:f>
        <x:v>0</x:v>
      </x:c>
      <x:c r="AA1819" s="2" t="n">
        <x:v>121</x:v>
      </x:c>
      <x:c r="AB1819" s="2" t="n">
        <x:f>ABS(K1819-W1819)</x:f>
        <x:v>1</x:v>
      </x:c>
      <x:c r="AC1819" s="2" t="n">
        <x:f>COUNTIF($A$2:$A$1921,A1819)-1</x:f>
        <x:v>0</x:v>
      </x:c>
      <x:c r="AD1819" s="2" t="n">
        <x:f>IF(AND(D1819=D1818,H1819=H1818,C1819=C1818+1),ABS(R1819-T1818),0)</x:f>
        <x:v>0</x:v>
      </x:c>
    </x:row>
    <x:row r="1820" ht="23" customHeight="1">
      <x:c r="A1820" s="2" t="str">
        <x:v>DEMO-405-2-19</x:v>
      </x:c>
      <x:c r="B1820" s="15" t="d">
        <x:v>2026-09-07T00:00:00.000Z</x:v>
      </x:c>
      <x:c r="C1820" s="2" t="n">
        <x:v>19</x:v>
      </x:c>
      <x:c r="D1820" s="2" t="str">
        <x:v>DEMO-405</x:v>
      </x:c>
      <x:c r="E1820" s="2" t="str">
        <x:v>Pebble Keyring</x:v>
      </x:c>
      <x:c r="F1820" s="2" t="str">
        <x:v>Accessories</x:v>
      </x:c>
      <x:c r="G1820" s="2" t="str">
        <x:v>Stores</x:v>
      </x:c>
      <x:c r="H1820" s="2" t="str">
        <x:v>Central Market</x:v>
      </x:c>
      <x:c r="I1820" s="2" t="n">
        <x:v>13</x:v>
      </x:c>
      <x:c r="J1820" s="2" t="n">
        <x:v>0</x:v>
      </x:c>
      <x:c r="K1820" s="2" t="n">
        <x:f>I1820-J1820</x:f>
        <x:v>13</x:v>
      </x:c>
      <x:c r="L1820" s="16" t="n">
        <x:v>24</x:v>
      </x:c>
      <x:c r="M1820" s="16" t="n">
        <x:v>24</x:v>
      </x:c>
      <x:c r="N1820" s="16" t="n">
        <x:v>11.04</x:v>
      </x:c>
      <x:c r="O1820" s="16" t="n">
        <x:f>K1820*M1820</x:f>
        <x:v>312</x:v>
      </x:c>
      <x:c r="P1820" s="16" t="n">
        <x:f>K1820*N1820</x:f>
        <x:v>143.51999999999998</x:v>
      </x:c>
      <x:c r="Q1820" s="16" t="n">
        <x:f>O1820-P1820</x:f>
        <x:v>168.48000000000002</x:v>
      </x:c>
      <x:c r="R1820" s="2" t="n">
        <x:v>121</x:v>
      </x:c>
      <x:c r="S1820" s="2" t="n">
        <x:v>0</x:v>
      </x:c>
      <x:c r="T1820" s="2" t="n">
        <x:f>R1820+S1820+J1820-I1820</x:f>
        <x:v>108</x:v>
      </x:c>
      <x:c r="U1820" s="2" t="n">
        <x:v>0</x:v>
      </x:c>
      <x:c r="V1820" s="2" t="n">
        <x:v>3</x:v>
      </x:c>
      <x:c r="W1820" s="2" t="n">
        <x:v>11</x:v>
      </x:c>
      <x:c r="X1820" s="14" t="b">
        <x:v>0</x:v>
      </x:c>
      <x:c r="Y1820" s="14" t="b">
        <x:v>0</x:v>
      </x:c>
      <x:c r="Z1820" s="2" t="n">
        <x:f>ABS(T1820-AA1820)</x:f>
        <x:v>0</x:v>
      </x:c>
      <x:c r="AA1820" s="2" t="n">
        <x:v>108</x:v>
      </x:c>
      <x:c r="AB1820" s="2" t="n">
        <x:f>ABS(K1820-W1820)</x:f>
        <x:v>2</x:v>
      </x:c>
      <x:c r="AC1820" s="2" t="n">
        <x:f>COUNTIF($A$2:$A$1921,A1820)-1</x:f>
        <x:v>0</x:v>
      </x:c>
      <x:c r="AD1820" s="2" t="n">
        <x:f>IF(AND(D1820=D1819,H1820=H1819,C1820=C1819+1),ABS(R1820-T1819),0)</x:f>
        <x:v>0</x:v>
      </x:c>
    </x:row>
    <x:row r="1821" ht="23" customHeight="1">
      <x:c r="A1821" s="2" t="str">
        <x:v>DEMO-405-2-20</x:v>
      </x:c>
      <x:c r="B1821" s="15" t="d">
        <x:v>2026-09-14T00:00:00.000Z</x:v>
      </x:c>
      <x:c r="C1821" s="2" t="n">
        <x:v>20</x:v>
      </x:c>
      <x:c r="D1821" s="2" t="str">
        <x:v>DEMO-405</x:v>
      </x:c>
      <x:c r="E1821" s="2" t="str">
        <x:v>Pebble Keyring</x:v>
      </x:c>
      <x:c r="F1821" s="2" t="str">
        <x:v>Accessories</x:v>
      </x:c>
      <x:c r="G1821" s="2" t="str">
        <x:v>Stores</x:v>
      </x:c>
      <x:c r="H1821" s="2" t="str">
        <x:v>Central Market</x:v>
      </x:c>
      <x:c r="I1821" s="2" t="n">
        <x:v>11</x:v>
      </x:c>
      <x:c r="J1821" s="2" t="n">
        <x:v>0</x:v>
      </x:c>
      <x:c r="K1821" s="2" t="n">
        <x:f>I1821-J1821</x:f>
        <x:v>11</x:v>
      </x:c>
      <x:c r="L1821" s="16" t="n">
        <x:v>24</x:v>
      </x:c>
      <x:c r="M1821" s="16" t="n">
        <x:v>24</x:v>
      </x:c>
      <x:c r="N1821" s="16" t="n">
        <x:v>11.04</x:v>
      </x:c>
      <x:c r="O1821" s="16" t="n">
        <x:f>K1821*M1821</x:f>
        <x:v>264</x:v>
      </x:c>
      <x:c r="P1821" s="16" t="n">
        <x:f>K1821*N1821</x:f>
        <x:v>121.44</x:v>
      </x:c>
      <x:c r="Q1821" s="16" t="n">
        <x:f>O1821-P1821</x:f>
        <x:v>142.56</x:v>
      </x:c>
      <x:c r="R1821" s="2" t="n">
        <x:v>108</x:v>
      </x:c>
      <x:c r="S1821" s="2" t="n">
        <x:v>0</x:v>
      </x:c>
      <x:c r="T1821" s="2" t="n">
        <x:f>R1821+S1821+J1821-I1821</x:f>
        <x:v>97</x:v>
      </x:c>
      <x:c r="U1821" s="2" t="n">
        <x:v>18</x:v>
      </x:c>
      <x:c r="V1821" s="2" t="n">
        <x:v>3</x:v>
      </x:c>
      <x:c r="W1821" s="2" t="n">
        <x:v>11</x:v>
      </x:c>
      <x:c r="X1821" s="14" t="b">
        <x:v>0</x:v>
      </x:c>
      <x:c r="Y1821" s="14" t="b">
        <x:v>0</x:v>
      </x:c>
      <x:c r="Z1821" s="2" t="n">
        <x:f>ABS(T1821-AA1821)</x:f>
        <x:v>0</x:v>
      </x:c>
      <x:c r="AA1821" s="2" t="n">
        <x:v>97</x:v>
      </x:c>
      <x:c r="AB1821" s="2" t="n">
        <x:f>ABS(K1821-W1821)</x:f>
        <x:v>0</x:v>
      </x:c>
      <x:c r="AC1821" s="2" t="n">
        <x:f>COUNTIF($A$2:$A$1921,A1821)-1</x:f>
        <x:v>0</x:v>
      </x:c>
      <x:c r="AD1821" s="2" t="n">
        <x:f>IF(AND(D1821=D1820,H1821=H1820,C1821=C1820+1),ABS(R1821-T1820),0)</x:f>
        <x:v>0</x:v>
      </x:c>
    </x:row>
    <x:row r="1822" ht="23" customHeight="1">
      <x:c r="A1822" s="2" t="str">
        <x:v>DEMO-405-3-1</x:v>
      </x:c>
      <x:c r="B1822" s="15" t="d">
        <x:v>2026-05-04T00:00:00.000Z</x:v>
      </x:c>
      <x:c r="C1822" s="2" t="n">
        <x:v>1</x:v>
      </x:c>
      <x:c r="D1822" s="2" t="str">
        <x:v>DEMO-405</x:v>
      </x:c>
      <x:c r="E1822" s="2" t="str">
        <x:v>Pebble Keyring</x:v>
      </x:c>
      <x:c r="F1822" s="2" t="str">
        <x:v>Accessories</x:v>
      </x:c>
      <x:c r="G1822" s="2" t="str">
        <x:v>Online</x:v>
      </x:c>
      <x:c r="H1822" s="2" t="str">
        <x:v>Online</x:v>
      </x:c>
      <x:c r="I1822" s="2" t="n">
        <x:v>19</x:v>
      </x:c>
      <x:c r="J1822" s="2" t="n">
        <x:v>0</x:v>
      </x:c>
      <x:c r="K1822" s="2" t="n">
        <x:f>I1822-J1822</x:f>
        <x:v>19</x:v>
      </x:c>
      <x:c r="L1822" s="16" t="n">
        <x:v>24</x:v>
      </x:c>
      <x:c r="M1822" s="16" t="n">
        <x:v>24</x:v>
      </x:c>
      <x:c r="N1822" s="16" t="n">
        <x:v>11.04</x:v>
      </x:c>
      <x:c r="O1822" s="16" t="n">
        <x:f>K1822*M1822</x:f>
        <x:v>456</x:v>
      </x:c>
      <x:c r="P1822" s="16" t="n">
        <x:f>K1822*N1822</x:f>
        <x:v>209.76</x:v>
      </x:c>
      <x:c r="Q1822" s="16" t="n">
        <x:f>O1822-P1822</x:f>
        <x:v>246.24</x:v>
      </x:c>
      <x:c r="R1822" s="2" t="n">
        <x:v>90</x:v>
      </x:c>
      <x:c r="S1822" s="2" t="n">
        <x:v>79</x:v>
      </x:c>
      <x:c r="T1822" s="2" t="n">
        <x:f>R1822+S1822+J1822-I1822</x:f>
        <x:v>150</x:v>
      </x:c>
      <x:c r="U1822" s="2" t="n">
        <x:v>0</x:v>
      </x:c>
      <x:c r="V1822" s="2" t="n">
        <x:v>3</x:v>
      </x:c>
      <x:c r="W1822" s="2" t="n">
        <x:v>19</x:v>
      </x:c>
      <x:c r="X1822" s="14" t="b">
        <x:v>0</x:v>
      </x:c>
      <x:c r="Y1822" s="14" t="b">
        <x:v>0</x:v>
      </x:c>
      <x:c r="Z1822" s="2" t="n">
        <x:f>ABS(T1822-AA1822)</x:f>
        <x:v>0</x:v>
      </x:c>
      <x:c r="AA1822" s="2" t="n">
        <x:v>150</x:v>
      </x:c>
      <x:c r="AB1822" s="2" t="n">
        <x:f>ABS(K1822-W1822)</x:f>
        <x:v>0</x:v>
      </x:c>
      <x:c r="AC1822" s="2" t="n">
        <x:f>COUNTIF($A$2:$A$1921,A1822)-1</x:f>
        <x:v>0</x:v>
      </x:c>
      <x:c r="AD1822" s="2" t="n">
        <x:f>IF(AND(D1822=D1821,H1822=H1821,C1822=C1821+1),ABS(R1822-T1821),0)</x:f>
        <x:v>0</x:v>
      </x:c>
    </x:row>
    <x:row r="1823" ht="23" customHeight="1">
      <x:c r="A1823" s="2" t="str">
        <x:v>DEMO-405-3-2</x:v>
      </x:c>
      <x:c r="B1823" s="15" t="d">
        <x:v>2026-05-11T00:00:00.000Z</x:v>
      </x:c>
      <x:c r="C1823" s="2" t="n">
        <x:v>2</x:v>
      </x:c>
      <x:c r="D1823" s="2" t="str">
        <x:v>DEMO-405</x:v>
      </x:c>
      <x:c r="E1823" s="2" t="str">
        <x:v>Pebble Keyring</x:v>
      </x:c>
      <x:c r="F1823" s="2" t="str">
        <x:v>Accessories</x:v>
      </x:c>
      <x:c r="G1823" s="2" t="str">
        <x:v>Online</x:v>
      </x:c>
      <x:c r="H1823" s="2" t="str">
        <x:v>Online</x:v>
      </x:c>
      <x:c r="I1823" s="2" t="n">
        <x:v>18</x:v>
      </x:c>
      <x:c r="J1823" s="2" t="n">
        <x:v>0</x:v>
      </x:c>
      <x:c r="K1823" s="2" t="n">
        <x:f>I1823-J1823</x:f>
        <x:v>18</x:v>
      </x:c>
      <x:c r="L1823" s="16" t="n">
        <x:v>24</x:v>
      </x:c>
      <x:c r="M1823" s="16" t="n">
        <x:v>24</x:v>
      </x:c>
      <x:c r="N1823" s="16" t="n">
        <x:v>11.04</x:v>
      </x:c>
      <x:c r="O1823" s="16" t="n">
        <x:f>K1823*M1823</x:f>
        <x:v>432</x:v>
      </x:c>
      <x:c r="P1823" s="16" t="n">
        <x:f>K1823*N1823</x:f>
        <x:v>198.71999999999997</x:v>
      </x:c>
      <x:c r="Q1823" s="16" t="n">
        <x:f>O1823-P1823</x:f>
        <x:v>233.28000000000003</x:v>
      </x:c>
      <x:c r="R1823" s="2" t="n">
        <x:v>150</x:v>
      </x:c>
      <x:c r="S1823" s="2" t="n">
        <x:v>0</x:v>
      </x:c>
      <x:c r="T1823" s="2" t="n">
        <x:f>R1823+S1823+J1823-I1823</x:f>
        <x:v>132</x:v>
      </x:c>
      <x:c r="U1823" s="2" t="n">
        <x:v>0</x:v>
      </x:c>
      <x:c r="V1823" s="2" t="n">
        <x:v>3</x:v>
      </x:c>
      <x:c r="W1823" s="2" t="n">
        <x:v>19</x:v>
      </x:c>
      <x:c r="X1823" s="14" t="b">
        <x:v>0</x:v>
      </x:c>
      <x:c r="Y1823" s="14" t="b">
        <x:v>0</x:v>
      </x:c>
      <x:c r="Z1823" s="2" t="n">
        <x:f>ABS(T1823-AA1823)</x:f>
        <x:v>0</x:v>
      </x:c>
      <x:c r="AA1823" s="2" t="n">
        <x:v>132</x:v>
      </x:c>
      <x:c r="AB1823" s="2" t="n">
        <x:f>ABS(K1823-W1823)</x:f>
        <x:v>1</x:v>
      </x:c>
      <x:c r="AC1823" s="2" t="n">
        <x:f>COUNTIF($A$2:$A$1921,A1823)-1</x:f>
        <x:v>0</x:v>
      </x:c>
      <x:c r="AD1823" s="2" t="n">
        <x:f>IF(AND(D1823=D1822,H1823=H1822,C1823=C1822+1),ABS(R1823-T1822),0)</x:f>
        <x:v>0</x:v>
      </x:c>
    </x:row>
    <x:row r="1824" ht="23" customHeight="1">
      <x:c r="A1824" s="2" t="str">
        <x:v>DEMO-405-3-3</x:v>
      </x:c>
      <x:c r="B1824" s="15" t="d">
        <x:v>2026-05-18T00:00:00.000Z</x:v>
      </x:c>
      <x:c r="C1824" s="2" t="n">
        <x:v>3</x:v>
      </x:c>
      <x:c r="D1824" s="2" t="str">
        <x:v>DEMO-405</x:v>
      </x:c>
      <x:c r="E1824" s="2" t="str">
        <x:v>Pebble Keyring</x:v>
      </x:c>
      <x:c r="F1824" s="2" t="str">
        <x:v>Accessories</x:v>
      </x:c>
      <x:c r="G1824" s="2" t="str">
        <x:v>Online</x:v>
      </x:c>
      <x:c r="H1824" s="2" t="str">
        <x:v>Online</x:v>
      </x:c>
      <x:c r="I1824" s="2" t="n">
        <x:v>19</x:v>
      </x:c>
      <x:c r="J1824" s="2" t="n">
        <x:v>0</x:v>
      </x:c>
      <x:c r="K1824" s="2" t="n">
        <x:f>I1824-J1824</x:f>
        <x:v>19</x:v>
      </x:c>
      <x:c r="L1824" s="16" t="n">
        <x:v>24</x:v>
      </x:c>
      <x:c r="M1824" s="16" t="n">
        <x:v>24</x:v>
      </x:c>
      <x:c r="N1824" s="16" t="n">
        <x:v>11.04</x:v>
      </x:c>
      <x:c r="O1824" s="16" t="n">
        <x:f>K1824*M1824</x:f>
        <x:v>456</x:v>
      </x:c>
      <x:c r="P1824" s="16" t="n">
        <x:f>K1824*N1824</x:f>
        <x:v>209.76</x:v>
      </x:c>
      <x:c r="Q1824" s="16" t="n">
        <x:f>O1824-P1824</x:f>
        <x:v>246.24</x:v>
      </x:c>
      <x:c r="R1824" s="2" t="n">
        <x:v>132</x:v>
      </x:c>
      <x:c r="S1824" s="2" t="n">
        <x:v>0</x:v>
      </x:c>
      <x:c r="T1824" s="2" t="n">
        <x:f>R1824+S1824+J1824-I1824</x:f>
        <x:v>113</x:v>
      </x:c>
      <x:c r="U1824" s="2" t="n">
        <x:v>0</x:v>
      </x:c>
      <x:c r="V1824" s="2" t="n">
        <x:v>3</x:v>
      </x:c>
      <x:c r="W1824" s="2" t="n">
        <x:v>19</x:v>
      </x:c>
      <x:c r="X1824" s="14" t="b">
        <x:v>0</x:v>
      </x:c>
      <x:c r="Y1824" s="14" t="b">
        <x:v>0</x:v>
      </x:c>
      <x:c r="Z1824" s="2" t="n">
        <x:f>ABS(T1824-AA1824)</x:f>
        <x:v>0</x:v>
      </x:c>
      <x:c r="AA1824" s="2" t="n">
        <x:v>113</x:v>
      </x:c>
      <x:c r="AB1824" s="2" t="n">
        <x:f>ABS(K1824-W1824)</x:f>
        <x:v>0</x:v>
      </x:c>
      <x:c r="AC1824" s="2" t="n">
        <x:f>COUNTIF($A$2:$A$1921,A1824)-1</x:f>
        <x:v>0</x:v>
      </x:c>
      <x:c r="AD1824" s="2" t="n">
        <x:f>IF(AND(D1824=D1823,H1824=H1823,C1824=C1823+1),ABS(R1824-T1823),0)</x:f>
        <x:v>0</x:v>
      </x:c>
    </x:row>
    <x:row r="1825" ht="23" customHeight="1">
      <x:c r="A1825" s="2" t="str">
        <x:v>DEMO-405-3-4</x:v>
      </x:c>
      <x:c r="B1825" s="15" t="d">
        <x:v>2026-05-25T00:00:00.000Z</x:v>
      </x:c>
      <x:c r="C1825" s="2" t="n">
        <x:v>4</x:v>
      </x:c>
      <x:c r="D1825" s="2" t="str">
        <x:v>DEMO-405</x:v>
      </x:c>
      <x:c r="E1825" s="2" t="str">
        <x:v>Pebble Keyring</x:v>
      </x:c>
      <x:c r="F1825" s="2" t="str">
        <x:v>Accessories</x:v>
      </x:c>
      <x:c r="G1825" s="2" t="str">
        <x:v>Online</x:v>
      </x:c>
      <x:c r="H1825" s="2" t="str">
        <x:v>Online</x:v>
      </x:c>
      <x:c r="I1825" s="2" t="n">
        <x:v>21</x:v>
      </x:c>
      <x:c r="J1825" s="2" t="n">
        <x:v>0</x:v>
      </x:c>
      <x:c r="K1825" s="2" t="n">
        <x:f>I1825-J1825</x:f>
        <x:v>21</x:v>
      </x:c>
      <x:c r="L1825" s="16" t="n">
        <x:v>24</x:v>
      </x:c>
      <x:c r="M1825" s="16" t="n">
        <x:v>24</x:v>
      </x:c>
      <x:c r="N1825" s="16" t="n">
        <x:v>11.04</x:v>
      </x:c>
      <x:c r="O1825" s="16" t="n">
        <x:f>K1825*M1825</x:f>
        <x:v>504</x:v>
      </x:c>
      <x:c r="P1825" s="16" t="n">
        <x:f>K1825*N1825</x:f>
        <x:v>231.83999999999997</x:v>
      </x:c>
      <x:c r="Q1825" s="16" t="n">
        <x:f>O1825-P1825</x:f>
        <x:v>272.16</x:v>
      </x:c>
      <x:c r="R1825" s="2" t="n">
        <x:v>113</x:v>
      </x:c>
      <x:c r="S1825" s="2" t="n">
        <x:v>0</x:v>
      </x:c>
      <x:c r="T1825" s="2" t="n">
        <x:f>R1825+S1825+J1825-I1825</x:f>
        <x:v>92</x:v>
      </x:c>
      <x:c r="U1825" s="2" t="n">
        <x:v>0</x:v>
      </x:c>
      <x:c r="V1825" s="2" t="n">
        <x:v>3</x:v>
      </x:c>
      <x:c r="W1825" s="2" t="n">
        <x:v>19</x:v>
      </x:c>
      <x:c r="X1825" s="14" t="b">
        <x:v>0</x:v>
      </x:c>
      <x:c r="Y1825" s="14" t="b">
        <x:v>0</x:v>
      </x:c>
      <x:c r="Z1825" s="2" t="n">
        <x:f>ABS(T1825-AA1825)</x:f>
        <x:v>0</x:v>
      </x:c>
      <x:c r="AA1825" s="2" t="n">
        <x:v>92</x:v>
      </x:c>
      <x:c r="AB1825" s="2" t="n">
        <x:f>ABS(K1825-W1825)</x:f>
        <x:v>2</x:v>
      </x:c>
      <x:c r="AC1825" s="2" t="n">
        <x:f>COUNTIF($A$2:$A$1921,A1825)-1</x:f>
        <x:v>0</x:v>
      </x:c>
      <x:c r="AD1825" s="2" t="n">
        <x:f>IF(AND(D1825=D1824,H1825=H1824,C1825=C1824+1),ABS(R1825-T1824),0)</x:f>
        <x:v>0</x:v>
      </x:c>
    </x:row>
    <x:row r="1826" ht="23" customHeight="1">
      <x:c r="A1826" s="2" t="str">
        <x:v>DEMO-405-3-5</x:v>
      </x:c>
      <x:c r="B1826" s="15" t="d">
        <x:v>2026-06-01T00:00:00.000Z</x:v>
      </x:c>
      <x:c r="C1826" s="2" t="n">
        <x:v>5</x:v>
      </x:c>
      <x:c r="D1826" s="2" t="str">
        <x:v>DEMO-405</x:v>
      </x:c>
      <x:c r="E1826" s="2" t="str">
        <x:v>Pebble Keyring</x:v>
      </x:c>
      <x:c r="F1826" s="2" t="str">
        <x:v>Accessories</x:v>
      </x:c>
      <x:c r="G1826" s="2" t="str">
        <x:v>Online</x:v>
      </x:c>
      <x:c r="H1826" s="2" t="str">
        <x:v>Online</x:v>
      </x:c>
      <x:c r="I1826" s="2" t="n">
        <x:v>16</x:v>
      </x:c>
      <x:c r="J1826" s="2" t="n">
        <x:v>1</x:v>
      </x:c>
      <x:c r="K1826" s="2" t="n">
        <x:f>I1826-J1826</x:f>
        <x:v>15</x:v>
      </x:c>
      <x:c r="L1826" s="16" t="n">
        <x:v>24</x:v>
      </x:c>
      <x:c r="M1826" s="16" t="n">
        <x:v>24</x:v>
      </x:c>
      <x:c r="N1826" s="16" t="n">
        <x:v>11.04</x:v>
      </x:c>
      <x:c r="O1826" s="16" t="n">
        <x:f>K1826*M1826</x:f>
        <x:v>360</x:v>
      </x:c>
      <x:c r="P1826" s="16" t="n">
        <x:f>K1826*N1826</x:f>
        <x:v>165.6</x:v>
      </x:c>
      <x:c r="Q1826" s="16" t="n">
        <x:f>O1826-P1826</x:f>
        <x:v>194.4</x:v>
      </x:c>
      <x:c r="R1826" s="2" t="n">
        <x:v>92</x:v>
      </x:c>
      <x:c r="S1826" s="2" t="n">
        <x:v>79</x:v>
      </x:c>
      <x:c r="T1826" s="2" t="n">
        <x:f>R1826+S1826+J1826-I1826</x:f>
        <x:v>156</x:v>
      </x:c>
      <x:c r="U1826" s="2" t="n">
        <x:v>0</x:v>
      </x:c>
      <x:c r="V1826" s="2" t="n">
        <x:v>3</x:v>
      </x:c>
      <x:c r="W1826" s="2" t="n">
        <x:v>19</x:v>
      </x:c>
      <x:c r="X1826" s="14" t="b">
        <x:v>0</x:v>
      </x:c>
      <x:c r="Y1826" s="14" t="b">
        <x:v>0</x:v>
      </x:c>
      <x:c r="Z1826" s="2" t="n">
        <x:f>ABS(T1826-AA1826)</x:f>
        <x:v>0</x:v>
      </x:c>
      <x:c r="AA1826" s="2" t="n">
        <x:v>156</x:v>
      </x:c>
      <x:c r="AB1826" s="2" t="n">
        <x:f>ABS(K1826-W1826)</x:f>
        <x:v>4</x:v>
      </x:c>
      <x:c r="AC1826" s="2" t="n">
        <x:f>COUNTIF($A$2:$A$1921,A1826)-1</x:f>
        <x:v>0</x:v>
      </x:c>
      <x:c r="AD1826" s="2" t="n">
        <x:f>IF(AND(D1826=D1825,H1826=H1825,C1826=C1825+1),ABS(R1826-T1825),0)</x:f>
        <x:v>0</x:v>
      </x:c>
    </x:row>
    <x:row r="1827" ht="23" customHeight="1">
      <x:c r="A1827" s="2" t="str">
        <x:v>DEMO-405-3-6</x:v>
      </x:c>
      <x:c r="B1827" s="15" t="d">
        <x:v>2026-06-08T00:00:00.000Z</x:v>
      </x:c>
      <x:c r="C1827" s="2" t="n">
        <x:v>6</x:v>
      </x:c>
      <x:c r="D1827" s="2" t="str">
        <x:v>DEMO-405</x:v>
      </x:c>
      <x:c r="E1827" s="2" t="str">
        <x:v>Pebble Keyring</x:v>
      </x:c>
      <x:c r="F1827" s="2" t="str">
        <x:v>Accessories</x:v>
      </x:c>
      <x:c r="G1827" s="2" t="str">
        <x:v>Online</x:v>
      </x:c>
      <x:c r="H1827" s="2" t="str">
        <x:v>Online</x:v>
      </x:c>
      <x:c r="I1827" s="2" t="n">
        <x:v>19</x:v>
      </x:c>
      <x:c r="J1827" s="2" t="n">
        <x:v>0</x:v>
      </x:c>
      <x:c r="K1827" s="2" t="n">
        <x:f>I1827-J1827</x:f>
        <x:v>19</x:v>
      </x:c>
      <x:c r="L1827" s="16" t="n">
        <x:v>24</x:v>
      </x:c>
      <x:c r="M1827" s="16" t="n">
        <x:v>24</x:v>
      </x:c>
      <x:c r="N1827" s="16" t="n">
        <x:v>11.04</x:v>
      </x:c>
      <x:c r="O1827" s="16" t="n">
        <x:f>K1827*M1827</x:f>
        <x:v>456</x:v>
      </x:c>
      <x:c r="P1827" s="16" t="n">
        <x:f>K1827*N1827</x:f>
        <x:v>209.76</x:v>
      </x:c>
      <x:c r="Q1827" s="16" t="n">
        <x:f>O1827-P1827</x:f>
        <x:v>246.24</x:v>
      </x:c>
      <x:c r="R1827" s="2" t="n">
        <x:v>156</x:v>
      </x:c>
      <x:c r="S1827" s="2" t="n">
        <x:v>0</x:v>
      </x:c>
      <x:c r="T1827" s="2" t="n">
        <x:f>R1827+S1827+J1827-I1827</x:f>
        <x:v>137</x:v>
      </x:c>
      <x:c r="U1827" s="2" t="n">
        <x:v>0</x:v>
      </x:c>
      <x:c r="V1827" s="2" t="n">
        <x:v>3</x:v>
      </x:c>
      <x:c r="W1827" s="2" t="n">
        <x:v>18</x:v>
      </x:c>
      <x:c r="X1827" s="14" t="b">
        <x:v>0</x:v>
      </x:c>
      <x:c r="Y1827" s="14" t="b">
        <x:v>0</x:v>
      </x:c>
      <x:c r="Z1827" s="2" t="n">
        <x:f>ABS(T1827-AA1827)</x:f>
        <x:v>0</x:v>
      </x:c>
      <x:c r="AA1827" s="2" t="n">
        <x:v>137</x:v>
      </x:c>
      <x:c r="AB1827" s="2" t="n">
        <x:f>ABS(K1827-W1827)</x:f>
        <x:v>1</x:v>
      </x:c>
      <x:c r="AC1827" s="2" t="n">
        <x:f>COUNTIF($A$2:$A$1921,A1827)-1</x:f>
        <x:v>0</x:v>
      </x:c>
      <x:c r="AD1827" s="2" t="n">
        <x:f>IF(AND(D1827=D1826,H1827=H1826,C1827=C1826+1),ABS(R1827-T1826),0)</x:f>
        <x:v>0</x:v>
      </x:c>
    </x:row>
    <x:row r="1828" ht="23" customHeight="1">
      <x:c r="A1828" s="2" t="str">
        <x:v>DEMO-405-3-7</x:v>
      </x:c>
      <x:c r="B1828" s="15" t="d">
        <x:v>2026-06-15T00:00:00.000Z</x:v>
      </x:c>
      <x:c r="C1828" s="2" t="n">
        <x:v>7</x:v>
      </x:c>
      <x:c r="D1828" s="2" t="str">
        <x:v>DEMO-405</x:v>
      </x:c>
      <x:c r="E1828" s="2" t="str">
        <x:v>Pebble Keyring</x:v>
      </x:c>
      <x:c r="F1828" s="2" t="str">
        <x:v>Accessories</x:v>
      </x:c>
      <x:c r="G1828" s="2" t="str">
        <x:v>Online</x:v>
      </x:c>
      <x:c r="H1828" s="2" t="str">
        <x:v>Online</x:v>
      </x:c>
      <x:c r="I1828" s="2" t="n">
        <x:v>22</x:v>
      </x:c>
      <x:c r="J1828" s="2" t="n">
        <x:v>0</x:v>
      </x:c>
      <x:c r="K1828" s="2" t="n">
        <x:f>I1828-J1828</x:f>
        <x:v>22</x:v>
      </x:c>
      <x:c r="L1828" s="16" t="n">
        <x:v>24</x:v>
      </x:c>
      <x:c r="M1828" s="16" t="n">
        <x:v>24</x:v>
      </x:c>
      <x:c r="N1828" s="16" t="n">
        <x:v>11.04</x:v>
      </x:c>
      <x:c r="O1828" s="16" t="n">
        <x:f>K1828*M1828</x:f>
        <x:v>528</x:v>
      </x:c>
      <x:c r="P1828" s="16" t="n">
        <x:f>K1828*N1828</x:f>
        <x:v>242.88</x:v>
      </x:c>
      <x:c r="Q1828" s="16" t="n">
        <x:f>O1828-P1828</x:f>
        <x:v>285.12</x:v>
      </x:c>
      <x:c r="R1828" s="2" t="n">
        <x:v>137</x:v>
      </x:c>
      <x:c r="S1828" s="2" t="n">
        <x:v>0</x:v>
      </x:c>
      <x:c r="T1828" s="2" t="n">
        <x:f>R1828+S1828+J1828-I1828</x:f>
        <x:v>115</x:v>
      </x:c>
      <x:c r="U1828" s="2" t="n">
        <x:v>0</x:v>
      </x:c>
      <x:c r="V1828" s="2" t="n">
        <x:v>3</x:v>
      </x:c>
      <x:c r="W1828" s="2" t="n">
        <x:v>19</x:v>
      </x:c>
      <x:c r="X1828" s="14" t="b">
        <x:v>0</x:v>
      </x:c>
      <x:c r="Y1828" s="14" t="b">
        <x:v>0</x:v>
      </x:c>
      <x:c r="Z1828" s="2" t="n">
        <x:f>ABS(T1828-AA1828)</x:f>
        <x:v>0</x:v>
      </x:c>
      <x:c r="AA1828" s="2" t="n">
        <x:v>115</x:v>
      </x:c>
      <x:c r="AB1828" s="2" t="n">
        <x:f>ABS(K1828-W1828)</x:f>
        <x:v>3</x:v>
      </x:c>
      <x:c r="AC1828" s="2" t="n">
        <x:f>COUNTIF($A$2:$A$1921,A1828)-1</x:f>
        <x:v>0</x:v>
      </x:c>
      <x:c r="AD1828" s="2" t="n">
        <x:f>IF(AND(D1828=D1827,H1828=H1827,C1828=C1827+1),ABS(R1828-T1827),0)</x:f>
        <x:v>0</x:v>
      </x:c>
    </x:row>
    <x:row r="1829" ht="23" customHeight="1">
      <x:c r="A1829" s="2" t="str">
        <x:v>DEMO-405-3-8</x:v>
      </x:c>
      <x:c r="B1829" s="15" t="d">
        <x:v>2026-06-22T00:00:00.000Z</x:v>
      </x:c>
      <x:c r="C1829" s="2" t="n">
        <x:v>8</x:v>
      </x:c>
      <x:c r="D1829" s="2" t="str">
        <x:v>DEMO-405</x:v>
      </x:c>
      <x:c r="E1829" s="2" t="str">
        <x:v>Pebble Keyring</x:v>
      </x:c>
      <x:c r="F1829" s="2" t="str">
        <x:v>Accessories</x:v>
      </x:c>
      <x:c r="G1829" s="2" t="str">
        <x:v>Online</x:v>
      </x:c>
      <x:c r="H1829" s="2" t="str">
        <x:v>Online</x:v>
      </x:c>
      <x:c r="I1829" s="2" t="n">
        <x:v>16</x:v>
      </x:c>
      <x:c r="J1829" s="2" t="n">
        <x:v>0</x:v>
      </x:c>
      <x:c r="K1829" s="2" t="n">
        <x:f>I1829-J1829</x:f>
        <x:v>16</x:v>
      </x:c>
      <x:c r="L1829" s="16" t="n">
        <x:v>24</x:v>
      </x:c>
      <x:c r="M1829" s="16" t="n">
        <x:v>24</x:v>
      </x:c>
      <x:c r="N1829" s="16" t="n">
        <x:v>11.04</x:v>
      </x:c>
      <x:c r="O1829" s="16" t="n">
        <x:f>K1829*M1829</x:f>
        <x:v>384</x:v>
      </x:c>
      <x:c r="P1829" s="16" t="n">
        <x:f>K1829*N1829</x:f>
        <x:v>176.64</x:v>
      </x:c>
      <x:c r="Q1829" s="16" t="n">
        <x:f>O1829-P1829</x:f>
        <x:v>207.36</x:v>
      </x:c>
      <x:c r="R1829" s="2" t="n">
        <x:v>115</x:v>
      </x:c>
      <x:c r="S1829" s="2" t="n">
        <x:v>0</x:v>
      </x:c>
      <x:c r="T1829" s="2" t="n">
        <x:f>R1829+S1829+J1829-I1829</x:f>
        <x:v>99</x:v>
      </x:c>
      <x:c r="U1829" s="2" t="n">
        <x:v>0</x:v>
      </x:c>
      <x:c r="V1829" s="2" t="n">
        <x:v>3</x:v>
      </x:c>
      <x:c r="W1829" s="2" t="n">
        <x:v>19</x:v>
      </x:c>
      <x:c r="X1829" s="14" t="b">
        <x:v>0</x:v>
      </x:c>
      <x:c r="Y1829" s="14" t="b">
        <x:v>0</x:v>
      </x:c>
      <x:c r="Z1829" s="2" t="n">
        <x:f>ABS(T1829-AA1829)</x:f>
        <x:v>0</x:v>
      </x:c>
      <x:c r="AA1829" s="2" t="n">
        <x:v>99</x:v>
      </x:c>
      <x:c r="AB1829" s="2" t="n">
        <x:f>ABS(K1829-W1829)</x:f>
        <x:v>3</x:v>
      </x:c>
      <x:c r="AC1829" s="2" t="n">
        <x:f>COUNTIF($A$2:$A$1921,A1829)-1</x:f>
        <x:v>0</x:v>
      </x:c>
      <x:c r="AD1829" s="2" t="n">
        <x:f>IF(AND(D1829=D1828,H1829=H1828,C1829=C1828+1),ABS(R1829-T1828),0)</x:f>
        <x:v>0</x:v>
      </x:c>
    </x:row>
    <x:row r="1830" ht="23" customHeight="1">
      <x:c r="A1830" s="2" t="str">
        <x:v>DEMO-405-3-9</x:v>
      </x:c>
      <x:c r="B1830" s="15" t="d">
        <x:v>2026-06-29T00:00:00.000Z</x:v>
      </x:c>
      <x:c r="C1830" s="2" t="n">
        <x:v>9</x:v>
      </x:c>
      <x:c r="D1830" s="2" t="str">
        <x:v>DEMO-405</x:v>
      </x:c>
      <x:c r="E1830" s="2" t="str">
        <x:v>Pebble Keyring</x:v>
      </x:c>
      <x:c r="F1830" s="2" t="str">
        <x:v>Accessories</x:v>
      </x:c>
      <x:c r="G1830" s="2" t="str">
        <x:v>Online</x:v>
      </x:c>
      <x:c r="H1830" s="2" t="str">
        <x:v>Online</x:v>
      </x:c>
      <x:c r="I1830" s="2" t="n">
        <x:v>16</x:v>
      </x:c>
      <x:c r="J1830" s="2" t="n">
        <x:v>0</x:v>
      </x:c>
      <x:c r="K1830" s="2" t="n">
        <x:f>I1830-J1830</x:f>
        <x:v>16</x:v>
      </x:c>
      <x:c r="L1830" s="16" t="n">
        <x:v>24</x:v>
      </x:c>
      <x:c r="M1830" s="16" t="n">
        <x:v>24</x:v>
      </x:c>
      <x:c r="N1830" s="16" t="n">
        <x:v>11.04</x:v>
      </x:c>
      <x:c r="O1830" s="16" t="n">
        <x:f>K1830*M1830</x:f>
        <x:v>384</x:v>
      </x:c>
      <x:c r="P1830" s="16" t="n">
        <x:f>K1830*N1830</x:f>
        <x:v>176.64</x:v>
      </x:c>
      <x:c r="Q1830" s="16" t="n">
        <x:f>O1830-P1830</x:f>
        <x:v>207.36</x:v>
      </x:c>
      <x:c r="R1830" s="2" t="n">
        <x:v>99</x:v>
      </x:c>
      <x:c r="S1830" s="2" t="n">
        <x:v>79</x:v>
      </x:c>
      <x:c r="T1830" s="2" t="n">
        <x:f>R1830+S1830+J1830-I1830</x:f>
        <x:v>162</x:v>
      </x:c>
      <x:c r="U1830" s="2" t="n">
        <x:v>0</x:v>
      </x:c>
      <x:c r="V1830" s="2" t="n">
        <x:v>3</x:v>
      </x:c>
      <x:c r="W1830" s="2" t="n">
        <x:v>18</x:v>
      </x:c>
      <x:c r="X1830" s="14" t="b">
        <x:v>0</x:v>
      </x:c>
      <x:c r="Y1830" s="14" t="b">
        <x:v>0</x:v>
      </x:c>
      <x:c r="Z1830" s="2" t="n">
        <x:f>ABS(T1830-AA1830)</x:f>
        <x:v>0</x:v>
      </x:c>
      <x:c r="AA1830" s="2" t="n">
        <x:v>162</x:v>
      </x:c>
      <x:c r="AB1830" s="2" t="n">
        <x:f>ABS(K1830-W1830)</x:f>
        <x:v>2</x:v>
      </x:c>
      <x:c r="AC1830" s="2" t="n">
        <x:f>COUNTIF($A$2:$A$1921,A1830)-1</x:f>
        <x:v>0</x:v>
      </x:c>
      <x:c r="AD1830" s="2" t="n">
        <x:f>IF(AND(D1830=D1829,H1830=H1829,C1830=C1829+1),ABS(R1830-T1829),0)</x:f>
        <x:v>0</x:v>
      </x:c>
    </x:row>
    <x:row r="1831" ht="23" customHeight="1">
      <x:c r="A1831" s="2" t="str">
        <x:v>DEMO-405-3-10</x:v>
      </x:c>
      <x:c r="B1831" s="15" t="d">
        <x:v>2026-07-06T00:00:00.000Z</x:v>
      </x:c>
      <x:c r="C1831" s="2" t="n">
        <x:v>10</x:v>
      </x:c>
      <x:c r="D1831" s="2" t="str">
        <x:v>DEMO-405</x:v>
      </x:c>
      <x:c r="E1831" s="2" t="str">
        <x:v>Pebble Keyring</x:v>
      </x:c>
      <x:c r="F1831" s="2" t="str">
        <x:v>Accessories</x:v>
      </x:c>
      <x:c r="G1831" s="2" t="str">
        <x:v>Online</x:v>
      </x:c>
      <x:c r="H1831" s="2" t="str">
        <x:v>Online</x:v>
      </x:c>
      <x:c r="I1831" s="2" t="n">
        <x:v>16</x:v>
      </x:c>
      <x:c r="J1831" s="2" t="n">
        <x:v>0</x:v>
      </x:c>
      <x:c r="K1831" s="2" t="n">
        <x:f>I1831-J1831</x:f>
        <x:v>16</x:v>
      </x:c>
      <x:c r="L1831" s="16" t="n">
        <x:v>24</x:v>
      </x:c>
      <x:c r="M1831" s="16" t="n">
        <x:v>24</x:v>
      </x:c>
      <x:c r="N1831" s="16" t="n">
        <x:v>11.04</x:v>
      </x:c>
      <x:c r="O1831" s="16" t="n">
        <x:f>K1831*M1831</x:f>
        <x:v>384</x:v>
      </x:c>
      <x:c r="P1831" s="16" t="n">
        <x:f>K1831*N1831</x:f>
        <x:v>176.64</x:v>
      </x:c>
      <x:c r="Q1831" s="16" t="n">
        <x:f>O1831-P1831</x:f>
        <x:v>207.36</x:v>
      </x:c>
      <x:c r="R1831" s="2" t="n">
        <x:v>162</x:v>
      </x:c>
      <x:c r="S1831" s="2" t="n">
        <x:v>0</x:v>
      </x:c>
      <x:c r="T1831" s="2" t="n">
        <x:f>R1831+S1831+J1831-I1831</x:f>
        <x:v>146</x:v>
      </x:c>
      <x:c r="U1831" s="2" t="n">
        <x:v>0</x:v>
      </x:c>
      <x:c r="V1831" s="2" t="n">
        <x:v>3</x:v>
      </x:c>
      <x:c r="W1831" s="2" t="n">
        <x:v>18</x:v>
      </x:c>
      <x:c r="X1831" s="14" t="b">
        <x:v>0</x:v>
      </x:c>
      <x:c r="Y1831" s="14" t="b">
        <x:v>0</x:v>
      </x:c>
      <x:c r="Z1831" s="2" t="n">
        <x:f>ABS(T1831-AA1831)</x:f>
        <x:v>0</x:v>
      </x:c>
      <x:c r="AA1831" s="2" t="n">
        <x:v>146</x:v>
      </x:c>
      <x:c r="AB1831" s="2" t="n">
        <x:f>ABS(K1831-W1831)</x:f>
        <x:v>2</x:v>
      </x:c>
      <x:c r="AC1831" s="2" t="n">
        <x:f>COUNTIF($A$2:$A$1921,A1831)-1</x:f>
        <x:v>0</x:v>
      </x:c>
      <x:c r="AD1831" s="2" t="n">
        <x:f>IF(AND(D1831=D1830,H1831=H1830,C1831=C1830+1),ABS(R1831-T1830),0)</x:f>
        <x:v>0</x:v>
      </x:c>
    </x:row>
    <x:row r="1832" ht="23" customHeight="1">
      <x:c r="A1832" s="2" t="str">
        <x:v>DEMO-405-3-11</x:v>
      </x:c>
      <x:c r="B1832" s="15" t="d">
        <x:v>2026-07-13T00:00:00.000Z</x:v>
      </x:c>
      <x:c r="C1832" s="2" t="n">
        <x:v>11</x:v>
      </x:c>
      <x:c r="D1832" s="2" t="str">
        <x:v>DEMO-405</x:v>
      </x:c>
      <x:c r="E1832" s="2" t="str">
        <x:v>Pebble Keyring</x:v>
      </x:c>
      <x:c r="F1832" s="2" t="str">
        <x:v>Accessories</x:v>
      </x:c>
      <x:c r="G1832" s="2" t="str">
        <x:v>Online</x:v>
      </x:c>
      <x:c r="H1832" s="2" t="str">
        <x:v>Online</x:v>
      </x:c>
      <x:c r="I1832" s="2" t="n">
        <x:v>20</x:v>
      </x:c>
      <x:c r="J1832" s="2" t="n">
        <x:v>1</x:v>
      </x:c>
      <x:c r="K1832" s="2" t="n">
        <x:f>I1832-J1832</x:f>
        <x:v>19</x:v>
      </x:c>
      <x:c r="L1832" s="16" t="n">
        <x:v>24</x:v>
      </x:c>
      <x:c r="M1832" s="16" t="n">
        <x:v>24</x:v>
      </x:c>
      <x:c r="N1832" s="16" t="n">
        <x:v>11.04</x:v>
      </x:c>
      <x:c r="O1832" s="16" t="n">
        <x:f>K1832*M1832</x:f>
        <x:v>456</x:v>
      </x:c>
      <x:c r="P1832" s="16" t="n">
        <x:f>K1832*N1832</x:f>
        <x:v>209.76</x:v>
      </x:c>
      <x:c r="Q1832" s="16" t="n">
        <x:f>O1832-P1832</x:f>
        <x:v>246.24</x:v>
      </x:c>
      <x:c r="R1832" s="2" t="n">
        <x:v>146</x:v>
      </x:c>
      <x:c r="S1832" s="2" t="n">
        <x:v>0</x:v>
      </x:c>
      <x:c r="T1832" s="2" t="n">
        <x:f>R1832+S1832+J1832-I1832</x:f>
        <x:v>127</x:v>
      </x:c>
      <x:c r="U1832" s="2" t="n">
        <x:v>0</x:v>
      </x:c>
      <x:c r="V1832" s="2" t="n">
        <x:v>3</x:v>
      </x:c>
      <x:c r="W1832" s="2" t="n">
        <x:v>18</x:v>
      </x:c>
      <x:c r="X1832" s="14" t="b">
        <x:v>0</x:v>
      </x:c>
      <x:c r="Y1832" s="14" t="b">
        <x:v>0</x:v>
      </x:c>
      <x:c r="Z1832" s="2" t="n">
        <x:f>ABS(T1832-AA1832)</x:f>
        <x:v>0</x:v>
      </x:c>
      <x:c r="AA1832" s="2" t="n">
        <x:v>127</x:v>
      </x:c>
      <x:c r="AB1832" s="2" t="n">
        <x:f>ABS(K1832-W1832)</x:f>
        <x:v>1</x:v>
      </x:c>
      <x:c r="AC1832" s="2" t="n">
        <x:f>COUNTIF($A$2:$A$1921,A1832)-1</x:f>
        <x:v>0</x:v>
      </x:c>
      <x:c r="AD1832" s="2" t="n">
        <x:f>IF(AND(D1832=D1831,H1832=H1831,C1832=C1831+1),ABS(R1832-T1831),0)</x:f>
        <x:v>0</x:v>
      </x:c>
    </x:row>
    <x:row r="1833" ht="23" customHeight="1">
      <x:c r="A1833" s="2" t="str">
        <x:v>DEMO-405-3-12</x:v>
      </x:c>
      <x:c r="B1833" s="15" t="d">
        <x:v>2026-07-20T00:00:00.000Z</x:v>
      </x:c>
      <x:c r="C1833" s="2" t="n">
        <x:v>12</x:v>
      </x:c>
      <x:c r="D1833" s="2" t="str">
        <x:v>DEMO-405</x:v>
      </x:c>
      <x:c r="E1833" s="2" t="str">
        <x:v>Pebble Keyring</x:v>
      </x:c>
      <x:c r="F1833" s="2" t="str">
        <x:v>Accessories</x:v>
      </x:c>
      <x:c r="G1833" s="2" t="str">
        <x:v>Online</x:v>
      </x:c>
      <x:c r="H1833" s="2" t="str">
        <x:v>Online</x:v>
      </x:c>
      <x:c r="I1833" s="2" t="n">
        <x:v>19</x:v>
      </x:c>
      <x:c r="J1833" s="2" t="n">
        <x:v>1</x:v>
      </x:c>
      <x:c r="K1833" s="2" t="n">
        <x:f>I1833-J1833</x:f>
        <x:v>18</x:v>
      </x:c>
      <x:c r="L1833" s="16" t="n">
        <x:v>24</x:v>
      </x:c>
      <x:c r="M1833" s="16" t="n">
        <x:v>24</x:v>
      </x:c>
      <x:c r="N1833" s="16" t="n">
        <x:v>11.04</x:v>
      </x:c>
      <x:c r="O1833" s="16" t="n">
        <x:f>K1833*M1833</x:f>
        <x:v>432</x:v>
      </x:c>
      <x:c r="P1833" s="16" t="n">
        <x:f>K1833*N1833</x:f>
        <x:v>198.71999999999997</x:v>
      </x:c>
      <x:c r="Q1833" s="16" t="n">
        <x:f>O1833-P1833</x:f>
        <x:v>233.28000000000003</x:v>
      </x:c>
      <x:c r="R1833" s="2" t="n">
        <x:v>127</x:v>
      </x:c>
      <x:c r="S1833" s="2" t="n">
        <x:v>0</x:v>
      </x:c>
      <x:c r="T1833" s="2" t="n">
        <x:f>R1833+S1833+J1833-I1833</x:f>
        <x:v>109</x:v>
      </x:c>
      <x:c r="U1833" s="2" t="n">
        <x:v>0</x:v>
      </x:c>
      <x:c r="V1833" s="2" t="n">
        <x:v>3</x:v>
      </x:c>
      <x:c r="W1833" s="2" t="n">
        <x:v>17</x:v>
      </x:c>
      <x:c r="X1833" s="14" t="b">
        <x:v>0</x:v>
      </x:c>
      <x:c r="Y1833" s="14" t="b">
        <x:v>0</x:v>
      </x:c>
      <x:c r="Z1833" s="2" t="n">
        <x:f>ABS(T1833-AA1833)</x:f>
        <x:v>0</x:v>
      </x:c>
      <x:c r="AA1833" s="2" t="n">
        <x:v>109</x:v>
      </x:c>
      <x:c r="AB1833" s="2" t="n">
        <x:f>ABS(K1833-W1833)</x:f>
        <x:v>1</x:v>
      </x:c>
      <x:c r="AC1833" s="2" t="n">
        <x:f>COUNTIF($A$2:$A$1921,A1833)-1</x:f>
        <x:v>0</x:v>
      </x:c>
      <x:c r="AD1833" s="2" t="n">
        <x:f>IF(AND(D1833=D1832,H1833=H1832,C1833=C1832+1),ABS(R1833-T1832),0)</x:f>
        <x:v>0</x:v>
      </x:c>
    </x:row>
    <x:row r="1834" ht="23" customHeight="1">
      <x:c r="A1834" s="2" t="str">
        <x:v>DEMO-405-3-13</x:v>
      </x:c>
      <x:c r="B1834" s="15" t="d">
        <x:v>2026-07-27T00:00:00.000Z</x:v>
      </x:c>
      <x:c r="C1834" s="2" t="n">
        <x:v>13</x:v>
      </x:c>
      <x:c r="D1834" s="2" t="str">
        <x:v>DEMO-405</x:v>
      </x:c>
      <x:c r="E1834" s="2" t="str">
        <x:v>Pebble Keyring</x:v>
      </x:c>
      <x:c r="F1834" s="2" t="str">
        <x:v>Accessories</x:v>
      </x:c>
      <x:c r="G1834" s="2" t="str">
        <x:v>Online</x:v>
      </x:c>
      <x:c r="H1834" s="2" t="str">
        <x:v>Online</x:v>
      </x:c>
      <x:c r="I1834" s="2" t="n">
        <x:v>20</x:v>
      </x:c>
      <x:c r="J1834" s="2" t="n">
        <x:v>0</x:v>
      </x:c>
      <x:c r="K1834" s="2" t="n">
        <x:f>I1834-J1834</x:f>
        <x:v>20</x:v>
      </x:c>
      <x:c r="L1834" s="16" t="n">
        <x:v>24</x:v>
      </x:c>
      <x:c r="M1834" s="16" t="n">
        <x:v>24</x:v>
      </x:c>
      <x:c r="N1834" s="16" t="n">
        <x:v>11.04</x:v>
      </x:c>
      <x:c r="O1834" s="16" t="n">
        <x:f>K1834*M1834</x:f>
        <x:v>480</x:v>
      </x:c>
      <x:c r="P1834" s="16" t="n">
        <x:f>K1834*N1834</x:f>
        <x:v>220.79999999999998</x:v>
      </x:c>
      <x:c r="Q1834" s="16" t="n">
        <x:f>O1834-P1834</x:f>
        <x:v>259.20000000000005</x:v>
      </x:c>
      <x:c r="R1834" s="2" t="n">
        <x:v>109</x:v>
      </x:c>
      <x:c r="S1834" s="2" t="n">
        <x:v>79</x:v>
      </x:c>
      <x:c r="T1834" s="2" t="n">
        <x:f>R1834+S1834+J1834-I1834</x:f>
        <x:v>168</x:v>
      </x:c>
      <x:c r="U1834" s="2" t="n">
        <x:v>0</x:v>
      </x:c>
      <x:c r="V1834" s="2" t="n">
        <x:v>3</x:v>
      </x:c>
      <x:c r="W1834" s="2" t="n">
        <x:v>17</x:v>
      </x:c>
      <x:c r="X1834" s="14" t="b">
        <x:v>0</x:v>
      </x:c>
      <x:c r="Y1834" s="14" t="b">
        <x:v>0</x:v>
      </x:c>
      <x:c r="Z1834" s="2" t="n">
        <x:f>ABS(T1834-AA1834)</x:f>
        <x:v>0</x:v>
      </x:c>
      <x:c r="AA1834" s="2" t="n">
        <x:v>168</x:v>
      </x:c>
      <x:c r="AB1834" s="2" t="n">
        <x:f>ABS(K1834-W1834)</x:f>
        <x:v>3</x:v>
      </x:c>
      <x:c r="AC1834" s="2" t="n">
        <x:f>COUNTIF($A$2:$A$1921,A1834)-1</x:f>
        <x:v>0</x:v>
      </x:c>
      <x:c r="AD1834" s="2" t="n">
        <x:f>IF(AND(D1834=D1833,H1834=H1833,C1834=C1833+1),ABS(R1834-T1833),0)</x:f>
        <x:v>0</x:v>
      </x:c>
    </x:row>
    <x:row r="1835" ht="23" customHeight="1">
      <x:c r="A1835" s="2" t="str">
        <x:v>DEMO-405-3-14</x:v>
      </x:c>
      <x:c r="B1835" s="15" t="d">
        <x:v>2026-08-03T00:00:00.000Z</x:v>
      </x:c>
      <x:c r="C1835" s="2" t="n">
        <x:v>14</x:v>
      </x:c>
      <x:c r="D1835" s="2" t="str">
        <x:v>DEMO-405</x:v>
      </x:c>
      <x:c r="E1835" s="2" t="str">
        <x:v>Pebble Keyring</x:v>
      </x:c>
      <x:c r="F1835" s="2" t="str">
        <x:v>Accessories</x:v>
      </x:c>
      <x:c r="G1835" s="2" t="str">
        <x:v>Online</x:v>
      </x:c>
      <x:c r="H1835" s="2" t="str">
        <x:v>Online</x:v>
      </x:c>
      <x:c r="I1835" s="2" t="n">
        <x:v>18</x:v>
      </x:c>
      <x:c r="J1835" s="2" t="n">
        <x:v>0</x:v>
      </x:c>
      <x:c r="K1835" s="2" t="n">
        <x:f>I1835-J1835</x:f>
        <x:v>18</x:v>
      </x:c>
      <x:c r="L1835" s="16" t="n">
        <x:v>24</x:v>
      </x:c>
      <x:c r="M1835" s="16" t="n">
        <x:v>24</x:v>
      </x:c>
      <x:c r="N1835" s="16" t="n">
        <x:v>11.04</x:v>
      </x:c>
      <x:c r="O1835" s="16" t="n">
        <x:f>K1835*M1835</x:f>
        <x:v>432</x:v>
      </x:c>
      <x:c r="P1835" s="16" t="n">
        <x:f>K1835*N1835</x:f>
        <x:v>198.71999999999997</x:v>
      </x:c>
      <x:c r="Q1835" s="16" t="n">
        <x:f>O1835-P1835</x:f>
        <x:v>233.28000000000003</x:v>
      </x:c>
      <x:c r="R1835" s="2" t="n">
        <x:v>168</x:v>
      </x:c>
      <x:c r="S1835" s="2" t="n">
        <x:v>0</x:v>
      </x:c>
      <x:c r="T1835" s="2" t="n">
        <x:f>R1835+S1835+J1835-I1835</x:f>
        <x:v>150</x:v>
      </x:c>
      <x:c r="U1835" s="2" t="n">
        <x:v>0</x:v>
      </x:c>
      <x:c r="V1835" s="2" t="n">
        <x:v>3</x:v>
      </x:c>
      <x:c r="W1835" s="2" t="n">
        <x:v>18</x:v>
      </x:c>
      <x:c r="X1835" s="14" t="b">
        <x:v>0</x:v>
      </x:c>
      <x:c r="Y1835" s="14" t="b">
        <x:v>0</x:v>
      </x:c>
      <x:c r="Z1835" s="2" t="n">
        <x:f>ABS(T1835-AA1835)</x:f>
        <x:v>0</x:v>
      </x:c>
      <x:c r="AA1835" s="2" t="n">
        <x:v>150</x:v>
      </x:c>
      <x:c r="AB1835" s="2" t="n">
        <x:f>ABS(K1835-W1835)</x:f>
        <x:v>0</x:v>
      </x:c>
      <x:c r="AC1835" s="2" t="n">
        <x:f>COUNTIF($A$2:$A$1921,A1835)-1</x:f>
        <x:v>0</x:v>
      </x:c>
      <x:c r="AD1835" s="2" t="n">
        <x:f>IF(AND(D1835=D1834,H1835=H1834,C1835=C1834+1),ABS(R1835-T1834),0)</x:f>
        <x:v>0</x:v>
      </x:c>
    </x:row>
    <x:row r="1836" ht="23" customHeight="1">
      <x:c r="A1836" s="2" t="str">
        <x:v>DEMO-405-3-15</x:v>
      </x:c>
      <x:c r="B1836" s="15" t="d">
        <x:v>2026-08-10T00:00:00.000Z</x:v>
      </x:c>
      <x:c r="C1836" s="2" t="n">
        <x:v>15</x:v>
      </x:c>
      <x:c r="D1836" s="2" t="str">
        <x:v>DEMO-405</x:v>
      </x:c>
      <x:c r="E1836" s="2" t="str">
        <x:v>Pebble Keyring</x:v>
      </x:c>
      <x:c r="F1836" s="2" t="str">
        <x:v>Accessories</x:v>
      </x:c>
      <x:c r="G1836" s="2" t="str">
        <x:v>Online</x:v>
      </x:c>
      <x:c r="H1836" s="2" t="str">
        <x:v>Online</x:v>
      </x:c>
      <x:c r="I1836" s="2" t="n">
        <x:v>18</x:v>
      </x:c>
      <x:c r="J1836" s="2" t="n">
        <x:v>0</x:v>
      </x:c>
      <x:c r="K1836" s="2" t="n">
        <x:f>I1836-J1836</x:f>
        <x:v>18</x:v>
      </x:c>
      <x:c r="L1836" s="16" t="n">
        <x:v>24</x:v>
      </x:c>
      <x:c r="M1836" s="16" t="n">
        <x:v>24</x:v>
      </x:c>
      <x:c r="N1836" s="16" t="n">
        <x:v>11.04</x:v>
      </x:c>
      <x:c r="O1836" s="16" t="n">
        <x:f>K1836*M1836</x:f>
        <x:v>432</x:v>
      </x:c>
      <x:c r="P1836" s="16" t="n">
        <x:f>K1836*N1836</x:f>
        <x:v>198.71999999999997</x:v>
      </x:c>
      <x:c r="Q1836" s="16" t="n">
        <x:f>O1836-P1836</x:f>
        <x:v>233.28000000000003</x:v>
      </x:c>
      <x:c r="R1836" s="2" t="n">
        <x:v>150</x:v>
      </x:c>
      <x:c r="S1836" s="2" t="n">
        <x:v>0</x:v>
      </x:c>
      <x:c r="T1836" s="2" t="n">
        <x:f>R1836+S1836+J1836-I1836</x:f>
        <x:v>132</x:v>
      </x:c>
      <x:c r="U1836" s="2" t="n">
        <x:v>0</x:v>
      </x:c>
      <x:c r="V1836" s="2" t="n">
        <x:v>3</x:v>
      </x:c>
      <x:c r="W1836" s="2" t="n">
        <x:v>19</x:v>
      </x:c>
      <x:c r="X1836" s="14" t="b">
        <x:v>0</x:v>
      </x:c>
      <x:c r="Y1836" s="14" t="b">
        <x:v>0</x:v>
      </x:c>
      <x:c r="Z1836" s="2" t="n">
        <x:f>ABS(T1836-AA1836)</x:f>
        <x:v>0</x:v>
      </x:c>
      <x:c r="AA1836" s="2" t="n">
        <x:v>132</x:v>
      </x:c>
      <x:c r="AB1836" s="2" t="n">
        <x:f>ABS(K1836-W1836)</x:f>
        <x:v>1</x:v>
      </x:c>
      <x:c r="AC1836" s="2" t="n">
        <x:f>COUNTIF($A$2:$A$1921,A1836)-1</x:f>
        <x:v>0</x:v>
      </x:c>
      <x:c r="AD1836" s="2" t="n">
        <x:f>IF(AND(D1836=D1835,H1836=H1835,C1836=C1835+1),ABS(R1836-T1835),0)</x:f>
        <x:v>0</x:v>
      </x:c>
    </x:row>
    <x:row r="1837" ht="23" customHeight="1">
      <x:c r="A1837" s="2" t="str">
        <x:v>DEMO-405-3-16</x:v>
      </x:c>
      <x:c r="B1837" s="15" t="d">
        <x:v>2026-08-17T00:00:00.000Z</x:v>
      </x:c>
      <x:c r="C1837" s="2" t="n">
        <x:v>16</x:v>
      </x:c>
      <x:c r="D1837" s="2" t="str">
        <x:v>DEMO-405</x:v>
      </x:c>
      <x:c r="E1837" s="2" t="str">
        <x:v>Pebble Keyring</x:v>
      </x:c>
      <x:c r="F1837" s="2" t="str">
        <x:v>Accessories</x:v>
      </x:c>
      <x:c r="G1837" s="2" t="str">
        <x:v>Online</x:v>
      </x:c>
      <x:c r="H1837" s="2" t="str">
        <x:v>Online</x:v>
      </x:c>
      <x:c r="I1837" s="2" t="n">
        <x:v>17</x:v>
      </x:c>
      <x:c r="J1837" s="2" t="n">
        <x:v>1</x:v>
      </x:c>
      <x:c r="K1837" s="2" t="n">
        <x:f>I1837-J1837</x:f>
        <x:v>16</x:v>
      </x:c>
      <x:c r="L1837" s="16" t="n">
        <x:v>24</x:v>
      </x:c>
      <x:c r="M1837" s="16" t="n">
        <x:v>24</x:v>
      </x:c>
      <x:c r="N1837" s="16" t="n">
        <x:v>11.04</x:v>
      </x:c>
      <x:c r="O1837" s="16" t="n">
        <x:f>K1837*M1837</x:f>
        <x:v>384</x:v>
      </x:c>
      <x:c r="P1837" s="16" t="n">
        <x:f>K1837*N1837</x:f>
        <x:v>176.64</x:v>
      </x:c>
      <x:c r="Q1837" s="16" t="n">
        <x:f>O1837-P1837</x:f>
        <x:v>207.36</x:v>
      </x:c>
      <x:c r="R1837" s="2" t="n">
        <x:v>132</x:v>
      </x:c>
      <x:c r="S1837" s="2" t="n">
        <x:v>0</x:v>
      </x:c>
      <x:c r="T1837" s="2" t="n">
        <x:f>R1837+S1837+J1837-I1837</x:f>
        <x:v>116</x:v>
      </x:c>
      <x:c r="U1837" s="2" t="n">
        <x:v>0</x:v>
      </x:c>
      <x:c r="V1837" s="2" t="n">
        <x:v>3</x:v>
      </x:c>
      <x:c r="W1837" s="2" t="n">
        <x:v>19</x:v>
      </x:c>
      <x:c r="X1837" s="14" t="b">
        <x:v>0</x:v>
      </x:c>
      <x:c r="Y1837" s="14" t="b">
        <x:v>0</x:v>
      </x:c>
      <x:c r="Z1837" s="2" t="n">
        <x:f>ABS(T1837-AA1837)</x:f>
        <x:v>0</x:v>
      </x:c>
      <x:c r="AA1837" s="2" t="n">
        <x:v>116</x:v>
      </x:c>
      <x:c r="AB1837" s="2" t="n">
        <x:f>ABS(K1837-W1837)</x:f>
        <x:v>3</x:v>
      </x:c>
      <x:c r="AC1837" s="2" t="n">
        <x:f>COUNTIF($A$2:$A$1921,A1837)-1</x:f>
        <x:v>0</x:v>
      </x:c>
      <x:c r="AD1837" s="2" t="n">
        <x:f>IF(AND(D1837=D1836,H1837=H1836,C1837=C1836+1),ABS(R1837-T1836),0)</x:f>
        <x:v>0</x:v>
      </x:c>
    </x:row>
    <x:row r="1838" ht="23" customHeight="1">
      <x:c r="A1838" s="2" t="str">
        <x:v>DEMO-405-3-17</x:v>
      </x:c>
      <x:c r="B1838" s="15" t="d">
        <x:v>2026-08-24T00:00:00.000Z</x:v>
      </x:c>
      <x:c r="C1838" s="2" t="n">
        <x:v>17</x:v>
      </x:c>
      <x:c r="D1838" s="2" t="str">
        <x:v>DEMO-405</x:v>
      </x:c>
      <x:c r="E1838" s="2" t="str">
        <x:v>Pebble Keyring</x:v>
      </x:c>
      <x:c r="F1838" s="2" t="str">
        <x:v>Accessories</x:v>
      </x:c>
      <x:c r="G1838" s="2" t="str">
        <x:v>Online</x:v>
      </x:c>
      <x:c r="H1838" s="2" t="str">
        <x:v>Online</x:v>
      </x:c>
      <x:c r="I1838" s="2" t="n">
        <x:v>15</x:v>
      </x:c>
      <x:c r="J1838" s="2" t="n">
        <x:v>0</x:v>
      </x:c>
      <x:c r="K1838" s="2" t="n">
        <x:f>I1838-J1838</x:f>
        <x:v>15</x:v>
      </x:c>
      <x:c r="L1838" s="16" t="n">
        <x:v>24</x:v>
      </x:c>
      <x:c r="M1838" s="16" t="n">
        <x:v>24</x:v>
      </x:c>
      <x:c r="N1838" s="16" t="n">
        <x:v>11.04</x:v>
      </x:c>
      <x:c r="O1838" s="16" t="n">
        <x:f>K1838*M1838</x:f>
        <x:v>360</x:v>
      </x:c>
      <x:c r="P1838" s="16" t="n">
        <x:f>K1838*N1838</x:f>
        <x:v>165.6</x:v>
      </x:c>
      <x:c r="Q1838" s="16" t="n">
        <x:f>O1838-P1838</x:f>
        <x:v>194.4</x:v>
      </x:c>
      <x:c r="R1838" s="2" t="n">
        <x:v>116</x:v>
      </x:c>
      <x:c r="S1838" s="2" t="n">
        <x:v>79</x:v>
      </x:c>
      <x:c r="T1838" s="2" t="n">
        <x:f>R1838+S1838+J1838-I1838</x:f>
        <x:v>180</x:v>
      </x:c>
      <x:c r="U1838" s="2" t="n">
        <x:v>0</x:v>
      </x:c>
      <x:c r="V1838" s="2" t="n">
        <x:v>3</x:v>
      </x:c>
      <x:c r="W1838" s="2" t="n">
        <x:v>18</x:v>
      </x:c>
      <x:c r="X1838" s="14" t="b">
        <x:v>0</x:v>
      </x:c>
      <x:c r="Y1838" s="14" t="b">
        <x:v>0</x:v>
      </x:c>
      <x:c r="Z1838" s="2" t="n">
        <x:f>ABS(T1838-AA1838)</x:f>
        <x:v>0</x:v>
      </x:c>
      <x:c r="AA1838" s="2" t="n">
        <x:v>180</x:v>
      </x:c>
      <x:c r="AB1838" s="2" t="n">
        <x:f>ABS(K1838-W1838)</x:f>
        <x:v>3</x:v>
      </x:c>
      <x:c r="AC1838" s="2" t="n">
        <x:f>COUNTIF($A$2:$A$1921,A1838)-1</x:f>
        <x:v>0</x:v>
      </x:c>
      <x:c r="AD1838" s="2" t="n">
        <x:f>IF(AND(D1838=D1837,H1838=H1837,C1838=C1837+1),ABS(R1838-T1837),0)</x:f>
        <x:v>0</x:v>
      </x:c>
    </x:row>
    <x:row r="1839" ht="23" customHeight="1">
      <x:c r="A1839" s="2" t="str">
        <x:v>DEMO-405-3-18</x:v>
      </x:c>
      <x:c r="B1839" s="15" t="d">
        <x:v>2026-08-31T00:00:00.000Z</x:v>
      </x:c>
      <x:c r="C1839" s="2" t="n">
        <x:v>18</x:v>
      </x:c>
      <x:c r="D1839" s="2" t="str">
        <x:v>DEMO-405</x:v>
      </x:c>
      <x:c r="E1839" s="2" t="str">
        <x:v>Pebble Keyring</x:v>
      </x:c>
      <x:c r="F1839" s="2" t="str">
        <x:v>Accessories</x:v>
      </x:c>
      <x:c r="G1839" s="2" t="str">
        <x:v>Online</x:v>
      </x:c>
      <x:c r="H1839" s="2" t="str">
        <x:v>Online</x:v>
      </x:c>
      <x:c r="I1839" s="2" t="n">
        <x:v>17</x:v>
      </x:c>
      <x:c r="J1839" s="2" t="n">
        <x:v>0</x:v>
      </x:c>
      <x:c r="K1839" s="2" t="n">
        <x:f>I1839-J1839</x:f>
        <x:v>17</x:v>
      </x:c>
      <x:c r="L1839" s="16" t="n">
        <x:v>24</x:v>
      </x:c>
      <x:c r="M1839" s="16" t="n">
        <x:v>24</x:v>
      </x:c>
      <x:c r="N1839" s="16" t="n">
        <x:v>11.04</x:v>
      </x:c>
      <x:c r="O1839" s="16" t="n">
        <x:f>K1839*M1839</x:f>
        <x:v>408</x:v>
      </x:c>
      <x:c r="P1839" s="16" t="n">
        <x:f>K1839*N1839</x:f>
        <x:v>187.67999999999998</x:v>
      </x:c>
      <x:c r="Q1839" s="16" t="n">
        <x:f>O1839-P1839</x:f>
        <x:v>220.32000000000002</x:v>
      </x:c>
      <x:c r="R1839" s="2" t="n">
        <x:v>180</x:v>
      </x:c>
      <x:c r="S1839" s="2" t="n">
        <x:v>0</x:v>
      </x:c>
      <x:c r="T1839" s="2" t="n">
        <x:f>R1839+S1839+J1839-I1839</x:f>
        <x:v>163</x:v>
      </x:c>
      <x:c r="U1839" s="2" t="n">
        <x:v>0</x:v>
      </x:c>
      <x:c r="V1839" s="2" t="n">
        <x:v>3</x:v>
      </x:c>
      <x:c r="W1839" s="2" t="n">
        <x:v>17</x:v>
      </x:c>
      <x:c r="X1839" s="14" t="b">
        <x:v>0</x:v>
      </x:c>
      <x:c r="Y1839" s="14" t="b">
        <x:v>0</x:v>
      </x:c>
      <x:c r="Z1839" s="2" t="n">
        <x:f>ABS(T1839-AA1839)</x:f>
        <x:v>0</x:v>
      </x:c>
      <x:c r="AA1839" s="2" t="n">
        <x:v>163</x:v>
      </x:c>
      <x:c r="AB1839" s="2" t="n">
        <x:f>ABS(K1839-W1839)</x:f>
        <x:v>0</x:v>
      </x:c>
      <x:c r="AC1839" s="2" t="n">
        <x:f>COUNTIF($A$2:$A$1921,A1839)-1</x:f>
        <x:v>0</x:v>
      </x:c>
      <x:c r="AD1839" s="2" t="n">
        <x:f>IF(AND(D1839=D1838,H1839=H1838,C1839=C1838+1),ABS(R1839-T1838),0)</x:f>
        <x:v>0</x:v>
      </x:c>
    </x:row>
    <x:row r="1840" ht="23" customHeight="1">
      <x:c r="A1840" s="2" t="str">
        <x:v>DEMO-405-3-19</x:v>
      </x:c>
      <x:c r="B1840" s="15" t="d">
        <x:v>2026-09-07T00:00:00.000Z</x:v>
      </x:c>
      <x:c r="C1840" s="2" t="n">
        <x:v>19</x:v>
      </x:c>
      <x:c r="D1840" s="2" t="str">
        <x:v>DEMO-405</x:v>
      </x:c>
      <x:c r="E1840" s="2" t="str">
        <x:v>Pebble Keyring</x:v>
      </x:c>
      <x:c r="F1840" s="2" t="str">
        <x:v>Accessories</x:v>
      </x:c>
      <x:c r="G1840" s="2" t="str">
        <x:v>Online</x:v>
      </x:c>
      <x:c r="H1840" s="2" t="str">
        <x:v>Online</x:v>
      </x:c>
      <x:c r="I1840" s="2" t="n">
        <x:v>18</x:v>
      </x:c>
      <x:c r="J1840" s="2" t="n">
        <x:v>0</x:v>
      </x:c>
      <x:c r="K1840" s="2" t="n">
        <x:f>I1840-J1840</x:f>
        <x:v>18</x:v>
      </x:c>
      <x:c r="L1840" s="16" t="n">
        <x:v>24</x:v>
      </x:c>
      <x:c r="M1840" s="16" t="n">
        <x:v>24</x:v>
      </x:c>
      <x:c r="N1840" s="16" t="n">
        <x:v>11.04</x:v>
      </x:c>
      <x:c r="O1840" s="16" t="n">
        <x:f>K1840*M1840</x:f>
        <x:v>432</x:v>
      </x:c>
      <x:c r="P1840" s="16" t="n">
        <x:f>K1840*N1840</x:f>
        <x:v>198.71999999999997</x:v>
      </x:c>
      <x:c r="Q1840" s="16" t="n">
        <x:f>O1840-P1840</x:f>
        <x:v>233.28000000000003</x:v>
      </x:c>
      <x:c r="R1840" s="2" t="n">
        <x:v>163</x:v>
      </x:c>
      <x:c r="S1840" s="2" t="n">
        <x:v>0</x:v>
      </x:c>
      <x:c r="T1840" s="2" t="n">
        <x:f>R1840+S1840+J1840-I1840</x:f>
        <x:v>145</x:v>
      </x:c>
      <x:c r="U1840" s="2" t="n">
        <x:v>0</x:v>
      </x:c>
      <x:c r="V1840" s="2" t="n">
        <x:v>3</x:v>
      </x:c>
      <x:c r="W1840" s="2" t="n">
        <x:v>17</x:v>
      </x:c>
      <x:c r="X1840" s="14" t="b">
        <x:v>0</x:v>
      </x:c>
      <x:c r="Y1840" s="14" t="b">
        <x:v>0</x:v>
      </x:c>
      <x:c r="Z1840" s="2" t="n">
        <x:f>ABS(T1840-AA1840)</x:f>
        <x:v>0</x:v>
      </x:c>
      <x:c r="AA1840" s="2" t="n">
        <x:v>145</x:v>
      </x:c>
      <x:c r="AB1840" s="2" t="n">
        <x:f>ABS(K1840-W1840)</x:f>
        <x:v>1</x:v>
      </x:c>
      <x:c r="AC1840" s="2" t="n">
        <x:f>COUNTIF($A$2:$A$1921,A1840)-1</x:f>
        <x:v>0</x:v>
      </x:c>
      <x:c r="AD1840" s="2" t="n">
        <x:f>IF(AND(D1840=D1839,H1840=H1839,C1840=C1839+1),ABS(R1840-T1839),0)</x:f>
        <x:v>0</x:v>
      </x:c>
    </x:row>
    <x:row r="1841" ht="23" customHeight="1">
      <x:c r="A1841" s="2" t="str">
        <x:v>DEMO-405-3-20</x:v>
      </x:c>
      <x:c r="B1841" s="15" t="d">
        <x:v>2026-09-14T00:00:00.000Z</x:v>
      </x:c>
      <x:c r="C1841" s="2" t="n">
        <x:v>20</x:v>
      </x:c>
      <x:c r="D1841" s="2" t="str">
        <x:v>DEMO-405</x:v>
      </x:c>
      <x:c r="E1841" s="2" t="str">
        <x:v>Pebble Keyring</x:v>
      </x:c>
      <x:c r="F1841" s="2" t="str">
        <x:v>Accessories</x:v>
      </x:c>
      <x:c r="G1841" s="2" t="str">
        <x:v>Online</x:v>
      </x:c>
      <x:c r="H1841" s="2" t="str">
        <x:v>Online</x:v>
      </x:c>
      <x:c r="I1841" s="2" t="n">
        <x:v>16</x:v>
      </x:c>
      <x:c r="J1841" s="2" t="n">
        <x:v>0</x:v>
      </x:c>
      <x:c r="K1841" s="2" t="n">
        <x:f>I1841-J1841</x:f>
        <x:v>16</x:v>
      </x:c>
      <x:c r="L1841" s="16" t="n">
        <x:v>24</x:v>
      </x:c>
      <x:c r="M1841" s="16" t="n">
        <x:v>24</x:v>
      </x:c>
      <x:c r="N1841" s="16" t="n">
        <x:v>11.04</x:v>
      </x:c>
      <x:c r="O1841" s="16" t="n">
        <x:f>K1841*M1841</x:f>
        <x:v>384</x:v>
      </x:c>
      <x:c r="P1841" s="16" t="n">
        <x:f>K1841*N1841</x:f>
        <x:v>176.64</x:v>
      </x:c>
      <x:c r="Q1841" s="16" t="n">
        <x:f>O1841-P1841</x:f>
        <x:v>207.36</x:v>
      </x:c>
      <x:c r="R1841" s="2" t="n">
        <x:v>145</x:v>
      </x:c>
      <x:c r="S1841" s="2" t="n">
        <x:v>0</x:v>
      </x:c>
      <x:c r="T1841" s="2" t="n">
        <x:f>R1841+S1841+J1841-I1841</x:f>
        <x:v>129</x:v>
      </x:c>
      <x:c r="U1841" s="2" t="n">
        <x:v>18</x:v>
      </x:c>
      <x:c r="V1841" s="2" t="n">
        <x:v>3</x:v>
      </x:c>
      <x:c r="W1841" s="2" t="n">
        <x:v>17</x:v>
      </x:c>
      <x:c r="X1841" s="14" t="b">
        <x:v>0</x:v>
      </x:c>
      <x:c r="Y1841" s="14" t="b">
        <x:v>0</x:v>
      </x:c>
      <x:c r="Z1841" s="2" t="n">
        <x:f>ABS(T1841-AA1841)</x:f>
        <x:v>0</x:v>
      </x:c>
      <x:c r="AA1841" s="2" t="n">
        <x:v>129</x:v>
      </x:c>
      <x:c r="AB1841" s="2" t="n">
        <x:f>ABS(K1841-W1841)</x:f>
        <x:v>1</x:v>
      </x:c>
      <x:c r="AC1841" s="2" t="n">
        <x:f>COUNTIF($A$2:$A$1921,A1841)-1</x:f>
        <x:v>0</x:v>
      </x:c>
      <x:c r="AD1841" s="2" t="n">
        <x:f>IF(AND(D1841=D1840,H1841=H1840,C1841=C1840+1),ABS(R1841-T1840),0)</x:f>
        <x:v>0</x:v>
      </x:c>
    </x:row>
    <x:row r="1842" ht="23" customHeight="1">
      <x:c r="A1842" s="2" t="str">
        <x:v>DEMO-406-0-1</x:v>
      </x:c>
      <x:c r="B1842" s="15" t="d">
        <x:v>2026-05-04T00:00:00.000Z</x:v>
      </x:c>
      <x:c r="C1842" s="2" t="n">
        <x:v>1</x:v>
      </x:c>
      <x:c r="D1842" s="2" t="str">
        <x:v>DEMO-406</x:v>
      </x:c>
      <x:c r="E1842" s="2" t="str">
        <x:v>Mini Zip Case</x:v>
      </x:c>
      <x:c r="F1842" s="2" t="str">
        <x:v>Accessories</x:v>
      </x:c>
      <x:c r="G1842" s="2" t="str">
        <x:v>Stores</x:v>
      </x:c>
      <x:c r="H1842" s="2" t="str">
        <x:v>North Arcade</x:v>
      </x:c>
      <x:c r="I1842" s="2" t="n">
        <x:v>12</x:v>
      </x:c>
      <x:c r="J1842" s="2" t="n">
        <x:v>0</x:v>
      </x:c>
      <x:c r="K1842" s="2" t="n">
        <x:f>I1842-J1842</x:f>
        <x:v>12</x:v>
      </x:c>
      <x:c r="L1842" s="16" t="n">
        <x:v>26</x:v>
      </x:c>
      <x:c r="M1842" s="16" t="n">
        <x:v>26</x:v>
      </x:c>
      <x:c r="N1842" s="16" t="n">
        <x:v>12.61</x:v>
      </x:c>
      <x:c r="O1842" s="16" t="n">
        <x:f>K1842*M1842</x:f>
        <x:v>312</x:v>
      </x:c>
      <x:c r="P1842" s="16" t="n">
        <x:f>K1842*N1842</x:f>
        <x:v>151.32</x:v>
      </x:c>
      <x:c r="Q1842" s="16" t="n">
        <x:f>O1842-P1842</x:f>
        <x:v>160.68</x:v>
      </x:c>
      <x:c r="R1842" s="2" t="n">
        <x:v>90</x:v>
      </x:c>
      <x:c r="S1842" s="2" t="n">
        <x:v>59</x:v>
      </x:c>
      <x:c r="T1842" s="2" t="n">
        <x:f>R1842+S1842+J1842-I1842</x:f>
        <x:v>137</x:v>
      </x:c>
      <x:c r="U1842" s="2" t="n">
        <x:v>0</x:v>
      </x:c>
      <x:c r="V1842" s="2" t="n">
        <x:v>4</x:v>
      </x:c>
      <x:c r="W1842" s="2" t="n">
        <x:v>14</x:v>
      </x:c>
      <x:c r="X1842" s="14" t="b">
        <x:v>0</x:v>
      </x:c>
      <x:c r="Y1842" s="14" t="b">
        <x:v>0</x:v>
      </x:c>
      <x:c r="Z1842" s="2" t="n">
        <x:f>ABS(T1842-AA1842)</x:f>
        <x:v>0</x:v>
      </x:c>
      <x:c r="AA1842" s="2" t="n">
        <x:v>137</x:v>
      </x:c>
      <x:c r="AB1842" s="2" t="n">
        <x:f>ABS(K1842-W1842)</x:f>
        <x:v>2</x:v>
      </x:c>
      <x:c r="AC1842" s="2" t="n">
        <x:f>COUNTIF($A$2:$A$1921,A1842)-1</x:f>
        <x:v>0</x:v>
      </x:c>
      <x:c r="AD1842" s="2" t="n">
        <x:f>IF(AND(D1842=D1841,H1842=H1841,C1842=C1841+1),ABS(R1842-T1841),0)</x:f>
        <x:v>0</x:v>
      </x:c>
    </x:row>
    <x:row r="1843" ht="23" customHeight="1">
      <x:c r="A1843" s="2" t="str">
        <x:v>DEMO-406-0-2</x:v>
      </x:c>
      <x:c r="B1843" s="15" t="d">
        <x:v>2026-05-11T00:00:00.000Z</x:v>
      </x:c>
      <x:c r="C1843" s="2" t="n">
        <x:v>2</x:v>
      </x:c>
      <x:c r="D1843" s="2" t="str">
        <x:v>DEMO-406</x:v>
      </x:c>
      <x:c r="E1843" s="2" t="str">
        <x:v>Mini Zip Case</x:v>
      </x:c>
      <x:c r="F1843" s="2" t="str">
        <x:v>Accessories</x:v>
      </x:c>
      <x:c r="G1843" s="2" t="str">
        <x:v>Stores</x:v>
      </x:c>
      <x:c r="H1843" s="2" t="str">
        <x:v>North Arcade</x:v>
      </x:c>
      <x:c r="I1843" s="2" t="n">
        <x:v>15</x:v>
      </x:c>
      <x:c r="J1843" s="2" t="n">
        <x:v>0</x:v>
      </x:c>
      <x:c r="K1843" s="2" t="n">
        <x:f>I1843-J1843</x:f>
        <x:v>15</x:v>
      </x:c>
      <x:c r="L1843" s="16" t="n">
        <x:v>26</x:v>
      </x:c>
      <x:c r="M1843" s="16" t="n">
        <x:v>26</x:v>
      </x:c>
      <x:c r="N1843" s="16" t="n">
        <x:v>12.61</x:v>
      </x:c>
      <x:c r="O1843" s="16" t="n">
        <x:f>K1843*M1843</x:f>
        <x:v>390</x:v>
      </x:c>
      <x:c r="P1843" s="16" t="n">
        <x:f>K1843*N1843</x:f>
        <x:v>189.14999999999998</x:v>
      </x:c>
      <x:c r="Q1843" s="16" t="n">
        <x:f>O1843-P1843</x:f>
        <x:v>200.85000000000002</x:v>
      </x:c>
      <x:c r="R1843" s="2" t="n">
        <x:v>137</x:v>
      </x:c>
      <x:c r="S1843" s="2" t="n">
        <x:v>0</x:v>
      </x:c>
      <x:c r="T1843" s="2" t="n">
        <x:f>R1843+S1843+J1843-I1843</x:f>
        <x:v>122</x:v>
      </x:c>
      <x:c r="U1843" s="2" t="n">
        <x:v>0</x:v>
      </x:c>
      <x:c r="V1843" s="2" t="n">
        <x:v>4</x:v>
      </x:c>
      <x:c r="W1843" s="2" t="n">
        <x:v>12</x:v>
      </x:c>
      <x:c r="X1843" s="14" t="b">
        <x:v>0</x:v>
      </x:c>
      <x:c r="Y1843" s="14" t="b">
        <x:v>0</x:v>
      </x:c>
      <x:c r="Z1843" s="2" t="n">
        <x:f>ABS(T1843-AA1843)</x:f>
        <x:v>0</x:v>
      </x:c>
      <x:c r="AA1843" s="2" t="n">
        <x:v>122</x:v>
      </x:c>
      <x:c r="AB1843" s="2" t="n">
        <x:f>ABS(K1843-W1843)</x:f>
        <x:v>3</x:v>
      </x:c>
      <x:c r="AC1843" s="2" t="n">
        <x:f>COUNTIF($A$2:$A$1921,A1843)-1</x:f>
        <x:v>0</x:v>
      </x:c>
      <x:c r="AD1843" s="2" t="n">
        <x:f>IF(AND(D1843=D1842,H1843=H1842,C1843=C1842+1),ABS(R1843-T1842),0)</x:f>
        <x:v>0</x:v>
      </x:c>
    </x:row>
    <x:row r="1844" ht="23" customHeight="1">
      <x:c r="A1844" s="2" t="str">
        <x:v>DEMO-406-0-3</x:v>
      </x:c>
      <x:c r="B1844" s="15" t="d">
        <x:v>2026-05-18T00:00:00.000Z</x:v>
      </x:c>
      <x:c r="C1844" s="2" t="n">
        <x:v>3</x:v>
      </x:c>
      <x:c r="D1844" s="2" t="str">
        <x:v>DEMO-406</x:v>
      </x:c>
      <x:c r="E1844" s="2" t="str">
        <x:v>Mini Zip Case</x:v>
      </x:c>
      <x:c r="F1844" s="2" t="str">
        <x:v>Accessories</x:v>
      </x:c>
      <x:c r="G1844" s="2" t="str">
        <x:v>Stores</x:v>
      </x:c>
      <x:c r="H1844" s="2" t="str">
        <x:v>North Arcade</x:v>
      </x:c>
      <x:c r="I1844" s="2" t="n">
        <x:v>12</x:v>
      </x:c>
      <x:c r="J1844" s="2" t="n">
        <x:v>1</x:v>
      </x:c>
      <x:c r="K1844" s="2" t="n">
        <x:f>I1844-J1844</x:f>
        <x:v>11</x:v>
      </x:c>
      <x:c r="L1844" s="16" t="n">
        <x:v>26</x:v>
      </x:c>
      <x:c r="M1844" s="16" t="n">
        <x:v>26</x:v>
      </x:c>
      <x:c r="N1844" s="16" t="n">
        <x:v>12.61</x:v>
      </x:c>
      <x:c r="O1844" s="16" t="n">
        <x:f>K1844*M1844</x:f>
        <x:v>286</x:v>
      </x:c>
      <x:c r="P1844" s="16" t="n">
        <x:f>K1844*N1844</x:f>
        <x:v>138.70999999999998</x:v>
      </x:c>
      <x:c r="Q1844" s="16" t="n">
        <x:f>O1844-P1844</x:f>
        <x:v>147.29000000000002</x:v>
      </x:c>
      <x:c r="R1844" s="2" t="n">
        <x:v>122</x:v>
      </x:c>
      <x:c r="S1844" s="2" t="n">
        <x:v>0</x:v>
      </x:c>
      <x:c r="T1844" s="2" t="n">
        <x:f>R1844+S1844+J1844-I1844</x:f>
        <x:v>111</x:v>
      </x:c>
      <x:c r="U1844" s="2" t="n">
        <x:v>0</x:v>
      </x:c>
      <x:c r="V1844" s="2" t="n">
        <x:v>4</x:v>
      </x:c>
      <x:c r="W1844" s="2" t="n">
        <x:v>14</x:v>
      </x:c>
      <x:c r="X1844" s="14" t="b">
        <x:v>0</x:v>
      </x:c>
      <x:c r="Y1844" s="14" t="b">
        <x:v>0</x:v>
      </x:c>
      <x:c r="Z1844" s="2" t="n">
        <x:f>ABS(T1844-AA1844)</x:f>
        <x:v>0</x:v>
      </x:c>
      <x:c r="AA1844" s="2" t="n">
        <x:v>111</x:v>
      </x:c>
      <x:c r="AB1844" s="2" t="n">
        <x:f>ABS(K1844-W1844)</x:f>
        <x:v>3</x:v>
      </x:c>
      <x:c r="AC1844" s="2" t="n">
        <x:f>COUNTIF($A$2:$A$1921,A1844)-1</x:f>
        <x:v>0</x:v>
      </x:c>
      <x:c r="AD1844" s="2" t="n">
        <x:f>IF(AND(D1844=D1843,H1844=H1843,C1844=C1843+1),ABS(R1844-T1843),0)</x:f>
        <x:v>0</x:v>
      </x:c>
    </x:row>
    <x:row r="1845" ht="23" customHeight="1">
      <x:c r="A1845" s="2" t="str">
        <x:v>DEMO-406-0-4</x:v>
      </x:c>
      <x:c r="B1845" s="15" t="d">
        <x:v>2026-05-25T00:00:00.000Z</x:v>
      </x:c>
      <x:c r="C1845" s="2" t="n">
        <x:v>4</x:v>
      </x:c>
      <x:c r="D1845" s="2" t="str">
        <x:v>DEMO-406</x:v>
      </x:c>
      <x:c r="E1845" s="2" t="str">
        <x:v>Mini Zip Case</x:v>
      </x:c>
      <x:c r="F1845" s="2" t="str">
        <x:v>Accessories</x:v>
      </x:c>
      <x:c r="G1845" s="2" t="str">
        <x:v>Stores</x:v>
      </x:c>
      <x:c r="H1845" s="2" t="str">
        <x:v>North Arcade</x:v>
      </x:c>
      <x:c r="I1845" s="2" t="n">
        <x:v>17</x:v>
      </x:c>
      <x:c r="J1845" s="2" t="n">
        <x:v>0</x:v>
      </x:c>
      <x:c r="K1845" s="2" t="n">
        <x:f>I1845-J1845</x:f>
        <x:v>17</x:v>
      </x:c>
      <x:c r="L1845" s="16" t="n">
        <x:v>26</x:v>
      </x:c>
      <x:c r="M1845" s="16" t="n">
        <x:v>26</x:v>
      </x:c>
      <x:c r="N1845" s="16" t="n">
        <x:v>12.61</x:v>
      </x:c>
      <x:c r="O1845" s="16" t="n">
        <x:f>K1845*M1845</x:f>
        <x:v>442</x:v>
      </x:c>
      <x:c r="P1845" s="16" t="n">
        <x:f>K1845*N1845</x:f>
        <x:v>214.37</x:v>
      </x:c>
      <x:c r="Q1845" s="16" t="n">
        <x:f>O1845-P1845</x:f>
        <x:v>227.63</x:v>
      </x:c>
      <x:c r="R1845" s="2" t="n">
        <x:v>111</x:v>
      </x:c>
      <x:c r="S1845" s="2" t="n">
        <x:v>0</x:v>
      </x:c>
      <x:c r="T1845" s="2" t="n">
        <x:f>R1845+S1845+J1845-I1845</x:f>
        <x:v>94</x:v>
      </x:c>
      <x:c r="U1845" s="2" t="n">
        <x:v>0</x:v>
      </x:c>
      <x:c r="V1845" s="2" t="n">
        <x:v>4</x:v>
      </x:c>
      <x:c r="W1845" s="2" t="n">
        <x:v>13</x:v>
      </x:c>
      <x:c r="X1845" s="14" t="b">
        <x:v>0</x:v>
      </x:c>
      <x:c r="Y1845" s="14" t="b">
        <x:v>0</x:v>
      </x:c>
      <x:c r="Z1845" s="2" t="n">
        <x:f>ABS(T1845-AA1845)</x:f>
        <x:v>0</x:v>
      </x:c>
      <x:c r="AA1845" s="2" t="n">
        <x:v>94</x:v>
      </x:c>
      <x:c r="AB1845" s="2" t="n">
        <x:f>ABS(K1845-W1845)</x:f>
        <x:v>4</x:v>
      </x:c>
      <x:c r="AC1845" s="2" t="n">
        <x:f>COUNTIF($A$2:$A$1921,A1845)-1</x:f>
        <x:v>0</x:v>
      </x:c>
      <x:c r="AD1845" s="2" t="n">
        <x:f>IF(AND(D1845=D1844,H1845=H1844,C1845=C1844+1),ABS(R1845-T1844),0)</x:f>
        <x:v>0</x:v>
      </x:c>
    </x:row>
    <x:row r="1846" ht="23" customHeight="1">
      <x:c r="A1846" s="2" t="str">
        <x:v>DEMO-406-0-5</x:v>
      </x:c>
      <x:c r="B1846" s="15" t="d">
        <x:v>2026-06-01T00:00:00.000Z</x:v>
      </x:c>
      <x:c r="C1846" s="2" t="n">
        <x:v>5</x:v>
      </x:c>
      <x:c r="D1846" s="2" t="str">
        <x:v>DEMO-406</x:v>
      </x:c>
      <x:c r="E1846" s="2" t="str">
        <x:v>Mini Zip Case</x:v>
      </x:c>
      <x:c r="F1846" s="2" t="str">
        <x:v>Accessories</x:v>
      </x:c>
      <x:c r="G1846" s="2" t="str">
        <x:v>Stores</x:v>
      </x:c>
      <x:c r="H1846" s="2" t="str">
        <x:v>North Arcade</x:v>
      </x:c>
      <x:c r="I1846" s="2" t="n">
        <x:v>14</x:v>
      </x:c>
      <x:c r="J1846" s="2" t="n">
        <x:v>0</x:v>
      </x:c>
      <x:c r="K1846" s="2" t="n">
        <x:f>I1846-J1846</x:f>
        <x:v>14</x:v>
      </x:c>
      <x:c r="L1846" s="16" t="n">
        <x:v>26</x:v>
      </x:c>
      <x:c r="M1846" s="16" t="n">
        <x:v>26</x:v>
      </x:c>
      <x:c r="N1846" s="16" t="n">
        <x:v>12.61</x:v>
      </x:c>
      <x:c r="O1846" s="16" t="n">
        <x:f>K1846*M1846</x:f>
        <x:v>364</x:v>
      </x:c>
      <x:c r="P1846" s="16" t="n">
        <x:f>K1846*N1846</x:f>
        <x:v>176.54</x:v>
      </x:c>
      <x:c r="Q1846" s="16" t="n">
        <x:f>O1846-P1846</x:f>
        <x:v>187.46</x:v>
      </x:c>
      <x:c r="R1846" s="2" t="n">
        <x:v>94</x:v>
      </x:c>
      <x:c r="S1846" s="2" t="n">
        <x:v>59</x:v>
      </x:c>
      <x:c r="T1846" s="2" t="n">
        <x:f>R1846+S1846+J1846-I1846</x:f>
        <x:v>139</x:v>
      </x:c>
      <x:c r="U1846" s="2" t="n">
        <x:v>0</x:v>
      </x:c>
      <x:c r="V1846" s="2" t="n">
        <x:v>4</x:v>
      </x:c>
      <x:c r="W1846" s="2" t="n">
        <x:v>14</x:v>
      </x:c>
      <x:c r="X1846" s="14" t="b">
        <x:v>0</x:v>
      </x:c>
      <x:c r="Y1846" s="14" t="b">
        <x:v>0</x:v>
      </x:c>
      <x:c r="Z1846" s="2" t="n">
        <x:f>ABS(T1846-AA1846)</x:f>
        <x:v>0</x:v>
      </x:c>
      <x:c r="AA1846" s="2" t="n">
        <x:v>139</x:v>
      </x:c>
      <x:c r="AB1846" s="2" t="n">
        <x:f>ABS(K1846-W1846)</x:f>
        <x:v>0</x:v>
      </x:c>
      <x:c r="AC1846" s="2" t="n">
        <x:f>COUNTIF($A$2:$A$1921,A1846)-1</x:f>
        <x:v>0</x:v>
      </x:c>
      <x:c r="AD1846" s="2" t="n">
        <x:f>IF(AND(D1846=D1845,H1846=H1845,C1846=C1845+1),ABS(R1846-T1845),0)</x:f>
        <x:v>0</x:v>
      </x:c>
    </x:row>
    <x:row r="1847" ht="23" customHeight="1">
      <x:c r="A1847" s="2" t="str">
        <x:v>DEMO-406-0-6</x:v>
      </x:c>
      <x:c r="B1847" s="15" t="d">
        <x:v>2026-06-08T00:00:00.000Z</x:v>
      </x:c>
      <x:c r="C1847" s="2" t="n">
        <x:v>6</x:v>
      </x:c>
      <x:c r="D1847" s="2" t="str">
        <x:v>DEMO-406</x:v>
      </x:c>
      <x:c r="E1847" s="2" t="str">
        <x:v>Mini Zip Case</x:v>
      </x:c>
      <x:c r="F1847" s="2" t="str">
        <x:v>Accessories</x:v>
      </x:c>
      <x:c r="G1847" s="2" t="str">
        <x:v>Stores</x:v>
      </x:c>
      <x:c r="H1847" s="2" t="str">
        <x:v>North Arcade</x:v>
      </x:c>
      <x:c r="I1847" s="2" t="n">
        <x:v>15</x:v>
      </x:c>
      <x:c r="J1847" s="2" t="n">
        <x:v>0</x:v>
      </x:c>
      <x:c r="K1847" s="2" t="n">
        <x:f>I1847-J1847</x:f>
        <x:v>15</x:v>
      </x:c>
      <x:c r="L1847" s="16" t="n">
        <x:v>26</x:v>
      </x:c>
      <x:c r="M1847" s="16" t="n">
        <x:v>26</x:v>
      </x:c>
      <x:c r="N1847" s="16" t="n">
        <x:v>12.61</x:v>
      </x:c>
      <x:c r="O1847" s="16" t="n">
        <x:f>K1847*M1847</x:f>
        <x:v>390</x:v>
      </x:c>
      <x:c r="P1847" s="16" t="n">
        <x:f>K1847*N1847</x:f>
        <x:v>189.14999999999998</x:v>
      </x:c>
      <x:c r="Q1847" s="16" t="n">
        <x:f>O1847-P1847</x:f>
        <x:v>200.85000000000002</x:v>
      </x:c>
      <x:c r="R1847" s="2" t="n">
        <x:v>139</x:v>
      </x:c>
      <x:c r="S1847" s="2" t="n">
        <x:v>0</x:v>
      </x:c>
      <x:c r="T1847" s="2" t="n">
        <x:f>R1847+S1847+J1847-I1847</x:f>
        <x:v>124</x:v>
      </x:c>
      <x:c r="U1847" s="2" t="n">
        <x:v>0</x:v>
      </x:c>
      <x:c r="V1847" s="2" t="n">
        <x:v>4</x:v>
      </x:c>
      <x:c r="W1847" s="2" t="n">
        <x:v>14</x:v>
      </x:c>
      <x:c r="X1847" s="14" t="b">
        <x:v>0</x:v>
      </x:c>
      <x:c r="Y1847" s="14" t="b">
        <x:v>0</x:v>
      </x:c>
      <x:c r="Z1847" s="2" t="n">
        <x:f>ABS(T1847-AA1847)</x:f>
        <x:v>0</x:v>
      </x:c>
      <x:c r="AA1847" s="2" t="n">
        <x:v>124</x:v>
      </x:c>
      <x:c r="AB1847" s="2" t="n">
        <x:f>ABS(K1847-W1847)</x:f>
        <x:v>1</x:v>
      </x:c>
      <x:c r="AC1847" s="2" t="n">
        <x:f>COUNTIF($A$2:$A$1921,A1847)-1</x:f>
        <x:v>0</x:v>
      </x:c>
      <x:c r="AD1847" s="2" t="n">
        <x:f>IF(AND(D1847=D1846,H1847=H1846,C1847=C1846+1),ABS(R1847-T1846),0)</x:f>
        <x:v>0</x:v>
      </x:c>
    </x:row>
    <x:row r="1848" ht="23" customHeight="1">
      <x:c r="A1848" s="2" t="str">
        <x:v>DEMO-406-0-7</x:v>
      </x:c>
      <x:c r="B1848" s="15" t="d">
        <x:v>2026-06-15T00:00:00.000Z</x:v>
      </x:c>
      <x:c r="C1848" s="2" t="n">
        <x:v>7</x:v>
      </x:c>
      <x:c r="D1848" s="2" t="str">
        <x:v>DEMO-406</x:v>
      </x:c>
      <x:c r="E1848" s="2" t="str">
        <x:v>Mini Zip Case</x:v>
      </x:c>
      <x:c r="F1848" s="2" t="str">
        <x:v>Accessories</x:v>
      </x:c>
      <x:c r="G1848" s="2" t="str">
        <x:v>Stores</x:v>
      </x:c>
      <x:c r="H1848" s="2" t="str">
        <x:v>North Arcade</x:v>
      </x:c>
      <x:c r="I1848" s="2" t="n">
        <x:v>16</x:v>
      </x:c>
      <x:c r="J1848" s="2" t="n">
        <x:v>0</x:v>
      </x:c>
      <x:c r="K1848" s="2" t="n">
        <x:f>I1848-J1848</x:f>
        <x:v>16</x:v>
      </x:c>
      <x:c r="L1848" s="16" t="n">
        <x:v>26</x:v>
      </x:c>
      <x:c r="M1848" s="16" t="n">
        <x:v>26</x:v>
      </x:c>
      <x:c r="N1848" s="16" t="n">
        <x:v>12.61</x:v>
      </x:c>
      <x:c r="O1848" s="16" t="n">
        <x:f>K1848*M1848</x:f>
        <x:v>416</x:v>
      </x:c>
      <x:c r="P1848" s="16" t="n">
        <x:f>K1848*N1848</x:f>
        <x:v>201.76</x:v>
      </x:c>
      <x:c r="Q1848" s="16" t="n">
        <x:f>O1848-P1848</x:f>
        <x:v>214.24</x:v>
      </x:c>
      <x:c r="R1848" s="2" t="n">
        <x:v>124</x:v>
      </x:c>
      <x:c r="S1848" s="2" t="n">
        <x:v>0</x:v>
      </x:c>
      <x:c r="T1848" s="2" t="n">
        <x:f>R1848+S1848+J1848-I1848</x:f>
        <x:v>108</x:v>
      </x:c>
      <x:c r="U1848" s="2" t="n">
        <x:v>0</x:v>
      </x:c>
      <x:c r="V1848" s="2" t="n">
        <x:v>4</x:v>
      </x:c>
      <x:c r="W1848" s="2" t="n">
        <x:v>14</x:v>
      </x:c>
      <x:c r="X1848" s="14" t="b">
        <x:v>0</x:v>
      </x:c>
      <x:c r="Y1848" s="14" t="b">
        <x:v>0</x:v>
      </x:c>
      <x:c r="Z1848" s="2" t="n">
        <x:f>ABS(T1848-AA1848)</x:f>
        <x:v>0</x:v>
      </x:c>
      <x:c r="AA1848" s="2" t="n">
        <x:v>108</x:v>
      </x:c>
      <x:c r="AB1848" s="2" t="n">
        <x:f>ABS(K1848-W1848)</x:f>
        <x:v>2</x:v>
      </x:c>
      <x:c r="AC1848" s="2" t="n">
        <x:f>COUNTIF($A$2:$A$1921,A1848)-1</x:f>
        <x:v>0</x:v>
      </x:c>
      <x:c r="AD1848" s="2" t="n">
        <x:f>IF(AND(D1848=D1847,H1848=H1847,C1848=C1847+1),ABS(R1848-T1847),0)</x:f>
        <x:v>0</x:v>
      </x:c>
    </x:row>
    <x:row r="1849" ht="23" customHeight="1">
      <x:c r="A1849" s="2" t="str">
        <x:v>DEMO-406-0-8</x:v>
      </x:c>
      <x:c r="B1849" s="15" t="d">
        <x:v>2026-06-22T00:00:00.000Z</x:v>
      </x:c>
      <x:c r="C1849" s="2" t="n">
        <x:v>8</x:v>
      </x:c>
      <x:c r="D1849" s="2" t="str">
        <x:v>DEMO-406</x:v>
      </x:c>
      <x:c r="E1849" s="2" t="str">
        <x:v>Mini Zip Case</x:v>
      </x:c>
      <x:c r="F1849" s="2" t="str">
        <x:v>Accessories</x:v>
      </x:c>
      <x:c r="G1849" s="2" t="str">
        <x:v>Stores</x:v>
      </x:c>
      <x:c r="H1849" s="2" t="str">
        <x:v>North Arcade</x:v>
      </x:c>
      <x:c r="I1849" s="2" t="n">
        <x:v>13</x:v>
      </x:c>
      <x:c r="J1849" s="2" t="n">
        <x:v>1</x:v>
      </x:c>
      <x:c r="K1849" s="2" t="n">
        <x:f>I1849-J1849</x:f>
        <x:v>12</x:v>
      </x:c>
      <x:c r="L1849" s="16" t="n">
        <x:v>26</x:v>
      </x:c>
      <x:c r="M1849" s="16" t="n">
        <x:v>26</x:v>
      </x:c>
      <x:c r="N1849" s="16" t="n">
        <x:v>12.61</x:v>
      </x:c>
      <x:c r="O1849" s="16" t="n">
        <x:f>K1849*M1849</x:f>
        <x:v>312</x:v>
      </x:c>
      <x:c r="P1849" s="16" t="n">
        <x:f>K1849*N1849</x:f>
        <x:v>151.32</x:v>
      </x:c>
      <x:c r="Q1849" s="16" t="n">
        <x:f>O1849-P1849</x:f>
        <x:v>160.68</x:v>
      </x:c>
      <x:c r="R1849" s="2" t="n">
        <x:v>108</x:v>
      </x:c>
      <x:c r="S1849" s="2" t="n">
        <x:v>0</x:v>
      </x:c>
      <x:c r="T1849" s="2" t="n">
        <x:f>R1849+S1849+J1849-I1849</x:f>
        <x:v>96</x:v>
      </x:c>
      <x:c r="U1849" s="2" t="n">
        <x:v>0</x:v>
      </x:c>
      <x:c r="V1849" s="2" t="n">
        <x:v>4</x:v>
      </x:c>
      <x:c r="W1849" s="2" t="n">
        <x:v>16</x:v>
      </x:c>
      <x:c r="X1849" s="14" t="b">
        <x:v>0</x:v>
      </x:c>
      <x:c r="Y1849" s="14" t="b">
        <x:v>0</x:v>
      </x:c>
      <x:c r="Z1849" s="2" t="n">
        <x:f>ABS(T1849-AA1849)</x:f>
        <x:v>0</x:v>
      </x:c>
      <x:c r="AA1849" s="2" t="n">
        <x:v>96</x:v>
      </x:c>
      <x:c r="AB1849" s="2" t="n">
        <x:f>ABS(K1849-W1849)</x:f>
        <x:v>4</x:v>
      </x:c>
      <x:c r="AC1849" s="2" t="n">
        <x:f>COUNTIF($A$2:$A$1921,A1849)-1</x:f>
        <x:v>0</x:v>
      </x:c>
      <x:c r="AD1849" s="2" t="n">
        <x:f>IF(AND(D1849=D1848,H1849=H1848,C1849=C1848+1),ABS(R1849-T1848),0)</x:f>
        <x:v>0</x:v>
      </x:c>
    </x:row>
    <x:row r="1850" ht="23" customHeight="1">
      <x:c r="A1850" s="2" t="str">
        <x:v>DEMO-406-0-9</x:v>
      </x:c>
      <x:c r="B1850" s="15" t="d">
        <x:v>2026-06-29T00:00:00.000Z</x:v>
      </x:c>
      <x:c r="C1850" s="2" t="n">
        <x:v>9</x:v>
      </x:c>
      <x:c r="D1850" s="2" t="str">
        <x:v>DEMO-406</x:v>
      </x:c>
      <x:c r="E1850" s="2" t="str">
        <x:v>Mini Zip Case</x:v>
      </x:c>
      <x:c r="F1850" s="2" t="str">
        <x:v>Accessories</x:v>
      </x:c>
      <x:c r="G1850" s="2" t="str">
        <x:v>Stores</x:v>
      </x:c>
      <x:c r="H1850" s="2" t="str">
        <x:v>North Arcade</x:v>
      </x:c>
      <x:c r="I1850" s="2" t="n">
        <x:v>12</x:v>
      </x:c>
      <x:c r="J1850" s="2" t="n">
        <x:v>0</x:v>
      </x:c>
      <x:c r="K1850" s="2" t="n">
        <x:f>I1850-J1850</x:f>
        <x:v>12</x:v>
      </x:c>
      <x:c r="L1850" s="16" t="n">
        <x:v>26</x:v>
      </x:c>
      <x:c r="M1850" s="16" t="n">
        <x:v>26</x:v>
      </x:c>
      <x:c r="N1850" s="16" t="n">
        <x:v>12.61</x:v>
      </x:c>
      <x:c r="O1850" s="16" t="n">
        <x:f>K1850*M1850</x:f>
        <x:v>312</x:v>
      </x:c>
      <x:c r="P1850" s="16" t="n">
        <x:f>K1850*N1850</x:f>
        <x:v>151.32</x:v>
      </x:c>
      <x:c r="Q1850" s="16" t="n">
        <x:f>O1850-P1850</x:f>
        <x:v>160.68</x:v>
      </x:c>
      <x:c r="R1850" s="2" t="n">
        <x:v>96</x:v>
      </x:c>
      <x:c r="S1850" s="2" t="n">
        <x:v>59</x:v>
      </x:c>
      <x:c r="T1850" s="2" t="n">
        <x:f>R1850+S1850+J1850-I1850</x:f>
        <x:v>143</x:v>
      </x:c>
      <x:c r="U1850" s="2" t="n">
        <x:v>0</x:v>
      </x:c>
      <x:c r="V1850" s="2" t="n">
        <x:v>4</x:v>
      </x:c>
      <x:c r="W1850" s="2" t="n">
        <x:v>14</x:v>
      </x:c>
      <x:c r="X1850" s="14" t="b">
        <x:v>0</x:v>
      </x:c>
      <x:c r="Y1850" s="14" t="b">
        <x:v>0</x:v>
      </x:c>
      <x:c r="Z1850" s="2" t="n">
        <x:f>ABS(T1850-AA1850)</x:f>
        <x:v>0</x:v>
      </x:c>
      <x:c r="AA1850" s="2" t="n">
        <x:v>143</x:v>
      </x:c>
      <x:c r="AB1850" s="2" t="n">
        <x:f>ABS(K1850-W1850)</x:f>
        <x:v>2</x:v>
      </x:c>
      <x:c r="AC1850" s="2" t="n">
        <x:f>COUNTIF($A$2:$A$1921,A1850)-1</x:f>
        <x:v>0</x:v>
      </x:c>
      <x:c r="AD1850" s="2" t="n">
        <x:f>IF(AND(D1850=D1849,H1850=H1849,C1850=C1849+1),ABS(R1850-T1849),0)</x:f>
        <x:v>0</x:v>
      </x:c>
    </x:row>
    <x:row r="1851" ht="23" customHeight="1">
      <x:c r="A1851" s="2" t="str">
        <x:v>DEMO-406-0-10</x:v>
      </x:c>
      <x:c r="B1851" s="15" t="d">
        <x:v>2026-07-06T00:00:00.000Z</x:v>
      </x:c>
      <x:c r="C1851" s="2" t="n">
        <x:v>10</x:v>
      </x:c>
      <x:c r="D1851" s="2" t="str">
        <x:v>DEMO-406</x:v>
      </x:c>
      <x:c r="E1851" s="2" t="str">
        <x:v>Mini Zip Case</x:v>
      </x:c>
      <x:c r="F1851" s="2" t="str">
        <x:v>Accessories</x:v>
      </x:c>
      <x:c r="G1851" s="2" t="str">
        <x:v>Stores</x:v>
      </x:c>
      <x:c r="H1851" s="2" t="str">
        <x:v>North Arcade</x:v>
      </x:c>
      <x:c r="I1851" s="2" t="n">
        <x:v>13</x:v>
      </x:c>
      <x:c r="J1851" s="2" t="n">
        <x:v>0</x:v>
      </x:c>
      <x:c r="K1851" s="2" t="n">
        <x:f>I1851-J1851</x:f>
        <x:v>13</x:v>
      </x:c>
      <x:c r="L1851" s="16" t="n">
        <x:v>26</x:v>
      </x:c>
      <x:c r="M1851" s="16" t="n">
        <x:v>26</x:v>
      </x:c>
      <x:c r="N1851" s="16" t="n">
        <x:v>12.61</x:v>
      </x:c>
      <x:c r="O1851" s="16" t="n">
        <x:f>K1851*M1851</x:f>
        <x:v>338</x:v>
      </x:c>
      <x:c r="P1851" s="16" t="n">
        <x:f>K1851*N1851</x:f>
        <x:v>163.93</x:v>
      </x:c>
      <x:c r="Q1851" s="16" t="n">
        <x:f>O1851-P1851</x:f>
        <x:v>174.07</x:v>
      </x:c>
      <x:c r="R1851" s="2" t="n">
        <x:v>143</x:v>
      </x:c>
      <x:c r="S1851" s="2" t="n">
        <x:v>0</x:v>
      </x:c>
      <x:c r="T1851" s="2" t="n">
        <x:f>R1851+S1851+J1851-I1851</x:f>
        <x:v>130</x:v>
      </x:c>
      <x:c r="U1851" s="2" t="n">
        <x:v>0</x:v>
      </x:c>
      <x:c r="V1851" s="2" t="n">
        <x:v>4</x:v>
      </x:c>
      <x:c r="W1851" s="2" t="n">
        <x:v>14</x:v>
      </x:c>
      <x:c r="X1851" s="14" t="b">
        <x:v>0</x:v>
      </x:c>
      <x:c r="Y1851" s="14" t="b">
        <x:v>0</x:v>
      </x:c>
      <x:c r="Z1851" s="2" t="n">
        <x:f>ABS(T1851-AA1851)</x:f>
        <x:v>0</x:v>
      </x:c>
      <x:c r="AA1851" s="2" t="n">
        <x:v>130</x:v>
      </x:c>
      <x:c r="AB1851" s="2" t="n">
        <x:f>ABS(K1851-W1851)</x:f>
        <x:v>1</x:v>
      </x:c>
      <x:c r="AC1851" s="2" t="n">
        <x:f>COUNTIF($A$2:$A$1921,A1851)-1</x:f>
        <x:v>0</x:v>
      </x:c>
      <x:c r="AD1851" s="2" t="n">
        <x:f>IF(AND(D1851=D1850,H1851=H1850,C1851=C1850+1),ABS(R1851-T1850),0)</x:f>
        <x:v>0</x:v>
      </x:c>
    </x:row>
    <x:row r="1852" ht="23" customHeight="1">
      <x:c r="A1852" s="2" t="str">
        <x:v>DEMO-406-0-11</x:v>
      </x:c>
      <x:c r="B1852" s="15" t="d">
        <x:v>2026-07-13T00:00:00.000Z</x:v>
      </x:c>
      <x:c r="C1852" s="2" t="n">
        <x:v>11</x:v>
      </x:c>
      <x:c r="D1852" s="2" t="str">
        <x:v>DEMO-406</x:v>
      </x:c>
      <x:c r="E1852" s="2" t="str">
        <x:v>Mini Zip Case</x:v>
      </x:c>
      <x:c r="F1852" s="2" t="str">
        <x:v>Accessories</x:v>
      </x:c>
      <x:c r="G1852" s="2" t="str">
        <x:v>Stores</x:v>
      </x:c>
      <x:c r="H1852" s="2" t="str">
        <x:v>North Arcade</x:v>
      </x:c>
      <x:c r="I1852" s="2" t="n">
        <x:v>16</x:v>
      </x:c>
      <x:c r="J1852" s="2" t="n">
        <x:v>0</x:v>
      </x:c>
      <x:c r="K1852" s="2" t="n">
        <x:f>I1852-J1852</x:f>
        <x:v>16</x:v>
      </x:c>
      <x:c r="L1852" s="16" t="n">
        <x:v>26</x:v>
      </x:c>
      <x:c r="M1852" s="16" t="n">
        <x:v>26</x:v>
      </x:c>
      <x:c r="N1852" s="16" t="n">
        <x:v>12.61</x:v>
      </x:c>
      <x:c r="O1852" s="16" t="n">
        <x:f>K1852*M1852</x:f>
        <x:v>416</x:v>
      </x:c>
      <x:c r="P1852" s="16" t="n">
        <x:f>K1852*N1852</x:f>
        <x:v>201.76</x:v>
      </x:c>
      <x:c r="Q1852" s="16" t="n">
        <x:f>O1852-P1852</x:f>
        <x:v>214.24</x:v>
      </x:c>
      <x:c r="R1852" s="2" t="n">
        <x:v>130</x:v>
      </x:c>
      <x:c r="S1852" s="2" t="n">
        <x:v>0</x:v>
      </x:c>
      <x:c r="T1852" s="2" t="n">
        <x:f>R1852+S1852+J1852-I1852</x:f>
        <x:v>114</x:v>
      </x:c>
      <x:c r="U1852" s="2" t="n">
        <x:v>0</x:v>
      </x:c>
      <x:c r="V1852" s="2" t="n">
        <x:v>4</x:v>
      </x:c>
      <x:c r="W1852" s="2" t="n">
        <x:v>13</x:v>
      </x:c>
      <x:c r="X1852" s="14" t="b">
        <x:v>0</x:v>
      </x:c>
      <x:c r="Y1852" s="14" t="b">
        <x:v>0</x:v>
      </x:c>
      <x:c r="Z1852" s="2" t="n">
        <x:f>ABS(T1852-AA1852)</x:f>
        <x:v>0</x:v>
      </x:c>
      <x:c r="AA1852" s="2" t="n">
        <x:v>114</x:v>
      </x:c>
      <x:c r="AB1852" s="2" t="n">
        <x:f>ABS(K1852-W1852)</x:f>
        <x:v>3</x:v>
      </x:c>
      <x:c r="AC1852" s="2" t="n">
        <x:f>COUNTIF($A$2:$A$1921,A1852)-1</x:f>
        <x:v>0</x:v>
      </x:c>
      <x:c r="AD1852" s="2" t="n">
        <x:f>IF(AND(D1852=D1851,H1852=H1851,C1852=C1851+1),ABS(R1852-T1851),0)</x:f>
        <x:v>0</x:v>
      </x:c>
    </x:row>
    <x:row r="1853" ht="23" customHeight="1">
      <x:c r="A1853" s="2" t="str">
        <x:v>DEMO-406-0-12</x:v>
      </x:c>
      <x:c r="B1853" s="15" t="d">
        <x:v>2026-07-20T00:00:00.000Z</x:v>
      </x:c>
      <x:c r="C1853" s="2" t="n">
        <x:v>12</x:v>
      </x:c>
      <x:c r="D1853" s="2" t="str">
        <x:v>DEMO-406</x:v>
      </x:c>
      <x:c r="E1853" s="2" t="str">
        <x:v>Mini Zip Case</x:v>
      </x:c>
      <x:c r="F1853" s="2" t="str">
        <x:v>Accessories</x:v>
      </x:c>
      <x:c r="G1853" s="2" t="str">
        <x:v>Stores</x:v>
      </x:c>
      <x:c r="H1853" s="2" t="str">
        <x:v>North Arcade</x:v>
      </x:c>
      <x:c r="I1853" s="2" t="n">
        <x:v>16</x:v>
      </x:c>
      <x:c r="J1853" s="2" t="n">
        <x:v>0</x:v>
      </x:c>
      <x:c r="K1853" s="2" t="n">
        <x:f>I1853-J1853</x:f>
        <x:v>16</x:v>
      </x:c>
      <x:c r="L1853" s="16" t="n">
        <x:v>26</x:v>
      </x:c>
      <x:c r="M1853" s="16" t="n">
        <x:v>26</x:v>
      </x:c>
      <x:c r="N1853" s="16" t="n">
        <x:v>12.61</x:v>
      </x:c>
      <x:c r="O1853" s="16" t="n">
        <x:f>K1853*M1853</x:f>
        <x:v>416</x:v>
      </x:c>
      <x:c r="P1853" s="16" t="n">
        <x:f>K1853*N1853</x:f>
        <x:v>201.76</x:v>
      </x:c>
      <x:c r="Q1853" s="16" t="n">
        <x:f>O1853-P1853</x:f>
        <x:v>214.24</x:v>
      </x:c>
      <x:c r="R1853" s="2" t="n">
        <x:v>114</x:v>
      </x:c>
      <x:c r="S1853" s="2" t="n">
        <x:v>0</x:v>
      </x:c>
      <x:c r="T1853" s="2" t="n">
        <x:f>R1853+S1853+J1853-I1853</x:f>
        <x:v>98</x:v>
      </x:c>
      <x:c r="U1853" s="2" t="n">
        <x:v>0</x:v>
      </x:c>
      <x:c r="V1853" s="2" t="n">
        <x:v>4</x:v>
      </x:c>
      <x:c r="W1853" s="2" t="n">
        <x:v>13</x:v>
      </x:c>
      <x:c r="X1853" s="14" t="b">
        <x:v>0</x:v>
      </x:c>
      <x:c r="Y1853" s="14" t="b">
        <x:v>0</x:v>
      </x:c>
      <x:c r="Z1853" s="2" t="n">
        <x:f>ABS(T1853-AA1853)</x:f>
        <x:v>0</x:v>
      </x:c>
      <x:c r="AA1853" s="2" t="n">
        <x:v>98</x:v>
      </x:c>
      <x:c r="AB1853" s="2" t="n">
        <x:f>ABS(K1853-W1853)</x:f>
        <x:v>3</x:v>
      </x:c>
      <x:c r="AC1853" s="2" t="n">
        <x:f>COUNTIF($A$2:$A$1921,A1853)-1</x:f>
        <x:v>0</x:v>
      </x:c>
      <x:c r="AD1853" s="2" t="n">
        <x:f>IF(AND(D1853=D1852,H1853=H1852,C1853=C1852+1),ABS(R1853-T1852),0)</x:f>
        <x:v>0</x:v>
      </x:c>
    </x:row>
    <x:row r="1854" ht="23" customHeight="1">
      <x:c r="A1854" s="2" t="str">
        <x:v>DEMO-406-0-13</x:v>
      </x:c>
      <x:c r="B1854" s="15" t="d">
        <x:v>2026-07-27T00:00:00.000Z</x:v>
      </x:c>
      <x:c r="C1854" s="2" t="n">
        <x:v>13</x:v>
      </x:c>
      <x:c r="D1854" s="2" t="str">
        <x:v>DEMO-406</x:v>
      </x:c>
      <x:c r="E1854" s="2" t="str">
        <x:v>Mini Zip Case</x:v>
      </x:c>
      <x:c r="F1854" s="2" t="str">
        <x:v>Accessories</x:v>
      </x:c>
      <x:c r="G1854" s="2" t="str">
        <x:v>Stores</x:v>
      </x:c>
      <x:c r="H1854" s="2" t="str">
        <x:v>North Arcade</x:v>
      </x:c>
      <x:c r="I1854" s="2" t="n">
        <x:v>15</x:v>
      </x:c>
      <x:c r="J1854" s="2" t="n">
        <x:v>1</x:v>
      </x:c>
      <x:c r="K1854" s="2" t="n">
        <x:f>I1854-J1854</x:f>
        <x:v>14</x:v>
      </x:c>
      <x:c r="L1854" s="16" t="n">
        <x:v>26</x:v>
      </x:c>
      <x:c r="M1854" s="16" t="n">
        <x:v>26</x:v>
      </x:c>
      <x:c r="N1854" s="16" t="n">
        <x:v>12.61</x:v>
      </x:c>
      <x:c r="O1854" s="16" t="n">
        <x:f>K1854*M1854</x:f>
        <x:v>364</x:v>
      </x:c>
      <x:c r="P1854" s="16" t="n">
        <x:f>K1854*N1854</x:f>
        <x:v>176.54</x:v>
      </x:c>
      <x:c r="Q1854" s="16" t="n">
        <x:f>O1854-P1854</x:f>
        <x:v>187.46</x:v>
      </x:c>
      <x:c r="R1854" s="2" t="n">
        <x:v>98</x:v>
      </x:c>
      <x:c r="S1854" s="2" t="n">
        <x:v>59</x:v>
      </x:c>
      <x:c r="T1854" s="2" t="n">
        <x:f>R1854+S1854+J1854-I1854</x:f>
        <x:v>143</x:v>
      </x:c>
      <x:c r="U1854" s="2" t="n">
        <x:v>0</x:v>
      </x:c>
      <x:c r="V1854" s="2" t="n">
        <x:v>4</x:v>
      </x:c>
      <x:c r="W1854" s="2" t="n">
        <x:v>14</x:v>
      </x:c>
      <x:c r="X1854" s="14" t="b">
        <x:v>0</x:v>
      </x:c>
      <x:c r="Y1854" s="14" t="b">
        <x:v>0</x:v>
      </x:c>
      <x:c r="Z1854" s="2" t="n">
        <x:f>ABS(T1854-AA1854)</x:f>
        <x:v>0</x:v>
      </x:c>
      <x:c r="AA1854" s="2" t="n">
        <x:v>143</x:v>
      </x:c>
      <x:c r="AB1854" s="2" t="n">
        <x:f>ABS(K1854-W1854)</x:f>
        <x:v>0</x:v>
      </x:c>
      <x:c r="AC1854" s="2" t="n">
        <x:f>COUNTIF($A$2:$A$1921,A1854)-1</x:f>
        <x:v>0</x:v>
      </x:c>
      <x:c r="AD1854" s="2" t="n">
        <x:f>IF(AND(D1854=D1853,H1854=H1853,C1854=C1853+1),ABS(R1854-T1853),0)</x:f>
        <x:v>0</x:v>
      </x:c>
    </x:row>
    <x:row r="1855" ht="23" customHeight="1">
      <x:c r="A1855" s="2" t="str">
        <x:v>DEMO-406-0-14</x:v>
      </x:c>
      <x:c r="B1855" s="15" t="d">
        <x:v>2026-08-03T00:00:00.000Z</x:v>
      </x:c>
      <x:c r="C1855" s="2" t="n">
        <x:v>14</x:v>
      </x:c>
      <x:c r="D1855" s="2" t="str">
        <x:v>DEMO-406</x:v>
      </x:c>
      <x:c r="E1855" s="2" t="str">
        <x:v>Mini Zip Case</x:v>
      </x:c>
      <x:c r="F1855" s="2" t="str">
        <x:v>Accessories</x:v>
      </x:c>
      <x:c r="G1855" s="2" t="str">
        <x:v>Stores</x:v>
      </x:c>
      <x:c r="H1855" s="2" t="str">
        <x:v>North Arcade</x:v>
      </x:c>
      <x:c r="I1855" s="2" t="n">
        <x:v>16</x:v>
      </x:c>
      <x:c r="J1855" s="2" t="n">
        <x:v>0</x:v>
      </x:c>
      <x:c r="K1855" s="2" t="n">
        <x:f>I1855-J1855</x:f>
        <x:v>16</x:v>
      </x:c>
      <x:c r="L1855" s="16" t="n">
        <x:v>26</x:v>
      </x:c>
      <x:c r="M1855" s="16" t="n">
        <x:v>26</x:v>
      </x:c>
      <x:c r="N1855" s="16" t="n">
        <x:v>12.61</x:v>
      </x:c>
      <x:c r="O1855" s="16" t="n">
        <x:f>K1855*M1855</x:f>
        <x:v>416</x:v>
      </x:c>
      <x:c r="P1855" s="16" t="n">
        <x:f>K1855*N1855</x:f>
        <x:v>201.76</x:v>
      </x:c>
      <x:c r="Q1855" s="16" t="n">
        <x:f>O1855-P1855</x:f>
        <x:v>214.24</x:v>
      </x:c>
      <x:c r="R1855" s="2" t="n">
        <x:v>143</x:v>
      </x:c>
      <x:c r="S1855" s="2" t="n">
        <x:v>0</x:v>
      </x:c>
      <x:c r="T1855" s="2" t="n">
        <x:f>R1855+S1855+J1855-I1855</x:f>
        <x:v>127</x:v>
      </x:c>
      <x:c r="U1855" s="2" t="n">
        <x:v>0</x:v>
      </x:c>
      <x:c r="V1855" s="2" t="n">
        <x:v>4</x:v>
      </x:c>
      <x:c r="W1855" s="2" t="n">
        <x:v>15</x:v>
      </x:c>
      <x:c r="X1855" s="14" t="b">
        <x:v>0</x:v>
      </x:c>
      <x:c r="Y1855" s="14" t="b">
        <x:v>0</x:v>
      </x:c>
      <x:c r="Z1855" s="2" t="n">
        <x:f>ABS(T1855-AA1855)</x:f>
        <x:v>0</x:v>
      </x:c>
      <x:c r="AA1855" s="2" t="n">
        <x:v>127</x:v>
      </x:c>
      <x:c r="AB1855" s="2" t="n">
        <x:f>ABS(K1855-W1855)</x:f>
        <x:v>1</x:v>
      </x:c>
      <x:c r="AC1855" s="2" t="n">
        <x:f>COUNTIF($A$2:$A$1921,A1855)-1</x:f>
        <x:v>0</x:v>
      </x:c>
      <x:c r="AD1855" s="2" t="n">
        <x:f>IF(AND(D1855=D1854,H1855=H1854,C1855=C1854+1),ABS(R1855-T1854),0)</x:f>
        <x:v>0</x:v>
      </x:c>
    </x:row>
    <x:row r="1856" ht="23" customHeight="1">
      <x:c r="A1856" s="2" t="str">
        <x:v>DEMO-406-0-15</x:v>
      </x:c>
      <x:c r="B1856" s="15" t="d">
        <x:v>2026-08-10T00:00:00.000Z</x:v>
      </x:c>
      <x:c r="C1856" s="2" t="n">
        <x:v>15</x:v>
      </x:c>
      <x:c r="D1856" s="2" t="str">
        <x:v>DEMO-406</x:v>
      </x:c>
      <x:c r="E1856" s="2" t="str">
        <x:v>Mini Zip Case</x:v>
      </x:c>
      <x:c r="F1856" s="2" t="str">
        <x:v>Accessories</x:v>
      </x:c>
      <x:c r="G1856" s="2" t="str">
        <x:v>Stores</x:v>
      </x:c>
      <x:c r="H1856" s="2" t="str">
        <x:v>North Arcade</x:v>
      </x:c>
      <x:c r="I1856" s="2" t="n">
        <x:v>14</x:v>
      </x:c>
      <x:c r="J1856" s="2" t="n">
        <x:v>0</x:v>
      </x:c>
      <x:c r="K1856" s="2" t="n">
        <x:f>I1856-J1856</x:f>
        <x:v>14</x:v>
      </x:c>
      <x:c r="L1856" s="16" t="n">
        <x:v>26</x:v>
      </x:c>
      <x:c r="M1856" s="16" t="n">
        <x:v>26</x:v>
      </x:c>
      <x:c r="N1856" s="16" t="n">
        <x:v>12.61</x:v>
      </x:c>
      <x:c r="O1856" s="16" t="n">
        <x:f>K1856*M1856</x:f>
        <x:v>364</x:v>
      </x:c>
      <x:c r="P1856" s="16" t="n">
        <x:f>K1856*N1856</x:f>
        <x:v>176.54</x:v>
      </x:c>
      <x:c r="Q1856" s="16" t="n">
        <x:f>O1856-P1856</x:f>
        <x:v>187.46</x:v>
      </x:c>
      <x:c r="R1856" s="2" t="n">
        <x:v>127</x:v>
      </x:c>
      <x:c r="S1856" s="2" t="n">
        <x:v>0</x:v>
      </x:c>
      <x:c r="T1856" s="2" t="n">
        <x:f>R1856+S1856+J1856-I1856</x:f>
        <x:v>113</x:v>
      </x:c>
      <x:c r="U1856" s="2" t="n">
        <x:v>0</x:v>
      </x:c>
      <x:c r="V1856" s="2" t="n">
        <x:v>4</x:v>
      </x:c>
      <x:c r="W1856" s="2" t="n">
        <x:v>16</x:v>
      </x:c>
      <x:c r="X1856" s="14" t="b">
        <x:v>0</x:v>
      </x:c>
      <x:c r="Y1856" s="14" t="b">
        <x:v>0</x:v>
      </x:c>
      <x:c r="Z1856" s="2" t="n">
        <x:f>ABS(T1856-AA1856)</x:f>
        <x:v>0</x:v>
      </x:c>
      <x:c r="AA1856" s="2" t="n">
        <x:v>113</x:v>
      </x:c>
      <x:c r="AB1856" s="2" t="n">
        <x:f>ABS(K1856-W1856)</x:f>
        <x:v>2</x:v>
      </x:c>
      <x:c r="AC1856" s="2" t="n">
        <x:f>COUNTIF($A$2:$A$1921,A1856)-1</x:f>
        <x:v>0</x:v>
      </x:c>
      <x:c r="AD1856" s="2" t="n">
        <x:f>IF(AND(D1856=D1855,H1856=H1855,C1856=C1855+1),ABS(R1856-T1855),0)</x:f>
        <x:v>0</x:v>
      </x:c>
    </x:row>
    <x:row r="1857" ht="23" customHeight="1">
      <x:c r="A1857" s="2" t="str">
        <x:v>DEMO-406-0-16</x:v>
      </x:c>
      <x:c r="B1857" s="15" t="d">
        <x:v>2026-08-17T00:00:00.000Z</x:v>
      </x:c>
      <x:c r="C1857" s="2" t="n">
        <x:v>16</x:v>
      </x:c>
      <x:c r="D1857" s="2" t="str">
        <x:v>DEMO-406</x:v>
      </x:c>
      <x:c r="E1857" s="2" t="str">
        <x:v>Mini Zip Case</x:v>
      </x:c>
      <x:c r="F1857" s="2" t="str">
        <x:v>Accessories</x:v>
      </x:c>
      <x:c r="G1857" s="2" t="str">
        <x:v>Stores</x:v>
      </x:c>
      <x:c r="H1857" s="2" t="str">
        <x:v>North Arcade</x:v>
      </x:c>
      <x:c r="I1857" s="2" t="n">
        <x:v>12</x:v>
      </x:c>
      <x:c r="J1857" s="2" t="n">
        <x:v>1</x:v>
      </x:c>
      <x:c r="K1857" s="2" t="n">
        <x:f>I1857-J1857</x:f>
        <x:v>11</x:v>
      </x:c>
      <x:c r="L1857" s="16" t="n">
        <x:v>26</x:v>
      </x:c>
      <x:c r="M1857" s="16" t="n">
        <x:v>26</x:v>
      </x:c>
      <x:c r="N1857" s="16" t="n">
        <x:v>12.61</x:v>
      </x:c>
      <x:c r="O1857" s="16" t="n">
        <x:f>K1857*M1857</x:f>
        <x:v>286</x:v>
      </x:c>
      <x:c r="P1857" s="16" t="n">
        <x:f>K1857*N1857</x:f>
        <x:v>138.70999999999998</x:v>
      </x:c>
      <x:c r="Q1857" s="16" t="n">
        <x:f>O1857-P1857</x:f>
        <x:v>147.29000000000002</x:v>
      </x:c>
      <x:c r="R1857" s="2" t="n">
        <x:v>113</x:v>
      </x:c>
      <x:c r="S1857" s="2" t="n">
        <x:v>0</x:v>
      </x:c>
      <x:c r="T1857" s="2" t="n">
        <x:f>R1857+S1857+J1857-I1857</x:f>
        <x:v>102</x:v>
      </x:c>
      <x:c r="U1857" s="2" t="n">
        <x:v>0</x:v>
      </x:c>
      <x:c r="V1857" s="2" t="n">
        <x:v>4</x:v>
      </x:c>
      <x:c r="W1857" s="2" t="n">
        <x:v>15</x:v>
      </x:c>
      <x:c r="X1857" s="14" t="b">
        <x:v>0</x:v>
      </x:c>
      <x:c r="Y1857" s="14" t="b">
        <x:v>0</x:v>
      </x:c>
      <x:c r="Z1857" s="2" t="n">
        <x:f>ABS(T1857-AA1857)</x:f>
        <x:v>0</x:v>
      </x:c>
      <x:c r="AA1857" s="2" t="n">
        <x:v>102</x:v>
      </x:c>
      <x:c r="AB1857" s="2" t="n">
        <x:f>ABS(K1857-W1857)</x:f>
        <x:v>4</x:v>
      </x:c>
      <x:c r="AC1857" s="2" t="n">
        <x:f>COUNTIF($A$2:$A$1921,A1857)-1</x:f>
        <x:v>0</x:v>
      </x:c>
      <x:c r="AD1857" s="2" t="n">
        <x:f>IF(AND(D1857=D1856,H1857=H1856,C1857=C1856+1),ABS(R1857-T1856),0)</x:f>
        <x:v>0</x:v>
      </x:c>
    </x:row>
    <x:row r="1858" ht="23" customHeight="1">
      <x:c r="A1858" s="2" t="str">
        <x:v>DEMO-406-0-17</x:v>
      </x:c>
      <x:c r="B1858" s="15" t="d">
        <x:v>2026-08-24T00:00:00.000Z</x:v>
      </x:c>
      <x:c r="C1858" s="2" t="n">
        <x:v>17</x:v>
      </x:c>
      <x:c r="D1858" s="2" t="str">
        <x:v>DEMO-406</x:v>
      </x:c>
      <x:c r="E1858" s="2" t="str">
        <x:v>Mini Zip Case</x:v>
      </x:c>
      <x:c r="F1858" s="2" t="str">
        <x:v>Accessories</x:v>
      </x:c>
      <x:c r="G1858" s="2" t="str">
        <x:v>Stores</x:v>
      </x:c>
      <x:c r="H1858" s="2" t="str">
        <x:v>North Arcade</x:v>
      </x:c>
      <x:c r="I1858" s="2" t="n">
        <x:v>17</x:v>
      </x:c>
      <x:c r="J1858" s="2" t="n">
        <x:v>0</x:v>
      </x:c>
      <x:c r="K1858" s="2" t="n">
        <x:f>I1858-J1858</x:f>
        <x:v>17</x:v>
      </x:c>
      <x:c r="L1858" s="16" t="n">
        <x:v>26</x:v>
      </x:c>
      <x:c r="M1858" s="16" t="n">
        <x:v>26</x:v>
      </x:c>
      <x:c r="N1858" s="16" t="n">
        <x:v>12.61</x:v>
      </x:c>
      <x:c r="O1858" s="16" t="n">
        <x:f>K1858*M1858</x:f>
        <x:v>442</x:v>
      </x:c>
      <x:c r="P1858" s="16" t="n">
        <x:f>K1858*N1858</x:f>
        <x:v>214.37</x:v>
      </x:c>
      <x:c r="Q1858" s="16" t="n">
        <x:f>O1858-P1858</x:f>
        <x:v>227.63</x:v>
      </x:c>
      <x:c r="R1858" s="2" t="n">
        <x:v>102</x:v>
      </x:c>
      <x:c r="S1858" s="2" t="n">
        <x:v>59</x:v>
      </x:c>
      <x:c r="T1858" s="2" t="n">
        <x:f>R1858+S1858+J1858-I1858</x:f>
        <x:v>144</x:v>
      </x:c>
      <x:c r="U1858" s="2" t="n">
        <x:v>0</x:v>
      </x:c>
      <x:c r="V1858" s="2" t="n">
        <x:v>4</x:v>
      </x:c>
      <x:c r="W1858" s="2" t="n">
        <x:v>14</x:v>
      </x:c>
      <x:c r="X1858" s="14" t="b">
        <x:v>0</x:v>
      </x:c>
      <x:c r="Y1858" s="14" t="b">
        <x:v>0</x:v>
      </x:c>
      <x:c r="Z1858" s="2" t="n">
        <x:f>ABS(T1858-AA1858)</x:f>
        <x:v>0</x:v>
      </x:c>
      <x:c r="AA1858" s="2" t="n">
        <x:v>144</x:v>
      </x:c>
      <x:c r="AB1858" s="2" t="n">
        <x:f>ABS(K1858-W1858)</x:f>
        <x:v>3</x:v>
      </x:c>
      <x:c r="AC1858" s="2" t="n">
        <x:f>COUNTIF($A$2:$A$1921,A1858)-1</x:f>
        <x:v>0</x:v>
      </x:c>
      <x:c r="AD1858" s="2" t="n">
        <x:f>IF(AND(D1858=D1857,H1858=H1857,C1858=C1857+1),ABS(R1858-T1857),0)</x:f>
        <x:v>0</x:v>
      </x:c>
    </x:row>
    <x:row r="1859" ht="23" customHeight="1">
      <x:c r="A1859" s="2" t="str">
        <x:v>DEMO-406-0-18</x:v>
      </x:c>
      <x:c r="B1859" s="15" t="d">
        <x:v>2026-08-31T00:00:00.000Z</x:v>
      </x:c>
      <x:c r="C1859" s="2" t="n">
        <x:v>18</x:v>
      </x:c>
      <x:c r="D1859" s="2" t="str">
        <x:v>DEMO-406</x:v>
      </x:c>
      <x:c r="E1859" s="2" t="str">
        <x:v>Mini Zip Case</x:v>
      </x:c>
      <x:c r="F1859" s="2" t="str">
        <x:v>Accessories</x:v>
      </x:c>
      <x:c r="G1859" s="2" t="str">
        <x:v>Stores</x:v>
      </x:c>
      <x:c r="H1859" s="2" t="str">
        <x:v>North Arcade</x:v>
      </x:c>
      <x:c r="I1859" s="2" t="n">
        <x:v>16</x:v>
      </x:c>
      <x:c r="J1859" s="2" t="n">
        <x:v>1</x:v>
      </x:c>
      <x:c r="K1859" s="2" t="n">
        <x:f>I1859-J1859</x:f>
        <x:v>15</x:v>
      </x:c>
      <x:c r="L1859" s="16" t="n">
        <x:v>26</x:v>
      </x:c>
      <x:c r="M1859" s="16" t="n">
        <x:v>26</x:v>
      </x:c>
      <x:c r="N1859" s="16" t="n">
        <x:v>12.61</x:v>
      </x:c>
      <x:c r="O1859" s="16" t="n">
        <x:f>K1859*M1859</x:f>
        <x:v>390</x:v>
      </x:c>
      <x:c r="P1859" s="16" t="n">
        <x:f>K1859*N1859</x:f>
        <x:v>189.14999999999998</x:v>
      </x:c>
      <x:c r="Q1859" s="16" t="n">
        <x:f>O1859-P1859</x:f>
        <x:v>200.85000000000002</x:v>
      </x:c>
      <x:c r="R1859" s="2" t="n">
        <x:v>144</x:v>
      </x:c>
      <x:c r="S1859" s="2" t="n">
        <x:v>0</x:v>
      </x:c>
      <x:c r="T1859" s="2" t="n">
        <x:f>R1859+S1859+J1859-I1859</x:f>
        <x:v>129</x:v>
      </x:c>
      <x:c r="U1859" s="2" t="n">
        <x:v>0</x:v>
      </x:c>
      <x:c r="V1859" s="2" t="n">
        <x:v>4</x:v>
      </x:c>
      <x:c r="W1859" s="2" t="n">
        <x:v>15</x:v>
      </x:c>
      <x:c r="X1859" s="14" t="b">
        <x:v>0</x:v>
      </x:c>
      <x:c r="Y1859" s="14" t="b">
        <x:v>0</x:v>
      </x:c>
      <x:c r="Z1859" s="2" t="n">
        <x:f>ABS(T1859-AA1859)</x:f>
        <x:v>0</x:v>
      </x:c>
      <x:c r="AA1859" s="2" t="n">
        <x:v>129</x:v>
      </x:c>
      <x:c r="AB1859" s="2" t="n">
        <x:f>ABS(K1859-W1859)</x:f>
        <x:v>0</x:v>
      </x:c>
      <x:c r="AC1859" s="2" t="n">
        <x:f>COUNTIF($A$2:$A$1921,A1859)-1</x:f>
        <x:v>0</x:v>
      </x:c>
      <x:c r="AD1859" s="2" t="n">
        <x:f>IF(AND(D1859=D1858,H1859=H1858,C1859=C1858+1),ABS(R1859-T1858),0)</x:f>
        <x:v>0</x:v>
      </x:c>
    </x:row>
    <x:row r="1860" ht="23" customHeight="1">
      <x:c r="A1860" s="2" t="str">
        <x:v>DEMO-406-0-19</x:v>
      </x:c>
      <x:c r="B1860" s="15" t="d">
        <x:v>2026-09-07T00:00:00.000Z</x:v>
      </x:c>
      <x:c r="C1860" s="2" t="n">
        <x:v>19</x:v>
      </x:c>
      <x:c r="D1860" s="2" t="str">
        <x:v>DEMO-406</x:v>
      </x:c>
      <x:c r="E1860" s="2" t="str">
        <x:v>Mini Zip Case</x:v>
      </x:c>
      <x:c r="F1860" s="2" t="str">
        <x:v>Accessories</x:v>
      </x:c>
      <x:c r="G1860" s="2" t="str">
        <x:v>Stores</x:v>
      </x:c>
      <x:c r="H1860" s="2" t="str">
        <x:v>North Arcade</x:v>
      </x:c>
      <x:c r="I1860" s="2" t="n">
        <x:v>15</x:v>
      </x:c>
      <x:c r="J1860" s="2" t="n">
        <x:v>0</x:v>
      </x:c>
      <x:c r="K1860" s="2" t="n">
        <x:f>I1860-J1860</x:f>
        <x:v>15</x:v>
      </x:c>
      <x:c r="L1860" s="16" t="n">
        <x:v>26</x:v>
      </x:c>
      <x:c r="M1860" s="16" t="n">
        <x:v>26</x:v>
      </x:c>
      <x:c r="N1860" s="16" t="n">
        <x:v>12.61</x:v>
      </x:c>
      <x:c r="O1860" s="16" t="n">
        <x:f>K1860*M1860</x:f>
        <x:v>390</x:v>
      </x:c>
      <x:c r="P1860" s="16" t="n">
        <x:f>K1860*N1860</x:f>
        <x:v>189.14999999999998</x:v>
      </x:c>
      <x:c r="Q1860" s="16" t="n">
        <x:f>O1860-P1860</x:f>
        <x:v>200.85000000000002</x:v>
      </x:c>
      <x:c r="R1860" s="2" t="n">
        <x:v>129</x:v>
      </x:c>
      <x:c r="S1860" s="2" t="n">
        <x:v>0</x:v>
      </x:c>
      <x:c r="T1860" s="2" t="n">
        <x:f>R1860+S1860+J1860-I1860</x:f>
        <x:v>114</x:v>
      </x:c>
      <x:c r="U1860" s="2" t="n">
        <x:v>0</x:v>
      </x:c>
      <x:c r="V1860" s="2" t="n">
        <x:v>4</x:v>
      </x:c>
      <x:c r="W1860" s="2" t="n">
        <x:v>14</x:v>
      </x:c>
      <x:c r="X1860" s="14" t="b">
        <x:v>0</x:v>
      </x:c>
      <x:c r="Y1860" s="14" t="b">
        <x:v>0</x:v>
      </x:c>
      <x:c r="Z1860" s="2" t="n">
        <x:f>ABS(T1860-AA1860)</x:f>
        <x:v>0</x:v>
      </x:c>
      <x:c r="AA1860" s="2" t="n">
        <x:v>114</x:v>
      </x:c>
      <x:c r="AB1860" s="2" t="n">
        <x:f>ABS(K1860-W1860)</x:f>
        <x:v>1</x:v>
      </x:c>
      <x:c r="AC1860" s="2" t="n">
        <x:f>COUNTIF($A$2:$A$1921,A1860)-1</x:f>
        <x:v>0</x:v>
      </x:c>
      <x:c r="AD1860" s="2" t="n">
        <x:f>IF(AND(D1860=D1859,H1860=H1859,C1860=C1859+1),ABS(R1860-T1859),0)</x:f>
        <x:v>0</x:v>
      </x:c>
    </x:row>
    <x:row r="1861" ht="23" customHeight="1">
      <x:c r="A1861" s="2" t="str">
        <x:v>DEMO-406-0-20</x:v>
      </x:c>
      <x:c r="B1861" s="15" t="d">
        <x:v>2026-09-14T00:00:00.000Z</x:v>
      </x:c>
      <x:c r="C1861" s="2" t="n">
        <x:v>20</x:v>
      </x:c>
      <x:c r="D1861" s="2" t="str">
        <x:v>DEMO-406</x:v>
      </x:c>
      <x:c r="E1861" s="2" t="str">
        <x:v>Mini Zip Case</x:v>
      </x:c>
      <x:c r="F1861" s="2" t="str">
        <x:v>Accessories</x:v>
      </x:c>
      <x:c r="G1861" s="2" t="str">
        <x:v>Stores</x:v>
      </x:c>
      <x:c r="H1861" s="2" t="str">
        <x:v>North Arcade</x:v>
      </x:c>
      <x:c r="I1861" s="2" t="n">
        <x:v>16</x:v>
      </x:c>
      <x:c r="J1861" s="2" t="n">
        <x:v>0</x:v>
      </x:c>
      <x:c r="K1861" s="2" t="n">
        <x:f>I1861-J1861</x:f>
        <x:v>16</x:v>
      </x:c>
      <x:c r="L1861" s="16" t="n">
        <x:v>26</x:v>
      </x:c>
      <x:c r="M1861" s="16" t="n">
        <x:v>26</x:v>
      </x:c>
      <x:c r="N1861" s="16" t="n">
        <x:v>12.61</x:v>
      </x:c>
      <x:c r="O1861" s="16" t="n">
        <x:f>K1861*M1861</x:f>
        <x:v>416</x:v>
      </x:c>
      <x:c r="P1861" s="16" t="n">
        <x:f>K1861*N1861</x:f>
        <x:v>201.76</x:v>
      </x:c>
      <x:c r="Q1861" s="16" t="n">
        <x:f>O1861-P1861</x:f>
        <x:v>214.24</x:v>
      </x:c>
      <x:c r="R1861" s="2" t="n">
        <x:v>114</x:v>
      </x:c>
      <x:c r="S1861" s="2" t="n">
        <x:v>0</x:v>
      </x:c>
      <x:c r="T1861" s="2" t="n">
        <x:f>R1861+S1861+J1861-I1861</x:f>
        <x:v>98</x:v>
      </x:c>
      <x:c r="U1861" s="2" t="n">
        <x:v>18</x:v>
      </x:c>
      <x:c r="V1861" s="2" t="n">
        <x:v>4</x:v>
      </x:c>
      <x:c r="W1861" s="2" t="n">
        <x:v>15</x:v>
      </x:c>
      <x:c r="X1861" s="14" t="b">
        <x:v>0</x:v>
      </x:c>
      <x:c r="Y1861" s="14" t="b">
        <x:v>0</x:v>
      </x:c>
      <x:c r="Z1861" s="2" t="n">
        <x:f>ABS(T1861-AA1861)</x:f>
        <x:v>0</x:v>
      </x:c>
      <x:c r="AA1861" s="2" t="n">
        <x:v>98</x:v>
      </x:c>
      <x:c r="AB1861" s="2" t="n">
        <x:f>ABS(K1861-W1861)</x:f>
        <x:v>1</x:v>
      </x:c>
      <x:c r="AC1861" s="2" t="n">
        <x:f>COUNTIF($A$2:$A$1921,A1861)-1</x:f>
        <x:v>0</x:v>
      </x:c>
      <x:c r="AD1861" s="2" t="n">
        <x:f>IF(AND(D1861=D1860,H1861=H1860,C1861=C1860+1),ABS(R1861-T1860),0)</x:f>
        <x:v>0</x:v>
      </x:c>
    </x:row>
    <x:row r="1862" ht="23" customHeight="1">
      <x:c r="A1862" s="2" t="str">
        <x:v>DEMO-406-1-1</x:v>
      </x:c>
      <x:c r="B1862" s="15" t="d">
        <x:v>2026-05-04T00:00:00.000Z</x:v>
      </x:c>
      <x:c r="C1862" s="2" t="n">
        <x:v>1</x:v>
      </x:c>
      <x:c r="D1862" s="2" t="str">
        <x:v>DEMO-406</x:v>
      </x:c>
      <x:c r="E1862" s="2" t="str">
        <x:v>Mini Zip Case</x:v>
      </x:c>
      <x:c r="F1862" s="2" t="str">
        <x:v>Accessories</x:v>
      </x:c>
      <x:c r="G1862" s="2" t="str">
        <x:v>Stores</x:v>
      </x:c>
      <x:c r="H1862" s="2" t="str">
        <x:v>Riverside</x:v>
      </x:c>
      <x:c r="I1862" s="2" t="n">
        <x:v>12</x:v>
      </x:c>
      <x:c r="J1862" s="2" t="n">
        <x:v>0</x:v>
      </x:c>
      <x:c r="K1862" s="2" t="n">
        <x:f>I1862-J1862</x:f>
        <x:v>12</x:v>
      </x:c>
      <x:c r="L1862" s="16" t="n">
        <x:v>26</x:v>
      </x:c>
      <x:c r="M1862" s="16" t="n">
        <x:v>26</x:v>
      </x:c>
      <x:c r="N1862" s="16" t="n">
        <x:v>12.61</x:v>
      </x:c>
      <x:c r="O1862" s="16" t="n">
        <x:f>K1862*M1862</x:f>
        <x:v>312</x:v>
      </x:c>
      <x:c r="P1862" s="16" t="n">
        <x:f>K1862*N1862</x:f>
        <x:v>151.32</x:v>
      </x:c>
      <x:c r="Q1862" s="16" t="n">
        <x:f>O1862-P1862</x:f>
        <x:v>160.68</x:v>
      </x:c>
      <x:c r="R1862" s="2" t="n">
        <x:v>90</x:v>
      </x:c>
      <x:c r="S1862" s="2" t="n">
        <x:v>59</x:v>
      </x:c>
      <x:c r="T1862" s="2" t="n">
        <x:f>R1862+S1862+J1862-I1862</x:f>
        <x:v>137</x:v>
      </x:c>
      <x:c r="U1862" s="2" t="n">
        <x:v>0</x:v>
      </x:c>
      <x:c r="V1862" s="2" t="n">
        <x:v>4</x:v>
      </x:c>
      <x:c r="W1862" s="2" t="n">
        <x:v>14</x:v>
      </x:c>
      <x:c r="X1862" s="14" t="b">
        <x:v>0</x:v>
      </x:c>
      <x:c r="Y1862" s="14" t="b">
        <x:v>0</x:v>
      </x:c>
      <x:c r="Z1862" s="2" t="n">
        <x:f>ABS(T1862-AA1862)</x:f>
        <x:v>0</x:v>
      </x:c>
      <x:c r="AA1862" s="2" t="n">
        <x:v>137</x:v>
      </x:c>
      <x:c r="AB1862" s="2" t="n">
        <x:f>ABS(K1862-W1862)</x:f>
        <x:v>2</x:v>
      </x:c>
      <x:c r="AC1862" s="2" t="n">
        <x:f>COUNTIF($A$2:$A$1921,A1862)-1</x:f>
        <x:v>0</x:v>
      </x:c>
      <x:c r="AD1862" s="2" t="n">
        <x:f>IF(AND(D1862=D1861,H1862=H1861,C1862=C1861+1),ABS(R1862-T1861),0)</x:f>
        <x:v>0</x:v>
      </x:c>
    </x:row>
    <x:row r="1863" ht="23" customHeight="1">
      <x:c r="A1863" s="2" t="str">
        <x:v>DEMO-406-1-2</x:v>
      </x:c>
      <x:c r="B1863" s="15" t="d">
        <x:v>2026-05-11T00:00:00.000Z</x:v>
      </x:c>
      <x:c r="C1863" s="2" t="n">
        <x:v>2</x:v>
      </x:c>
      <x:c r="D1863" s="2" t="str">
        <x:v>DEMO-406</x:v>
      </x:c>
      <x:c r="E1863" s="2" t="str">
        <x:v>Mini Zip Case</x:v>
      </x:c>
      <x:c r="F1863" s="2" t="str">
        <x:v>Accessories</x:v>
      </x:c>
      <x:c r="G1863" s="2" t="str">
        <x:v>Stores</x:v>
      </x:c>
      <x:c r="H1863" s="2" t="str">
        <x:v>Riverside</x:v>
      </x:c>
      <x:c r="I1863" s="2" t="n">
        <x:v>14</x:v>
      </x:c>
      <x:c r="J1863" s="2" t="n">
        <x:v>0</x:v>
      </x:c>
      <x:c r="K1863" s="2" t="n">
        <x:f>I1863-J1863</x:f>
        <x:v>14</x:v>
      </x:c>
      <x:c r="L1863" s="16" t="n">
        <x:v>26</x:v>
      </x:c>
      <x:c r="M1863" s="16" t="n">
        <x:v>26</x:v>
      </x:c>
      <x:c r="N1863" s="16" t="n">
        <x:v>12.61</x:v>
      </x:c>
      <x:c r="O1863" s="16" t="n">
        <x:f>K1863*M1863</x:f>
        <x:v>364</x:v>
      </x:c>
      <x:c r="P1863" s="16" t="n">
        <x:f>K1863*N1863</x:f>
        <x:v>176.54</x:v>
      </x:c>
      <x:c r="Q1863" s="16" t="n">
        <x:f>O1863-P1863</x:f>
        <x:v>187.46</x:v>
      </x:c>
      <x:c r="R1863" s="2" t="n">
        <x:v>137</x:v>
      </x:c>
      <x:c r="S1863" s="2" t="n">
        <x:v>0</x:v>
      </x:c>
      <x:c r="T1863" s="2" t="n">
        <x:f>R1863+S1863+J1863-I1863</x:f>
        <x:v>123</x:v>
      </x:c>
      <x:c r="U1863" s="2" t="n">
        <x:v>0</x:v>
      </x:c>
      <x:c r="V1863" s="2" t="n">
        <x:v>4</x:v>
      </x:c>
      <x:c r="W1863" s="2" t="n">
        <x:v>12</x:v>
      </x:c>
      <x:c r="X1863" s="14" t="b">
        <x:v>0</x:v>
      </x:c>
      <x:c r="Y1863" s="14" t="b">
        <x:v>0</x:v>
      </x:c>
      <x:c r="Z1863" s="2" t="n">
        <x:f>ABS(T1863-AA1863)</x:f>
        <x:v>0</x:v>
      </x:c>
      <x:c r="AA1863" s="2" t="n">
        <x:v>123</x:v>
      </x:c>
      <x:c r="AB1863" s="2" t="n">
        <x:f>ABS(K1863-W1863)</x:f>
        <x:v>2</x:v>
      </x:c>
      <x:c r="AC1863" s="2" t="n">
        <x:f>COUNTIF($A$2:$A$1921,A1863)-1</x:f>
        <x:v>0</x:v>
      </x:c>
      <x:c r="AD1863" s="2" t="n">
        <x:f>IF(AND(D1863=D1862,H1863=H1862,C1863=C1862+1),ABS(R1863-T1862),0)</x:f>
        <x:v>0</x:v>
      </x:c>
    </x:row>
    <x:row r="1864" ht="23" customHeight="1">
      <x:c r="A1864" s="2" t="str">
        <x:v>DEMO-406-1-3</x:v>
      </x:c>
      <x:c r="B1864" s="15" t="d">
        <x:v>2026-05-18T00:00:00.000Z</x:v>
      </x:c>
      <x:c r="C1864" s="2" t="n">
        <x:v>3</x:v>
      </x:c>
      <x:c r="D1864" s="2" t="str">
        <x:v>DEMO-406</x:v>
      </x:c>
      <x:c r="E1864" s="2" t="str">
        <x:v>Mini Zip Case</x:v>
      </x:c>
      <x:c r="F1864" s="2" t="str">
        <x:v>Accessories</x:v>
      </x:c>
      <x:c r="G1864" s="2" t="str">
        <x:v>Stores</x:v>
      </x:c>
      <x:c r="H1864" s="2" t="str">
        <x:v>Riverside</x:v>
      </x:c>
      <x:c r="I1864" s="2" t="n">
        <x:v>15</x:v>
      </x:c>
      <x:c r="J1864" s="2" t="n">
        <x:v>0</x:v>
      </x:c>
      <x:c r="K1864" s="2" t="n">
        <x:f>I1864-J1864</x:f>
        <x:v>15</x:v>
      </x:c>
      <x:c r="L1864" s="16" t="n">
        <x:v>26</x:v>
      </x:c>
      <x:c r="M1864" s="16" t="n">
        <x:v>26</x:v>
      </x:c>
      <x:c r="N1864" s="16" t="n">
        <x:v>12.61</x:v>
      </x:c>
      <x:c r="O1864" s="16" t="n">
        <x:f>K1864*M1864</x:f>
        <x:v>390</x:v>
      </x:c>
      <x:c r="P1864" s="16" t="n">
        <x:f>K1864*N1864</x:f>
        <x:v>189.14999999999998</x:v>
      </x:c>
      <x:c r="Q1864" s="16" t="n">
        <x:f>O1864-P1864</x:f>
        <x:v>200.85000000000002</x:v>
      </x:c>
      <x:c r="R1864" s="2" t="n">
        <x:v>123</x:v>
      </x:c>
      <x:c r="S1864" s="2" t="n">
        <x:v>0</x:v>
      </x:c>
      <x:c r="T1864" s="2" t="n">
        <x:f>R1864+S1864+J1864-I1864</x:f>
        <x:v>108</x:v>
      </x:c>
      <x:c r="U1864" s="2" t="n">
        <x:v>0</x:v>
      </x:c>
      <x:c r="V1864" s="2" t="n">
        <x:v>4</x:v>
      </x:c>
      <x:c r="W1864" s="2" t="n">
        <x:v>13</x:v>
      </x:c>
      <x:c r="X1864" s="14" t="b">
        <x:v>0</x:v>
      </x:c>
      <x:c r="Y1864" s="14" t="b">
        <x:v>0</x:v>
      </x:c>
      <x:c r="Z1864" s="2" t="n">
        <x:f>ABS(T1864-AA1864)</x:f>
        <x:v>0</x:v>
      </x:c>
      <x:c r="AA1864" s="2" t="n">
        <x:v>108</x:v>
      </x:c>
      <x:c r="AB1864" s="2" t="n">
        <x:f>ABS(K1864-W1864)</x:f>
        <x:v>2</x:v>
      </x:c>
      <x:c r="AC1864" s="2" t="n">
        <x:f>COUNTIF($A$2:$A$1921,A1864)-1</x:f>
        <x:v>0</x:v>
      </x:c>
      <x:c r="AD1864" s="2" t="n">
        <x:f>IF(AND(D1864=D1863,H1864=H1863,C1864=C1863+1),ABS(R1864-T1863),0)</x:f>
        <x:v>0</x:v>
      </x:c>
    </x:row>
    <x:row r="1865" ht="23" customHeight="1">
      <x:c r="A1865" s="2" t="str">
        <x:v>DEMO-406-1-4</x:v>
      </x:c>
      <x:c r="B1865" s="15" t="d">
        <x:v>2026-05-25T00:00:00.000Z</x:v>
      </x:c>
      <x:c r="C1865" s="2" t="n">
        <x:v>4</x:v>
      </x:c>
      <x:c r="D1865" s="2" t="str">
        <x:v>DEMO-406</x:v>
      </x:c>
      <x:c r="E1865" s="2" t="str">
        <x:v>Mini Zip Case</x:v>
      </x:c>
      <x:c r="F1865" s="2" t="str">
        <x:v>Accessories</x:v>
      </x:c>
      <x:c r="G1865" s="2" t="str">
        <x:v>Stores</x:v>
      </x:c>
      <x:c r="H1865" s="2" t="str">
        <x:v>Riverside</x:v>
      </x:c>
      <x:c r="I1865" s="2" t="n">
        <x:v>14</x:v>
      </x:c>
      <x:c r="J1865" s="2" t="n">
        <x:v>0</x:v>
      </x:c>
      <x:c r="K1865" s="2" t="n">
        <x:f>I1865-J1865</x:f>
        <x:v>14</x:v>
      </x:c>
      <x:c r="L1865" s="16" t="n">
        <x:v>26</x:v>
      </x:c>
      <x:c r="M1865" s="16" t="n">
        <x:v>26</x:v>
      </x:c>
      <x:c r="N1865" s="16" t="n">
        <x:v>12.61</x:v>
      </x:c>
      <x:c r="O1865" s="16" t="n">
        <x:f>K1865*M1865</x:f>
        <x:v>364</x:v>
      </x:c>
      <x:c r="P1865" s="16" t="n">
        <x:f>K1865*N1865</x:f>
        <x:v>176.54</x:v>
      </x:c>
      <x:c r="Q1865" s="16" t="n">
        <x:f>O1865-P1865</x:f>
        <x:v>187.46</x:v>
      </x:c>
      <x:c r="R1865" s="2" t="n">
        <x:v>108</x:v>
      </x:c>
      <x:c r="S1865" s="2" t="n">
        <x:v>0</x:v>
      </x:c>
      <x:c r="T1865" s="2" t="n">
        <x:f>R1865+S1865+J1865-I1865</x:f>
        <x:v>94</x:v>
      </x:c>
      <x:c r="U1865" s="2" t="n">
        <x:v>0</x:v>
      </x:c>
      <x:c r="V1865" s="2" t="n">
        <x:v>4</x:v>
      </x:c>
      <x:c r="W1865" s="2" t="n">
        <x:v>14</x:v>
      </x:c>
      <x:c r="X1865" s="14" t="b">
        <x:v>0</x:v>
      </x:c>
      <x:c r="Y1865" s="14" t="b">
        <x:v>0</x:v>
      </x:c>
      <x:c r="Z1865" s="2" t="n">
        <x:f>ABS(T1865-AA1865)</x:f>
        <x:v>0</x:v>
      </x:c>
      <x:c r="AA1865" s="2" t="n">
        <x:v>94</x:v>
      </x:c>
      <x:c r="AB1865" s="2" t="n">
        <x:f>ABS(K1865-W1865)</x:f>
        <x:v>0</x:v>
      </x:c>
      <x:c r="AC1865" s="2" t="n">
        <x:f>COUNTIF($A$2:$A$1921,A1865)-1</x:f>
        <x:v>0</x:v>
      </x:c>
      <x:c r="AD1865" s="2" t="n">
        <x:f>IF(AND(D1865=D1864,H1865=H1864,C1865=C1864+1),ABS(R1865-T1864),0)</x:f>
        <x:v>0</x:v>
      </x:c>
    </x:row>
    <x:row r="1866" ht="23" customHeight="1">
      <x:c r="A1866" s="2" t="str">
        <x:v>DEMO-406-1-5</x:v>
      </x:c>
      <x:c r="B1866" s="15" t="d">
        <x:v>2026-06-01T00:00:00.000Z</x:v>
      </x:c>
      <x:c r="C1866" s="2" t="n">
        <x:v>5</x:v>
      </x:c>
      <x:c r="D1866" s="2" t="str">
        <x:v>DEMO-406</x:v>
      </x:c>
      <x:c r="E1866" s="2" t="str">
        <x:v>Mini Zip Case</x:v>
      </x:c>
      <x:c r="F1866" s="2" t="str">
        <x:v>Accessories</x:v>
      </x:c>
      <x:c r="G1866" s="2" t="str">
        <x:v>Stores</x:v>
      </x:c>
      <x:c r="H1866" s="2" t="str">
        <x:v>Riverside</x:v>
      </x:c>
      <x:c r="I1866" s="2" t="n">
        <x:v>13</x:v>
      </x:c>
      <x:c r="J1866" s="2" t="n">
        <x:v>1</x:v>
      </x:c>
      <x:c r="K1866" s="2" t="n">
        <x:f>I1866-J1866</x:f>
        <x:v>12</x:v>
      </x:c>
      <x:c r="L1866" s="16" t="n">
        <x:v>26</x:v>
      </x:c>
      <x:c r="M1866" s="16" t="n">
        <x:v>26</x:v>
      </x:c>
      <x:c r="N1866" s="16" t="n">
        <x:v>12.61</x:v>
      </x:c>
      <x:c r="O1866" s="16" t="n">
        <x:f>K1866*M1866</x:f>
        <x:v>312</x:v>
      </x:c>
      <x:c r="P1866" s="16" t="n">
        <x:f>K1866*N1866</x:f>
        <x:v>151.32</x:v>
      </x:c>
      <x:c r="Q1866" s="16" t="n">
        <x:f>O1866-P1866</x:f>
        <x:v>160.68</x:v>
      </x:c>
      <x:c r="R1866" s="2" t="n">
        <x:v>94</x:v>
      </x:c>
      <x:c r="S1866" s="2" t="n">
        <x:v>59</x:v>
      </x:c>
      <x:c r="T1866" s="2" t="n">
        <x:f>R1866+S1866+J1866-I1866</x:f>
        <x:v>141</x:v>
      </x:c>
      <x:c r="U1866" s="2" t="n">
        <x:v>0</x:v>
      </x:c>
      <x:c r="V1866" s="2" t="n">
        <x:v>4</x:v>
      </x:c>
      <x:c r="W1866" s="2" t="n">
        <x:v>14</x:v>
      </x:c>
      <x:c r="X1866" s="14" t="b">
        <x:v>0</x:v>
      </x:c>
      <x:c r="Y1866" s="14" t="b">
        <x:v>0</x:v>
      </x:c>
      <x:c r="Z1866" s="2" t="n">
        <x:f>ABS(T1866-AA1866)</x:f>
        <x:v>0</x:v>
      </x:c>
      <x:c r="AA1866" s="2" t="n">
        <x:v>141</x:v>
      </x:c>
      <x:c r="AB1866" s="2" t="n">
        <x:f>ABS(K1866-W1866)</x:f>
        <x:v>2</x:v>
      </x:c>
      <x:c r="AC1866" s="2" t="n">
        <x:f>COUNTIF($A$2:$A$1921,A1866)-1</x:f>
        <x:v>0</x:v>
      </x:c>
      <x:c r="AD1866" s="2" t="n">
        <x:f>IF(AND(D1866=D1865,H1866=H1865,C1866=C1865+1),ABS(R1866-T1865),0)</x:f>
        <x:v>0</x:v>
      </x:c>
    </x:row>
    <x:row r="1867" ht="23" customHeight="1">
      <x:c r="A1867" s="2" t="str">
        <x:v>DEMO-406-1-6</x:v>
      </x:c>
      <x:c r="B1867" s="15" t="d">
        <x:v>2026-06-08T00:00:00.000Z</x:v>
      </x:c>
      <x:c r="C1867" s="2" t="n">
        <x:v>6</x:v>
      </x:c>
      <x:c r="D1867" s="2" t="str">
        <x:v>DEMO-406</x:v>
      </x:c>
      <x:c r="E1867" s="2" t="str">
        <x:v>Mini Zip Case</x:v>
      </x:c>
      <x:c r="F1867" s="2" t="str">
        <x:v>Accessories</x:v>
      </x:c>
      <x:c r="G1867" s="2" t="str">
        <x:v>Stores</x:v>
      </x:c>
      <x:c r="H1867" s="2" t="str">
        <x:v>Riverside</x:v>
      </x:c>
      <x:c r="I1867" s="2" t="n">
        <x:v>12</x:v>
      </x:c>
      <x:c r="J1867" s="2" t="n">
        <x:v>0</x:v>
      </x:c>
      <x:c r="K1867" s="2" t="n">
        <x:f>I1867-J1867</x:f>
        <x:v>12</x:v>
      </x:c>
      <x:c r="L1867" s="16" t="n">
        <x:v>26</x:v>
      </x:c>
      <x:c r="M1867" s="16" t="n">
        <x:v>26</x:v>
      </x:c>
      <x:c r="N1867" s="16" t="n">
        <x:v>12.61</x:v>
      </x:c>
      <x:c r="O1867" s="16" t="n">
        <x:f>K1867*M1867</x:f>
        <x:v>312</x:v>
      </x:c>
      <x:c r="P1867" s="16" t="n">
        <x:f>K1867*N1867</x:f>
        <x:v>151.32</x:v>
      </x:c>
      <x:c r="Q1867" s="16" t="n">
        <x:f>O1867-P1867</x:f>
        <x:v>160.68</x:v>
      </x:c>
      <x:c r="R1867" s="2" t="n">
        <x:v>141</x:v>
      </x:c>
      <x:c r="S1867" s="2" t="n">
        <x:v>0</x:v>
      </x:c>
      <x:c r="T1867" s="2" t="n">
        <x:f>R1867+S1867+J1867-I1867</x:f>
        <x:v>129</x:v>
      </x:c>
      <x:c r="U1867" s="2" t="n">
        <x:v>0</x:v>
      </x:c>
      <x:c r="V1867" s="2" t="n">
        <x:v>4</x:v>
      </x:c>
      <x:c r="W1867" s="2" t="n">
        <x:v>14</x:v>
      </x:c>
      <x:c r="X1867" s="14" t="b">
        <x:v>0</x:v>
      </x:c>
      <x:c r="Y1867" s="14" t="b">
        <x:v>0</x:v>
      </x:c>
      <x:c r="Z1867" s="2" t="n">
        <x:f>ABS(T1867-AA1867)</x:f>
        <x:v>0</x:v>
      </x:c>
      <x:c r="AA1867" s="2" t="n">
        <x:v>129</x:v>
      </x:c>
      <x:c r="AB1867" s="2" t="n">
        <x:f>ABS(K1867-W1867)</x:f>
        <x:v>2</x:v>
      </x:c>
      <x:c r="AC1867" s="2" t="n">
        <x:f>COUNTIF($A$2:$A$1921,A1867)-1</x:f>
        <x:v>0</x:v>
      </x:c>
      <x:c r="AD1867" s="2" t="n">
        <x:f>IF(AND(D1867=D1866,H1867=H1866,C1867=C1866+1),ABS(R1867-T1866),0)</x:f>
        <x:v>0</x:v>
      </x:c>
    </x:row>
    <x:row r="1868" ht="23" customHeight="1">
      <x:c r="A1868" s="2" t="str">
        <x:v>DEMO-406-1-7</x:v>
      </x:c>
      <x:c r="B1868" s="15" t="d">
        <x:v>2026-06-15T00:00:00.000Z</x:v>
      </x:c>
      <x:c r="C1868" s="2" t="n">
        <x:v>7</x:v>
      </x:c>
      <x:c r="D1868" s="2" t="str">
        <x:v>DEMO-406</x:v>
      </x:c>
      <x:c r="E1868" s="2" t="str">
        <x:v>Mini Zip Case</x:v>
      </x:c>
      <x:c r="F1868" s="2" t="str">
        <x:v>Accessories</x:v>
      </x:c>
      <x:c r="G1868" s="2" t="str">
        <x:v>Stores</x:v>
      </x:c>
      <x:c r="H1868" s="2" t="str">
        <x:v>Riverside</x:v>
      </x:c>
      <x:c r="I1868" s="2" t="n">
        <x:v>15</x:v>
      </x:c>
      <x:c r="J1868" s="2" t="n">
        <x:v>0</x:v>
      </x:c>
      <x:c r="K1868" s="2" t="n">
        <x:f>I1868-J1868</x:f>
        <x:v>15</x:v>
      </x:c>
      <x:c r="L1868" s="16" t="n">
        <x:v>26</x:v>
      </x:c>
      <x:c r="M1868" s="16" t="n">
        <x:v>26</x:v>
      </x:c>
      <x:c r="N1868" s="16" t="n">
        <x:v>12.61</x:v>
      </x:c>
      <x:c r="O1868" s="16" t="n">
        <x:f>K1868*M1868</x:f>
        <x:v>390</x:v>
      </x:c>
      <x:c r="P1868" s="16" t="n">
        <x:f>K1868*N1868</x:f>
        <x:v>189.14999999999998</x:v>
      </x:c>
      <x:c r="Q1868" s="16" t="n">
        <x:f>O1868-P1868</x:f>
        <x:v>200.85000000000002</x:v>
      </x:c>
      <x:c r="R1868" s="2" t="n">
        <x:v>129</x:v>
      </x:c>
      <x:c r="S1868" s="2" t="n">
        <x:v>0</x:v>
      </x:c>
      <x:c r="T1868" s="2" t="n">
        <x:f>R1868+S1868+J1868-I1868</x:f>
        <x:v>114</x:v>
      </x:c>
      <x:c r="U1868" s="2" t="n">
        <x:v>0</x:v>
      </x:c>
      <x:c r="V1868" s="2" t="n">
        <x:v>4</x:v>
      </x:c>
      <x:c r="W1868" s="2" t="n">
        <x:v>13</x:v>
      </x:c>
      <x:c r="X1868" s="14" t="b">
        <x:v>0</x:v>
      </x:c>
      <x:c r="Y1868" s="14" t="b">
        <x:v>0</x:v>
      </x:c>
      <x:c r="Z1868" s="2" t="n">
        <x:f>ABS(T1868-AA1868)</x:f>
        <x:v>0</x:v>
      </x:c>
      <x:c r="AA1868" s="2" t="n">
        <x:v>114</x:v>
      </x:c>
      <x:c r="AB1868" s="2" t="n">
        <x:f>ABS(K1868-W1868)</x:f>
        <x:v>2</x:v>
      </x:c>
      <x:c r="AC1868" s="2" t="n">
        <x:f>COUNTIF($A$2:$A$1921,A1868)-1</x:f>
        <x:v>0</x:v>
      </x:c>
      <x:c r="AD1868" s="2" t="n">
        <x:f>IF(AND(D1868=D1867,H1868=H1867,C1868=C1867+1),ABS(R1868-T1867),0)</x:f>
        <x:v>0</x:v>
      </x:c>
    </x:row>
    <x:row r="1869" ht="23" customHeight="1">
      <x:c r="A1869" s="2" t="str">
        <x:v>DEMO-406-1-8</x:v>
      </x:c>
      <x:c r="B1869" s="15" t="d">
        <x:v>2026-06-22T00:00:00.000Z</x:v>
      </x:c>
      <x:c r="C1869" s="2" t="n">
        <x:v>8</x:v>
      </x:c>
      <x:c r="D1869" s="2" t="str">
        <x:v>DEMO-406</x:v>
      </x:c>
      <x:c r="E1869" s="2" t="str">
        <x:v>Mini Zip Case</x:v>
      </x:c>
      <x:c r="F1869" s="2" t="str">
        <x:v>Accessories</x:v>
      </x:c>
      <x:c r="G1869" s="2" t="str">
        <x:v>Stores</x:v>
      </x:c>
      <x:c r="H1869" s="2" t="str">
        <x:v>Riverside</x:v>
      </x:c>
      <x:c r="I1869" s="2" t="n">
        <x:v>12</x:v>
      </x:c>
      <x:c r="J1869" s="2" t="n">
        <x:v>1</x:v>
      </x:c>
      <x:c r="K1869" s="2" t="n">
        <x:f>I1869-J1869</x:f>
        <x:v>11</x:v>
      </x:c>
      <x:c r="L1869" s="16" t="n">
        <x:v>26</x:v>
      </x:c>
      <x:c r="M1869" s="16" t="n">
        <x:v>26</x:v>
      </x:c>
      <x:c r="N1869" s="16" t="n">
        <x:v>12.61</x:v>
      </x:c>
      <x:c r="O1869" s="16" t="n">
        <x:f>K1869*M1869</x:f>
        <x:v>286</x:v>
      </x:c>
      <x:c r="P1869" s="16" t="n">
        <x:f>K1869*N1869</x:f>
        <x:v>138.70999999999998</x:v>
      </x:c>
      <x:c r="Q1869" s="16" t="n">
        <x:f>O1869-P1869</x:f>
        <x:v>147.29000000000002</x:v>
      </x:c>
      <x:c r="R1869" s="2" t="n">
        <x:v>114</x:v>
      </x:c>
      <x:c r="S1869" s="2" t="n">
        <x:v>0</x:v>
      </x:c>
      <x:c r="T1869" s="2" t="n">
        <x:f>R1869+S1869+J1869-I1869</x:f>
        <x:v>103</x:v>
      </x:c>
      <x:c r="U1869" s="2" t="n">
        <x:v>0</x:v>
      </x:c>
      <x:c r="V1869" s="2" t="n">
        <x:v>4</x:v>
      </x:c>
      <x:c r="W1869" s="2" t="n">
        <x:v>13</x:v>
      </x:c>
      <x:c r="X1869" s="14" t="b">
        <x:v>0</x:v>
      </x:c>
      <x:c r="Y1869" s="14" t="b">
        <x:v>0</x:v>
      </x:c>
      <x:c r="Z1869" s="2" t="n">
        <x:f>ABS(T1869-AA1869)</x:f>
        <x:v>0</x:v>
      </x:c>
      <x:c r="AA1869" s="2" t="n">
        <x:v>103</x:v>
      </x:c>
      <x:c r="AB1869" s="2" t="n">
        <x:f>ABS(K1869-W1869)</x:f>
        <x:v>2</x:v>
      </x:c>
      <x:c r="AC1869" s="2" t="n">
        <x:f>COUNTIF($A$2:$A$1921,A1869)-1</x:f>
        <x:v>0</x:v>
      </x:c>
      <x:c r="AD1869" s="2" t="n">
        <x:f>IF(AND(D1869=D1868,H1869=H1868,C1869=C1868+1),ABS(R1869-T1868),0)</x:f>
        <x:v>0</x:v>
      </x:c>
    </x:row>
    <x:row r="1870" ht="23" customHeight="1">
      <x:c r="A1870" s="2" t="str">
        <x:v>DEMO-406-1-9</x:v>
      </x:c>
      <x:c r="B1870" s="15" t="d">
        <x:v>2026-06-29T00:00:00.000Z</x:v>
      </x:c>
      <x:c r="C1870" s="2" t="n">
        <x:v>9</x:v>
      </x:c>
      <x:c r="D1870" s="2" t="str">
        <x:v>DEMO-406</x:v>
      </x:c>
      <x:c r="E1870" s="2" t="str">
        <x:v>Mini Zip Case</x:v>
      </x:c>
      <x:c r="F1870" s="2" t="str">
        <x:v>Accessories</x:v>
      </x:c>
      <x:c r="G1870" s="2" t="str">
        <x:v>Stores</x:v>
      </x:c>
      <x:c r="H1870" s="2" t="str">
        <x:v>Riverside</x:v>
      </x:c>
      <x:c r="I1870" s="2" t="n">
        <x:v>14</x:v>
      </x:c>
      <x:c r="J1870" s="2" t="n">
        <x:v>0</x:v>
      </x:c>
      <x:c r="K1870" s="2" t="n">
        <x:f>I1870-J1870</x:f>
        <x:v>14</x:v>
      </x:c>
      <x:c r="L1870" s="16" t="n">
        <x:v>26</x:v>
      </x:c>
      <x:c r="M1870" s="16" t="n">
        <x:v>26</x:v>
      </x:c>
      <x:c r="N1870" s="16" t="n">
        <x:v>12.61</x:v>
      </x:c>
      <x:c r="O1870" s="16" t="n">
        <x:f>K1870*M1870</x:f>
        <x:v>364</x:v>
      </x:c>
      <x:c r="P1870" s="16" t="n">
        <x:f>K1870*N1870</x:f>
        <x:v>176.54</x:v>
      </x:c>
      <x:c r="Q1870" s="16" t="n">
        <x:f>O1870-P1870</x:f>
        <x:v>187.46</x:v>
      </x:c>
      <x:c r="R1870" s="2" t="n">
        <x:v>103</x:v>
      </x:c>
      <x:c r="S1870" s="2" t="n">
        <x:v>59</x:v>
      </x:c>
      <x:c r="T1870" s="2" t="n">
        <x:f>R1870+S1870+J1870-I1870</x:f>
        <x:v>148</x:v>
      </x:c>
      <x:c r="U1870" s="2" t="n">
        <x:v>0</x:v>
      </x:c>
      <x:c r="V1870" s="2" t="n">
        <x:v>4</x:v>
      </x:c>
      <x:c r="W1870" s="2" t="n">
        <x:v>13</x:v>
      </x:c>
      <x:c r="X1870" s="14" t="b">
        <x:v>0</x:v>
      </x:c>
      <x:c r="Y1870" s="14" t="b">
        <x:v>0</x:v>
      </x:c>
      <x:c r="Z1870" s="2" t="n">
        <x:f>ABS(T1870-AA1870)</x:f>
        <x:v>0</x:v>
      </x:c>
      <x:c r="AA1870" s="2" t="n">
        <x:v>148</x:v>
      </x:c>
      <x:c r="AB1870" s="2" t="n">
        <x:f>ABS(K1870-W1870)</x:f>
        <x:v>1</x:v>
      </x:c>
      <x:c r="AC1870" s="2" t="n">
        <x:f>COUNTIF($A$2:$A$1921,A1870)-1</x:f>
        <x:v>0</x:v>
      </x:c>
      <x:c r="AD1870" s="2" t="n">
        <x:f>IF(AND(D1870=D1869,H1870=H1869,C1870=C1869+1),ABS(R1870-T1869),0)</x:f>
        <x:v>0</x:v>
      </x:c>
    </x:row>
    <x:row r="1871" ht="23" customHeight="1">
      <x:c r="A1871" s="2" t="str">
        <x:v>DEMO-406-1-10</x:v>
      </x:c>
      <x:c r="B1871" s="15" t="d">
        <x:v>2026-07-06T00:00:00.000Z</x:v>
      </x:c>
      <x:c r="C1871" s="2" t="n">
        <x:v>10</x:v>
      </x:c>
      <x:c r="D1871" s="2" t="str">
        <x:v>DEMO-406</x:v>
      </x:c>
      <x:c r="E1871" s="2" t="str">
        <x:v>Mini Zip Case</x:v>
      </x:c>
      <x:c r="F1871" s="2" t="str">
        <x:v>Accessories</x:v>
      </x:c>
      <x:c r="G1871" s="2" t="str">
        <x:v>Stores</x:v>
      </x:c>
      <x:c r="H1871" s="2" t="str">
        <x:v>Riverside</x:v>
      </x:c>
      <x:c r="I1871" s="2" t="n">
        <x:v>12</x:v>
      </x:c>
      <x:c r="J1871" s="2" t="n">
        <x:v>0</x:v>
      </x:c>
      <x:c r="K1871" s="2" t="n">
        <x:f>I1871-J1871</x:f>
        <x:v>12</x:v>
      </x:c>
      <x:c r="L1871" s="16" t="n">
        <x:v>26</x:v>
      </x:c>
      <x:c r="M1871" s="16" t="n">
        <x:v>26</x:v>
      </x:c>
      <x:c r="N1871" s="16" t="n">
        <x:v>12.61</x:v>
      </x:c>
      <x:c r="O1871" s="16" t="n">
        <x:f>K1871*M1871</x:f>
        <x:v>312</x:v>
      </x:c>
      <x:c r="P1871" s="16" t="n">
        <x:f>K1871*N1871</x:f>
        <x:v>151.32</x:v>
      </x:c>
      <x:c r="Q1871" s="16" t="n">
        <x:f>O1871-P1871</x:f>
        <x:v>160.68</x:v>
      </x:c>
      <x:c r="R1871" s="2" t="n">
        <x:v>148</x:v>
      </x:c>
      <x:c r="S1871" s="2" t="n">
        <x:v>0</x:v>
      </x:c>
      <x:c r="T1871" s="2" t="n">
        <x:f>R1871+S1871+J1871-I1871</x:f>
        <x:v>136</x:v>
      </x:c>
      <x:c r="U1871" s="2" t="n">
        <x:v>0</x:v>
      </x:c>
      <x:c r="V1871" s="2" t="n">
        <x:v>4</x:v>
      </x:c>
      <x:c r="W1871" s="2" t="n">
        <x:v>13</x:v>
      </x:c>
      <x:c r="X1871" s="14" t="b">
        <x:v>0</x:v>
      </x:c>
      <x:c r="Y1871" s="14" t="b">
        <x:v>0</x:v>
      </x:c>
      <x:c r="Z1871" s="2" t="n">
        <x:f>ABS(T1871-AA1871)</x:f>
        <x:v>0</x:v>
      </x:c>
      <x:c r="AA1871" s="2" t="n">
        <x:v>136</x:v>
      </x:c>
      <x:c r="AB1871" s="2" t="n">
        <x:f>ABS(K1871-W1871)</x:f>
        <x:v>1</x:v>
      </x:c>
      <x:c r="AC1871" s="2" t="n">
        <x:f>COUNTIF($A$2:$A$1921,A1871)-1</x:f>
        <x:v>0</x:v>
      </x:c>
      <x:c r="AD1871" s="2" t="n">
        <x:f>IF(AND(D1871=D1870,H1871=H1870,C1871=C1870+1),ABS(R1871-T1870),0)</x:f>
        <x:v>0</x:v>
      </x:c>
    </x:row>
    <x:row r="1872" ht="23" customHeight="1">
      <x:c r="A1872" s="2" t="str">
        <x:v>DEMO-406-1-11</x:v>
      </x:c>
      <x:c r="B1872" s="15" t="d">
        <x:v>2026-07-13T00:00:00.000Z</x:v>
      </x:c>
      <x:c r="C1872" s="2" t="n">
        <x:v>11</x:v>
      </x:c>
      <x:c r="D1872" s="2" t="str">
        <x:v>DEMO-406</x:v>
      </x:c>
      <x:c r="E1872" s="2" t="str">
        <x:v>Mini Zip Case</x:v>
      </x:c>
      <x:c r="F1872" s="2" t="str">
        <x:v>Accessories</x:v>
      </x:c>
      <x:c r="G1872" s="2" t="str">
        <x:v>Stores</x:v>
      </x:c>
      <x:c r="H1872" s="2" t="str">
        <x:v>Riverside</x:v>
      </x:c>
      <x:c r="I1872" s="2" t="n">
        <x:v>14</x:v>
      </x:c>
      <x:c r="J1872" s="2" t="n">
        <x:v>0</x:v>
      </x:c>
      <x:c r="K1872" s="2" t="n">
        <x:f>I1872-J1872</x:f>
        <x:v>14</x:v>
      </x:c>
      <x:c r="L1872" s="16" t="n">
        <x:v>26</x:v>
      </x:c>
      <x:c r="M1872" s="16" t="n">
        <x:v>26</x:v>
      </x:c>
      <x:c r="N1872" s="16" t="n">
        <x:v>12.61</x:v>
      </x:c>
      <x:c r="O1872" s="16" t="n">
        <x:f>K1872*M1872</x:f>
        <x:v>364</x:v>
      </x:c>
      <x:c r="P1872" s="16" t="n">
        <x:f>K1872*N1872</x:f>
        <x:v>176.54</x:v>
      </x:c>
      <x:c r="Q1872" s="16" t="n">
        <x:f>O1872-P1872</x:f>
        <x:v>187.46</x:v>
      </x:c>
      <x:c r="R1872" s="2" t="n">
        <x:v>136</x:v>
      </x:c>
      <x:c r="S1872" s="2" t="n">
        <x:v>0</x:v>
      </x:c>
      <x:c r="T1872" s="2" t="n">
        <x:f>R1872+S1872+J1872-I1872</x:f>
        <x:v>122</x:v>
      </x:c>
      <x:c r="U1872" s="2" t="n">
        <x:v>0</x:v>
      </x:c>
      <x:c r="V1872" s="2" t="n">
        <x:v>4</x:v>
      </x:c>
      <x:c r="W1872" s="2" t="n">
        <x:v>13</x:v>
      </x:c>
      <x:c r="X1872" s="14" t="b">
        <x:v>0</x:v>
      </x:c>
      <x:c r="Y1872" s="14" t="b">
        <x:v>0</x:v>
      </x:c>
      <x:c r="Z1872" s="2" t="n">
        <x:f>ABS(T1872-AA1872)</x:f>
        <x:v>0</x:v>
      </x:c>
      <x:c r="AA1872" s="2" t="n">
        <x:v>122</x:v>
      </x:c>
      <x:c r="AB1872" s="2" t="n">
        <x:f>ABS(K1872-W1872)</x:f>
        <x:v>1</x:v>
      </x:c>
      <x:c r="AC1872" s="2" t="n">
        <x:f>COUNTIF($A$2:$A$1921,A1872)-1</x:f>
        <x:v>0</x:v>
      </x:c>
      <x:c r="AD1872" s="2" t="n">
        <x:f>IF(AND(D1872=D1871,H1872=H1871,C1872=C1871+1),ABS(R1872-T1871),0)</x:f>
        <x:v>0</x:v>
      </x:c>
    </x:row>
    <x:row r="1873" ht="23" customHeight="1">
      <x:c r="A1873" s="2" t="str">
        <x:v>DEMO-406-1-12</x:v>
      </x:c>
      <x:c r="B1873" s="15" t="d">
        <x:v>2026-07-20T00:00:00.000Z</x:v>
      </x:c>
      <x:c r="C1873" s="2" t="n">
        <x:v>12</x:v>
      </x:c>
      <x:c r="D1873" s="2" t="str">
        <x:v>DEMO-406</x:v>
      </x:c>
      <x:c r="E1873" s="2" t="str">
        <x:v>Mini Zip Case</x:v>
      </x:c>
      <x:c r="F1873" s="2" t="str">
        <x:v>Accessories</x:v>
      </x:c>
      <x:c r="G1873" s="2" t="str">
        <x:v>Stores</x:v>
      </x:c>
      <x:c r="H1873" s="2" t="str">
        <x:v>Riverside</x:v>
      </x:c>
      <x:c r="I1873" s="2" t="n">
        <x:v>13</x:v>
      </x:c>
      <x:c r="J1873" s="2" t="n">
        <x:v>0</x:v>
      </x:c>
      <x:c r="K1873" s="2" t="n">
        <x:f>I1873-J1873</x:f>
        <x:v>13</x:v>
      </x:c>
      <x:c r="L1873" s="16" t="n">
        <x:v>26</x:v>
      </x:c>
      <x:c r="M1873" s="16" t="n">
        <x:v>26</x:v>
      </x:c>
      <x:c r="N1873" s="16" t="n">
        <x:v>12.61</x:v>
      </x:c>
      <x:c r="O1873" s="16" t="n">
        <x:f>K1873*M1873</x:f>
        <x:v>338</x:v>
      </x:c>
      <x:c r="P1873" s="16" t="n">
        <x:f>K1873*N1873</x:f>
        <x:v>163.93</x:v>
      </x:c>
      <x:c r="Q1873" s="16" t="n">
        <x:f>O1873-P1873</x:f>
        <x:v>174.07</x:v>
      </x:c>
      <x:c r="R1873" s="2" t="n">
        <x:v>122</x:v>
      </x:c>
      <x:c r="S1873" s="2" t="n">
        <x:v>0</x:v>
      </x:c>
      <x:c r="T1873" s="2" t="n">
        <x:f>R1873+S1873+J1873-I1873</x:f>
        <x:v>109</x:v>
      </x:c>
      <x:c r="U1873" s="2" t="n">
        <x:v>0</x:v>
      </x:c>
      <x:c r="V1873" s="2" t="n">
        <x:v>4</x:v>
      </x:c>
      <x:c r="W1873" s="2" t="n">
        <x:v>13</x:v>
      </x:c>
      <x:c r="X1873" s="14" t="b">
        <x:v>0</x:v>
      </x:c>
      <x:c r="Y1873" s="14" t="b">
        <x:v>0</x:v>
      </x:c>
      <x:c r="Z1873" s="2" t="n">
        <x:f>ABS(T1873-AA1873)</x:f>
        <x:v>0</x:v>
      </x:c>
      <x:c r="AA1873" s="2" t="n">
        <x:v>109</x:v>
      </x:c>
      <x:c r="AB1873" s="2" t="n">
        <x:f>ABS(K1873-W1873)</x:f>
        <x:v>0</x:v>
      </x:c>
      <x:c r="AC1873" s="2" t="n">
        <x:f>COUNTIF($A$2:$A$1921,A1873)-1</x:f>
        <x:v>0</x:v>
      </x:c>
      <x:c r="AD1873" s="2" t="n">
        <x:f>IF(AND(D1873=D1872,H1873=H1872,C1873=C1872+1),ABS(R1873-T1872),0)</x:f>
        <x:v>0</x:v>
      </x:c>
    </x:row>
    <x:row r="1874" ht="23" customHeight="1">
      <x:c r="A1874" s="2" t="str">
        <x:v>DEMO-406-1-13</x:v>
      </x:c>
      <x:c r="B1874" s="15" t="d">
        <x:v>2026-07-27T00:00:00.000Z</x:v>
      </x:c>
      <x:c r="C1874" s="2" t="n">
        <x:v>13</x:v>
      </x:c>
      <x:c r="D1874" s="2" t="str">
        <x:v>DEMO-406</x:v>
      </x:c>
      <x:c r="E1874" s="2" t="str">
        <x:v>Mini Zip Case</x:v>
      </x:c>
      <x:c r="F1874" s="2" t="str">
        <x:v>Accessories</x:v>
      </x:c>
      <x:c r="G1874" s="2" t="str">
        <x:v>Stores</x:v>
      </x:c>
      <x:c r="H1874" s="2" t="str">
        <x:v>Riverside</x:v>
      </x:c>
      <x:c r="I1874" s="2" t="n">
        <x:v>12</x:v>
      </x:c>
      <x:c r="J1874" s="2" t="n">
        <x:v>1</x:v>
      </x:c>
      <x:c r="K1874" s="2" t="n">
        <x:f>I1874-J1874</x:f>
        <x:v>11</x:v>
      </x:c>
      <x:c r="L1874" s="16" t="n">
        <x:v>26</x:v>
      </x:c>
      <x:c r="M1874" s="16" t="n">
        <x:v>26</x:v>
      </x:c>
      <x:c r="N1874" s="16" t="n">
        <x:v>12.61</x:v>
      </x:c>
      <x:c r="O1874" s="16" t="n">
        <x:f>K1874*M1874</x:f>
        <x:v>286</x:v>
      </x:c>
      <x:c r="P1874" s="16" t="n">
        <x:f>K1874*N1874</x:f>
        <x:v>138.70999999999998</x:v>
      </x:c>
      <x:c r="Q1874" s="16" t="n">
        <x:f>O1874-P1874</x:f>
        <x:v>147.29000000000002</x:v>
      </x:c>
      <x:c r="R1874" s="2" t="n">
        <x:v>109</x:v>
      </x:c>
      <x:c r="S1874" s="2" t="n">
        <x:v>59</x:v>
      </x:c>
      <x:c r="T1874" s="2" t="n">
        <x:f>R1874+S1874+J1874-I1874</x:f>
        <x:v>157</x:v>
      </x:c>
      <x:c r="U1874" s="2" t="n">
        <x:v>0</x:v>
      </x:c>
      <x:c r="V1874" s="2" t="n">
        <x:v>4</x:v>
      </x:c>
      <x:c r="W1874" s="2" t="n">
        <x:v>13</x:v>
      </x:c>
      <x:c r="X1874" s="14" t="b">
        <x:v>0</x:v>
      </x:c>
      <x:c r="Y1874" s="14" t="b">
        <x:v>0</x:v>
      </x:c>
      <x:c r="Z1874" s="2" t="n">
        <x:f>ABS(T1874-AA1874)</x:f>
        <x:v>0</x:v>
      </x:c>
      <x:c r="AA1874" s="2" t="n">
        <x:v>157</x:v>
      </x:c>
      <x:c r="AB1874" s="2" t="n">
        <x:f>ABS(K1874-W1874)</x:f>
        <x:v>2</x:v>
      </x:c>
      <x:c r="AC1874" s="2" t="n">
        <x:f>COUNTIF($A$2:$A$1921,A1874)-1</x:f>
        <x:v>0</x:v>
      </x:c>
      <x:c r="AD1874" s="2" t="n">
        <x:f>IF(AND(D1874=D1873,H1874=H1873,C1874=C1873+1),ABS(R1874-T1873),0)</x:f>
        <x:v>0</x:v>
      </x:c>
    </x:row>
    <x:row r="1875" ht="23" customHeight="1">
      <x:c r="A1875" s="2" t="str">
        <x:v>DEMO-406-1-14</x:v>
      </x:c>
      <x:c r="B1875" s="15" t="d">
        <x:v>2026-08-03T00:00:00.000Z</x:v>
      </x:c>
      <x:c r="C1875" s="2" t="n">
        <x:v>14</x:v>
      </x:c>
      <x:c r="D1875" s="2" t="str">
        <x:v>DEMO-406</x:v>
      </x:c>
      <x:c r="E1875" s="2" t="str">
        <x:v>Mini Zip Case</x:v>
      </x:c>
      <x:c r="F1875" s="2" t="str">
        <x:v>Accessories</x:v>
      </x:c>
      <x:c r="G1875" s="2" t="str">
        <x:v>Stores</x:v>
      </x:c>
      <x:c r="H1875" s="2" t="str">
        <x:v>Riverside</x:v>
      </x:c>
      <x:c r="I1875" s="2" t="n">
        <x:v>12</x:v>
      </x:c>
      <x:c r="J1875" s="2" t="n">
        <x:v>0</x:v>
      </x:c>
      <x:c r="K1875" s="2" t="n">
        <x:f>I1875-J1875</x:f>
        <x:v>12</x:v>
      </x:c>
      <x:c r="L1875" s="16" t="n">
        <x:v>26</x:v>
      </x:c>
      <x:c r="M1875" s="16" t="n">
        <x:v>26</x:v>
      </x:c>
      <x:c r="N1875" s="16" t="n">
        <x:v>12.61</x:v>
      </x:c>
      <x:c r="O1875" s="16" t="n">
        <x:f>K1875*M1875</x:f>
        <x:v>312</x:v>
      </x:c>
      <x:c r="P1875" s="16" t="n">
        <x:f>K1875*N1875</x:f>
        <x:v>151.32</x:v>
      </x:c>
      <x:c r="Q1875" s="16" t="n">
        <x:f>O1875-P1875</x:f>
        <x:v>160.68</x:v>
      </x:c>
      <x:c r="R1875" s="2" t="n">
        <x:v>157</x:v>
      </x:c>
      <x:c r="S1875" s="2" t="n">
        <x:v>0</x:v>
      </x:c>
      <x:c r="T1875" s="2" t="n">
        <x:f>R1875+S1875+J1875-I1875</x:f>
        <x:v>145</x:v>
      </x:c>
      <x:c r="U1875" s="2" t="n">
        <x:v>0</x:v>
      </x:c>
      <x:c r="V1875" s="2" t="n">
        <x:v>4</x:v>
      </x:c>
      <x:c r="W1875" s="2" t="n">
        <x:v>13</x:v>
      </x:c>
      <x:c r="X1875" s="14" t="b">
        <x:v>0</x:v>
      </x:c>
      <x:c r="Y1875" s="14" t="b">
        <x:v>0</x:v>
      </x:c>
      <x:c r="Z1875" s="2" t="n">
        <x:f>ABS(T1875-AA1875)</x:f>
        <x:v>0</x:v>
      </x:c>
      <x:c r="AA1875" s="2" t="n">
        <x:v>145</x:v>
      </x:c>
      <x:c r="AB1875" s="2" t="n">
        <x:f>ABS(K1875-W1875)</x:f>
        <x:v>1</x:v>
      </x:c>
      <x:c r="AC1875" s="2" t="n">
        <x:f>COUNTIF($A$2:$A$1921,A1875)-1</x:f>
        <x:v>0</x:v>
      </x:c>
      <x:c r="AD1875" s="2" t="n">
        <x:f>IF(AND(D1875=D1874,H1875=H1874,C1875=C1874+1),ABS(R1875-T1874),0)</x:f>
        <x:v>0</x:v>
      </x:c>
    </x:row>
    <x:row r="1876" ht="23" customHeight="1">
      <x:c r="A1876" s="2" t="str">
        <x:v>DEMO-406-1-15</x:v>
      </x:c>
      <x:c r="B1876" s="15" t="d">
        <x:v>2026-08-10T00:00:00.000Z</x:v>
      </x:c>
      <x:c r="C1876" s="2" t="n">
        <x:v>15</x:v>
      </x:c>
      <x:c r="D1876" s="2" t="str">
        <x:v>DEMO-406</x:v>
      </x:c>
      <x:c r="E1876" s="2" t="str">
        <x:v>Mini Zip Case</x:v>
      </x:c>
      <x:c r="F1876" s="2" t="str">
        <x:v>Accessories</x:v>
      </x:c>
      <x:c r="G1876" s="2" t="str">
        <x:v>Stores</x:v>
      </x:c>
      <x:c r="H1876" s="2" t="str">
        <x:v>Riverside</x:v>
      </x:c>
      <x:c r="I1876" s="2" t="n">
        <x:v>15</x:v>
      </x:c>
      <x:c r="J1876" s="2" t="n">
        <x:v>0</x:v>
      </x:c>
      <x:c r="K1876" s="2" t="n">
        <x:f>I1876-J1876</x:f>
        <x:v>15</x:v>
      </x:c>
      <x:c r="L1876" s="16" t="n">
        <x:v>26</x:v>
      </x:c>
      <x:c r="M1876" s="16" t="n">
        <x:v>26</x:v>
      </x:c>
      <x:c r="N1876" s="16" t="n">
        <x:v>12.61</x:v>
      </x:c>
      <x:c r="O1876" s="16" t="n">
        <x:f>K1876*M1876</x:f>
        <x:v>390</x:v>
      </x:c>
      <x:c r="P1876" s="16" t="n">
        <x:f>K1876*N1876</x:f>
        <x:v>189.14999999999998</x:v>
      </x:c>
      <x:c r="Q1876" s="16" t="n">
        <x:f>O1876-P1876</x:f>
        <x:v>200.85000000000002</x:v>
      </x:c>
      <x:c r="R1876" s="2" t="n">
        <x:v>145</x:v>
      </x:c>
      <x:c r="S1876" s="2" t="n">
        <x:v>0</x:v>
      </x:c>
      <x:c r="T1876" s="2" t="n">
        <x:f>R1876+S1876+J1876-I1876</x:f>
        <x:v>130</x:v>
      </x:c>
      <x:c r="U1876" s="2" t="n">
        <x:v>0</x:v>
      </x:c>
      <x:c r="V1876" s="2" t="n">
        <x:v>4</x:v>
      </x:c>
      <x:c r="W1876" s="2" t="n">
        <x:v>13</x:v>
      </x:c>
      <x:c r="X1876" s="14" t="b">
        <x:v>0</x:v>
      </x:c>
      <x:c r="Y1876" s="14" t="b">
        <x:v>0</x:v>
      </x:c>
      <x:c r="Z1876" s="2" t="n">
        <x:f>ABS(T1876-AA1876)</x:f>
        <x:v>0</x:v>
      </x:c>
      <x:c r="AA1876" s="2" t="n">
        <x:v>130</x:v>
      </x:c>
      <x:c r="AB1876" s="2" t="n">
        <x:f>ABS(K1876-W1876)</x:f>
        <x:v>2</x:v>
      </x:c>
      <x:c r="AC1876" s="2" t="n">
        <x:f>COUNTIF($A$2:$A$1921,A1876)-1</x:f>
        <x:v>0</x:v>
      </x:c>
      <x:c r="AD1876" s="2" t="n">
        <x:f>IF(AND(D1876=D1875,H1876=H1875,C1876=C1875+1),ABS(R1876-T1875),0)</x:f>
        <x:v>0</x:v>
      </x:c>
    </x:row>
    <x:row r="1877" ht="23" customHeight="1">
      <x:c r="A1877" s="2" t="str">
        <x:v>DEMO-406-1-16</x:v>
      </x:c>
      <x:c r="B1877" s="15" t="d">
        <x:v>2026-08-17T00:00:00.000Z</x:v>
      </x:c>
      <x:c r="C1877" s="2" t="n">
        <x:v>16</x:v>
      </x:c>
      <x:c r="D1877" s="2" t="str">
        <x:v>DEMO-406</x:v>
      </x:c>
      <x:c r="E1877" s="2" t="str">
        <x:v>Mini Zip Case</x:v>
      </x:c>
      <x:c r="F1877" s="2" t="str">
        <x:v>Accessories</x:v>
      </x:c>
      <x:c r="G1877" s="2" t="str">
        <x:v>Stores</x:v>
      </x:c>
      <x:c r="H1877" s="2" t="str">
        <x:v>Riverside</x:v>
      </x:c>
      <x:c r="I1877" s="2" t="n">
        <x:v>17</x:v>
      </x:c>
      <x:c r="J1877" s="2" t="n">
        <x:v>0</x:v>
      </x:c>
      <x:c r="K1877" s="2" t="n">
        <x:f>I1877-J1877</x:f>
        <x:v>17</x:v>
      </x:c>
      <x:c r="L1877" s="16" t="n">
        <x:v>26</x:v>
      </x:c>
      <x:c r="M1877" s="16" t="n">
        <x:v>26</x:v>
      </x:c>
      <x:c r="N1877" s="16" t="n">
        <x:v>12.61</x:v>
      </x:c>
      <x:c r="O1877" s="16" t="n">
        <x:f>K1877*M1877</x:f>
        <x:v>442</x:v>
      </x:c>
      <x:c r="P1877" s="16" t="n">
        <x:f>K1877*N1877</x:f>
        <x:v>214.37</x:v>
      </x:c>
      <x:c r="Q1877" s="16" t="n">
        <x:f>O1877-P1877</x:f>
        <x:v>227.63</x:v>
      </x:c>
      <x:c r="R1877" s="2" t="n">
        <x:v>130</x:v>
      </x:c>
      <x:c r="S1877" s="2" t="n">
        <x:v>0</x:v>
      </x:c>
      <x:c r="T1877" s="2" t="n">
        <x:f>R1877+S1877+J1877-I1877</x:f>
        <x:v>113</x:v>
      </x:c>
      <x:c r="U1877" s="2" t="n">
        <x:v>0</x:v>
      </x:c>
      <x:c r="V1877" s="2" t="n">
        <x:v>4</x:v>
      </x:c>
      <x:c r="W1877" s="2" t="n">
        <x:v>13</x:v>
      </x:c>
      <x:c r="X1877" s="14" t="b">
        <x:v>0</x:v>
      </x:c>
      <x:c r="Y1877" s="14" t="b">
        <x:v>0</x:v>
      </x:c>
      <x:c r="Z1877" s="2" t="n">
        <x:f>ABS(T1877-AA1877)</x:f>
        <x:v>0</x:v>
      </x:c>
      <x:c r="AA1877" s="2" t="n">
        <x:v>113</x:v>
      </x:c>
      <x:c r="AB1877" s="2" t="n">
        <x:f>ABS(K1877-W1877)</x:f>
        <x:v>4</x:v>
      </x:c>
      <x:c r="AC1877" s="2" t="n">
        <x:f>COUNTIF($A$2:$A$1921,A1877)-1</x:f>
        <x:v>0</x:v>
      </x:c>
      <x:c r="AD1877" s="2" t="n">
        <x:f>IF(AND(D1877=D1876,H1877=H1876,C1877=C1876+1),ABS(R1877-T1876),0)</x:f>
        <x:v>0</x:v>
      </x:c>
    </x:row>
    <x:row r="1878" ht="23" customHeight="1">
      <x:c r="A1878" s="2" t="str">
        <x:v>DEMO-406-1-17</x:v>
      </x:c>
      <x:c r="B1878" s="15" t="d">
        <x:v>2026-08-24T00:00:00.000Z</x:v>
      </x:c>
      <x:c r="C1878" s="2" t="n">
        <x:v>17</x:v>
      </x:c>
      <x:c r="D1878" s="2" t="str">
        <x:v>DEMO-406</x:v>
      </x:c>
      <x:c r="E1878" s="2" t="str">
        <x:v>Mini Zip Case</x:v>
      </x:c>
      <x:c r="F1878" s="2" t="str">
        <x:v>Accessories</x:v>
      </x:c>
      <x:c r="G1878" s="2" t="str">
        <x:v>Stores</x:v>
      </x:c>
      <x:c r="H1878" s="2" t="str">
        <x:v>Riverside</x:v>
      </x:c>
      <x:c r="I1878" s="2" t="n">
        <x:v>16</x:v>
      </x:c>
      <x:c r="J1878" s="2" t="n">
        <x:v>0</x:v>
      </x:c>
      <x:c r="K1878" s="2" t="n">
        <x:f>I1878-J1878</x:f>
        <x:v>16</x:v>
      </x:c>
      <x:c r="L1878" s="16" t="n">
        <x:v>26</x:v>
      </x:c>
      <x:c r="M1878" s="16" t="n">
        <x:v>26</x:v>
      </x:c>
      <x:c r="N1878" s="16" t="n">
        <x:v>12.61</x:v>
      </x:c>
      <x:c r="O1878" s="16" t="n">
        <x:f>K1878*M1878</x:f>
        <x:v>416</x:v>
      </x:c>
      <x:c r="P1878" s="16" t="n">
        <x:f>K1878*N1878</x:f>
        <x:v>201.76</x:v>
      </x:c>
      <x:c r="Q1878" s="16" t="n">
        <x:f>O1878-P1878</x:f>
        <x:v>214.24</x:v>
      </x:c>
      <x:c r="R1878" s="2" t="n">
        <x:v>113</x:v>
      </x:c>
      <x:c r="S1878" s="2" t="n">
        <x:v>59</x:v>
      </x:c>
      <x:c r="T1878" s="2" t="n">
        <x:f>R1878+S1878+J1878-I1878</x:f>
        <x:v>156</x:v>
      </x:c>
      <x:c r="U1878" s="2" t="n">
        <x:v>0</x:v>
      </x:c>
      <x:c r="V1878" s="2" t="n">
        <x:v>4</x:v>
      </x:c>
      <x:c r="W1878" s="2" t="n">
        <x:v>14</x:v>
      </x:c>
      <x:c r="X1878" s="14" t="b">
        <x:v>0</x:v>
      </x:c>
      <x:c r="Y1878" s="14" t="b">
        <x:v>0</x:v>
      </x:c>
      <x:c r="Z1878" s="2" t="n">
        <x:f>ABS(T1878-AA1878)</x:f>
        <x:v>0</x:v>
      </x:c>
      <x:c r="AA1878" s="2" t="n">
        <x:v>156</x:v>
      </x:c>
      <x:c r="AB1878" s="2" t="n">
        <x:f>ABS(K1878-W1878)</x:f>
        <x:v>2</x:v>
      </x:c>
      <x:c r="AC1878" s="2" t="n">
        <x:f>COUNTIF($A$2:$A$1921,A1878)-1</x:f>
        <x:v>0</x:v>
      </x:c>
      <x:c r="AD1878" s="2" t="n">
        <x:f>IF(AND(D1878=D1877,H1878=H1877,C1878=C1877+1),ABS(R1878-T1877),0)</x:f>
        <x:v>0</x:v>
      </x:c>
    </x:row>
    <x:row r="1879" ht="23" customHeight="1">
      <x:c r="A1879" s="2" t="str">
        <x:v>DEMO-406-1-18</x:v>
      </x:c>
      <x:c r="B1879" s="15" t="d">
        <x:v>2026-08-31T00:00:00.000Z</x:v>
      </x:c>
      <x:c r="C1879" s="2" t="n">
        <x:v>18</x:v>
      </x:c>
      <x:c r="D1879" s="2" t="str">
        <x:v>DEMO-406</x:v>
      </x:c>
      <x:c r="E1879" s="2" t="str">
        <x:v>Mini Zip Case</x:v>
      </x:c>
      <x:c r="F1879" s="2" t="str">
        <x:v>Accessories</x:v>
      </x:c>
      <x:c r="G1879" s="2" t="str">
        <x:v>Stores</x:v>
      </x:c>
      <x:c r="H1879" s="2" t="str">
        <x:v>Riverside</x:v>
      </x:c>
      <x:c r="I1879" s="2" t="n">
        <x:v>16</x:v>
      </x:c>
      <x:c r="J1879" s="2" t="n">
        <x:v>0</x:v>
      </x:c>
      <x:c r="K1879" s="2" t="n">
        <x:f>I1879-J1879</x:f>
        <x:v>16</x:v>
      </x:c>
      <x:c r="L1879" s="16" t="n">
        <x:v>26</x:v>
      </x:c>
      <x:c r="M1879" s="16" t="n">
        <x:v>26</x:v>
      </x:c>
      <x:c r="N1879" s="16" t="n">
        <x:v>12.61</x:v>
      </x:c>
      <x:c r="O1879" s="16" t="n">
        <x:f>K1879*M1879</x:f>
        <x:v>416</x:v>
      </x:c>
      <x:c r="P1879" s="16" t="n">
        <x:f>K1879*N1879</x:f>
        <x:v>201.76</x:v>
      </x:c>
      <x:c r="Q1879" s="16" t="n">
        <x:f>O1879-P1879</x:f>
        <x:v>214.24</x:v>
      </x:c>
      <x:c r="R1879" s="2" t="n">
        <x:v>156</x:v>
      </x:c>
      <x:c r="S1879" s="2" t="n">
        <x:v>0</x:v>
      </x:c>
      <x:c r="T1879" s="2" t="n">
        <x:f>R1879+S1879+J1879-I1879</x:f>
        <x:v>140</x:v>
      </x:c>
      <x:c r="U1879" s="2" t="n">
        <x:v>0</x:v>
      </x:c>
      <x:c r="V1879" s="2" t="n">
        <x:v>4</x:v>
      </x:c>
      <x:c r="W1879" s="2" t="n">
        <x:v>15</x:v>
      </x:c>
      <x:c r="X1879" s="14" t="b">
        <x:v>0</x:v>
      </x:c>
      <x:c r="Y1879" s="14" t="b">
        <x:v>0</x:v>
      </x:c>
      <x:c r="Z1879" s="2" t="n">
        <x:f>ABS(T1879-AA1879)</x:f>
        <x:v>0</x:v>
      </x:c>
      <x:c r="AA1879" s="2" t="n">
        <x:v>140</x:v>
      </x:c>
      <x:c r="AB1879" s="2" t="n">
        <x:f>ABS(K1879-W1879)</x:f>
        <x:v>1</x:v>
      </x:c>
      <x:c r="AC1879" s="2" t="n">
        <x:f>COUNTIF($A$2:$A$1921,A1879)-1</x:f>
        <x:v>0</x:v>
      </x:c>
      <x:c r="AD1879" s="2" t="n">
        <x:f>IF(AND(D1879=D1878,H1879=H1878,C1879=C1878+1),ABS(R1879-T1878),0)</x:f>
        <x:v>0</x:v>
      </x:c>
    </x:row>
    <x:row r="1880" ht="23" customHeight="1">
      <x:c r="A1880" s="2" t="str">
        <x:v>DEMO-406-1-19</x:v>
      </x:c>
      <x:c r="B1880" s="15" t="d">
        <x:v>2026-09-07T00:00:00.000Z</x:v>
      </x:c>
      <x:c r="C1880" s="2" t="n">
        <x:v>19</x:v>
      </x:c>
      <x:c r="D1880" s="2" t="str">
        <x:v>DEMO-406</x:v>
      </x:c>
      <x:c r="E1880" s="2" t="str">
        <x:v>Mini Zip Case</x:v>
      </x:c>
      <x:c r="F1880" s="2" t="str">
        <x:v>Accessories</x:v>
      </x:c>
      <x:c r="G1880" s="2" t="str">
        <x:v>Stores</x:v>
      </x:c>
      <x:c r="H1880" s="2" t="str">
        <x:v>Riverside</x:v>
      </x:c>
      <x:c r="I1880" s="2" t="n">
        <x:v>15</x:v>
      </x:c>
      <x:c r="J1880" s="2" t="n">
        <x:v>0</x:v>
      </x:c>
      <x:c r="K1880" s="2" t="n">
        <x:f>I1880-J1880</x:f>
        <x:v>15</x:v>
      </x:c>
      <x:c r="L1880" s="16" t="n">
        <x:v>26</x:v>
      </x:c>
      <x:c r="M1880" s="16" t="n">
        <x:v>26</x:v>
      </x:c>
      <x:c r="N1880" s="16" t="n">
        <x:v>12.61</x:v>
      </x:c>
      <x:c r="O1880" s="16" t="n">
        <x:f>K1880*M1880</x:f>
        <x:v>390</x:v>
      </x:c>
      <x:c r="P1880" s="16" t="n">
        <x:f>K1880*N1880</x:f>
        <x:v>189.14999999999998</x:v>
      </x:c>
      <x:c r="Q1880" s="16" t="n">
        <x:f>O1880-P1880</x:f>
        <x:v>200.85000000000002</x:v>
      </x:c>
      <x:c r="R1880" s="2" t="n">
        <x:v>140</x:v>
      </x:c>
      <x:c r="S1880" s="2" t="n">
        <x:v>0</x:v>
      </x:c>
      <x:c r="T1880" s="2" t="n">
        <x:f>R1880+S1880+J1880-I1880</x:f>
        <x:v>125</x:v>
      </x:c>
      <x:c r="U1880" s="2" t="n">
        <x:v>0</x:v>
      </x:c>
      <x:c r="V1880" s="2" t="n">
        <x:v>4</x:v>
      </x:c>
      <x:c r="W1880" s="2" t="n">
        <x:v>16</x:v>
      </x:c>
      <x:c r="X1880" s="14" t="b">
        <x:v>0</x:v>
      </x:c>
      <x:c r="Y1880" s="14" t="b">
        <x:v>0</x:v>
      </x:c>
      <x:c r="Z1880" s="2" t="n">
        <x:f>ABS(T1880-AA1880)</x:f>
        <x:v>0</x:v>
      </x:c>
      <x:c r="AA1880" s="2" t="n">
        <x:v>125</x:v>
      </x:c>
      <x:c r="AB1880" s="2" t="n">
        <x:f>ABS(K1880-W1880)</x:f>
        <x:v>1</x:v>
      </x:c>
      <x:c r="AC1880" s="2" t="n">
        <x:f>COUNTIF($A$2:$A$1921,A1880)-1</x:f>
        <x:v>0</x:v>
      </x:c>
      <x:c r="AD1880" s="2" t="n">
        <x:f>IF(AND(D1880=D1879,H1880=H1879,C1880=C1879+1),ABS(R1880-T1879),0)</x:f>
        <x:v>0</x:v>
      </x:c>
    </x:row>
    <x:row r="1881" ht="23" customHeight="1">
      <x:c r="A1881" s="2" t="str">
        <x:v>DEMO-406-1-20</x:v>
      </x:c>
      <x:c r="B1881" s="15" t="d">
        <x:v>2026-09-14T00:00:00.000Z</x:v>
      </x:c>
      <x:c r="C1881" s="2" t="n">
        <x:v>20</x:v>
      </x:c>
      <x:c r="D1881" s="2" t="str">
        <x:v>DEMO-406</x:v>
      </x:c>
      <x:c r="E1881" s="2" t="str">
        <x:v>Mini Zip Case</x:v>
      </x:c>
      <x:c r="F1881" s="2" t="str">
        <x:v>Accessories</x:v>
      </x:c>
      <x:c r="G1881" s="2" t="str">
        <x:v>Stores</x:v>
      </x:c>
      <x:c r="H1881" s="2" t="str">
        <x:v>Riverside</x:v>
      </x:c>
      <x:c r="I1881" s="2" t="n">
        <x:v>14</x:v>
      </x:c>
      <x:c r="J1881" s="2" t="n">
        <x:v>0</x:v>
      </x:c>
      <x:c r="K1881" s="2" t="n">
        <x:f>I1881-J1881</x:f>
        <x:v>14</x:v>
      </x:c>
      <x:c r="L1881" s="16" t="n">
        <x:v>26</x:v>
      </x:c>
      <x:c r="M1881" s="16" t="n">
        <x:v>26</x:v>
      </x:c>
      <x:c r="N1881" s="16" t="n">
        <x:v>12.61</x:v>
      </x:c>
      <x:c r="O1881" s="16" t="n">
        <x:f>K1881*M1881</x:f>
        <x:v>364</x:v>
      </x:c>
      <x:c r="P1881" s="16" t="n">
        <x:f>K1881*N1881</x:f>
        <x:v>176.54</x:v>
      </x:c>
      <x:c r="Q1881" s="16" t="n">
        <x:f>O1881-P1881</x:f>
        <x:v>187.46</x:v>
      </x:c>
      <x:c r="R1881" s="2" t="n">
        <x:v>125</x:v>
      </x:c>
      <x:c r="S1881" s="2" t="n">
        <x:v>0</x:v>
      </x:c>
      <x:c r="T1881" s="2" t="n">
        <x:f>R1881+S1881+J1881-I1881</x:f>
        <x:v>111</x:v>
      </x:c>
      <x:c r="U1881" s="2" t="n">
        <x:v>18</x:v>
      </x:c>
      <x:c r="V1881" s="2" t="n">
        <x:v>4</x:v>
      </x:c>
      <x:c r="W1881" s="2" t="n">
        <x:v>16</x:v>
      </x:c>
      <x:c r="X1881" s="14" t="b">
        <x:v>0</x:v>
      </x:c>
      <x:c r="Y1881" s="14" t="b">
        <x:v>0</x:v>
      </x:c>
      <x:c r="Z1881" s="2" t="n">
        <x:f>ABS(T1881-AA1881)</x:f>
        <x:v>0</x:v>
      </x:c>
      <x:c r="AA1881" s="2" t="n">
        <x:v>111</x:v>
      </x:c>
      <x:c r="AB1881" s="2" t="n">
        <x:f>ABS(K1881-W1881)</x:f>
        <x:v>2</x:v>
      </x:c>
      <x:c r="AC1881" s="2" t="n">
        <x:f>COUNTIF($A$2:$A$1921,A1881)-1</x:f>
        <x:v>0</x:v>
      </x:c>
      <x:c r="AD1881" s="2" t="n">
        <x:f>IF(AND(D1881=D1880,H1881=H1880,C1881=C1880+1),ABS(R1881-T1880),0)</x:f>
        <x:v>0</x:v>
      </x:c>
    </x:row>
    <x:row r="1882" ht="23" customHeight="1">
      <x:c r="A1882" s="2" t="str">
        <x:v>DEMO-406-2-1</x:v>
      </x:c>
      <x:c r="B1882" s="15" t="d">
        <x:v>2026-05-04T00:00:00.000Z</x:v>
      </x:c>
      <x:c r="C1882" s="2" t="n">
        <x:v>1</x:v>
      </x:c>
      <x:c r="D1882" s="2" t="str">
        <x:v>DEMO-406</x:v>
      </x:c>
      <x:c r="E1882" s="2" t="str">
        <x:v>Mini Zip Case</x:v>
      </x:c>
      <x:c r="F1882" s="2" t="str">
        <x:v>Accessories</x:v>
      </x:c>
      <x:c r="G1882" s="2" t="str">
        <x:v>Stores</x:v>
      </x:c>
      <x:c r="H1882" s="2" t="str">
        <x:v>Central Market</x:v>
      </x:c>
      <x:c r="I1882" s="2" t="n">
        <x:v>15</x:v>
      </x:c>
      <x:c r="J1882" s="2" t="n">
        <x:v>1</x:v>
      </x:c>
      <x:c r="K1882" s="2" t="n">
        <x:f>I1882-J1882</x:f>
        <x:v>14</x:v>
      </x:c>
      <x:c r="L1882" s="16" t="n">
        <x:v>26</x:v>
      </x:c>
      <x:c r="M1882" s="16" t="n">
        <x:v>26</x:v>
      </x:c>
      <x:c r="N1882" s="16" t="n">
        <x:v>12.61</x:v>
      </x:c>
      <x:c r="O1882" s="16" t="n">
        <x:f>K1882*M1882</x:f>
        <x:v>364</x:v>
      </x:c>
      <x:c r="P1882" s="16" t="n">
        <x:f>K1882*N1882</x:f>
        <x:v>176.54</x:v>
      </x:c>
      <x:c r="Q1882" s="16" t="n">
        <x:f>O1882-P1882</x:f>
        <x:v>187.46</x:v>
      </x:c>
      <x:c r="R1882" s="2" t="n">
        <x:v>90</x:v>
      </x:c>
      <x:c r="S1882" s="2" t="n">
        <x:v>59</x:v>
      </x:c>
      <x:c r="T1882" s="2" t="n">
        <x:f>R1882+S1882+J1882-I1882</x:f>
        <x:v>135</x:v>
      </x:c>
      <x:c r="U1882" s="2" t="n">
        <x:v>0</x:v>
      </x:c>
      <x:c r="V1882" s="2" t="n">
        <x:v>4</x:v>
      </x:c>
      <x:c r="W1882" s="2" t="n">
        <x:v>14</x:v>
      </x:c>
      <x:c r="X1882" s="14" t="b">
        <x:v>0</x:v>
      </x:c>
      <x:c r="Y1882" s="14" t="b">
        <x:v>0</x:v>
      </x:c>
      <x:c r="Z1882" s="2" t="n">
        <x:f>ABS(T1882-AA1882)</x:f>
        <x:v>0</x:v>
      </x:c>
      <x:c r="AA1882" s="2" t="n">
        <x:v>135</x:v>
      </x:c>
      <x:c r="AB1882" s="2" t="n">
        <x:f>ABS(K1882-W1882)</x:f>
        <x:v>0</x:v>
      </x:c>
      <x:c r="AC1882" s="2" t="n">
        <x:f>COUNTIF($A$2:$A$1921,A1882)-1</x:f>
        <x:v>0</x:v>
      </x:c>
      <x:c r="AD1882" s="2" t="n">
        <x:f>IF(AND(D1882=D1881,H1882=H1881,C1882=C1881+1),ABS(R1882-T1881),0)</x:f>
        <x:v>0</x:v>
      </x:c>
    </x:row>
    <x:row r="1883" ht="23" customHeight="1">
      <x:c r="A1883" s="2" t="str">
        <x:v>DEMO-406-2-2</x:v>
      </x:c>
      <x:c r="B1883" s="15" t="d">
        <x:v>2026-05-11T00:00:00.000Z</x:v>
      </x:c>
      <x:c r="C1883" s="2" t="n">
        <x:v>2</x:v>
      </x:c>
      <x:c r="D1883" s="2" t="str">
        <x:v>DEMO-406</x:v>
      </x:c>
      <x:c r="E1883" s="2" t="str">
        <x:v>Mini Zip Case</x:v>
      </x:c>
      <x:c r="F1883" s="2" t="str">
        <x:v>Accessories</x:v>
      </x:c>
      <x:c r="G1883" s="2" t="str">
        <x:v>Stores</x:v>
      </x:c>
      <x:c r="H1883" s="2" t="str">
        <x:v>Central Market</x:v>
      </x:c>
      <x:c r="I1883" s="2" t="n">
        <x:v>12</x:v>
      </x:c>
      <x:c r="J1883" s="2" t="n">
        <x:v>0</x:v>
      </x:c>
      <x:c r="K1883" s="2" t="n">
        <x:f>I1883-J1883</x:f>
        <x:v>12</x:v>
      </x:c>
      <x:c r="L1883" s="16" t="n">
        <x:v>26</x:v>
      </x:c>
      <x:c r="M1883" s="16" t="n">
        <x:v>26</x:v>
      </x:c>
      <x:c r="N1883" s="16" t="n">
        <x:v>12.61</x:v>
      </x:c>
      <x:c r="O1883" s="16" t="n">
        <x:f>K1883*M1883</x:f>
        <x:v>312</x:v>
      </x:c>
      <x:c r="P1883" s="16" t="n">
        <x:f>K1883*N1883</x:f>
        <x:v>151.32</x:v>
      </x:c>
      <x:c r="Q1883" s="16" t="n">
        <x:f>O1883-P1883</x:f>
        <x:v>160.68</x:v>
      </x:c>
      <x:c r="R1883" s="2" t="n">
        <x:v>135</x:v>
      </x:c>
      <x:c r="S1883" s="2" t="n">
        <x:v>0</x:v>
      </x:c>
      <x:c r="T1883" s="2" t="n">
        <x:f>R1883+S1883+J1883-I1883</x:f>
        <x:v>123</x:v>
      </x:c>
      <x:c r="U1883" s="2" t="n">
        <x:v>0</x:v>
      </x:c>
      <x:c r="V1883" s="2" t="n">
        <x:v>4</x:v>
      </x:c>
      <x:c r="W1883" s="2" t="n">
        <x:v>14</x:v>
      </x:c>
      <x:c r="X1883" s="14" t="b">
        <x:v>0</x:v>
      </x:c>
      <x:c r="Y1883" s="14" t="b">
        <x:v>0</x:v>
      </x:c>
      <x:c r="Z1883" s="2" t="n">
        <x:f>ABS(T1883-AA1883)</x:f>
        <x:v>0</x:v>
      </x:c>
      <x:c r="AA1883" s="2" t="n">
        <x:v>123</x:v>
      </x:c>
      <x:c r="AB1883" s="2" t="n">
        <x:f>ABS(K1883-W1883)</x:f>
        <x:v>2</x:v>
      </x:c>
      <x:c r="AC1883" s="2" t="n">
        <x:f>COUNTIF($A$2:$A$1921,A1883)-1</x:f>
        <x:v>0</x:v>
      </x:c>
      <x:c r="AD1883" s="2" t="n">
        <x:f>IF(AND(D1883=D1882,H1883=H1882,C1883=C1882+1),ABS(R1883-T1882),0)</x:f>
        <x:v>0</x:v>
      </x:c>
    </x:row>
    <x:row r="1884" ht="23" customHeight="1">
      <x:c r="A1884" s="2" t="str">
        <x:v>DEMO-406-2-3</x:v>
      </x:c>
      <x:c r="B1884" s="15" t="d">
        <x:v>2026-05-18T00:00:00.000Z</x:v>
      </x:c>
      <x:c r="C1884" s="2" t="n">
        <x:v>3</x:v>
      </x:c>
      <x:c r="D1884" s="2" t="str">
        <x:v>DEMO-406</x:v>
      </x:c>
      <x:c r="E1884" s="2" t="str">
        <x:v>Mini Zip Case</x:v>
      </x:c>
      <x:c r="F1884" s="2" t="str">
        <x:v>Accessories</x:v>
      </x:c>
      <x:c r="G1884" s="2" t="str">
        <x:v>Stores</x:v>
      </x:c>
      <x:c r="H1884" s="2" t="str">
        <x:v>Central Market</x:v>
      </x:c>
      <x:c r="I1884" s="2" t="n">
        <x:v>13</x:v>
      </x:c>
      <x:c r="J1884" s="2" t="n">
        <x:v>0</x:v>
      </x:c>
      <x:c r="K1884" s="2" t="n">
        <x:f>I1884-J1884</x:f>
        <x:v>13</x:v>
      </x:c>
      <x:c r="L1884" s="16" t="n">
        <x:v>26</x:v>
      </x:c>
      <x:c r="M1884" s="16" t="n">
        <x:v>26</x:v>
      </x:c>
      <x:c r="N1884" s="16" t="n">
        <x:v>12.61</x:v>
      </x:c>
      <x:c r="O1884" s="16" t="n">
        <x:f>K1884*M1884</x:f>
        <x:v>338</x:v>
      </x:c>
      <x:c r="P1884" s="16" t="n">
        <x:f>K1884*N1884</x:f>
        <x:v>163.93</x:v>
      </x:c>
      <x:c r="Q1884" s="16" t="n">
        <x:f>O1884-P1884</x:f>
        <x:v>174.07</x:v>
      </x:c>
      <x:c r="R1884" s="2" t="n">
        <x:v>123</x:v>
      </x:c>
      <x:c r="S1884" s="2" t="n">
        <x:v>0</x:v>
      </x:c>
      <x:c r="T1884" s="2" t="n">
        <x:f>R1884+S1884+J1884-I1884</x:f>
        <x:v>110</x:v>
      </x:c>
      <x:c r="U1884" s="2" t="n">
        <x:v>0</x:v>
      </x:c>
      <x:c r="V1884" s="2" t="n">
        <x:v>4</x:v>
      </x:c>
      <x:c r="W1884" s="2" t="n">
        <x:v>13</x:v>
      </x:c>
      <x:c r="X1884" s="14" t="b">
        <x:v>0</x:v>
      </x:c>
      <x:c r="Y1884" s="14" t="b">
        <x:v>0</x:v>
      </x:c>
      <x:c r="Z1884" s="2" t="n">
        <x:f>ABS(T1884-AA1884)</x:f>
        <x:v>0</x:v>
      </x:c>
      <x:c r="AA1884" s="2" t="n">
        <x:v>110</x:v>
      </x:c>
      <x:c r="AB1884" s="2" t="n">
        <x:f>ABS(K1884-W1884)</x:f>
        <x:v>0</x:v>
      </x:c>
      <x:c r="AC1884" s="2" t="n">
        <x:f>COUNTIF($A$2:$A$1921,A1884)-1</x:f>
        <x:v>0</x:v>
      </x:c>
      <x:c r="AD1884" s="2" t="n">
        <x:f>IF(AND(D1884=D1883,H1884=H1883,C1884=C1883+1),ABS(R1884-T1883),0)</x:f>
        <x:v>0</x:v>
      </x:c>
    </x:row>
    <x:row r="1885" ht="23" customHeight="1">
      <x:c r="A1885" s="2" t="str">
        <x:v>DEMO-406-2-4</x:v>
      </x:c>
      <x:c r="B1885" s="15" t="d">
        <x:v>2026-05-25T00:00:00.000Z</x:v>
      </x:c>
      <x:c r="C1885" s="2" t="n">
        <x:v>4</x:v>
      </x:c>
      <x:c r="D1885" s="2" t="str">
        <x:v>DEMO-406</x:v>
      </x:c>
      <x:c r="E1885" s="2" t="str">
        <x:v>Mini Zip Case</x:v>
      </x:c>
      <x:c r="F1885" s="2" t="str">
        <x:v>Accessories</x:v>
      </x:c>
      <x:c r="G1885" s="2" t="str">
        <x:v>Stores</x:v>
      </x:c>
      <x:c r="H1885" s="2" t="str">
        <x:v>Central Market</x:v>
      </x:c>
      <x:c r="I1885" s="2" t="n">
        <x:v>15</x:v>
      </x:c>
      <x:c r="J1885" s="2" t="n">
        <x:v>0</x:v>
      </x:c>
      <x:c r="K1885" s="2" t="n">
        <x:f>I1885-J1885</x:f>
        <x:v>15</x:v>
      </x:c>
      <x:c r="L1885" s="16" t="n">
        <x:v>26</x:v>
      </x:c>
      <x:c r="M1885" s="16" t="n">
        <x:v>26</x:v>
      </x:c>
      <x:c r="N1885" s="16" t="n">
        <x:v>12.61</x:v>
      </x:c>
      <x:c r="O1885" s="16" t="n">
        <x:f>K1885*M1885</x:f>
        <x:v>390</x:v>
      </x:c>
      <x:c r="P1885" s="16" t="n">
        <x:f>K1885*N1885</x:f>
        <x:v>189.14999999999998</x:v>
      </x:c>
      <x:c r="Q1885" s="16" t="n">
        <x:f>O1885-P1885</x:f>
        <x:v>200.85000000000002</x:v>
      </x:c>
      <x:c r="R1885" s="2" t="n">
        <x:v>110</x:v>
      </x:c>
      <x:c r="S1885" s="2" t="n">
        <x:v>0</x:v>
      </x:c>
      <x:c r="T1885" s="2" t="n">
        <x:f>R1885+S1885+J1885-I1885</x:f>
        <x:v>95</x:v>
      </x:c>
      <x:c r="U1885" s="2" t="n">
        <x:v>0</x:v>
      </x:c>
      <x:c r="V1885" s="2" t="n">
        <x:v>4</x:v>
      </x:c>
      <x:c r="W1885" s="2" t="n">
        <x:v>13</x:v>
      </x:c>
      <x:c r="X1885" s="14" t="b">
        <x:v>0</x:v>
      </x:c>
      <x:c r="Y1885" s="14" t="b">
        <x:v>0</x:v>
      </x:c>
      <x:c r="Z1885" s="2" t="n">
        <x:f>ABS(T1885-AA1885)</x:f>
        <x:v>0</x:v>
      </x:c>
      <x:c r="AA1885" s="2" t="n">
        <x:v>95</x:v>
      </x:c>
      <x:c r="AB1885" s="2" t="n">
        <x:f>ABS(K1885-W1885)</x:f>
        <x:v>2</x:v>
      </x:c>
      <x:c r="AC1885" s="2" t="n">
        <x:f>COUNTIF($A$2:$A$1921,A1885)-1</x:f>
        <x:v>0</x:v>
      </x:c>
      <x:c r="AD1885" s="2" t="n">
        <x:f>IF(AND(D1885=D1884,H1885=H1884,C1885=C1884+1),ABS(R1885-T1884),0)</x:f>
        <x:v>0</x:v>
      </x:c>
    </x:row>
    <x:row r="1886" ht="23" customHeight="1">
      <x:c r="A1886" s="2" t="str">
        <x:v>DEMO-406-2-5</x:v>
      </x:c>
      <x:c r="B1886" s="15" t="d">
        <x:v>2026-06-01T00:00:00.000Z</x:v>
      </x:c>
      <x:c r="C1886" s="2" t="n">
        <x:v>5</x:v>
      </x:c>
      <x:c r="D1886" s="2" t="str">
        <x:v>DEMO-406</x:v>
      </x:c>
      <x:c r="E1886" s="2" t="str">
        <x:v>Mini Zip Case</x:v>
      </x:c>
      <x:c r="F1886" s="2" t="str">
        <x:v>Accessories</x:v>
      </x:c>
      <x:c r="G1886" s="2" t="str">
        <x:v>Stores</x:v>
      </x:c>
      <x:c r="H1886" s="2" t="str">
        <x:v>Central Market</x:v>
      </x:c>
      <x:c r="I1886" s="2" t="n">
        <x:v>15</x:v>
      </x:c>
      <x:c r="J1886" s="2" t="n">
        <x:v>1</x:v>
      </x:c>
      <x:c r="K1886" s="2" t="n">
        <x:f>I1886-J1886</x:f>
        <x:v>14</x:v>
      </x:c>
      <x:c r="L1886" s="16" t="n">
        <x:v>26</x:v>
      </x:c>
      <x:c r="M1886" s="16" t="n">
        <x:v>26</x:v>
      </x:c>
      <x:c r="N1886" s="16" t="n">
        <x:v>12.61</x:v>
      </x:c>
      <x:c r="O1886" s="16" t="n">
        <x:f>K1886*M1886</x:f>
        <x:v>364</x:v>
      </x:c>
      <x:c r="P1886" s="16" t="n">
        <x:f>K1886*N1886</x:f>
        <x:v>176.54</x:v>
      </x:c>
      <x:c r="Q1886" s="16" t="n">
        <x:f>O1886-P1886</x:f>
        <x:v>187.46</x:v>
      </x:c>
      <x:c r="R1886" s="2" t="n">
        <x:v>95</x:v>
      </x:c>
      <x:c r="S1886" s="2" t="n">
        <x:v>59</x:v>
      </x:c>
      <x:c r="T1886" s="2" t="n">
        <x:f>R1886+S1886+J1886-I1886</x:f>
        <x:v>140</x:v>
      </x:c>
      <x:c r="U1886" s="2" t="n">
        <x:v>0</x:v>
      </x:c>
      <x:c r="V1886" s="2" t="n">
        <x:v>4</x:v>
      </x:c>
      <x:c r="W1886" s="2" t="n">
        <x:v>14</x:v>
      </x:c>
      <x:c r="X1886" s="14" t="b">
        <x:v>0</x:v>
      </x:c>
      <x:c r="Y1886" s="14" t="b">
        <x:v>0</x:v>
      </x:c>
      <x:c r="Z1886" s="2" t="n">
        <x:f>ABS(T1886-AA1886)</x:f>
        <x:v>0</x:v>
      </x:c>
      <x:c r="AA1886" s="2" t="n">
        <x:v>140</x:v>
      </x:c>
      <x:c r="AB1886" s="2" t="n">
        <x:f>ABS(K1886-W1886)</x:f>
        <x:v>0</x:v>
      </x:c>
      <x:c r="AC1886" s="2" t="n">
        <x:f>COUNTIF($A$2:$A$1921,A1886)-1</x:f>
        <x:v>0</x:v>
      </x:c>
      <x:c r="AD1886" s="2" t="n">
        <x:f>IF(AND(D1886=D1885,H1886=H1885,C1886=C1885+1),ABS(R1886-T1885),0)</x:f>
        <x:v>0</x:v>
      </x:c>
    </x:row>
    <x:row r="1887" ht="23" customHeight="1">
      <x:c r="A1887" s="2" t="str">
        <x:v>DEMO-406-2-6</x:v>
      </x:c>
      <x:c r="B1887" s="15" t="d">
        <x:v>2026-06-08T00:00:00.000Z</x:v>
      </x:c>
      <x:c r="C1887" s="2" t="n">
        <x:v>6</x:v>
      </x:c>
      <x:c r="D1887" s="2" t="str">
        <x:v>DEMO-406</x:v>
      </x:c>
      <x:c r="E1887" s="2" t="str">
        <x:v>Mini Zip Case</x:v>
      </x:c>
      <x:c r="F1887" s="2" t="str">
        <x:v>Accessories</x:v>
      </x:c>
      <x:c r="G1887" s="2" t="str">
        <x:v>Stores</x:v>
      </x:c>
      <x:c r="H1887" s="2" t="str">
        <x:v>Central Market</x:v>
      </x:c>
      <x:c r="I1887" s="2" t="n">
        <x:v>16</x:v>
      </x:c>
      <x:c r="J1887" s="2" t="n">
        <x:v>1</x:v>
      </x:c>
      <x:c r="K1887" s="2" t="n">
        <x:f>I1887-J1887</x:f>
        <x:v>15</x:v>
      </x:c>
      <x:c r="L1887" s="16" t="n">
        <x:v>26</x:v>
      </x:c>
      <x:c r="M1887" s="16" t="n">
        <x:v>26</x:v>
      </x:c>
      <x:c r="N1887" s="16" t="n">
        <x:v>12.61</x:v>
      </x:c>
      <x:c r="O1887" s="16" t="n">
        <x:f>K1887*M1887</x:f>
        <x:v>390</x:v>
      </x:c>
      <x:c r="P1887" s="16" t="n">
        <x:f>K1887*N1887</x:f>
        <x:v>189.14999999999998</x:v>
      </x:c>
      <x:c r="Q1887" s="16" t="n">
        <x:f>O1887-P1887</x:f>
        <x:v>200.85000000000002</x:v>
      </x:c>
      <x:c r="R1887" s="2" t="n">
        <x:v>140</x:v>
      </x:c>
      <x:c r="S1887" s="2" t="n">
        <x:v>0</x:v>
      </x:c>
      <x:c r="T1887" s="2" t="n">
        <x:f>R1887+S1887+J1887-I1887</x:f>
        <x:v>125</x:v>
      </x:c>
      <x:c r="U1887" s="2" t="n">
        <x:v>0</x:v>
      </x:c>
      <x:c r="V1887" s="2" t="n">
        <x:v>4</x:v>
      </x:c>
      <x:c r="W1887" s="2" t="n">
        <x:v>14</x:v>
      </x:c>
      <x:c r="X1887" s="14" t="b">
        <x:v>0</x:v>
      </x:c>
      <x:c r="Y1887" s="14" t="b">
        <x:v>0</x:v>
      </x:c>
      <x:c r="Z1887" s="2" t="n">
        <x:f>ABS(T1887-AA1887)</x:f>
        <x:v>0</x:v>
      </x:c>
      <x:c r="AA1887" s="2" t="n">
        <x:v>125</x:v>
      </x:c>
      <x:c r="AB1887" s="2" t="n">
        <x:f>ABS(K1887-W1887)</x:f>
        <x:v>1</x:v>
      </x:c>
      <x:c r="AC1887" s="2" t="n">
        <x:f>COUNTIF($A$2:$A$1921,A1887)-1</x:f>
        <x:v>0</x:v>
      </x:c>
      <x:c r="AD1887" s="2" t="n">
        <x:f>IF(AND(D1887=D1886,H1887=H1886,C1887=C1886+1),ABS(R1887-T1886),0)</x:f>
        <x:v>0</x:v>
      </x:c>
    </x:row>
    <x:row r="1888" ht="23" customHeight="1">
      <x:c r="A1888" s="2" t="str">
        <x:v>DEMO-406-2-7</x:v>
      </x:c>
      <x:c r="B1888" s="15" t="d">
        <x:v>2026-06-15T00:00:00.000Z</x:v>
      </x:c>
      <x:c r="C1888" s="2" t="n">
        <x:v>7</x:v>
      </x:c>
      <x:c r="D1888" s="2" t="str">
        <x:v>DEMO-406</x:v>
      </x:c>
      <x:c r="E1888" s="2" t="str">
        <x:v>Mini Zip Case</x:v>
      </x:c>
      <x:c r="F1888" s="2" t="str">
        <x:v>Accessories</x:v>
      </x:c>
      <x:c r="G1888" s="2" t="str">
        <x:v>Stores</x:v>
      </x:c>
      <x:c r="H1888" s="2" t="str">
        <x:v>Central Market</x:v>
      </x:c>
      <x:c r="I1888" s="2" t="n">
        <x:v>15</x:v>
      </x:c>
      <x:c r="J1888" s="2" t="n">
        <x:v>0</x:v>
      </x:c>
      <x:c r="K1888" s="2" t="n">
        <x:f>I1888-J1888</x:f>
        <x:v>15</x:v>
      </x:c>
      <x:c r="L1888" s="16" t="n">
        <x:v>26</x:v>
      </x:c>
      <x:c r="M1888" s="16" t="n">
        <x:v>26</x:v>
      </x:c>
      <x:c r="N1888" s="16" t="n">
        <x:v>12.61</x:v>
      </x:c>
      <x:c r="O1888" s="16" t="n">
        <x:f>K1888*M1888</x:f>
        <x:v>390</x:v>
      </x:c>
      <x:c r="P1888" s="16" t="n">
        <x:f>K1888*N1888</x:f>
        <x:v>189.14999999999998</x:v>
      </x:c>
      <x:c r="Q1888" s="16" t="n">
        <x:f>O1888-P1888</x:f>
        <x:v>200.85000000000002</x:v>
      </x:c>
      <x:c r="R1888" s="2" t="n">
        <x:v>125</x:v>
      </x:c>
      <x:c r="S1888" s="2" t="n">
        <x:v>0</x:v>
      </x:c>
      <x:c r="T1888" s="2" t="n">
        <x:f>R1888+S1888+J1888-I1888</x:f>
        <x:v>110</x:v>
      </x:c>
      <x:c r="U1888" s="2" t="n">
        <x:v>0</x:v>
      </x:c>
      <x:c r="V1888" s="2" t="n">
        <x:v>4</x:v>
      </x:c>
      <x:c r="W1888" s="2" t="n">
        <x:v>14</x:v>
      </x:c>
      <x:c r="X1888" s="14" t="b">
        <x:v>0</x:v>
      </x:c>
      <x:c r="Y1888" s="14" t="b">
        <x:v>0</x:v>
      </x:c>
      <x:c r="Z1888" s="2" t="n">
        <x:f>ABS(T1888-AA1888)</x:f>
        <x:v>0</x:v>
      </x:c>
      <x:c r="AA1888" s="2" t="n">
        <x:v>110</x:v>
      </x:c>
      <x:c r="AB1888" s="2" t="n">
        <x:f>ABS(K1888-W1888)</x:f>
        <x:v>1</x:v>
      </x:c>
      <x:c r="AC1888" s="2" t="n">
        <x:f>COUNTIF($A$2:$A$1921,A1888)-1</x:f>
        <x:v>0</x:v>
      </x:c>
      <x:c r="AD1888" s="2" t="n">
        <x:f>IF(AND(D1888=D1887,H1888=H1887,C1888=C1887+1),ABS(R1888-T1887),0)</x:f>
        <x:v>0</x:v>
      </x:c>
    </x:row>
    <x:row r="1889" ht="23" customHeight="1">
      <x:c r="A1889" s="2" t="str">
        <x:v>DEMO-406-2-8</x:v>
      </x:c>
      <x:c r="B1889" s="15" t="d">
        <x:v>2026-06-22T00:00:00.000Z</x:v>
      </x:c>
      <x:c r="C1889" s="2" t="n">
        <x:v>8</x:v>
      </x:c>
      <x:c r="D1889" s="2" t="str">
        <x:v>DEMO-406</x:v>
      </x:c>
      <x:c r="E1889" s="2" t="str">
        <x:v>Mini Zip Case</x:v>
      </x:c>
      <x:c r="F1889" s="2" t="str">
        <x:v>Accessories</x:v>
      </x:c>
      <x:c r="G1889" s="2" t="str">
        <x:v>Stores</x:v>
      </x:c>
      <x:c r="H1889" s="2" t="str">
        <x:v>Central Market</x:v>
      </x:c>
      <x:c r="I1889" s="2" t="n">
        <x:v>14</x:v>
      </x:c>
      <x:c r="J1889" s="2" t="n">
        <x:v>0</x:v>
      </x:c>
      <x:c r="K1889" s="2" t="n">
        <x:f>I1889-J1889</x:f>
        <x:v>14</x:v>
      </x:c>
      <x:c r="L1889" s="16" t="n">
        <x:v>26</x:v>
      </x:c>
      <x:c r="M1889" s="16" t="n">
        <x:v>26</x:v>
      </x:c>
      <x:c r="N1889" s="16" t="n">
        <x:v>12.61</x:v>
      </x:c>
      <x:c r="O1889" s="16" t="n">
        <x:f>K1889*M1889</x:f>
        <x:v>364</x:v>
      </x:c>
      <x:c r="P1889" s="16" t="n">
        <x:f>K1889*N1889</x:f>
        <x:v>176.54</x:v>
      </x:c>
      <x:c r="Q1889" s="16" t="n">
        <x:f>O1889-P1889</x:f>
        <x:v>187.46</x:v>
      </x:c>
      <x:c r="R1889" s="2" t="n">
        <x:v>110</x:v>
      </x:c>
      <x:c r="S1889" s="2" t="n">
        <x:v>0</x:v>
      </x:c>
      <x:c r="T1889" s="2" t="n">
        <x:f>R1889+S1889+J1889-I1889</x:f>
        <x:v>96</x:v>
      </x:c>
      <x:c r="U1889" s="2" t="n">
        <x:v>0</x:v>
      </x:c>
      <x:c r="V1889" s="2" t="n">
        <x:v>4</x:v>
      </x:c>
      <x:c r="W1889" s="2" t="n">
        <x:v>15</x:v>
      </x:c>
      <x:c r="X1889" s="14" t="b">
        <x:v>0</x:v>
      </x:c>
      <x:c r="Y1889" s="14" t="b">
        <x:v>0</x:v>
      </x:c>
      <x:c r="Z1889" s="2" t="n">
        <x:f>ABS(T1889-AA1889)</x:f>
        <x:v>0</x:v>
      </x:c>
      <x:c r="AA1889" s="2" t="n">
        <x:v>96</x:v>
      </x:c>
      <x:c r="AB1889" s="2" t="n">
        <x:f>ABS(K1889-W1889)</x:f>
        <x:v>1</x:v>
      </x:c>
      <x:c r="AC1889" s="2" t="n">
        <x:f>COUNTIF($A$2:$A$1921,A1889)-1</x:f>
        <x:v>0</x:v>
      </x:c>
      <x:c r="AD1889" s="2" t="n">
        <x:f>IF(AND(D1889=D1888,H1889=H1888,C1889=C1888+1),ABS(R1889-T1888),0)</x:f>
        <x:v>0</x:v>
      </x:c>
    </x:row>
    <x:row r="1890" ht="23" customHeight="1">
      <x:c r="A1890" s="2" t="str">
        <x:v>DEMO-406-2-9</x:v>
      </x:c>
      <x:c r="B1890" s="15" t="d">
        <x:v>2026-06-29T00:00:00.000Z</x:v>
      </x:c>
      <x:c r="C1890" s="2" t="n">
        <x:v>9</x:v>
      </x:c>
      <x:c r="D1890" s="2" t="str">
        <x:v>DEMO-406</x:v>
      </x:c>
      <x:c r="E1890" s="2" t="str">
        <x:v>Mini Zip Case</x:v>
      </x:c>
      <x:c r="F1890" s="2" t="str">
        <x:v>Accessories</x:v>
      </x:c>
      <x:c r="G1890" s="2" t="str">
        <x:v>Stores</x:v>
      </x:c>
      <x:c r="H1890" s="2" t="str">
        <x:v>Central Market</x:v>
      </x:c>
      <x:c r="I1890" s="2" t="n">
        <x:v>16</x:v>
      </x:c>
      <x:c r="J1890" s="2" t="n">
        <x:v>0</x:v>
      </x:c>
      <x:c r="K1890" s="2" t="n">
        <x:f>I1890-J1890</x:f>
        <x:v>16</x:v>
      </x:c>
      <x:c r="L1890" s="16" t="n">
        <x:v>26</x:v>
      </x:c>
      <x:c r="M1890" s="16" t="n">
        <x:v>26</x:v>
      </x:c>
      <x:c r="N1890" s="16" t="n">
        <x:v>12.61</x:v>
      </x:c>
      <x:c r="O1890" s="16" t="n">
        <x:f>K1890*M1890</x:f>
        <x:v>416</x:v>
      </x:c>
      <x:c r="P1890" s="16" t="n">
        <x:f>K1890*N1890</x:f>
        <x:v>201.76</x:v>
      </x:c>
      <x:c r="Q1890" s="16" t="n">
        <x:f>O1890-P1890</x:f>
        <x:v>214.24</x:v>
      </x:c>
      <x:c r="R1890" s="2" t="n">
        <x:v>96</x:v>
      </x:c>
      <x:c r="S1890" s="2" t="n">
        <x:v>59</x:v>
      </x:c>
      <x:c r="T1890" s="2" t="n">
        <x:f>R1890+S1890+J1890-I1890</x:f>
        <x:v>139</x:v>
      </x:c>
      <x:c r="U1890" s="2" t="n">
        <x:v>0</x:v>
      </x:c>
      <x:c r="V1890" s="2" t="n">
        <x:v>4</x:v>
      </x:c>
      <x:c r="W1890" s="2" t="n">
        <x:v>15</x:v>
      </x:c>
      <x:c r="X1890" s="14" t="b">
        <x:v>0</x:v>
      </x:c>
      <x:c r="Y1890" s="14" t="b">
        <x:v>0</x:v>
      </x:c>
      <x:c r="Z1890" s="2" t="n">
        <x:f>ABS(T1890-AA1890)</x:f>
        <x:v>0</x:v>
      </x:c>
      <x:c r="AA1890" s="2" t="n">
        <x:v>139</x:v>
      </x:c>
      <x:c r="AB1890" s="2" t="n">
        <x:f>ABS(K1890-W1890)</x:f>
        <x:v>1</x:v>
      </x:c>
      <x:c r="AC1890" s="2" t="n">
        <x:f>COUNTIF($A$2:$A$1921,A1890)-1</x:f>
        <x:v>0</x:v>
      </x:c>
      <x:c r="AD1890" s="2" t="n">
        <x:f>IF(AND(D1890=D1889,H1890=H1889,C1890=C1889+1),ABS(R1890-T1889),0)</x:f>
        <x:v>0</x:v>
      </x:c>
    </x:row>
    <x:row r="1891" ht="23" customHeight="1">
      <x:c r="A1891" s="2" t="str">
        <x:v>DEMO-406-2-10</x:v>
      </x:c>
      <x:c r="B1891" s="15" t="d">
        <x:v>2026-07-06T00:00:00.000Z</x:v>
      </x:c>
      <x:c r="C1891" s="2" t="n">
        <x:v>10</x:v>
      </x:c>
      <x:c r="D1891" s="2" t="str">
        <x:v>DEMO-406</x:v>
      </x:c>
      <x:c r="E1891" s="2" t="str">
        <x:v>Mini Zip Case</x:v>
      </x:c>
      <x:c r="F1891" s="2" t="str">
        <x:v>Accessories</x:v>
      </x:c>
      <x:c r="G1891" s="2" t="str">
        <x:v>Stores</x:v>
      </x:c>
      <x:c r="H1891" s="2" t="str">
        <x:v>Central Market</x:v>
      </x:c>
      <x:c r="I1891" s="2" t="n">
        <x:v>14</x:v>
      </x:c>
      <x:c r="J1891" s="2" t="n">
        <x:v>0</x:v>
      </x:c>
      <x:c r="K1891" s="2" t="n">
        <x:f>I1891-J1891</x:f>
        <x:v>14</x:v>
      </x:c>
      <x:c r="L1891" s="16" t="n">
        <x:v>26</x:v>
      </x:c>
      <x:c r="M1891" s="16" t="n">
        <x:v>26</x:v>
      </x:c>
      <x:c r="N1891" s="16" t="n">
        <x:v>12.61</x:v>
      </x:c>
      <x:c r="O1891" s="16" t="n">
        <x:f>K1891*M1891</x:f>
        <x:v>364</x:v>
      </x:c>
      <x:c r="P1891" s="16" t="n">
        <x:f>K1891*N1891</x:f>
        <x:v>176.54</x:v>
      </x:c>
      <x:c r="Q1891" s="16" t="n">
        <x:f>O1891-P1891</x:f>
        <x:v>187.46</x:v>
      </x:c>
      <x:c r="R1891" s="2" t="n">
        <x:v>139</x:v>
      </x:c>
      <x:c r="S1891" s="2" t="n">
        <x:v>0</x:v>
      </x:c>
      <x:c r="T1891" s="2" t="n">
        <x:f>R1891+S1891+J1891-I1891</x:f>
        <x:v>125</x:v>
      </x:c>
      <x:c r="U1891" s="2" t="n">
        <x:v>0</x:v>
      </x:c>
      <x:c r="V1891" s="2" t="n">
        <x:v>4</x:v>
      </x:c>
      <x:c r="W1891" s="2" t="n">
        <x:v>15</x:v>
      </x:c>
      <x:c r="X1891" s="14" t="b">
        <x:v>0</x:v>
      </x:c>
      <x:c r="Y1891" s="14" t="b">
        <x:v>0</x:v>
      </x:c>
      <x:c r="Z1891" s="2" t="n">
        <x:f>ABS(T1891-AA1891)</x:f>
        <x:v>0</x:v>
      </x:c>
      <x:c r="AA1891" s="2" t="n">
        <x:v>125</x:v>
      </x:c>
      <x:c r="AB1891" s="2" t="n">
        <x:f>ABS(K1891-W1891)</x:f>
        <x:v>1</x:v>
      </x:c>
      <x:c r="AC1891" s="2" t="n">
        <x:f>COUNTIF($A$2:$A$1921,A1891)-1</x:f>
        <x:v>0</x:v>
      </x:c>
      <x:c r="AD1891" s="2" t="n">
        <x:f>IF(AND(D1891=D1890,H1891=H1890,C1891=C1890+1),ABS(R1891-T1890),0)</x:f>
        <x:v>0</x:v>
      </x:c>
    </x:row>
    <x:row r="1892" ht="23" customHeight="1">
      <x:c r="A1892" s="2" t="str">
        <x:v>DEMO-406-2-11</x:v>
      </x:c>
      <x:c r="B1892" s="15" t="d">
        <x:v>2026-07-13T00:00:00.000Z</x:v>
      </x:c>
      <x:c r="C1892" s="2" t="n">
        <x:v>11</x:v>
      </x:c>
      <x:c r="D1892" s="2" t="str">
        <x:v>DEMO-406</x:v>
      </x:c>
      <x:c r="E1892" s="2" t="str">
        <x:v>Mini Zip Case</x:v>
      </x:c>
      <x:c r="F1892" s="2" t="str">
        <x:v>Accessories</x:v>
      </x:c>
      <x:c r="G1892" s="2" t="str">
        <x:v>Stores</x:v>
      </x:c>
      <x:c r="H1892" s="2" t="str">
        <x:v>Central Market</x:v>
      </x:c>
      <x:c r="I1892" s="2" t="n">
        <x:v>13</x:v>
      </x:c>
      <x:c r="J1892" s="2" t="n">
        <x:v>0</x:v>
      </x:c>
      <x:c r="K1892" s="2" t="n">
        <x:f>I1892-J1892</x:f>
        <x:v>13</x:v>
      </x:c>
      <x:c r="L1892" s="16" t="n">
        <x:v>26</x:v>
      </x:c>
      <x:c r="M1892" s="16" t="n">
        <x:v>26</x:v>
      </x:c>
      <x:c r="N1892" s="16" t="n">
        <x:v>12.61</x:v>
      </x:c>
      <x:c r="O1892" s="16" t="n">
        <x:f>K1892*M1892</x:f>
        <x:v>338</x:v>
      </x:c>
      <x:c r="P1892" s="16" t="n">
        <x:f>K1892*N1892</x:f>
        <x:v>163.93</x:v>
      </x:c>
      <x:c r="Q1892" s="16" t="n">
        <x:f>O1892-P1892</x:f>
        <x:v>174.07</x:v>
      </x:c>
      <x:c r="R1892" s="2" t="n">
        <x:v>125</x:v>
      </x:c>
      <x:c r="S1892" s="2" t="n">
        <x:v>0</x:v>
      </x:c>
      <x:c r="T1892" s="2" t="n">
        <x:f>R1892+S1892+J1892-I1892</x:f>
        <x:v>112</x:v>
      </x:c>
      <x:c r="U1892" s="2" t="n">
        <x:v>0</x:v>
      </x:c>
      <x:c r="V1892" s="2" t="n">
        <x:v>4</x:v>
      </x:c>
      <x:c r="W1892" s="2" t="n">
        <x:v>15</x:v>
      </x:c>
      <x:c r="X1892" s="14" t="b">
        <x:v>0</x:v>
      </x:c>
      <x:c r="Y1892" s="14" t="b">
        <x:v>0</x:v>
      </x:c>
      <x:c r="Z1892" s="2" t="n">
        <x:f>ABS(T1892-AA1892)</x:f>
        <x:v>0</x:v>
      </x:c>
      <x:c r="AA1892" s="2" t="n">
        <x:v>112</x:v>
      </x:c>
      <x:c r="AB1892" s="2" t="n">
        <x:f>ABS(K1892-W1892)</x:f>
        <x:v>2</x:v>
      </x:c>
      <x:c r="AC1892" s="2" t="n">
        <x:f>COUNTIF($A$2:$A$1921,A1892)-1</x:f>
        <x:v>0</x:v>
      </x:c>
      <x:c r="AD1892" s="2" t="n">
        <x:f>IF(AND(D1892=D1891,H1892=H1891,C1892=C1891+1),ABS(R1892-T1891),0)</x:f>
        <x:v>0</x:v>
      </x:c>
    </x:row>
    <x:row r="1893" ht="23" customHeight="1">
      <x:c r="A1893" s="2" t="str">
        <x:v>DEMO-406-2-12</x:v>
      </x:c>
      <x:c r="B1893" s="15" t="d">
        <x:v>2026-07-20T00:00:00.000Z</x:v>
      </x:c>
      <x:c r="C1893" s="2" t="n">
        <x:v>12</x:v>
      </x:c>
      <x:c r="D1893" s="2" t="str">
        <x:v>DEMO-406</x:v>
      </x:c>
      <x:c r="E1893" s="2" t="str">
        <x:v>Mini Zip Case</x:v>
      </x:c>
      <x:c r="F1893" s="2" t="str">
        <x:v>Accessories</x:v>
      </x:c>
      <x:c r="G1893" s="2" t="str">
        <x:v>Stores</x:v>
      </x:c>
      <x:c r="H1893" s="2" t="str">
        <x:v>Central Market</x:v>
      </x:c>
      <x:c r="I1893" s="2" t="n">
        <x:v>15</x:v>
      </x:c>
      <x:c r="J1893" s="2" t="n">
        <x:v>0</x:v>
      </x:c>
      <x:c r="K1893" s="2" t="n">
        <x:f>I1893-J1893</x:f>
        <x:v>15</x:v>
      </x:c>
      <x:c r="L1893" s="16" t="n">
        <x:v>26</x:v>
      </x:c>
      <x:c r="M1893" s="16" t="n">
        <x:v>26</x:v>
      </x:c>
      <x:c r="N1893" s="16" t="n">
        <x:v>12.61</x:v>
      </x:c>
      <x:c r="O1893" s="16" t="n">
        <x:f>K1893*M1893</x:f>
        <x:v>390</x:v>
      </x:c>
      <x:c r="P1893" s="16" t="n">
        <x:f>K1893*N1893</x:f>
        <x:v>189.14999999999998</x:v>
      </x:c>
      <x:c r="Q1893" s="16" t="n">
        <x:f>O1893-P1893</x:f>
        <x:v>200.85000000000002</x:v>
      </x:c>
      <x:c r="R1893" s="2" t="n">
        <x:v>112</x:v>
      </x:c>
      <x:c r="S1893" s="2" t="n">
        <x:v>0</x:v>
      </x:c>
      <x:c r="T1893" s="2" t="n">
        <x:f>R1893+S1893+J1893-I1893</x:f>
        <x:v>97</x:v>
      </x:c>
      <x:c r="U1893" s="2" t="n">
        <x:v>0</x:v>
      </x:c>
      <x:c r="V1893" s="2" t="n">
        <x:v>4</x:v>
      </x:c>
      <x:c r="W1893" s="2" t="n">
        <x:v>14</x:v>
      </x:c>
      <x:c r="X1893" s="14" t="b">
        <x:v>0</x:v>
      </x:c>
      <x:c r="Y1893" s="14" t="b">
        <x:v>0</x:v>
      </x:c>
      <x:c r="Z1893" s="2" t="n">
        <x:f>ABS(T1893-AA1893)</x:f>
        <x:v>0</x:v>
      </x:c>
      <x:c r="AA1893" s="2" t="n">
        <x:v>97</x:v>
      </x:c>
      <x:c r="AB1893" s="2" t="n">
        <x:f>ABS(K1893-W1893)</x:f>
        <x:v>1</x:v>
      </x:c>
      <x:c r="AC1893" s="2" t="n">
        <x:f>COUNTIF($A$2:$A$1921,A1893)-1</x:f>
        <x:v>0</x:v>
      </x:c>
      <x:c r="AD1893" s="2" t="n">
        <x:f>IF(AND(D1893=D1892,H1893=H1892,C1893=C1892+1),ABS(R1893-T1892),0)</x:f>
        <x:v>0</x:v>
      </x:c>
    </x:row>
    <x:row r="1894" ht="23" customHeight="1">
      <x:c r="A1894" s="2" t="str">
        <x:v>DEMO-406-2-13</x:v>
      </x:c>
      <x:c r="B1894" s="15" t="d">
        <x:v>2026-07-27T00:00:00.000Z</x:v>
      </x:c>
      <x:c r="C1894" s="2" t="n">
        <x:v>13</x:v>
      </x:c>
      <x:c r="D1894" s="2" t="str">
        <x:v>DEMO-406</x:v>
      </x:c>
      <x:c r="E1894" s="2" t="str">
        <x:v>Mini Zip Case</x:v>
      </x:c>
      <x:c r="F1894" s="2" t="str">
        <x:v>Accessories</x:v>
      </x:c>
      <x:c r="G1894" s="2" t="str">
        <x:v>Stores</x:v>
      </x:c>
      <x:c r="H1894" s="2" t="str">
        <x:v>Central Market</x:v>
      </x:c>
      <x:c r="I1894" s="2" t="n">
        <x:v>16</x:v>
      </x:c>
      <x:c r="J1894" s="2" t="n">
        <x:v>0</x:v>
      </x:c>
      <x:c r="K1894" s="2" t="n">
        <x:f>I1894-J1894</x:f>
        <x:v>16</x:v>
      </x:c>
      <x:c r="L1894" s="16" t="n">
        <x:v>26</x:v>
      </x:c>
      <x:c r="M1894" s="16" t="n">
        <x:v>26</x:v>
      </x:c>
      <x:c r="N1894" s="16" t="n">
        <x:v>12.61</x:v>
      </x:c>
      <x:c r="O1894" s="16" t="n">
        <x:f>K1894*M1894</x:f>
        <x:v>416</x:v>
      </x:c>
      <x:c r="P1894" s="16" t="n">
        <x:f>K1894*N1894</x:f>
        <x:v>201.76</x:v>
      </x:c>
      <x:c r="Q1894" s="16" t="n">
        <x:f>O1894-P1894</x:f>
        <x:v>214.24</x:v>
      </x:c>
      <x:c r="R1894" s="2" t="n">
        <x:v>97</x:v>
      </x:c>
      <x:c r="S1894" s="2" t="n">
        <x:v>59</x:v>
      </x:c>
      <x:c r="T1894" s="2" t="n">
        <x:f>R1894+S1894+J1894-I1894</x:f>
        <x:v>140</x:v>
      </x:c>
      <x:c r="U1894" s="2" t="n">
        <x:v>0</x:v>
      </x:c>
      <x:c r="V1894" s="2" t="n">
        <x:v>4</x:v>
      </x:c>
      <x:c r="W1894" s="2" t="n">
        <x:v>15</x:v>
      </x:c>
      <x:c r="X1894" s="14" t="b">
        <x:v>0</x:v>
      </x:c>
      <x:c r="Y1894" s="14" t="b">
        <x:v>0</x:v>
      </x:c>
      <x:c r="Z1894" s="2" t="n">
        <x:f>ABS(T1894-AA1894)</x:f>
        <x:v>0</x:v>
      </x:c>
      <x:c r="AA1894" s="2" t="n">
        <x:v>140</x:v>
      </x:c>
      <x:c r="AB1894" s="2" t="n">
        <x:f>ABS(K1894-W1894)</x:f>
        <x:v>1</x:v>
      </x:c>
      <x:c r="AC1894" s="2" t="n">
        <x:f>COUNTIF($A$2:$A$1921,A1894)-1</x:f>
        <x:v>0</x:v>
      </x:c>
      <x:c r="AD1894" s="2" t="n">
        <x:f>IF(AND(D1894=D1893,H1894=H1893,C1894=C1893+1),ABS(R1894-T1893),0)</x:f>
        <x:v>0</x:v>
      </x:c>
    </x:row>
    <x:row r="1895" ht="23" customHeight="1">
      <x:c r="A1895" s="2" t="str">
        <x:v>DEMO-406-2-14</x:v>
      </x:c>
      <x:c r="B1895" s="15" t="d">
        <x:v>2026-08-03T00:00:00.000Z</x:v>
      </x:c>
      <x:c r="C1895" s="2" t="n">
        <x:v>14</x:v>
      </x:c>
      <x:c r="D1895" s="2" t="str">
        <x:v>DEMO-406</x:v>
      </x:c>
      <x:c r="E1895" s="2" t="str">
        <x:v>Mini Zip Case</x:v>
      </x:c>
      <x:c r="F1895" s="2" t="str">
        <x:v>Accessories</x:v>
      </x:c>
      <x:c r="G1895" s="2" t="str">
        <x:v>Stores</x:v>
      </x:c>
      <x:c r="H1895" s="2" t="str">
        <x:v>Central Market</x:v>
      </x:c>
      <x:c r="I1895" s="2" t="n">
        <x:v>14</x:v>
      </x:c>
      <x:c r="J1895" s="2" t="n">
        <x:v>1</x:v>
      </x:c>
      <x:c r="K1895" s="2" t="n">
        <x:f>I1895-J1895</x:f>
        <x:v>13</x:v>
      </x:c>
      <x:c r="L1895" s="16" t="n">
        <x:v>26</x:v>
      </x:c>
      <x:c r="M1895" s="16" t="n">
        <x:v>26</x:v>
      </x:c>
      <x:c r="N1895" s="16" t="n">
        <x:v>12.61</x:v>
      </x:c>
      <x:c r="O1895" s="16" t="n">
        <x:f>K1895*M1895</x:f>
        <x:v>338</x:v>
      </x:c>
      <x:c r="P1895" s="16" t="n">
        <x:f>K1895*N1895</x:f>
        <x:v>163.93</x:v>
      </x:c>
      <x:c r="Q1895" s="16" t="n">
        <x:f>O1895-P1895</x:f>
        <x:v>174.07</x:v>
      </x:c>
      <x:c r="R1895" s="2" t="n">
        <x:v>140</x:v>
      </x:c>
      <x:c r="S1895" s="2" t="n">
        <x:v>0</x:v>
      </x:c>
      <x:c r="T1895" s="2" t="n">
        <x:f>R1895+S1895+J1895-I1895</x:f>
        <x:v>127</x:v>
      </x:c>
      <x:c r="U1895" s="2" t="n">
        <x:v>0</x:v>
      </x:c>
      <x:c r="V1895" s="2" t="n">
        <x:v>4</x:v>
      </x:c>
      <x:c r="W1895" s="2" t="n">
        <x:v>15</x:v>
      </x:c>
      <x:c r="X1895" s="14" t="b">
        <x:v>0</x:v>
      </x:c>
      <x:c r="Y1895" s="14" t="b">
        <x:v>0</x:v>
      </x:c>
      <x:c r="Z1895" s="2" t="n">
        <x:f>ABS(T1895-AA1895)</x:f>
        <x:v>0</x:v>
      </x:c>
      <x:c r="AA1895" s="2" t="n">
        <x:v>127</x:v>
      </x:c>
      <x:c r="AB1895" s="2" t="n">
        <x:f>ABS(K1895-W1895)</x:f>
        <x:v>2</x:v>
      </x:c>
      <x:c r="AC1895" s="2" t="n">
        <x:f>COUNTIF($A$2:$A$1921,A1895)-1</x:f>
        <x:v>0</x:v>
      </x:c>
      <x:c r="AD1895" s="2" t="n">
        <x:f>IF(AND(D1895=D1894,H1895=H1894,C1895=C1894+1),ABS(R1895-T1894),0)</x:f>
        <x:v>0</x:v>
      </x:c>
    </x:row>
    <x:row r="1896" ht="23" customHeight="1">
      <x:c r="A1896" s="2" t="str">
        <x:v>DEMO-406-2-15</x:v>
      </x:c>
      <x:c r="B1896" s="15" t="d">
        <x:v>2026-08-10T00:00:00.000Z</x:v>
      </x:c>
      <x:c r="C1896" s="2" t="n">
        <x:v>15</x:v>
      </x:c>
      <x:c r="D1896" s="2" t="str">
        <x:v>DEMO-406</x:v>
      </x:c>
      <x:c r="E1896" s="2" t="str">
        <x:v>Mini Zip Case</x:v>
      </x:c>
      <x:c r="F1896" s="2" t="str">
        <x:v>Accessories</x:v>
      </x:c>
      <x:c r="G1896" s="2" t="str">
        <x:v>Stores</x:v>
      </x:c>
      <x:c r="H1896" s="2" t="str">
        <x:v>Central Market</x:v>
      </x:c>
      <x:c r="I1896" s="2" t="n">
        <x:v>14</x:v>
      </x:c>
      <x:c r="J1896" s="2" t="n">
        <x:v>0</x:v>
      </x:c>
      <x:c r="K1896" s="2" t="n">
        <x:f>I1896-J1896</x:f>
        <x:v>14</x:v>
      </x:c>
      <x:c r="L1896" s="16" t="n">
        <x:v>26</x:v>
      </x:c>
      <x:c r="M1896" s="16" t="n">
        <x:v>26</x:v>
      </x:c>
      <x:c r="N1896" s="16" t="n">
        <x:v>12.61</x:v>
      </x:c>
      <x:c r="O1896" s="16" t="n">
        <x:f>K1896*M1896</x:f>
        <x:v>364</x:v>
      </x:c>
      <x:c r="P1896" s="16" t="n">
        <x:f>K1896*N1896</x:f>
        <x:v>176.54</x:v>
      </x:c>
      <x:c r="Q1896" s="16" t="n">
        <x:f>O1896-P1896</x:f>
        <x:v>187.46</x:v>
      </x:c>
      <x:c r="R1896" s="2" t="n">
        <x:v>127</x:v>
      </x:c>
      <x:c r="S1896" s="2" t="n">
        <x:v>0</x:v>
      </x:c>
      <x:c r="T1896" s="2" t="n">
        <x:f>R1896+S1896+J1896-I1896</x:f>
        <x:v>113</x:v>
      </x:c>
      <x:c r="U1896" s="2" t="n">
        <x:v>0</x:v>
      </x:c>
      <x:c r="V1896" s="2" t="n">
        <x:v>4</x:v>
      </x:c>
      <x:c r="W1896" s="2" t="n">
        <x:v>14</x:v>
      </x:c>
      <x:c r="X1896" s="14" t="b">
        <x:v>0</x:v>
      </x:c>
      <x:c r="Y1896" s="14" t="b">
        <x:v>0</x:v>
      </x:c>
      <x:c r="Z1896" s="2" t="n">
        <x:f>ABS(T1896-AA1896)</x:f>
        <x:v>0</x:v>
      </x:c>
      <x:c r="AA1896" s="2" t="n">
        <x:v>113</x:v>
      </x:c>
      <x:c r="AB1896" s="2" t="n">
        <x:f>ABS(K1896-W1896)</x:f>
        <x:v>0</x:v>
      </x:c>
      <x:c r="AC1896" s="2" t="n">
        <x:f>COUNTIF($A$2:$A$1921,A1896)-1</x:f>
        <x:v>0</x:v>
      </x:c>
      <x:c r="AD1896" s="2" t="n">
        <x:f>IF(AND(D1896=D1895,H1896=H1895,C1896=C1895+1),ABS(R1896-T1895),0)</x:f>
        <x:v>0</x:v>
      </x:c>
    </x:row>
    <x:row r="1897" ht="23" customHeight="1">
      <x:c r="A1897" s="2" t="str">
        <x:v>DEMO-406-2-16</x:v>
      </x:c>
      <x:c r="B1897" s="15" t="d">
        <x:v>2026-08-17T00:00:00.000Z</x:v>
      </x:c>
      <x:c r="C1897" s="2" t="n">
        <x:v>16</x:v>
      </x:c>
      <x:c r="D1897" s="2" t="str">
        <x:v>DEMO-406</x:v>
      </x:c>
      <x:c r="E1897" s="2" t="str">
        <x:v>Mini Zip Case</x:v>
      </x:c>
      <x:c r="F1897" s="2" t="str">
        <x:v>Accessories</x:v>
      </x:c>
      <x:c r="G1897" s="2" t="str">
        <x:v>Stores</x:v>
      </x:c>
      <x:c r="H1897" s="2" t="str">
        <x:v>Central Market</x:v>
      </x:c>
      <x:c r="I1897" s="2" t="n">
        <x:v>13</x:v>
      </x:c>
      <x:c r="J1897" s="2" t="n">
        <x:v>0</x:v>
      </x:c>
      <x:c r="K1897" s="2" t="n">
        <x:f>I1897-J1897</x:f>
        <x:v>13</x:v>
      </x:c>
      <x:c r="L1897" s="16" t="n">
        <x:v>26</x:v>
      </x:c>
      <x:c r="M1897" s="16" t="n">
        <x:v>26</x:v>
      </x:c>
      <x:c r="N1897" s="16" t="n">
        <x:v>12.61</x:v>
      </x:c>
      <x:c r="O1897" s="16" t="n">
        <x:f>K1897*M1897</x:f>
        <x:v>338</x:v>
      </x:c>
      <x:c r="P1897" s="16" t="n">
        <x:f>K1897*N1897</x:f>
        <x:v>163.93</x:v>
      </x:c>
      <x:c r="Q1897" s="16" t="n">
        <x:f>O1897-P1897</x:f>
        <x:v>174.07</x:v>
      </x:c>
      <x:c r="R1897" s="2" t="n">
        <x:v>113</x:v>
      </x:c>
      <x:c r="S1897" s="2" t="n">
        <x:v>0</x:v>
      </x:c>
      <x:c r="T1897" s="2" t="n">
        <x:f>R1897+S1897+J1897-I1897</x:f>
        <x:v>100</x:v>
      </x:c>
      <x:c r="U1897" s="2" t="n">
        <x:v>0</x:v>
      </x:c>
      <x:c r="V1897" s="2" t="n">
        <x:v>4</x:v>
      </x:c>
      <x:c r="W1897" s="2" t="n">
        <x:v>15</x:v>
      </x:c>
      <x:c r="X1897" s="14" t="b">
        <x:v>0</x:v>
      </x:c>
      <x:c r="Y1897" s="14" t="b">
        <x:v>0</x:v>
      </x:c>
      <x:c r="Z1897" s="2" t="n">
        <x:f>ABS(T1897-AA1897)</x:f>
        <x:v>0</x:v>
      </x:c>
      <x:c r="AA1897" s="2" t="n">
        <x:v>100</x:v>
      </x:c>
      <x:c r="AB1897" s="2" t="n">
        <x:f>ABS(K1897-W1897)</x:f>
        <x:v>2</x:v>
      </x:c>
      <x:c r="AC1897" s="2" t="n">
        <x:f>COUNTIF($A$2:$A$1921,A1897)-1</x:f>
        <x:v>0</x:v>
      </x:c>
      <x:c r="AD1897" s="2" t="n">
        <x:f>IF(AND(D1897=D1896,H1897=H1896,C1897=C1896+1),ABS(R1897-T1896),0)</x:f>
        <x:v>0</x:v>
      </x:c>
    </x:row>
    <x:row r="1898" ht="23" customHeight="1">
      <x:c r="A1898" s="2" t="str">
        <x:v>DEMO-406-2-17</x:v>
      </x:c>
      <x:c r="B1898" s="15" t="d">
        <x:v>2026-08-24T00:00:00.000Z</x:v>
      </x:c>
      <x:c r="C1898" s="2" t="n">
        <x:v>17</x:v>
      </x:c>
      <x:c r="D1898" s="2" t="str">
        <x:v>DEMO-406</x:v>
      </x:c>
      <x:c r="E1898" s="2" t="str">
        <x:v>Mini Zip Case</x:v>
      </x:c>
      <x:c r="F1898" s="2" t="str">
        <x:v>Accessories</x:v>
      </x:c>
      <x:c r="G1898" s="2" t="str">
        <x:v>Stores</x:v>
      </x:c>
      <x:c r="H1898" s="2" t="str">
        <x:v>Central Market</x:v>
      </x:c>
      <x:c r="I1898" s="2" t="n">
        <x:v>13</x:v>
      </x:c>
      <x:c r="J1898" s="2" t="n">
        <x:v>0</x:v>
      </x:c>
      <x:c r="K1898" s="2" t="n">
        <x:f>I1898-J1898</x:f>
        <x:v>13</x:v>
      </x:c>
      <x:c r="L1898" s="16" t="n">
        <x:v>26</x:v>
      </x:c>
      <x:c r="M1898" s="16" t="n">
        <x:v>26</x:v>
      </x:c>
      <x:c r="N1898" s="16" t="n">
        <x:v>12.61</x:v>
      </x:c>
      <x:c r="O1898" s="16" t="n">
        <x:f>K1898*M1898</x:f>
        <x:v>338</x:v>
      </x:c>
      <x:c r="P1898" s="16" t="n">
        <x:f>K1898*N1898</x:f>
        <x:v>163.93</x:v>
      </x:c>
      <x:c r="Q1898" s="16" t="n">
        <x:f>O1898-P1898</x:f>
        <x:v>174.07</x:v>
      </x:c>
      <x:c r="R1898" s="2" t="n">
        <x:v>100</x:v>
      </x:c>
      <x:c r="S1898" s="2" t="n">
        <x:v>59</x:v>
      </x:c>
      <x:c r="T1898" s="2" t="n">
        <x:f>R1898+S1898+J1898-I1898</x:f>
        <x:v>146</x:v>
      </x:c>
      <x:c r="U1898" s="2" t="n">
        <x:v>0</x:v>
      </x:c>
      <x:c r="V1898" s="2" t="n">
        <x:v>4</x:v>
      </x:c>
      <x:c r="W1898" s="2" t="n">
        <x:v>14</x:v>
      </x:c>
      <x:c r="X1898" s="14" t="b">
        <x:v>0</x:v>
      </x:c>
      <x:c r="Y1898" s="14" t="b">
        <x:v>0</x:v>
      </x:c>
      <x:c r="Z1898" s="2" t="n">
        <x:f>ABS(T1898-AA1898)</x:f>
        <x:v>0</x:v>
      </x:c>
      <x:c r="AA1898" s="2" t="n">
        <x:v>146</x:v>
      </x:c>
      <x:c r="AB1898" s="2" t="n">
        <x:f>ABS(K1898-W1898)</x:f>
        <x:v>1</x:v>
      </x:c>
      <x:c r="AC1898" s="2" t="n">
        <x:f>COUNTIF($A$2:$A$1921,A1898)-1</x:f>
        <x:v>0</x:v>
      </x:c>
      <x:c r="AD1898" s="2" t="n">
        <x:f>IF(AND(D1898=D1897,H1898=H1897,C1898=C1897+1),ABS(R1898-T1897),0)</x:f>
        <x:v>0</x:v>
      </x:c>
    </x:row>
    <x:row r="1899" ht="23" customHeight="1">
      <x:c r="A1899" s="2" t="str">
        <x:v>DEMO-406-2-18</x:v>
      </x:c>
      <x:c r="B1899" s="15" t="d">
        <x:v>2026-08-31T00:00:00.000Z</x:v>
      </x:c>
      <x:c r="C1899" s="2" t="n">
        <x:v>18</x:v>
      </x:c>
      <x:c r="D1899" s="2" t="str">
        <x:v>DEMO-406</x:v>
      </x:c>
      <x:c r="E1899" s="2" t="str">
        <x:v>Mini Zip Case</x:v>
      </x:c>
      <x:c r="F1899" s="2" t="str">
        <x:v>Accessories</x:v>
      </x:c>
      <x:c r="G1899" s="2" t="str">
        <x:v>Stores</x:v>
      </x:c>
      <x:c r="H1899" s="2" t="str">
        <x:v>Central Market</x:v>
      </x:c>
      <x:c r="I1899" s="2" t="n">
        <x:v>17</x:v>
      </x:c>
      <x:c r="J1899" s="2" t="n">
        <x:v>1</x:v>
      </x:c>
      <x:c r="K1899" s="2" t="n">
        <x:f>I1899-J1899</x:f>
        <x:v>16</x:v>
      </x:c>
      <x:c r="L1899" s="16" t="n">
        <x:v>26</x:v>
      </x:c>
      <x:c r="M1899" s="16" t="n">
        <x:v>26</x:v>
      </x:c>
      <x:c r="N1899" s="16" t="n">
        <x:v>12.61</x:v>
      </x:c>
      <x:c r="O1899" s="16" t="n">
        <x:f>K1899*M1899</x:f>
        <x:v>416</x:v>
      </x:c>
      <x:c r="P1899" s="16" t="n">
        <x:f>K1899*N1899</x:f>
        <x:v>201.76</x:v>
      </x:c>
      <x:c r="Q1899" s="16" t="n">
        <x:f>O1899-P1899</x:f>
        <x:v>214.24</x:v>
      </x:c>
      <x:c r="R1899" s="2" t="n">
        <x:v>146</x:v>
      </x:c>
      <x:c r="S1899" s="2" t="n">
        <x:v>0</x:v>
      </x:c>
      <x:c r="T1899" s="2" t="n">
        <x:f>R1899+S1899+J1899-I1899</x:f>
        <x:v>130</x:v>
      </x:c>
      <x:c r="U1899" s="2" t="n">
        <x:v>0</x:v>
      </x:c>
      <x:c r="V1899" s="2" t="n">
        <x:v>4</x:v>
      </x:c>
      <x:c r="W1899" s="2" t="n">
        <x:v>13</x:v>
      </x:c>
      <x:c r="X1899" s="14" t="b">
        <x:v>0</x:v>
      </x:c>
      <x:c r="Y1899" s="14" t="b">
        <x:v>0</x:v>
      </x:c>
      <x:c r="Z1899" s="2" t="n">
        <x:f>ABS(T1899-AA1899)</x:f>
        <x:v>0</x:v>
      </x:c>
      <x:c r="AA1899" s="2" t="n">
        <x:v>130</x:v>
      </x:c>
      <x:c r="AB1899" s="2" t="n">
        <x:f>ABS(K1899-W1899)</x:f>
        <x:v>3</x:v>
      </x:c>
      <x:c r="AC1899" s="2" t="n">
        <x:f>COUNTIF($A$2:$A$1921,A1899)-1</x:f>
        <x:v>0</x:v>
      </x:c>
      <x:c r="AD1899" s="2" t="n">
        <x:f>IF(AND(D1899=D1898,H1899=H1898,C1899=C1898+1),ABS(R1899-T1898),0)</x:f>
        <x:v>0</x:v>
      </x:c>
    </x:row>
    <x:row r="1900" ht="23" customHeight="1">
      <x:c r="A1900" s="2" t="str">
        <x:v>DEMO-406-2-19</x:v>
      </x:c>
      <x:c r="B1900" s="15" t="d">
        <x:v>2026-09-07T00:00:00.000Z</x:v>
      </x:c>
      <x:c r="C1900" s="2" t="n">
        <x:v>19</x:v>
      </x:c>
      <x:c r="D1900" s="2" t="str">
        <x:v>DEMO-406</x:v>
      </x:c>
      <x:c r="E1900" s="2" t="str">
        <x:v>Mini Zip Case</x:v>
      </x:c>
      <x:c r="F1900" s="2" t="str">
        <x:v>Accessories</x:v>
      </x:c>
      <x:c r="G1900" s="2" t="str">
        <x:v>Stores</x:v>
      </x:c>
      <x:c r="H1900" s="2" t="str">
        <x:v>Central Market</x:v>
      </x:c>
      <x:c r="I1900" s="2" t="n">
        <x:v>13</x:v>
      </x:c>
      <x:c r="J1900" s="2" t="n">
        <x:v>0</x:v>
      </x:c>
      <x:c r="K1900" s="2" t="n">
        <x:f>I1900-J1900</x:f>
        <x:v>13</x:v>
      </x:c>
      <x:c r="L1900" s="16" t="n">
        <x:v>26</x:v>
      </x:c>
      <x:c r="M1900" s="16" t="n">
        <x:v>26</x:v>
      </x:c>
      <x:c r="N1900" s="16" t="n">
        <x:v>12.61</x:v>
      </x:c>
      <x:c r="O1900" s="16" t="n">
        <x:f>K1900*M1900</x:f>
        <x:v>338</x:v>
      </x:c>
      <x:c r="P1900" s="16" t="n">
        <x:f>K1900*N1900</x:f>
        <x:v>163.93</x:v>
      </x:c>
      <x:c r="Q1900" s="16" t="n">
        <x:f>O1900-P1900</x:f>
        <x:v>174.07</x:v>
      </x:c>
      <x:c r="R1900" s="2" t="n">
        <x:v>130</x:v>
      </x:c>
      <x:c r="S1900" s="2" t="n">
        <x:v>0</x:v>
      </x:c>
      <x:c r="T1900" s="2" t="n">
        <x:f>R1900+S1900+J1900-I1900</x:f>
        <x:v>117</x:v>
      </x:c>
      <x:c r="U1900" s="2" t="n">
        <x:v>0</x:v>
      </x:c>
      <x:c r="V1900" s="2" t="n">
        <x:v>4</x:v>
      </x:c>
      <x:c r="W1900" s="2" t="n">
        <x:v>14</x:v>
      </x:c>
      <x:c r="X1900" s="14" t="b">
        <x:v>0</x:v>
      </x:c>
      <x:c r="Y1900" s="14" t="b">
        <x:v>0</x:v>
      </x:c>
      <x:c r="Z1900" s="2" t="n">
        <x:f>ABS(T1900-AA1900)</x:f>
        <x:v>0</x:v>
      </x:c>
      <x:c r="AA1900" s="2" t="n">
        <x:v>117</x:v>
      </x:c>
      <x:c r="AB1900" s="2" t="n">
        <x:f>ABS(K1900-W1900)</x:f>
        <x:v>1</x:v>
      </x:c>
      <x:c r="AC1900" s="2" t="n">
        <x:f>COUNTIF($A$2:$A$1921,A1900)-1</x:f>
        <x:v>0</x:v>
      </x:c>
      <x:c r="AD1900" s="2" t="n">
        <x:f>IF(AND(D1900=D1899,H1900=H1899,C1900=C1899+1),ABS(R1900-T1899),0)</x:f>
        <x:v>0</x:v>
      </x:c>
    </x:row>
    <x:row r="1901" ht="23" customHeight="1">
      <x:c r="A1901" s="2" t="str">
        <x:v>DEMO-406-2-20</x:v>
      </x:c>
      <x:c r="B1901" s="15" t="d">
        <x:v>2026-09-14T00:00:00.000Z</x:v>
      </x:c>
      <x:c r="C1901" s="2" t="n">
        <x:v>20</x:v>
      </x:c>
      <x:c r="D1901" s="2" t="str">
        <x:v>DEMO-406</x:v>
      </x:c>
      <x:c r="E1901" s="2" t="str">
        <x:v>Mini Zip Case</x:v>
      </x:c>
      <x:c r="F1901" s="2" t="str">
        <x:v>Accessories</x:v>
      </x:c>
      <x:c r="G1901" s="2" t="str">
        <x:v>Stores</x:v>
      </x:c>
      <x:c r="H1901" s="2" t="str">
        <x:v>Central Market</x:v>
      </x:c>
      <x:c r="I1901" s="2" t="n">
        <x:v>16</x:v>
      </x:c>
      <x:c r="J1901" s="2" t="n">
        <x:v>0</x:v>
      </x:c>
      <x:c r="K1901" s="2" t="n">
        <x:f>I1901-J1901</x:f>
        <x:v>16</x:v>
      </x:c>
      <x:c r="L1901" s="16" t="n">
        <x:v>26</x:v>
      </x:c>
      <x:c r="M1901" s="16" t="n">
        <x:v>26</x:v>
      </x:c>
      <x:c r="N1901" s="16" t="n">
        <x:v>12.61</x:v>
      </x:c>
      <x:c r="O1901" s="16" t="n">
        <x:f>K1901*M1901</x:f>
        <x:v>416</x:v>
      </x:c>
      <x:c r="P1901" s="16" t="n">
        <x:f>K1901*N1901</x:f>
        <x:v>201.76</x:v>
      </x:c>
      <x:c r="Q1901" s="16" t="n">
        <x:f>O1901-P1901</x:f>
        <x:v>214.24</x:v>
      </x:c>
      <x:c r="R1901" s="2" t="n">
        <x:v>117</x:v>
      </x:c>
      <x:c r="S1901" s="2" t="n">
        <x:v>0</x:v>
      </x:c>
      <x:c r="T1901" s="2" t="n">
        <x:f>R1901+S1901+J1901-I1901</x:f>
        <x:v>101</x:v>
      </x:c>
      <x:c r="U1901" s="2" t="n">
        <x:v>18</x:v>
      </x:c>
      <x:c r="V1901" s="2" t="n">
        <x:v>4</x:v>
      </x:c>
      <x:c r="W1901" s="2" t="n">
        <x:v>14</x:v>
      </x:c>
      <x:c r="X1901" s="14" t="b">
        <x:v>0</x:v>
      </x:c>
      <x:c r="Y1901" s="14" t="b">
        <x:v>0</x:v>
      </x:c>
      <x:c r="Z1901" s="2" t="n">
        <x:f>ABS(T1901-AA1901)</x:f>
        <x:v>0</x:v>
      </x:c>
      <x:c r="AA1901" s="2" t="n">
        <x:v>101</x:v>
      </x:c>
      <x:c r="AB1901" s="2" t="n">
        <x:f>ABS(K1901-W1901)</x:f>
        <x:v>2</x:v>
      </x:c>
      <x:c r="AC1901" s="2" t="n">
        <x:f>COUNTIF($A$2:$A$1921,A1901)-1</x:f>
        <x:v>0</x:v>
      </x:c>
      <x:c r="AD1901" s="2" t="n">
        <x:f>IF(AND(D1901=D1900,H1901=H1900,C1901=C1900+1),ABS(R1901-T1900),0)</x:f>
        <x:v>0</x:v>
      </x:c>
    </x:row>
    <x:row r="1902" ht="23" customHeight="1">
      <x:c r="A1902" s="2" t="str">
        <x:v>DEMO-406-3-1</x:v>
      </x:c>
      <x:c r="B1902" s="15" t="d">
        <x:v>2026-05-04T00:00:00.000Z</x:v>
      </x:c>
      <x:c r="C1902" s="2" t="n">
        <x:v>1</x:v>
      </x:c>
      <x:c r="D1902" s="2" t="str">
        <x:v>DEMO-406</x:v>
      </x:c>
      <x:c r="E1902" s="2" t="str">
        <x:v>Mini Zip Case</x:v>
      </x:c>
      <x:c r="F1902" s="2" t="str">
        <x:v>Accessories</x:v>
      </x:c>
      <x:c r="G1902" s="2" t="str">
        <x:v>Online</x:v>
      </x:c>
      <x:c r="H1902" s="2" t="str">
        <x:v>Online</x:v>
      </x:c>
      <x:c r="I1902" s="2" t="n">
        <x:v>26</x:v>
      </x:c>
      <x:c r="J1902" s="2" t="n">
        <x:v>0</x:v>
      </x:c>
      <x:c r="K1902" s="2" t="n">
        <x:f>I1902-J1902</x:f>
        <x:v>26</x:v>
      </x:c>
      <x:c r="L1902" s="16" t="n">
        <x:v>26</x:v>
      </x:c>
      <x:c r="M1902" s="16" t="n">
        <x:v>26</x:v>
      </x:c>
      <x:c r="N1902" s="16" t="n">
        <x:v>12.61</x:v>
      </x:c>
      <x:c r="O1902" s="16" t="n">
        <x:f>K1902*M1902</x:f>
        <x:v>676</x:v>
      </x:c>
      <x:c r="P1902" s="16" t="n">
        <x:f>K1902*N1902</x:f>
        <x:v>327.86</x:v>
      </x:c>
      <x:c r="Q1902" s="16" t="n">
        <x:f>O1902-P1902</x:f>
        <x:v>348.14</x:v>
      </x:c>
      <x:c r="R1902" s="2" t="n">
        <x:v>90</x:v>
      </x:c>
      <x:c r="S1902" s="2" t="n">
        <x:v>100</x:v>
      </x:c>
      <x:c r="T1902" s="2" t="n">
        <x:f>R1902+S1902+J1902-I1902</x:f>
        <x:v>164</x:v>
      </x:c>
      <x:c r="U1902" s="2" t="n">
        <x:v>0</x:v>
      </x:c>
      <x:c r="V1902" s="2" t="n">
        <x:v>4</x:v>
      </x:c>
      <x:c r="W1902" s="2" t="n">
        <x:v>24</x:v>
      </x:c>
      <x:c r="X1902" s="14" t="b">
        <x:v>0</x:v>
      </x:c>
      <x:c r="Y1902" s="14" t="b">
        <x:v>0</x:v>
      </x:c>
      <x:c r="Z1902" s="2" t="n">
        <x:f>ABS(T1902-AA1902)</x:f>
        <x:v>0</x:v>
      </x:c>
      <x:c r="AA1902" s="2" t="n">
        <x:v>164</x:v>
      </x:c>
      <x:c r="AB1902" s="2" t="n">
        <x:f>ABS(K1902-W1902)</x:f>
        <x:v>2</x:v>
      </x:c>
      <x:c r="AC1902" s="2" t="n">
        <x:f>COUNTIF($A$2:$A$1921,A1902)-1</x:f>
        <x:v>0</x:v>
      </x:c>
      <x:c r="AD1902" s="2" t="n">
        <x:f>IF(AND(D1902=D1901,H1902=H1901,C1902=C1901+1),ABS(R1902-T1901),0)</x:f>
        <x:v>0</x:v>
      </x:c>
    </x:row>
    <x:row r="1903" ht="23" customHeight="1">
      <x:c r="A1903" s="2" t="str">
        <x:v>DEMO-406-3-2</x:v>
      </x:c>
      <x:c r="B1903" s="15" t="d">
        <x:v>2026-05-11T00:00:00.000Z</x:v>
      </x:c>
      <x:c r="C1903" s="2" t="n">
        <x:v>2</x:v>
      </x:c>
      <x:c r="D1903" s="2" t="str">
        <x:v>DEMO-406</x:v>
      </x:c>
      <x:c r="E1903" s="2" t="str">
        <x:v>Mini Zip Case</x:v>
      </x:c>
      <x:c r="F1903" s="2" t="str">
        <x:v>Accessories</x:v>
      </x:c>
      <x:c r="G1903" s="2" t="str">
        <x:v>Online</x:v>
      </x:c>
      <x:c r="H1903" s="2" t="str">
        <x:v>Online</x:v>
      </x:c>
      <x:c r="I1903" s="2" t="n">
        <x:v>28</x:v>
      </x:c>
      <x:c r="J1903" s="2" t="n">
        <x:v>0</x:v>
      </x:c>
      <x:c r="K1903" s="2" t="n">
        <x:f>I1903-J1903</x:f>
        <x:v>28</x:v>
      </x:c>
      <x:c r="L1903" s="16" t="n">
        <x:v>26</x:v>
      </x:c>
      <x:c r="M1903" s="16" t="n">
        <x:v>26</x:v>
      </x:c>
      <x:c r="N1903" s="16" t="n">
        <x:v>12.61</x:v>
      </x:c>
      <x:c r="O1903" s="16" t="n">
        <x:f>K1903*M1903</x:f>
        <x:v>728</x:v>
      </x:c>
      <x:c r="P1903" s="16" t="n">
        <x:f>K1903*N1903</x:f>
        <x:v>353.08</x:v>
      </x:c>
      <x:c r="Q1903" s="16" t="n">
        <x:f>O1903-P1903</x:f>
        <x:v>374.92</x:v>
      </x:c>
      <x:c r="R1903" s="2" t="n">
        <x:v>164</x:v>
      </x:c>
      <x:c r="S1903" s="2" t="n">
        <x:v>0</x:v>
      </x:c>
      <x:c r="T1903" s="2" t="n">
        <x:f>R1903+S1903+J1903-I1903</x:f>
        <x:v>136</x:v>
      </x:c>
      <x:c r="U1903" s="2" t="n">
        <x:v>0</x:v>
      </x:c>
      <x:c r="V1903" s="2" t="n">
        <x:v>4</x:v>
      </x:c>
      <x:c r="W1903" s="2" t="n">
        <x:v>26</x:v>
      </x:c>
      <x:c r="X1903" s="14" t="b">
        <x:v>0</x:v>
      </x:c>
      <x:c r="Y1903" s="14" t="b">
        <x:v>0</x:v>
      </x:c>
      <x:c r="Z1903" s="2" t="n">
        <x:f>ABS(T1903-AA1903)</x:f>
        <x:v>0</x:v>
      </x:c>
      <x:c r="AA1903" s="2" t="n">
        <x:v>136</x:v>
      </x:c>
      <x:c r="AB1903" s="2" t="n">
        <x:f>ABS(K1903-W1903)</x:f>
        <x:v>2</x:v>
      </x:c>
      <x:c r="AC1903" s="2" t="n">
        <x:f>COUNTIF($A$2:$A$1921,A1903)-1</x:f>
        <x:v>0</x:v>
      </x:c>
      <x:c r="AD1903" s="2" t="n">
        <x:f>IF(AND(D1903=D1902,H1903=H1902,C1903=C1902+1),ABS(R1903-T1902),0)</x:f>
        <x:v>0</x:v>
      </x:c>
    </x:row>
    <x:row r="1904" ht="23" customHeight="1">
      <x:c r="A1904" s="2" t="str">
        <x:v>DEMO-406-3-3</x:v>
      </x:c>
      <x:c r="B1904" s="15" t="d">
        <x:v>2026-05-18T00:00:00.000Z</x:v>
      </x:c>
      <x:c r="C1904" s="2" t="n">
        <x:v>3</x:v>
      </x:c>
      <x:c r="D1904" s="2" t="str">
        <x:v>DEMO-406</x:v>
      </x:c>
      <x:c r="E1904" s="2" t="str">
        <x:v>Mini Zip Case</x:v>
      </x:c>
      <x:c r="F1904" s="2" t="str">
        <x:v>Accessories</x:v>
      </x:c>
      <x:c r="G1904" s="2" t="str">
        <x:v>Online</x:v>
      </x:c>
      <x:c r="H1904" s="2" t="str">
        <x:v>Online</x:v>
      </x:c>
      <x:c r="I1904" s="2" t="n">
        <x:v>20</x:v>
      </x:c>
      <x:c r="J1904" s="2" t="n">
        <x:v>0</x:v>
      </x:c>
      <x:c r="K1904" s="2" t="n">
        <x:f>I1904-J1904</x:f>
        <x:v>20</x:v>
      </x:c>
      <x:c r="L1904" s="16" t="n">
        <x:v>26</x:v>
      </x:c>
      <x:c r="M1904" s="16" t="n">
        <x:v>26</x:v>
      </x:c>
      <x:c r="N1904" s="16" t="n">
        <x:v>12.61</x:v>
      </x:c>
      <x:c r="O1904" s="16" t="n">
        <x:f>K1904*M1904</x:f>
        <x:v>520</x:v>
      </x:c>
      <x:c r="P1904" s="16" t="n">
        <x:f>K1904*N1904</x:f>
        <x:v>252.2</x:v>
      </x:c>
      <x:c r="Q1904" s="16" t="n">
        <x:f>O1904-P1904</x:f>
        <x:v>267.8</x:v>
      </x:c>
      <x:c r="R1904" s="2" t="n">
        <x:v>136</x:v>
      </x:c>
      <x:c r="S1904" s="2" t="n">
        <x:v>0</x:v>
      </x:c>
      <x:c r="T1904" s="2" t="n">
        <x:f>R1904+S1904+J1904-I1904</x:f>
        <x:v>116</x:v>
      </x:c>
      <x:c r="U1904" s="2" t="n">
        <x:v>0</x:v>
      </x:c>
      <x:c r="V1904" s="2" t="n">
        <x:v>4</x:v>
      </x:c>
      <x:c r="W1904" s="2" t="n">
        <x:v>27</x:v>
      </x:c>
      <x:c r="X1904" s="14" t="b">
        <x:v>0</x:v>
      </x:c>
      <x:c r="Y1904" s="14" t="b">
        <x:v>0</x:v>
      </x:c>
      <x:c r="Z1904" s="2" t="n">
        <x:f>ABS(T1904-AA1904)</x:f>
        <x:v>0</x:v>
      </x:c>
      <x:c r="AA1904" s="2" t="n">
        <x:v>116</x:v>
      </x:c>
      <x:c r="AB1904" s="2" t="n">
        <x:f>ABS(K1904-W1904)</x:f>
        <x:v>7</x:v>
      </x:c>
      <x:c r="AC1904" s="2" t="n">
        <x:f>COUNTIF($A$2:$A$1921,A1904)-1</x:f>
        <x:v>0</x:v>
      </x:c>
      <x:c r="AD1904" s="2" t="n">
        <x:f>IF(AND(D1904=D1903,H1904=H1903,C1904=C1903+1),ABS(R1904-T1903),0)</x:f>
        <x:v>0</x:v>
      </x:c>
    </x:row>
    <x:row r="1905" ht="23" customHeight="1">
      <x:c r="A1905" s="2" t="str">
        <x:v>DEMO-406-3-4</x:v>
      </x:c>
      <x:c r="B1905" s="15" t="d">
        <x:v>2026-05-25T00:00:00.000Z</x:v>
      </x:c>
      <x:c r="C1905" s="2" t="n">
        <x:v>4</x:v>
      </x:c>
      <x:c r="D1905" s="2" t="str">
        <x:v>DEMO-406</x:v>
      </x:c>
      <x:c r="E1905" s="2" t="str">
        <x:v>Mini Zip Case</x:v>
      </x:c>
      <x:c r="F1905" s="2" t="str">
        <x:v>Accessories</x:v>
      </x:c>
      <x:c r="G1905" s="2" t="str">
        <x:v>Online</x:v>
      </x:c>
      <x:c r="H1905" s="2" t="str">
        <x:v>Online</x:v>
      </x:c>
      <x:c r="I1905" s="2" t="n">
        <x:v>27</x:v>
      </x:c>
      <x:c r="J1905" s="2" t="n">
        <x:v>0</x:v>
      </x:c>
      <x:c r="K1905" s="2" t="n">
        <x:f>I1905-J1905</x:f>
        <x:v>27</x:v>
      </x:c>
      <x:c r="L1905" s="16" t="n">
        <x:v>26</x:v>
      </x:c>
      <x:c r="M1905" s="16" t="n">
        <x:v>26</x:v>
      </x:c>
      <x:c r="N1905" s="16" t="n">
        <x:v>12.61</x:v>
      </x:c>
      <x:c r="O1905" s="16" t="n">
        <x:f>K1905*M1905</x:f>
        <x:v>702</x:v>
      </x:c>
      <x:c r="P1905" s="16" t="n">
        <x:f>K1905*N1905</x:f>
        <x:v>340.46999999999997</x:v>
      </x:c>
      <x:c r="Q1905" s="16" t="n">
        <x:f>O1905-P1905</x:f>
        <x:v>361.53000000000003</x:v>
      </x:c>
      <x:c r="R1905" s="2" t="n">
        <x:v>116</x:v>
      </x:c>
      <x:c r="S1905" s="2" t="n">
        <x:v>0</x:v>
      </x:c>
      <x:c r="T1905" s="2" t="n">
        <x:f>R1905+S1905+J1905-I1905</x:f>
        <x:v>89</x:v>
      </x:c>
      <x:c r="U1905" s="2" t="n">
        <x:v>0</x:v>
      </x:c>
      <x:c r="V1905" s="2" t="n">
        <x:v>4</x:v>
      </x:c>
      <x:c r="W1905" s="2" t="n">
        <x:v>25</x:v>
      </x:c>
      <x:c r="X1905" s="14" t="b">
        <x:v>0</x:v>
      </x:c>
      <x:c r="Y1905" s="14" t="b">
        <x:v>0</x:v>
      </x:c>
      <x:c r="Z1905" s="2" t="n">
        <x:f>ABS(T1905-AA1905)</x:f>
        <x:v>0</x:v>
      </x:c>
      <x:c r="AA1905" s="2" t="n">
        <x:v>89</x:v>
      </x:c>
      <x:c r="AB1905" s="2" t="n">
        <x:f>ABS(K1905-W1905)</x:f>
        <x:v>2</x:v>
      </x:c>
      <x:c r="AC1905" s="2" t="n">
        <x:f>COUNTIF($A$2:$A$1921,A1905)-1</x:f>
        <x:v>0</x:v>
      </x:c>
      <x:c r="AD1905" s="2" t="n">
        <x:f>IF(AND(D1905=D1904,H1905=H1904,C1905=C1904+1),ABS(R1905-T1904),0)</x:f>
        <x:v>0</x:v>
      </x:c>
    </x:row>
    <x:row r="1906" ht="23" customHeight="1">
      <x:c r="A1906" s="2" t="str">
        <x:v>DEMO-406-3-5</x:v>
      </x:c>
      <x:c r="B1906" s="15" t="d">
        <x:v>2026-06-01T00:00:00.000Z</x:v>
      </x:c>
      <x:c r="C1906" s="2" t="n">
        <x:v>5</x:v>
      </x:c>
      <x:c r="D1906" s="2" t="str">
        <x:v>DEMO-406</x:v>
      </x:c>
      <x:c r="E1906" s="2" t="str">
        <x:v>Mini Zip Case</x:v>
      </x:c>
      <x:c r="F1906" s="2" t="str">
        <x:v>Accessories</x:v>
      </x:c>
      <x:c r="G1906" s="2" t="str">
        <x:v>Online</x:v>
      </x:c>
      <x:c r="H1906" s="2" t="str">
        <x:v>Online</x:v>
      </x:c>
      <x:c r="I1906" s="2" t="n">
        <x:v>19</x:v>
      </x:c>
      <x:c r="J1906" s="2" t="n">
        <x:v>0</x:v>
      </x:c>
      <x:c r="K1906" s="2" t="n">
        <x:f>I1906-J1906</x:f>
        <x:v>19</x:v>
      </x:c>
      <x:c r="L1906" s="16" t="n">
        <x:v>26</x:v>
      </x:c>
      <x:c r="M1906" s="16" t="n">
        <x:v>26</x:v>
      </x:c>
      <x:c r="N1906" s="16" t="n">
        <x:v>12.61</x:v>
      </x:c>
      <x:c r="O1906" s="16" t="n">
        <x:f>K1906*M1906</x:f>
        <x:v>494</x:v>
      </x:c>
      <x:c r="P1906" s="16" t="n">
        <x:f>K1906*N1906</x:f>
        <x:v>239.58999999999997</x:v>
      </x:c>
      <x:c r="Q1906" s="16" t="n">
        <x:f>O1906-P1906</x:f>
        <x:v>254.41000000000003</x:v>
      </x:c>
      <x:c r="R1906" s="2" t="n">
        <x:v>89</x:v>
      </x:c>
      <x:c r="S1906" s="2" t="n">
        <x:v>100</x:v>
      </x:c>
      <x:c r="T1906" s="2" t="n">
        <x:f>R1906+S1906+J1906-I1906</x:f>
        <x:v>170</x:v>
      </x:c>
      <x:c r="U1906" s="2" t="n">
        <x:v>0</x:v>
      </x:c>
      <x:c r="V1906" s="2" t="n">
        <x:v>4</x:v>
      </x:c>
      <x:c r="W1906" s="2" t="n">
        <x:v>25</x:v>
      </x:c>
      <x:c r="X1906" s="14" t="b">
        <x:v>0</x:v>
      </x:c>
      <x:c r="Y1906" s="14" t="b">
        <x:v>0</x:v>
      </x:c>
      <x:c r="Z1906" s="2" t="n">
        <x:f>ABS(T1906-AA1906)</x:f>
        <x:v>0</x:v>
      </x:c>
      <x:c r="AA1906" s="2" t="n">
        <x:v>170</x:v>
      </x:c>
      <x:c r="AB1906" s="2" t="n">
        <x:f>ABS(K1906-W1906)</x:f>
        <x:v>6</x:v>
      </x:c>
      <x:c r="AC1906" s="2" t="n">
        <x:f>COUNTIF($A$2:$A$1921,A1906)-1</x:f>
        <x:v>0</x:v>
      </x:c>
      <x:c r="AD1906" s="2" t="n">
        <x:f>IF(AND(D1906=D1905,H1906=H1905,C1906=C1905+1),ABS(R1906-T1905),0)</x:f>
        <x:v>0</x:v>
      </x:c>
    </x:row>
    <x:row r="1907" ht="23" customHeight="1">
      <x:c r="A1907" s="2" t="str">
        <x:v>DEMO-406-3-6</x:v>
      </x:c>
      <x:c r="B1907" s="15" t="d">
        <x:v>2026-06-08T00:00:00.000Z</x:v>
      </x:c>
      <x:c r="C1907" s="2" t="n">
        <x:v>6</x:v>
      </x:c>
      <x:c r="D1907" s="2" t="str">
        <x:v>DEMO-406</x:v>
      </x:c>
      <x:c r="E1907" s="2" t="str">
        <x:v>Mini Zip Case</x:v>
      </x:c>
      <x:c r="F1907" s="2" t="str">
        <x:v>Accessories</x:v>
      </x:c>
      <x:c r="G1907" s="2" t="str">
        <x:v>Online</x:v>
      </x:c>
      <x:c r="H1907" s="2" t="str">
        <x:v>Online</x:v>
      </x:c>
      <x:c r="I1907" s="2" t="n">
        <x:v>28</x:v>
      </x:c>
      <x:c r="J1907" s="2" t="n">
        <x:v>0</x:v>
      </x:c>
      <x:c r="K1907" s="2" t="n">
        <x:f>I1907-J1907</x:f>
        <x:v>28</x:v>
      </x:c>
      <x:c r="L1907" s="16" t="n">
        <x:v>26</x:v>
      </x:c>
      <x:c r="M1907" s="16" t="n">
        <x:v>26</x:v>
      </x:c>
      <x:c r="N1907" s="16" t="n">
        <x:v>12.61</x:v>
      </x:c>
      <x:c r="O1907" s="16" t="n">
        <x:f>K1907*M1907</x:f>
        <x:v>728</x:v>
      </x:c>
      <x:c r="P1907" s="16" t="n">
        <x:f>K1907*N1907</x:f>
        <x:v>353.08</x:v>
      </x:c>
      <x:c r="Q1907" s="16" t="n">
        <x:f>O1907-P1907</x:f>
        <x:v>374.92</x:v>
      </x:c>
      <x:c r="R1907" s="2" t="n">
        <x:v>170</x:v>
      </x:c>
      <x:c r="S1907" s="2" t="n">
        <x:v>0</x:v>
      </x:c>
      <x:c r="T1907" s="2" t="n">
        <x:f>R1907+S1907+J1907-I1907</x:f>
        <x:v>142</x:v>
      </x:c>
      <x:c r="U1907" s="2" t="n">
        <x:v>0</x:v>
      </x:c>
      <x:c r="V1907" s="2" t="n">
        <x:v>4</x:v>
      </x:c>
      <x:c r="W1907" s="2" t="n">
        <x:v>24</x:v>
      </x:c>
      <x:c r="X1907" s="14" t="b">
        <x:v>0</x:v>
      </x:c>
      <x:c r="Y1907" s="14" t="b">
        <x:v>0</x:v>
      </x:c>
      <x:c r="Z1907" s="2" t="n">
        <x:f>ABS(T1907-AA1907)</x:f>
        <x:v>0</x:v>
      </x:c>
      <x:c r="AA1907" s="2" t="n">
        <x:v>142</x:v>
      </x:c>
      <x:c r="AB1907" s="2" t="n">
        <x:f>ABS(K1907-W1907)</x:f>
        <x:v>4</x:v>
      </x:c>
      <x:c r="AC1907" s="2" t="n">
        <x:f>COUNTIF($A$2:$A$1921,A1907)-1</x:f>
        <x:v>0</x:v>
      </x:c>
      <x:c r="AD1907" s="2" t="n">
        <x:f>IF(AND(D1907=D1906,H1907=H1906,C1907=C1906+1),ABS(R1907-T1906),0)</x:f>
        <x:v>0</x:v>
      </x:c>
    </x:row>
    <x:row r="1908" ht="23" customHeight="1">
      <x:c r="A1908" s="2" t="str">
        <x:v>DEMO-406-3-7</x:v>
      </x:c>
      <x:c r="B1908" s="15" t="d">
        <x:v>2026-06-15T00:00:00.000Z</x:v>
      </x:c>
      <x:c r="C1908" s="2" t="n">
        <x:v>7</x:v>
      </x:c>
      <x:c r="D1908" s="2" t="str">
        <x:v>DEMO-406</x:v>
      </x:c>
      <x:c r="E1908" s="2" t="str">
        <x:v>Mini Zip Case</x:v>
      </x:c>
      <x:c r="F1908" s="2" t="str">
        <x:v>Accessories</x:v>
      </x:c>
      <x:c r="G1908" s="2" t="str">
        <x:v>Online</x:v>
      </x:c>
      <x:c r="H1908" s="2" t="str">
        <x:v>Online</x:v>
      </x:c>
      <x:c r="I1908" s="2" t="n">
        <x:v>21</x:v>
      </x:c>
      <x:c r="J1908" s="2" t="n">
        <x:v>0</x:v>
      </x:c>
      <x:c r="K1908" s="2" t="n">
        <x:f>I1908-J1908</x:f>
        <x:v>21</x:v>
      </x:c>
      <x:c r="L1908" s="16" t="n">
        <x:v>26</x:v>
      </x:c>
      <x:c r="M1908" s="16" t="n">
        <x:v>26</x:v>
      </x:c>
      <x:c r="N1908" s="16" t="n">
        <x:v>12.61</x:v>
      </x:c>
      <x:c r="O1908" s="16" t="n">
        <x:f>K1908*M1908</x:f>
        <x:v>546</x:v>
      </x:c>
      <x:c r="P1908" s="16" t="n">
        <x:f>K1908*N1908</x:f>
        <x:v>264.81</x:v>
      </x:c>
      <x:c r="Q1908" s="16" t="n">
        <x:f>O1908-P1908</x:f>
        <x:v>281.19</x:v>
      </x:c>
      <x:c r="R1908" s="2" t="n">
        <x:v>142</x:v>
      </x:c>
      <x:c r="S1908" s="2" t="n">
        <x:v>0</x:v>
      </x:c>
      <x:c r="T1908" s="2" t="n">
        <x:f>R1908+S1908+J1908-I1908</x:f>
        <x:v>121</x:v>
      </x:c>
      <x:c r="U1908" s="2" t="n">
        <x:v>0</x:v>
      </x:c>
      <x:c r="V1908" s="2" t="n">
        <x:v>4</x:v>
      </x:c>
      <x:c r="W1908" s="2" t="n">
        <x:v>24</x:v>
      </x:c>
      <x:c r="X1908" s="14" t="b">
        <x:v>0</x:v>
      </x:c>
      <x:c r="Y1908" s="14" t="b">
        <x:v>0</x:v>
      </x:c>
      <x:c r="Z1908" s="2" t="n">
        <x:f>ABS(T1908-AA1908)</x:f>
        <x:v>0</x:v>
      </x:c>
      <x:c r="AA1908" s="2" t="n">
        <x:v>121</x:v>
      </x:c>
      <x:c r="AB1908" s="2" t="n">
        <x:f>ABS(K1908-W1908)</x:f>
        <x:v>3</x:v>
      </x:c>
      <x:c r="AC1908" s="2" t="n">
        <x:f>COUNTIF($A$2:$A$1921,A1908)-1</x:f>
        <x:v>0</x:v>
      </x:c>
      <x:c r="AD1908" s="2" t="n">
        <x:f>IF(AND(D1908=D1907,H1908=H1907,C1908=C1907+1),ABS(R1908-T1907),0)</x:f>
        <x:v>0</x:v>
      </x:c>
    </x:row>
    <x:row r="1909" ht="23" customHeight="1">
      <x:c r="A1909" s="2" t="str">
        <x:v>DEMO-406-3-8</x:v>
      </x:c>
      <x:c r="B1909" s="15" t="d">
        <x:v>2026-06-22T00:00:00.000Z</x:v>
      </x:c>
      <x:c r="C1909" s="2" t="n">
        <x:v>8</x:v>
      </x:c>
      <x:c r="D1909" s="2" t="str">
        <x:v>DEMO-406</x:v>
      </x:c>
      <x:c r="E1909" s="2" t="str">
        <x:v>Mini Zip Case</x:v>
      </x:c>
      <x:c r="F1909" s="2" t="str">
        <x:v>Accessories</x:v>
      </x:c>
      <x:c r="G1909" s="2" t="str">
        <x:v>Online</x:v>
      </x:c>
      <x:c r="H1909" s="2" t="str">
        <x:v>Online</x:v>
      </x:c>
      <x:c r="I1909" s="2" t="n">
        <x:v>20</x:v>
      </x:c>
      <x:c r="J1909" s="2" t="n">
        <x:v>0</x:v>
      </x:c>
      <x:c r="K1909" s="2" t="n">
        <x:f>I1909-J1909</x:f>
        <x:v>20</x:v>
      </x:c>
      <x:c r="L1909" s="16" t="n">
        <x:v>26</x:v>
      </x:c>
      <x:c r="M1909" s="16" t="n">
        <x:v>26</x:v>
      </x:c>
      <x:c r="N1909" s="16" t="n">
        <x:v>12.61</x:v>
      </x:c>
      <x:c r="O1909" s="16" t="n">
        <x:f>K1909*M1909</x:f>
        <x:v>520</x:v>
      </x:c>
      <x:c r="P1909" s="16" t="n">
        <x:f>K1909*N1909</x:f>
        <x:v>252.2</x:v>
      </x:c>
      <x:c r="Q1909" s="16" t="n">
        <x:f>O1909-P1909</x:f>
        <x:v>267.8</x:v>
      </x:c>
      <x:c r="R1909" s="2" t="n">
        <x:v>121</x:v>
      </x:c>
      <x:c r="S1909" s="2" t="n">
        <x:v>0</x:v>
      </x:c>
      <x:c r="T1909" s="2" t="n">
        <x:f>R1909+S1909+J1909-I1909</x:f>
        <x:v>101</x:v>
      </x:c>
      <x:c r="U1909" s="2" t="n">
        <x:v>0</x:v>
      </x:c>
      <x:c r="V1909" s="2" t="n">
        <x:v>4</x:v>
      </x:c>
      <x:c r="W1909" s="2" t="n">
        <x:v>24</x:v>
      </x:c>
      <x:c r="X1909" s="14" t="b">
        <x:v>0</x:v>
      </x:c>
      <x:c r="Y1909" s="14" t="b">
        <x:v>0</x:v>
      </x:c>
      <x:c r="Z1909" s="2" t="n">
        <x:f>ABS(T1909-AA1909)</x:f>
        <x:v>0</x:v>
      </x:c>
      <x:c r="AA1909" s="2" t="n">
        <x:v>101</x:v>
      </x:c>
      <x:c r="AB1909" s="2" t="n">
        <x:f>ABS(K1909-W1909)</x:f>
        <x:v>4</x:v>
      </x:c>
      <x:c r="AC1909" s="2" t="n">
        <x:f>COUNTIF($A$2:$A$1921,A1909)-1</x:f>
        <x:v>0</x:v>
      </x:c>
      <x:c r="AD1909" s="2" t="n">
        <x:f>IF(AND(D1909=D1908,H1909=H1908,C1909=C1908+1),ABS(R1909-T1908),0)</x:f>
        <x:v>0</x:v>
      </x:c>
    </x:row>
    <x:row r="1910" ht="23" customHeight="1">
      <x:c r="A1910" s="2" t="str">
        <x:v>DEMO-406-3-9</x:v>
      </x:c>
      <x:c r="B1910" s="15" t="d">
        <x:v>2026-06-29T00:00:00.000Z</x:v>
      </x:c>
      <x:c r="C1910" s="2" t="n">
        <x:v>9</x:v>
      </x:c>
      <x:c r="D1910" s="2" t="str">
        <x:v>DEMO-406</x:v>
      </x:c>
      <x:c r="E1910" s="2" t="str">
        <x:v>Mini Zip Case</x:v>
      </x:c>
      <x:c r="F1910" s="2" t="str">
        <x:v>Accessories</x:v>
      </x:c>
      <x:c r="G1910" s="2" t="str">
        <x:v>Online</x:v>
      </x:c>
      <x:c r="H1910" s="2" t="str">
        <x:v>Online</x:v>
      </x:c>
      <x:c r="I1910" s="2" t="n">
        <x:v>25</x:v>
      </x:c>
      <x:c r="J1910" s="2" t="n">
        <x:v>0</x:v>
      </x:c>
      <x:c r="K1910" s="2" t="n">
        <x:f>I1910-J1910</x:f>
        <x:v>25</x:v>
      </x:c>
      <x:c r="L1910" s="16" t="n">
        <x:v>26</x:v>
      </x:c>
      <x:c r="M1910" s="16" t="n">
        <x:v>26</x:v>
      </x:c>
      <x:c r="N1910" s="16" t="n">
        <x:v>12.61</x:v>
      </x:c>
      <x:c r="O1910" s="16" t="n">
        <x:f>K1910*M1910</x:f>
        <x:v>650</x:v>
      </x:c>
      <x:c r="P1910" s="16" t="n">
        <x:f>K1910*N1910</x:f>
        <x:v>315.25</x:v>
      </x:c>
      <x:c r="Q1910" s="16" t="n">
        <x:f>O1910-P1910</x:f>
        <x:v>334.75</x:v>
      </x:c>
      <x:c r="R1910" s="2" t="n">
        <x:v>101</x:v>
      </x:c>
      <x:c r="S1910" s="2" t="n">
        <x:v>100</x:v>
      </x:c>
      <x:c r="T1910" s="2" t="n">
        <x:f>R1910+S1910+J1910-I1910</x:f>
        <x:v>176</x:v>
      </x:c>
      <x:c r="U1910" s="2" t="n">
        <x:v>0</x:v>
      </x:c>
      <x:c r="V1910" s="2" t="n">
        <x:v>4</x:v>
      </x:c>
      <x:c r="W1910" s="2" t="n">
        <x:v>22</x:v>
      </x:c>
      <x:c r="X1910" s="14" t="b">
        <x:v>0</x:v>
      </x:c>
      <x:c r="Y1910" s="14" t="b">
        <x:v>0</x:v>
      </x:c>
      <x:c r="Z1910" s="2" t="n">
        <x:f>ABS(T1910-AA1910)</x:f>
        <x:v>0</x:v>
      </x:c>
      <x:c r="AA1910" s="2" t="n">
        <x:v>176</x:v>
      </x:c>
      <x:c r="AB1910" s="2" t="n">
        <x:f>ABS(K1910-W1910)</x:f>
        <x:v>3</x:v>
      </x:c>
      <x:c r="AC1910" s="2" t="n">
        <x:f>COUNTIF($A$2:$A$1921,A1910)-1</x:f>
        <x:v>0</x:v>
      </x:c>
      <x:c r="AD1910" s="2" t="n">
        <x:f>IF(AND(D1910=D1909,H1910=H1909,C1910=C1909+1),ABS(R1910-T1909),0)</x:f>
        <x:v>0</x:v>
      </x:c>
    </x:row>
    <x:row r="1911" ht="23" customHeight="1">
      <x:c r="A1911" s="2" t="str">
        <x:v>DEMO-406-3-10</x:v>
      </x:c>
      <x:c r="B1911" s="15" t="d">
        <x:v>2026-07-06T00:00:00.000Z</x:v>
      </x:c>
      <x:c r="C1911" s="2" t="n">
        <x:v>10</x:v>
      </x:c>
      <x:c r="D1911" s="2" t="str">
        <x:v>DEMO-406</x:v>
      </x:c>
      <x:c r="E1911" s="2" t="str">
        <x:v>Mini Zip Case</x:v>
      </x:c>
      <x:c r="F1911" s="2" t="str">
        <x:v>Accessories</x:v>
      </x:c>
      <x:c r="G1911" s="2" t="str">
        <x:v>Online</x:v>
      </x:c>
      <x:c r="H1911" s="2" t="str">
        <x:v>Online</x:v>
      </x:c>
      <x:c r="I1911" s="2" t="n">
        <x:v>22</x:v>
      </x:c>
      <x:c r="J1911" s="2" t="n">
        <x:v>0</x:v>
      </x:c>
      <x:c r="K1911" s="2" t="n">
        <x:f>I1911-J1911</x:f>
        <x:v>22</x:v>
      </x:c>
      <x:c r="L1911" s="16" t="n">
        <x:v>26</x:v>
      </x:c>
      <x:c r="M1911" s="16" t="n">
        <x:v>26</x:v>
      </x:c>
      <x:c r="N1911" s="16" t="n">
        <x:v>12.61</x:v>
      </x:c>
      <x:c r="O1911" s="16" t="n">
        <x:f>K1911*M1911</x:f>
        <x:v>572</x:v>
      </x:c>
      <x:c r="P1911" s="16" t="n">
        <x:f>K1911*N1911</x:f>
        <x:v>277.41999999999996</x:v>
      </x:c>
      <x:c r="Q1911" s="16" t="n">
        <x:f>O1911-P1911</x:f>
        <x:v>294.58000000000004</x:v>
      </x:c>
      <x:c r="R1911" s="2" t="n">
        <x:v>176</x:v>
      </x:c>
      <x:c r="S1911" s="2" t="n">
        <x:v>0</x:v>
      </x:c>
      <x:c r="T1911" s="2" t="n">
        <x:f>R1911+S1911+J1911-I1911</x:f>
        <x:v>154</x:v>
      </x:c>
      <x:c r="U1911" s="2" t="n">
        <x:v>0</x:v>
      </x:c>
      <x:c r="V1911" s="2" t="n">
        <x:v>4</x:v>
      </x:c>
      <x:c r="W1911" s="2" t="n">
        <x:v>24</x:v>
      </x:c>
      <x:c r="X1911" s="14" t="b">
        <x:v>0</x:v>
      </x:c>
      <x:c r="Y1911" s="14" t="b">
        <x:v>0</x:v>
      </x:c>
      <x:c r="Z1911" s="2" t="n">
        <x:f>ABS(T1911-AA1911)</x:f>
        <x:v>0</x:v>
      </x:c>
      <x:c r="AA1911" s="2" t="n">
        <x:v>154</x:v>
      </x:c>
      <x:c r="AB1911" s="2" t="n">
        <x:f>ABS(K1911-W1911)</x:f>
        <x:v>2</x:v>
      </x:c>
      <x:c r="AC1911" s="2" t="n">
        <x:f>COUNTIF($A$2:$A$1921,A1911)-1</x:f>
        <x:v>0</x:v>
      </x:c>
      <x:c r="AD1911" s="2" t="n">
        <x:f>IF(AND(D1911=D1910,H1911=H1910,C1911=C1910+1),ABS(R1911-T1910),0)</x:f>
        <x:v>0</x:v>
      </x:c>
    </x:row>
    <x:row r="1912" ht="23" customHeight="1">
      <x:c r="A1912" s="2" t="str">
        <x:v>DEMO-406-3-11</x:v>
      </x:c>
      <x:c r="B1912" s="15" t="d">
        <x:v>2026-07-13T00:00:00.000Z</x:v>
      </x:c>
      <x:c r="C1912" s="2" t="n">
        <x:v>11</x:v>
      </x:c>
      <x:c r="D1912" s="2" t="str">
        <x:v>DEMO-406</x:v>
      </x:c>
      <x:c r="E1912" s="2" t="str">
        <x:v>Mini Zip Case</x:v>
      </x:c>
      <x:c r="F1912" s="2" t="str">
        <x:v>Accessories</x:v>
      </x:c>
      <x:c r="G1912" s="2" t="str">
        <x:v>Online</x:v>
      </x:c>
      <x:c r="H1912" s="2" t="str">
        <x:v>Online</x:v>
      </x:c>
      <x:c r="I1912" s="2" t="n">
        <x:v>19</x:v>
      </x:c>
      <x:c r="J1912" s="2" t="n">
        <x:v>1</x:v>
      </x:c>
      <x:c r="K1912" s="2" t="n">
        <x:f>I1912-J1912</x:f>
        <x:v>18</x:v>
      </x:c>
      <x:c r="L1912" s="16" t="n">
        <x:v>26</x:v>
      </x:c>
      <x:c r="M1912" s="16" t="n">
        <x:v>26</x:v>
      </x:c>
      <x:c r="N1912" s="16" t="n">
        <x:v>12.61</x:v>
      </x:c>
      <x:c r="O1912" s="16" t="n">
        <x:f>K1912*M1912</x:f>
        <x:v>468</x:v>
      </x:c>
      <x:c r="P1912" s="16" t="n">
        <x:f>K1912*N1912</x:f>
        <x:v>226.98</x:v>
      </x:c>
      <x:c r="Q1912" s="16" t="n">
        <x:f>O1912-P1912</x:f>
        <x:v>241.02</x:v>
      </x:c>
      <x:c r="R1912" s="2" t="n">
        <x:v>154</x:v>
      </x:c>
      <x:c r="S1912" s="2" t="n">
        <x:v>0</x:v>
      </x:c>
      <x:c r="T1912" s="2" t="n">
        <x:f>R1912+S1912+J1912-I1912</x:f>
        <x:v>136</x:v>
      </x:c>
      <x:c r="U1912" s="2" t="n">
        <x:v>0</x:v>
      </x:c>
      <x:c r="V1912" s="2" t="n">
        <x:v>4</x:v>
      </x:c>
      <x:c r="W1912" s="2" t="n">
        <x:v>22</x:v>
      </x:c>
      <x:c r="X1912" s="14" t="b">
        <x:v>0</x:v>
      </x:c>
      <x:c r="Y1912" s="14" t="b">
        <x:v>0</x:v>
      </x:c>
      <x:c r="Z1912" s="2" t="n">
        <x:f>ABS(T1912-AA1912)</x:f>
        <x:v>0</x:v>
      </x:c>
      <x:c r="AA1912" s="2" t="n">
        <x:v>136</x:v>
      </x:c>
      <x:c r="AB1912" s="2" t="n">
        <x:f>ABS(K1912-W1912)</x:f>
        <x:v>4</x:v>
      </x:c>
      <x:c r="AC1912" s="2" t="n">
        <x:f>COUNTIF($A$2:$A$1921,A1912)-1</x:f>
        <x:v>0</x:v>
      </x:c>
      <x:c r="AD1912" s="2" t="n">
        <x:f>IF(AND(D1912=D1911,H1912=H1911,C1912=C1911+1),ABS(R1912-T1911),0)</x:f>
        <x:v>0</x:v>
      </x:c>
    </x:row>
    <x:row r="1913" ht="23" customHeight="1">
      <x:c r="A1913" s="2" t="str">
        <x:v>DEMO-406-3-12</x:v>
      </x:c>
      <x:c r="B1913" s="15" t="d">
        <x:v>2026-07-20T00:00:00.000Z</x:v>
      </x:c>
      <x:c r="C1913" s="2" t="n">
        <x:v>12</x:v>
      </x:c>
      <x:c r="D1913" s="2" t="str">
        <x:v>DEMO-406</x:v>
      </x:c>
      <x:c r="E1913" s="2" t="str">
        <x:v>Mini Zip Case</x:v>
      </x:c>
      <x:c r="F1913" s="2" t="str">
        <x:v>Accessories</x:v>
      </x:c>
      <x:c r="G1913" s="2" t="str">
        <x:v>Online</x:v>
      </x:c>
      <x:c r="H1913" s="2" t="str">
        <x:v>Online</x:v>
      </x:c>
      <x:c r="I1913" s="2" t="n">
        <x:v>25</x:v>
      </x:c>
      <x:c r="J1913" s="2" t="n">
        <x:v>0</x:v>
      </x:c>
      <x:c r="K1913" s="2" t="n">
        <x:f>I1913-J1913</x:f>
        <x:v>25</x:v>
      </x:c>
      <x:c r="L1913" s="16" t="n">
        <x:v>26</x:v>
      </x:c>
      <x:c r="M1913" s="16" t="n">
        <x:v>26</x:v>
      </x:c>
      <x:c r="N1913" s="16" t="n">
        <x:v>12.61</x:v>
      </x:c>
      <x:c r="O1913" s="16" t="n">
        <x:f>K1913*M1913</x:f>
        <x:v>650</x:v>
      </x:c>
      <x:c r="P1913" s="16" t="n">
        <x:f>K1913*N1913</x:f>
        <x:v>315.25</x:v>
      </x:c>
      <x:c r="Q1913" s="16" t="n">
        <x:f>O1913-P1913</x:f>
        <x:v>334.75</x:v>
      </x:c>
      <x:c r="R1913" s="2" t="n">
        <x:v>136</x:v>
      </x:c>
      <x:c r="S1913" s="2" t="n">
        <x:v>0</x:v>
      </x:c>
      <x:c r="T1913" s="2" t="n">
        <x:f>R1913+S1913+J1913-I1913</x:f>
        <x:v>111</x:v>
      </x:c>
      <x:c r="U1913" s="2" t="n">
        <x:v>0</x:v>
      </x:c>
      <x:c r="V1913" s="2" t="n">
        <x:v>4</x:v>
      </x:c>
      <x:c r="W1913" s="2" t="n">
        <x:v>21</x:v>
      </x:c>
      <x:c r="X1913" s="14" t="b">
        <x:v>0</x:v>
      </x:c>
      <x:c r="Y1913" s="14" t="b">
        <x:v>0</x:v>
      </x:c>
      <x:c r="Z1913" s="2" t="n">
        <x:f>ABS(T1913-AA1913)</x:f>
        <x:v>0</x:v>
      </x:c>
      <x:c r="AA1913" s="2" t="n">
        <x:v>111</x:v>
      </x:c>
      <x:c r="AB1913" s="2" t="n">
        <x:f>ABS(K1913-W1913)</x:f>
        <x:v>4</x:v>
      </x:c>
      <x:c r="AC1913" s="2" t="n">
        <x:f>COUNTIF($A$2:$A$1921,A1913)-1</x:f>
        <x:v>0</x:v>
      </x:c>
      <x:c r="AD1913" s="2" t="n">
        <x:f>IF(AND(D1913=D1912,H1913=H1912,C1913=C1912+1),ABS(R1913-T1912),0)</x:f>
        <x:v>0</x:v>
      </x:c>
    </x:row>
    <x:row r="1914" ht="23" customHeight="1">
      <x:c r="A1914" s="2" t="str">
        <x:v>DEMO-406-3-13</x:v>
      </x:c>
      <x:c r="B1914" s="15" t="d">
        <x:v>2026-07-27T00:00:00.000Z</x:v>
      </x:c>
      <x:c r="C1914" s="2" t="n">
        <x:v>13</x:v>
      </x:c>
      <x:c r="D1914" s="2" t="str">
        <x:v>DEMO-406</x:v>
      </x:c>
      <x:c r="E1914" s="2" t="str">
        <x:v>Mini Zip Case</x:v>
      </x:c>
      <x:c r="F1914" s="2" t="str">
        <x:v>Accessories</x:v>
      </x:c>
      <x:c r="G1914" s="2" t="str">
        <x:v>Online</x:v>
      </x:c>
      <x:c r="H1914" s="2" t="str">
        <x:v>Online</x:v>
      </x:c>
      <x:c r="I1914" s="2" t="n">
        <x:v>28</x:v>
      </x:c>
      <x:c r="J1914" s="2" t="n">
        <x:v>0</x:v>
      </x:c>
      <x:c r="K1914" s="2" t="n">
        <x:f>I1914-J1914</x:f>
        <x:v>28</x:v>
      </x:c>
      <x:c r="L1914" s="16" t="n">
        <x:v>26</x:v>
      </x:c>
      <x:c r="M1914" s="16" t="n">
        <x:v>26</x:v>
      </x:c>
      <x:c r="N1914" s="16" t="n">
        <x:v>12.61</x:v>
      </x:c>
      <x:c r="O1914" s="16" t="n">
        <x:f>K1914*M1914</x:f>
        <x:v>728</x:v>
      </x:c>
      <x:c r="P1914" s="16" t="n">
        <x:f>K1914*N1914</x:f>
        <x:v>353.08</x:v>
      </x:c>
      <x:c r="Q1914" s="16" t="n">
        <x:f>O1914-P1914</x:f>
        <x:v>374.92</x:v>
      </x:c>
      <x:c r="R1914" s="2" t="n">
        <x:v>111</x:v>
      </x:c>
      <x:c r="S1914" s="2" t="n">
        <x:v>100</x:v>
      </x:c>
      <x:c r="T1914" s="2" t="n">
        <x:f>R1914+S1914+J1914-I1914</x:f>
        <x:v>183</x:v>
      </x:c>
      <x:c r="U1914" s="2" t="n">
        <x:v>0</x:v>
      </x:c>
      <x:c r="V1914" s="2" t="n">
        <x:v>4</x:v>
      </x:c>
      <x:c r="W1914" s="2" t="n">
        <x:v>23</x:v>
      </x:c>
      <x:c r="X1914" s="14" t="b">
        <x:v>0</x:v>
      </x:c>
      <x:c r="Y1914" s="14" t="b">
        <x:v>0</x:v>
      </x:c>
      <x:c r="Z1914" s="2" t="n">
        <x:f>ABS(T1914-AA1914)</x:f>
        <x:v>0</x:v>
      </x:c>
      <x:c r="AA1914" s="2" t="n">
        <x:v>183</x:v>
      </x:c>
      <x:c r="AB1914" s="2" t="n">
        <x:f>ABS(K1914-W1914)</x:f>
        <x:v>5</x:v>
      </x:c>
      <x:c r="AC1914" s="2" t="n">
        <x:f>COUNTIF($A$2:$A$1921,A1914)-1</x:f>
        <x:v>0</x:v>
      </x:c>
      <x:c r="AD1914" s="2" t="n">
        <x:f>IF(AND(D1914=D1913,H1914=H1913,C1914=C1913+1),ABS(R1914-T1913),0)</x:f>
        <x:v>0</x:v>
      </x:c>
    </x:row>
    <x:row r="1915" ht="23" customHeight="1">
      <x:c r="A1915" s="2" t="str">
        <x:v>DEMO-406-3-14</x:v>
      </x:c>
      <x:c r="B1915" s="15" t="d">
        <x:v>2026-08-03T00:00:00.000Z</x:v>
      </x:c>
      <x:c r="C1915" s="2" t="n">
        <x:v>14</x:v>
      </x:c>
      <x:c r="D1915" s="2" t="str">
        <x:v>DEMO-406</x:v>
      </x:c>
      <x:c r="E1915" s="2" t="str">
        <x:v>Mini Zip Case</x:v>
      </x:c>
      <x:c r="F1915" s="2" t="str">
        <x:v>Accessories</x:v>
      </x:c>
      <x:c r="G1915" s="2" t="str">
        <x:v>Online</x:v>
      </x:c>
      <x:c r="H1915" s="2" t="str">
        <x:v>Online</x:v>
      </x:c>
      <x:c r="I1915" s="2" t="n">
        <x:v>28</x:v>
      </x:c>
      <x:c r="J1915" s="2" t="n">
        <x:v>1</x:v>
      </x:c>
      <x:c r="K1915" s="2" t="n">
        <x:f>I1915-J1915</x:f>
        <x:v>27</x:v>
      </x:c>
      <x:c r="L1915" s="16" t="n">
        <x:v>26</x:v>
      </x:c>
      <x:c r="M1915" s="16" t="n">
        <x:v>26</x:v>
      </x:c>
      <x:c r="N1915" s="16" t="n">
        <x:v>12.61</x:v>
      </x:c>
      <x:c r="O1915" s="16" t="n">
        <x:f>K1915*M1915</x:f>
        <x:v>702</x:v>
      </x:c>
      <x:c r="P1915" s="16" t="n">
        <x:f>K1915*N1915</x:f>
        <x:v>340.46999999999997</x:v>
      </x:c>
      <x:c r="Q1915" s="16" t="n">
        <x:f>O1915-P1915</x:f>
        <x:v>361.53000000000003</x:v>
      </x:c>
      <x:c r="R1915" s="2" t="n">
        <x:v>183</x:v>
      </x:c>
      <x:c r="S1915" s="2" t="n">
        <x:v>0</x:v>
      </x:c>
      <x:c r="T1915" s="2" t="n">
        <x:f>R1915+S1915+J1915-I1915</x:f>
        <x:v>156</x:v>
      </x:c>
      <x:c r="U1915" s="2" t="n">
        <x:v>0</x:v>
      </x:c>
      <x:c r="V1915" s="2" t="n">
        <x:v>4</x:v>
      </x:c>
      <x:c r="W1915" s="2" t="n">
        <x:v>23</x:v>
      </x:c>
      <x:c r="X1915" s="14" t="b">
        <x:v>0</x:v>
      </x:c>
      <x:c r="Y1915" s="14" t="b">
        <x:v>0</x:v>
      </x:c>
      <x:c r="Z1915" s="2" t="n">
        <x:f>ABS(T1915-AA1915)</x:f>
        <x:v>0</x:v>
      </x:c>
      <x:c r="AA1915" s="2" t="n">
        <x:v>156</x:v>
      </x:c>
      <x:c r="AB1915" s="2" t="n">
        <x:f>ABS(K1915-W1915)</x:f>
        <x:v>4</x:v>
      </x:c>
      <x:c r="AC1915" s="2" t="n">
        <x:f>COUNTIF($A$2:$A$1921,A1915)-1</x:f>
        <x:v>0</x:v>
      </x:c>
      <x:c r="AD1915" s="2" t="n">
        <x:f>IF(AND(D1915=D1914,H1915=H1914,C1915=C1914+1),ABS(R1915-T1914),0)</x:f>
        <x:v>0</x:v>
      </x:c>
    </x:row>
    <x:row r="1916" ht="23" customHeight="1">
      <x:c r="A1916" s="2" t="str">
        <x:v>DEMO-406-3-15</x:v>
      </x:c>
      <x:c r="B1916" s="15" t="d">
        <x:v>2026-08-10T00:00:00.000Z</x:v>
      </x:c>
      <x:c r="C1916" s="2" t="n">
        <x:v>15</x:v>
      </x:c>
      <x:c r="D1916" s="2" t="str">
        <x:v>DEMO-406</x:v>
      </x:c>
      <x:c r="E1916" s="2" t="str">
        <x:v>Mini Zip Case</x:v>
      </x:c>
      <x:c r="F1916" s="2" t="str">
        <x:v>Accessories</x:v>
      </x:c>
      <x:c r="G1916" s="2" t="str">
        <x:v>Online</x:v>
      </x:c>
      <x:c r="H1916" s="2" t="str">
        <x:v>Online</x:v>
      </x:c>
      <x:c r="I1916" s="2" t="n">
        <x:v>26</x:v>
      </x:c>
      <x:c r="J1916" s="2" t="n">
        <x:v>0</x:v>
      </x:c>
      <x:c r="K1916" s="2" t="n">
        <x:f>I1916-J1916</x:f>
        <x:v>26</x:v>
      </x:c>
      <x:c r="L1916" s="16" t="n">
        <x:v>26</x:v>
      </x:c>
      <x:c r="M1916" s="16" t="n">
        <x:v>26</x:v>
      </x:c>
      <x:c r="N1916" s="16" t="n">
        <x:v>12.61</x:v>
      </x:c>
      <x:c r="O1916" s="16" t="n">
        <x:f>K1916*M1916</x:f>
        <x:v>676</x:v>
      </x:c>
      <x:c r="P1916" s="16" t="n">
        <x:f>K1916*N1916</x:f>
        <x:v>327.86</x:v>
      </x:c>
      <x:c r="Q1916" s="16" t="n">
        <x:f>O1916-P1916</x:f>
        <x:v>348.14</x:v>
      </x:c>
      <x:c r="R1916" s="2" t="n">
        <x:v>156</x:v>
      </x:c>
      <x:c r="S1916" s="2" t="n">
        <x:v>0</x:v>
      </x:c>
      <x:c r="T1916" s="2" t="n">
        <x:f>R1916+S1916+J1916-I1916</x:f>
        <x:v>130</x:v>
      </x:c>
      <x:c r="U1916" s="2" t="n">
        <x:v>0</x:v>
      </x:c>
      <x:c r="V1916" s="2" t="n">
        <x:v>4</x:v>
      </x:c>
      <x:c r="W1916" s="2" t="n">
        <x:v>25</x:v>
      </x:c>
      <x:c r="X1916" s="14" t="b">
        <x:v>0</x:v>
      </x:c>
      <x:c r="Y1916" s="14" t="b">
        <x:v>0</x:v>
      </x:c>
      <x:c r="Z1916" s="2" t="n">
        <x:f>ABS(T1916-AA1916)</x:f>
        <x:v>0</x:v>
      </x:c>
      <x:c r="AA1916" s="2" t="n">
        <x:v>130</x:v>
      </x:c>
      <x:c r="AB1916" s="2" t="n">
        <x:f>ABS(K1916-W1916)</x:f>
        <x:v>1</x:v>
      </x:c>
      <x:c r="AC1916" s="2" t="n">
        <x:f>COUNTIF($A$2:$A$1921,A1916)-1</x:f>
        <x:v>0</x:v>
      </x:c>
      <x:c r="AD1916" s="2" t="n">
        <x:f>IF(AND(D1916=D1915,H1916=H1915,C1916=C1915+1),ABS(R1916-T1915),0)</x:f>
        <x:v>0</x:v>
      </x:c>
    </x:row>
    <x:row r="1917" ht="23" customHeight="1">
      <x:c r="A1917" s="2" t="str">
        <x:v>DEMO-406-3-16</x:v>
      </x:c>
      <x:c r="B1917" s="15" t="d">
        <x:v>2026-08-17T00:00:00.000Z</x:v>
      </x:c>
      <x:c r="C1917" s="2" t="n">
        <x:v>16</x:v>
      </x:c>
      <x:c r="D1917" s="2" t="str">
        <x:v>DEMO-406</x:v>
      </x:c>
      <x:c r="E1917" s="2" t="str">
        <x:v>Mini Zip Case</x:v>
      </x:c>
      <x:c r="F1917" s="2" t="str">
        <x:v>Accessories</x:v>
      </x:c>
      <x:c r="G1917" s="2" t="str">
        <x:v>Online</x:v>
      </x:c>
      <x:c r="H1917" s="2" t="str">
        <x:v>Online</x:v>
      </x:c>
      <x:c r="I1917" s="2" t="n">
        <x:v>27</x:v>
      </x:c>
      <x:c r="J1917" s="2" t="n">
        <x:v>0</x:v>
      </x:c>
      <x:c r="K1917" s="2" t="n">
        <x:f>I1917-J1917</x:f>
        <x:v>27</x:v>
      </x:c>
      <x:c r="L1917" s="16" t="n">
        <x:v>26</x:v>
      </x:c>
      <x:c r="M1917" s="16" t="n">
        <x:v>26</x:v>
      </x:c>
      <x:c r="N1917" s="16" t="n">
        <x:v>12.61</x:v>
      </x:c>
      <x:c r="O1917" s="16" t="n">
        <x:f>K1917*M1917</x:f>
        <x:v>702</x:v>
      </x:c>
      <x:c r="P1917" s="16" t="n">
        <x:f>K1917*N1917</x:f>
        <x:v>340.46999999999997</x:v>
      </x:c>
      <x:c r="Q1917" s="16" t="n">
        <x:f>O1917-P1917</x:f>
        <x:v>361.53000000000003</x:v>
      </x:c>
      <x:c r="R1917" s="2" t="n">
        <x:v>130</x:v>
      </x:c>
      <x:c r="S1917" s="2" t="n">
        <x:v>0</x:v>
      </x:c>
      <x:c r="T1917" s="2" t="n">
        <x:f>R1917+S1917+J1917-I1917</x:f>
        <x:v>103</x:v>
      </x:c>
      <x:c r="U1917" s="2" t="n">
        <x:v>0</x:v>
      </x:c>
      <x:c r="V1917" s="2" t="n">
        <x:v>4</x:v>
      </x:c>
      <x:c r="W1917" s="2" t="n">
        <x:v>27</x:v>
      </x:c>
      <x:c r="X1917" s="14" t="b">
        <x:v>0</x:v>
      </x:c>
      <x:c r="Y1917" s="14" t="b">
        <x:v>0</x:v>
      </x:c>
      <x:c r="Z1917" s="2" t="n">
        <x:f>ABS(T1917-AA1917)</x:f>
        <x:v>0</x:v>
      </x:c>
      <x:c r="AA1917" s="2" t="n">
        <x:v>103</x:v>
      </x:c>
      <x:c r="AB1917" s="2" t="n">
        <x:f>ABS(K1917-W1917)</x:f>
        <x:v>0</x:v>
      </x:c>
      <x:c r="AC1917" s="2" t="n">
        <x:f>COUNTIF($A$2:$A$1921,A1917)-1</x:f>
        <x:v>0</x:v>
      </x:c>
      <x:c r="AD1917" s="2" t="n">
        <x:f>IF(AND(D1917=D1916,H1917=H1916,C1917=C1916+1),ABS(R1917-T1916),0)</x:f>
        <x:v>0</x:v>
      </x:c>
    </x:row>
    <x:row r="1918" ht="23" customHeight="1">
      <x:c r="A1918" s="2" t="str">
        <x:v>DEMO-406-3-17</x:v>
      </x:c>
      <x:c r="B1918" s="15" t="d">
        <x:v>2026-08-24T00:00:00.000Z</x:v>
      </x:c>
      <x:c r="C1918" s="2" t="n">
        <x:v>17</x:v>
      </x:c>
      <x:c r="D1918" s="2" t="str">
        <x:v>DEMO-406</x:v>
      </x:c>
      <x:c r="E1918" s="2" t="str">
        <x:v>Mini Zip Case</x:v>
      </x:c>
      <x:c r="F1918" s="2" t="str">
        <x:v>Accessories</x:v>
      </x:c>
      <x:c r="G1918" s="2" t="str">
        <x:v>Online</x:v>
      </x:c>
      <x:c r="H1918" s="2" t="str">
        <x:v>Online</x:v>
      </x:c>
      <x:c r="I1918" s="2" t="n">
        <x:v>28</x:v>
      </x:c>
      <x:c r="J1918" s="2" t="n">
        <x:v>0</x:v>
      </x:c>
      <x:c r="K1918" s="2" t="n">
        <x:f>I1918-J1918</x:f>
        <x:v>28</x:v>
      </x:c>
      <x:c r="L1918" s="16" t="n">
        <x:v>26</x:v>
      </x:c>
      <x:c r="M1918" s="16" t="n">
        <x:v>26</x:v>
      </x:c>
      <x:c r="N1918" s="16" t="n">
        <x:v>12.61</x:v>
      </x:c>
      <x:c r="O1918" s="16" t="n">
        <x:f>K1918*M1918</x:f>
        <x:v>728</x:v>
      </x:c>
      <x:c r="P1918" s="16" t="n">
        <x:f>K1918*N1918</x:f>
        <x:v>353.08</x:v>
      </x:c>
      <x:c r="Q1918" s="16" t="n">
        <x:f>O1918-P1918</x:f>
        <x:v>374.92</x:v>
      </x:c>
      <x:c r="R1918" s="2" t="n">
        <x:v>103</x:v>
      </x:c>
      <x:c r="S1918" s="2" t="n">
        <x:v>100</x:v>
      </x:c>
      <x:c r="T1918" s="2" t="n">
        <x:f>R1918+S1918+J1918-I1918</x:f>
        <x:v>175</x:v>
      </x:c>
      <x:c r="U1918" s="2" t="n">
        <x:v>0</x:v>
      </x:c>
      <x:c r="V1918" s="2" t="n">
        <x:v>4</x:v>
      </x:c>
      <x:c r="W1918" s="2" t="n">
        <x:v>27</x:v>
      </x:c>
      <x:c r="X1918" s="14" t="b">
        <x:v>0</x:v>
      </x:c>
      <x:c r="Y1918" s="14" t="b">
        <x:v>0</x:v>
      </x:c>
      <x:c r="Z1918" s="2" t="n">
        <x:f>ABS(T1918-AA1918)</x:f>
        <x:v>0</x:v>
      </x:c>
      <x:c r="AA1918" s="2" t="n">
        <x:v>175</x:v>
      </x:c>
      <x:c r="AB1918" s="2" t="n">
        <x:f>ABS(K1918-W1918)</x:f>
        <x:v>1</x:v>
      </x:c>
      <x:c r="AC1918" s="2" t="n">
        <x:f>COUNTIF($A$2:$A$1921,A1918)-1</x:f>
        <x:v>0</x:v>
      </x:c>
      <x:c r="AD1918" s="2" t="n">
        <x:f>IF(AND(D1918=D1917,H1918=H1917,C1918=C1917+1),ABS(R1918-T1917),0)</x:f>
        <x:v>0</x:v>
      </x:c>
    </x:row>
    <x:row r="1919" ht="23" customHeight="1">
      <x:c r="A1919" s="2" t="str">
        <x:v>DEMO-406-3-18</x:v>
      </x:c>
      <x:c r="B1919" s="15" t="d">
        <x:v>2026-08-31T00:00:00.000Z</x:v>
      </x:c>
      <x:c r="C1919" s="2" t="n">
        <x:v>18</x:v>
      </x:c>
      <x:c r="D1919" s="2" t="str">
        <x:v>DEMO-406</x:v>
      </x:c>
      <x:c r="E1919" s="2" t="str">
        <x:v>Mini Zip Case</x:v>
      </x:c>
      <x:c r="F1919" s="2" t="str">
        <x:v>Accessories</x:v>
      </x:c>
      <x:c r="G1919" s="2" t="str">
        <x:v>Online</x:v>
      </x:c>
      <x:c r="H1919" s="2" t="str">
        <x:v>Online</x:v>
      </x:c>
      <x:c r="I1919" s="2" t="n">
        <x:v>24</x:v>
      </x:c>
      <x:c r="J1919" s="2" t="n">
        <x:v>0</x:v>
      </x:c>
      <x:c r="K1919" s="2" t="n">
        <x:f>I1919-J1919</x:f>
        <x:v>24</x:v>
      </x:c>
      <x:c r="L1919" s="16" t="n">
        <x:v>26</x:v>
      </x:c>
      <x:c r="M1919" s="16" t="n">
        <x:v>26</x:v>
      </x:c>
      <x:c r="N1919" s="16" t="n">
        <x:v>12.61</x:v>
      </x:c>
      <x:c r="O1919" s="16" t="n">
        <x:f>K1919*M1919</x:f>
        <x:v>624</x:v>
      </x:c>
      <x:c r="P1919" s="16" t="n">
        <x:f>K1919*N1919</x:f>
        <x:v>302.64</x:v>
      </x:c>
      <x:c r="Q1919" s="16" t="n">
        <x:f>O1919-P1919</x:f>
        <x:v>321.36</x:v>
      </x:c>
      <x:c r="R1919" s="2" t="n">
        <x:v>175</x:v>
      </x:c>
      <x:c r="S1919" s="2" t="n">
        <x:v>0</x:v>
      </x:c>
      <x:c r="T1919" s="2" t="n">
        <x:f>R1919+S1919+J1919-I1919</x:f>
        <x:v>151</x:v>
      </x:c>
      <x:c r="U1919" s="2" t="n">
        <x:v>0</x:v>
      </x:c>
      <x:c r="V1919" s="2" t="n">
        <x:v>4</x:v>
      </x:c>
      <x:c r="W1919" s="2" t="n">
        <x:v>27</x:v>
      </x:c>
      <x:c r="X1919" s="14" t="b">
        <x:v>0</x:v>
      </x:c>
      <x:c r="Y1919" s="14" t="b">
        <x:v>0</x:v>
      </x:c>
      <x:c r="Z1919" s="2" t="n">
        <x:f>ABS(T1919-AA1919)</x:f>
        <x:v>0</x:v>
      </x:c>
      <x:c r="AA1919" s="2" t="n">
        <x:v>151</x:v>
      </x:c>
      <x:c r="AB1919" s="2" t="n">
        <x:f>ABS(K1919-W1919)</x:f>
        <x:v>3</x:v>
      </x:c>
      <x:c r="AC1919" s="2" t="n">
        <x:f>COUNTIF($A$2:$A$1921,A1919)-1</x:f>
        <x:v>0</x:v>
      </x:c>
      <x:c r="AD1919" s="2" t="n">
        <x:f>IF(AND(D1919=D1918,H1919=H1918,C1919=C1918+1),ABS(R1919-T1918),0)</x:f>
        <x:v>0</x:v>
      </x:c>
    </x:row>
    <x:row r="1920" ht="23" customHeight="1">
      <x:c r="A1920" s="2" t="str">
        <x:v>DEMO-406-3-19</x:v>
      </x:c>
      <x:c r="B1920" s="15" t="d">
        <x:v>2026-09-07T00:00:00.000Z</x:v>
      </x:c>
      <x:c r="C1920" s="2" t="n">
        <x:v>19</x:v>
      </x:c>
      <x:c r="D1920" s="2" t="str">
        <x:v>DEMO-406</x:v>
      </x:c>
      <x:c r="E1920" s="2" t="str">
        <x:v>Mini Zip Case</x:v>
      </x:c>
      <x:c r="F1920" s="2" t="str">
        <x:v>Accessories</x:v>
      </x:c>
      <x:c r="G1920" s="2" t="str">
        <x:v>Online</x:v>
      </x:c>
      <x:c r="H1920" s="2" t="str">
        <x:v>Online</x:v>
      </x:c>
      <x:c r="I1920" s="2" t="n">
        <x:v>22</x:v>
      </x:c>
      <x:c r="J1920" s="2" t="n">
        <x:v>0</x:v>
      </x:c>
      <x:c r="K1920" s="2" t="n">
        <x:f>I1920-J1920</x:f>
        <x:v>22</x:v>
      </x:c>
      <x:c r="L1920" s="16" t="n">
        <x:v>26</x:v>
      </x:c>
      <x:c r="M1920" s="16" t="n">
        <x:v>26</x:v>
      </x:c>
      <x:c r="N1920" s="16" t="n">
        <x:v>12.61</x:v>
      </x:c>
      <x:c r="O1920" s="16" t="n">
        <x:f>K1920*M1920</x:f>
        <x:v>572</x:v>
      </x:c>
      <x:c r="P1920" s="16" t="n">
        <x:f>K1920*N1920</x:f>
        <x:v>277.41999999999996</x:v>
      </x:c>
      <x:c r="Q1920" s="16" t="n">
        <x:f>O1920-P1920</x:f>
        <x:v>294.58000000000004</x:v>
      </x:c>
      <x:c r="R1920" s="2" t="n">
        <x:v>151</x:v>
      </x:c>
      <x:c r="S1920" s="2" t="n">
        <x:v>0</x:v>
      </x:c>
      <x:c r="T1920" s="2" t="n">
        <x:f>R1920+S1920+J1920-I1920</x:f>
        <x:v>129</x:v>
      </x:c>
      <x:c r="U1920" s="2" t="n">
        <x:v>0</x:v>
      </x:c>
      <x:c r="V1920" s="2" t="n">
        <x:v>4</x:v>
      </x:c>
      <x:c r="W1920" s="2" t="n">
        <x:v>26</x:v>
      </x:c>
      <x:c r="X1920" s="14" t="b">
        <x:v>0</x:v>
      </x:c>
      <x:c r="Y1920" s="14" t="b">
        <x:v>0</x:v>
      </x:c>
      <x:c r="Z1920" s="2" t="n">
        <x:f>ABS(T1920-AA1920)</x:f>
        <x:v>0</x:v>
      </x:c>
      <x:c r="AA1920" s="2" t="n">
        <x:v>129</x:v>
      </x:c>
      <x:c r="AB1920" s="2" t="n">
        <x:f>ABS(K1920-W1920)</x:f>
        <x:v>4</x:v>
      </x:c>
      <x:c r="AC1920" s="2" t="n">
        <x:f>COUNTIF($A$2:$A$1921,A1920)-1</x:f>
        <x:v>0</x:v>
      </x:c>
      <x:c r="AD1920" s="2" t="n">
        <x:f>IF(AND(D1920=D1919,H1920=H1919,C1920=C1919+1),ABS(R1920-T1919),0)</x:f>
        <x:v>0</x:v>
      </x:c>
    </x:row>
    <x:row r="1921" ht="23" customHeight="1">
      <x:c r="A1921" s="2" t="str">
        <x:v>DEMO-406-3-20</x:v>
      </x:c>
      <x:c r="B1921" s="15" t="d">
        <x:v>2026-09-14T00:00:00.000Z</x:v>
      </x:c>
      <x:c r="C1921" s="2" t="n">
        <x:v>20</x:v>
      </x:c>
      <x:c r="D1921" s="2" t="str">
        <x:v>DEMO-406</x:v>
      </x:c>
      <x:c r="E1921" s="2" t="str">
        <x:v>Mini Zip Case</x:v>
      </x:c>
      <x:c r="F1921" s="2" t="str">
        <x:v>Accessories</x:v>
      </x:c>
      <x:c r="G1921" s="2" t="str">
        <x:v>Online</x:v>
      </x:c>
      <x:c r="H1921" s="2" t="str">
        <x:v>Online</x:v>
      </x:c>
      <x:c r="I1921" s="2" t="n">
        <x:v>24</x:v>
      </x:c>
      <x:c r="J1921" s="2" t="n">
        <x:v>0</x:v>
      </x:c>
      <x:c r="K1921" s="2" t="n">
        <x:f>I1921-J1921</x:f>
        <x:v>24</x:v>
      </x:c>
      <x:c r="L1921" s="16" t="n">
        <x:v>26</x:v>
      </x:c>
      <x:c r="M1921" s="16" t="n">
        <x:v>26</x:v>
      </x:c>
      <x:c r="N1921" s="16" t="n">
        <x:v>12.61</x:v>
      </x:c>
      <x:c r="O1921" s="16" t="n">
        <x:f>K1921*M1921</x:f>
        <x:v>624</x:v>
      </x:c>
      <x:c r="P1921" s="16" t="n">
        <x:f>K1921*N1921</x:f>
        <x:v>302.64</x:v>
      </x:c>
      <x:c r="Q1921" s="16" t="n">
        <x:f>O1921-P1921</x:f>
        <x:v>321.36</x:v>
      </x:c>
      <x:c r="R1921" s="2" t="n">
        <x:v>129</x:v>
      </x:c>
      <x:c r="S1921" s="2" t="n">
        <x:v>0</x:v>
      </x:c>
      <x:c r="T1921" s="2" t="n">
        <x:f>R1921+S1921+J1921-I1921</x:f>
        <x:v>105</x:v>
      </x:c>
      <x:c r="U1921" s="2" t="n">
        <x:v>18</x:v>
      </x:c>
      <x:c r="V1921" s="2" t="n">
        <x:v>4</x:v>
      </x:c>
      <x:c r="W1921" s="2" t="n">
        <x:v>25</x:v>
      </x:c>
      <x:c r="X1921" s="14" t="b">
        <x:v>0</x:v>
      </x:c>
      <x:c r="Y1921" s="14" t="b">
        <x:v>0</x:v>
      </x:c>
      <x:c r="Z1921" s="2" t="n">
        <x:f>ABS(T1921-AA1921)</x:f>
        <x:v>0</x:v>
      </x:c>
      <x:c r="AA1921" s="2" t="n">
        <x:v>105</x:v>
      </x:c>
      <x:c r="AB1921" s="2" t="n">
        <x:f>ABS(K1921-W1921)</x:f>
        <x:v>1</x:v>
      </x:c>
      <x:c r="AC1921" s="2" t="n">
        <x:f>COUNTIF($A$2:$A$1921,A1921)-1</x:f>
        <x:v>0</x:v>
      </x:c>
      <x:c r="AD1921" s="2" t="n">
        <x:f>IF(AND(D1921=D1920,H1921=H1920,C1921=C1920+1),ABS(R1921-T1920),0)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90a0ebec04849b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16" hidden="0" customWidth="1"/>
  </x:cols>
  <x:sheetData>
    <x:row r="1" ht="32" customHeight="1">
      <x:c r="A1" s="5" t="str">
        <x:v>SKU</x:v>
      </x:c>
      <x:c r="B1" s="5" t="str">
        <x:v>Product</x:v>
      </x:c>
      <x:c r="C1" s="5" t="str">
        <x:v>Category</x:v>
      </x:c>
      <x:c r="D1" s="5" t="str">
        <x:v>Regular price</x:v>
      </x:c>
      <x:c r="E1" s="5" t="str">
        <x:v>Unit cost</x:v>
      </x:c>
      <x:c r="F1" s="5" t="str">
        <x:v>Lead time weeks</x:v>
      </x:c>
      <x:c r="G1" s="5" t="str">
        <x:v>Pack units</x:v>
      </x:c>
    </x:row>
    <x:row r="2" ht="23" customHeight="1">
      <x:c r="A2" s="2" t="str">
        <x:v>DEMO-101</x:v>
      </x:c>
      <x:c r="B2" s="2" t="str">
        <x:v>Orbit Notebook</x:v>
      </x:c>
      <x:c r="C2" s="2" t="str">
        <x:v>Stationery</x:v>
      </x:c>
      <x:c r="D2" s="16" t="n">
        <x:v>12</x:v>
      </x:c>
      <x:c r="E2" s="16" t="n">
        <x:v>4.32</x:v>
      </x:c>
      <x:c r="F2" s="2" t="n">
        <x:v>4</x:v>
      </x:c>
      <x:c r="G2" s="2" t="n">
        <x:v>6</x:v>
      </x:c>
    </x:row>
    <x:row r="3" ht="23" customHeight="1">
      <x:c r="A3" s="2" t="str">
        <x:v>DEMO-102</x:v>
      </x:c>
      <x:c r="B3" s="2" t="str">
        <x:v>Grid Journal</x:v>
      </x:c>
      <x:c r="C3" s="2" t="str">
        <x:v>Stationery</x:v>
      </x:c>
      <x:c r="D3" s="16" t="n">
        <x:v>14</x:v>
      </x:c>
      <x:c r="E3" s="16" t="n">
        <x:v>5.39</x:v>
      </x:c>
      <x:c r="F3" s="2" t="n">
        <x:v>3</x:v>
      </x:c>
      <x:c r="G3" s="2" t="n">
        <x:v>6</x:v>
      </x:c>
    </x:row>
    <x:row r="4" ht="23" customHeight="1">
      <x:c r="A4" s="2" t="str">
        <x:v>DEMO-103</x:v>
      </x:c>
      <x:c r="B4" s="2" t="str">
        <x:v>Cloud Pen Set</x:v>
      </x:c>
      <x:c r="C4" s="2" t="str">
        <x:v>Stationery</x:v>
      </x:c>
      <x:c r="D4" s="16" t="n">
        <x:v>16</x:v>
      </x:c>
      <x:c r="E4" s="16" t="n">
        <x:v>6.56</x:v>
      </x:c>
      <x:c r="F4" s="2" t="n">
        <x:v>4</x:v>
      </x:c>
      <x:c r="G4" s="2" t="n">
        <x:v>6</x:v>
      </x:c>
    </x:row>
    <x:row r="5" ht="23" customHeight="1">
      <x:c r="A5" s="2" t="str">
        <x:v>DEMO-104</x:v>
      </x:c>
      <x:c r="B5" s="2" t="str">
        <x:v>Studio Planner</x:v>
      </x:c>
      <x:c r="C5" s="2" t="str">
        <x:v>Stationery</x:v>
      </x:c>
      <x:c r="D5" s="16" t="n">
        <x:v>18</x:v>
      </x:c>
      <x:c r="E5" s="16" t="n">
        <x:v>7.83</x:v>
      </x:c>
      <x:c r="F5" s="2" t="n">
        <x:v>2</x:v>
      </x:c>
      <x:c r="G5" s="2" t="n">
        <x:v>6</x:v>
      </x:c>
    </x:row>
    <x:row r="6" ht="23" customHeight="1">
      <x:c r="A6" s="2" t="str">
        <x:v>DEMO-105</x:v>
      </x:c>
      <x:c r="B6" s="2" t="str">
        <x:v>Paper Trail Pad</x:v>
      </x:c>
      <x:c r="C6" s="2" t="str">
        <x:v>Stationery</x:v>
      </x:c>
      <x:c r="D6" s="16" t="n">
        <x:v>20</x:v>
      </x:c>
      <x:c r="E6" s="16" t="n">
        <x:v>9.2</x:v>
      </x:c>
      <x:c r="F6" s="2" t="n">
        <x:v>3</x:v>
      </x:c>
      <x:c r="G6" s="2" t="n">
        <x:v>6</x:v>
      </x:c>
    </x:row>
    <x:row r="7" ht="23" customHeight="1">
      <x:c r="A7" s="2" t="str">
        <x:v>DEMO-106</x:v>
      </x:c>
      <x:c r="B7" s="2" t="str">
        <x:v>Sketch Folio</x:v>
      </x:c>
      <x:c r="C7" s="2" t="str">
        <x:v>Stationery</x:v>
      </x:c>
      <x:c r="D7" s="16" t="n">
        <x:v>22</x:v>
      </x:c>
      <x:c r="E7" s="16" t="n">
        <x:v>10.67</x:v>
      </x:c>
      <x:c r="F7" s="2" t="n">
        <x:v>4</x:v>
      </x:c>
      <x:c r="G7" s="2" t="n">
        <x:v>6</x:v>
      </x:c>
    </x:row>
    <x:row r="8" ht="23" customHeight="1">
      <x:c r="A8" s="2" t="str">
        <x:v>DEMO-201</x:v>
      </x:c>
      <x:c r="B8" s="2" t="str">
        <x:v>Celebration Box</x:v>
      </x:c>
      <x:c r="C8" s="2" t="str">
        <x:v>Gifting</x:v>
      </x:c>
      <x:c r="D8" s="16" t="n">
        <x:v>18</x:v>
      </x:c>
      <x:c r="E8" s="16" t="n">
        <x:v>6.48</x:v>
      </x:c>
      <x:c r="F8" s="2" t="n">
        <x:v>2</x:v>
      </x:c>
      <x:c r="G8" s="2" t="n">
        <x:v>6</x:v>
      </x:c>
    </x:row>
    <x:row r="9" ht="23" customHeight="1">
      <x:c r="A9" s="2" t="str">
        <x:v>DEMO-202</x:v>
      </x:c>
      <x:c r="B9" s="2" t="str">
        <x:v>Ribbon Keepsake</x:v>
      </x:c>
      <x:c r="C9" s="2" t="str">
        <x:v>Gifting</x:v>
      </x:c>
      <x:c r="D9" s="16" t="n">
        <x:v>20</x:v>
      </x:c>
      <x:c r="E9" s="16" t="n">
        <x:v>7.7</x:v>
      </x:c>
      <x:c r="F9" s="2" t="n">
        <x:v>3</x:v>
      </x:c>
      <x:c r="G9" s="2" t="n">
        <x:v>6</x:v>
      </x:c>
    </x:row>
    <x:row r="10" ht="23" customHeight="1">
      <x:c r="A10" s="2" t="str">
        <x:v>DEMO-203</x:v>
      </x:c>
      <x:c r="B10" s="2" t="str">
        <x:v>Tiny Joy Kit</x:v>
      </x:c>
      <x:c r="C10" s="2" t="str">
        <x:v>Gifting</x:v>
      </x:c>
      <x:c r="D10" s="16" t="n">
        <x:v>22</x:v>
      </x:c>
      <x:c r="E10" s="16" t="n">
        <x:v>9.02</x:v>
      </x:c>
      <x:c r="F10" s="2" t="n">
        <x:v>4</x:v>
      </x:c>
      <x:c r="G10" s="2" t="n">
        <x:v>6</x:v>
      </x:c>
    </x:row>
    <x:row r="11" ht="23" customHeight="1">
      <x:c r="A11" s="2" t="str">
        <x:v>DEMO-204</x:v>
      </x:c>
      <x:c r="B11" s="2" t="str">
        <x:v>Wish Jar</x:v>
      </x:c>
      <x:c r="C11" s="2" t="str">
        <x:v>Gifting</x:v>
      </x:c>
      <x:c r="D11" s="16" t="n">
        <x:v>24</x:v>
      </x:c>
      <x:c r="E11" s="16" t="n">
        <x:v>10.44</x:v>
      </x:c>
      <x:c r="F11" s="2" t="n">
        <x:v>2</x:v>
      </x:c>
      <x:c r="G11" s="2" t="n">
        <x:v>6</x:v>
      </x:c>
    </x:row>
    <x:row r="12" ht="23" customHeight="1">
      <x:c r="A12" s="2" t="str">
        <x:v>DEMO-205</x:v>
      </x:c>
      <x:c r="B12" s="2" t="str">
        <x:v>Surprise Parcel</x:v>
      </x:c>
      <x:c r="C12" s="2" t="str">
        <x:v>Gifting</x:v>
      </x:c>
      <x:c r="D12" s="16" t="n">
        <x:v>26</x:v>
      </x:c>
      <x:c r="E12" s="16" t="n">
        <x:v>11.96</x:v>
      </x:c>
      <x:c r="F12" s="2" t="n">
        <x:v>3</x:v>
      </x:c>
      <x:c r="G12" s="2" t="n">
        <x:v>6</x:v>
      </x:c>
    </x:row>
    <x:row r="13" ht="23" customHeight="1">
      <x:c r="A13" s="2" t="str">
        <x:v>DEMO-206</x:v>
      </x:c>
      <x:c r="B13" s="2" t="str">
        <x:v>Memory Capsule</x:v>
      </x:c>
      <x:c r="C13" s="2" t="str">
        <x:v>Gifting</x:v>
      </x:c>
      <x:c r="D13" s="16" t="n">
        <x:v>28</x:v>
      </x:c>
      <x:c r="E13" s="16" t="n">
        <x:v>13.58</x:v>
      </x:c>
      <x:c r="F13" s="2" t="n">
        <x:v>4</x:v>
      </x:c>
      <x:c r="G13" s="2" t="n">
        <x:v>6</x:v>
      </x:c>
    </x:row>
    <x:row r="14" ht="23" customHeight="1">
      <x:c r="A14" s="2" t="str">
        <x:v>DEMO-301</x:v>
      </x:c>
      <x:c r="B14" s="2" t="str">
        <x:v>Dawn Travel Cup</x:v>
      </x:c>
      <x:c r="C14" s="2" t="str">
        <x:v>Lifestyle</x:v>
      </x:c>
      <x:c r="D14" s="16" t="n">
        <x:v>24</x:v>
      </x:c>
      <x:c r="E14" s="16" t="n">
        <x:v>8.64</x:v>
      </x:c>
      <x:c r="F14" s="2" t="n">
        <x:v>2</x:v>
      </x:c>
      <x:c r="G14" s="2" t="n">
        <x:v>6</x:v>
      </x:c>
    </x:row>
    <x:row r="15" ht="23" customHeight="1">
      <x:c r="A15" s="2" t="str">
        <x:v>DEMO-302</x:v>
      </x:c>
      <x:c r="B15" s="2" t="str">
        <x:v>Soft Glow Lamp</x:v>
      </x:c>
      <x:c r="C15" s="2" t="str">
        <x:v>Lifestyle</x:v>
      </x:c>
      <x:c r="D15" s="16" t="n">
        <x:v>26</x:v>
      </x:c>
      <x:c r="E15" s="16" t="n">
        <x:v>10.01</x:v>
      </x:c>
      <x:c r="F15" s="2" t="n">
        <x:v>3</x:v>
      </x:c>
      <x:c r="G15" s="2" t="n">
        <x:v>6</x:v>
      </x:c>
    </x:row>
    <x:row r="16" ht="23" customHeight="1">
      <x:c r="A16" s="2" t="str">
        <x:v>DEMO-303</x:v>
      </x:c>
      <x:c r="B16" s="2" t="str">
        <x:v>Weekend Flask</x:v>
      </x:c>
      <x:c r="C16" s="2" t="str">
        <x:v>Lifestyle</x:v>
      </x:c>
      <x:c r="D16" s="16" t="n">
        <x:v>28</x:v>
      </x:c>
      <x:c r="E16" s="16" t="n">
        <x:v>11.48</x:v>
      </x:c>
      <x:c r="F16" s="2" t="n">
        <x:v>4</x:v>
      </x:c>
      <x:c r="G16" s="2" t="n">
        <x:v>6</x:v>
      </x:c>
    </x:row>
    <x:row r="17" ht="23" customHeight="1">
      <x:c r="A17" s="2" t="str">
        <x:v>DEMO-304</x:v>
      </x:c>
      <x:c r="B17" s="2" t="str">
        <x:v>Calm Desk Mat</x:v>
      </x:c>
      <x:c r="C17" s="2" t="str">
        <x:v>Lifestyle</x:v>
      </x:c>
      <x:c r="D17" s="16" t="n">
        <x:v>30</x:v>
      </x:c>
      <x:c r="E17" s="16" t="n">
        <x:v>13.05</x:v>
      </x:c>
      <x:c r="F17" s="2" t="n">
        <x:v>2</x:v>
      </x:c>
      <x:c r="G17" s="2" t="n">
        <x:v>6</x:v>
      </x:c>
    </x:row>
    <x:row r="18" ht="23" customHeight="1">
      <x:c r="A18" s="2" t="str">
        <x:v>DEMO-305</x:v>
      </x:c>
      <x:c r="B18" s="2" t="str">
        <x:v>Everyday Tumbler</x:v>
      </x:c>
      <x:c r="C18" s="2" t="str">
        <x:v>Lifestyle</x:v>
      </x:c>
      <x:c r="D18" s="16" t="n">
        <x:v>32</x:v>
      </x:c>
      <x:c r="E18" s="16" t="n">
        <x:v>14.72</x:v>
      </x:c>
      <x:c r="F18" s="2" t="n">
        <x:v>3</x:v>
      </x:c>
      <x:c r="G18" s="2" t="n">
        <x:v>6</x:v>
      </x:c>
    </x:row>
    <x:row r="19" ht="23" customHeight="1">
      <x:c r="A19" s="2" t="str">
        <x:v>DEMO-306</x:v>
      </x:c>
      <x:c r="B19" s="2" t="str">
        <x:v>Nest Cushion</x:v>
      </x:c>
      <x:c r="C19" s="2" t="str">
        <x:v>Lifestyle</x:v>
      </x:c>
      <x:c r="D19" s="16" t="n">
        <x:v>34</x:v>
      </x:c>
      <x:c r="E19" s="16" t="n">
        <x:v>16.49</x:v>
      </x:c>
      <x:c r="F19" s="2" t="n">
        <x:v>4</x:v>
      </x:c>
      <x:c r="G19" s="2" t="n">
        <x:v>6</x:v>
      </x:c>
    </x:row>
    <x:row r="20" ht="23" customHeight="1">
      <x:c r="A20" s="2" t="str">
        <x:v>DEMO-401</x:v>
      </x:c>
      <x:c r="B20" s="2" t="str">
        <x:v>Loop Pouch</x:v>
      </x:c>
      <x:c r="C20" s="2" t="str">
        <x:v>Accessories</x:v>
      </x:c>
      <x:c r="D20" s="16" t="n">
        <x:v>16</x:v>
      </x:c>
      <x:c r="E20" s="16" t="n">
        <x:v>5.76</x:v>
      </x:c>
      <x:c r="F20" s="2" t="n">
        <x:v>2</x:v>
      </x:c>
      <x:c r="G20" s="2" t="n">
        <x:v>6</x:v>
      </x:c>
    </x:row>
    <x:row r="21" ht="23" customHeight="1">
      <x:c r="A21" s="2" t="str">
        <x:v>DEMO-402</x:v>
      </x:c>
      <x:c r="B21" s="2" t="str">
        <x:v>Canvas Carryall</x:v>
      </x:c>
      <x:c r="C21" s="2" t="str">
        <x:v>Accessories</x:v>
      </x:c>
      <x:c r="D21" s="16" t="n">
        <x:v>18</x:v>
      </x:c>
      <x:c r="E21" s="16" t="n">
        <x:v>6.93</x:v>
      </x:c>
      <x:c r="F21" s="2" t="n">
        <x:v>3</x:v>
      </x:c>
      <x:c r="G21" s="2" t="n">
        <x:v>6</x:v>
      </x:c>
    </x:row>
    <x:row r="22" ht="23" customHeight="1">
      <x:c r="A22" s="2" t="str">
        <x:v>DEMO-403</x:v>
      </x:c>
      <x:c r="B22" s="2" t="str">
        <x:v>Pocket Organiser</x:v>
      </x:c>
      <x:c r="C22" s="2" t="str">
        <x:v>Accessories</x:v>
      </x:c>
      <x:c r="D22" s="16" t="n">
        <x:v>20</x:v>
      </x:c>
      <x:c r="E22" s="16" t="n">
        <x:v>8.2</x:v>
      </x:c>
      <x:c r="F22" s="2" t="n">
        <x:v>4</x:v>
      </x:c>
      <x:c r="G22" s="2" t="n">
        <x:v>6</x:v>
      </x:c>
    </x:row>
    <x:row r="23" ht="23" customHeight="1">
      <x:c r="A23" s="2" t="str">
        <x:v>DEMO-404</x:v>
      </x:c>
      <x:c r="B23" s="2" t="str">
        <x:v>Woven Lanyard</x:v>
      </x:c>
      <x:c r="C23" s="2" t="str">
        <x:v>Accessories</x:v>
      </x:c>
      <x:c r="D23" s="16" t="n">
        <x:v>22</x:v>
      </x:c>
      <x:c r="E23" s="16" t="n">
        <x:v>9.57</x:v>
      </x:c>
      <x:c r="F23" s="2" t="n">
        <x:v>2</x:v>
      </x:c>
      <x:c r="G23" s="2" t="n">
        <x:v>6</x:v>
      </x:c>
    </x:row>
    <x:row r="24" ht="23" customHeight="1">
      <x:c r="A24" s="2" t="str">
        <x:v>DEMO-405</x:v>
      </x:c>
      <x:c r="B24" s="2" t="str">
        <x:v>Pebble Keyring</x:v>
      </x:c>
      <x:c r="C24" s="2" t="str">
        <x:v>Accessories</x:v>
      </x:c>
      <x:c r="D24" s="16" t="n">
        <x:v>24</x:v>
      </x:c>
      <x:c r="E24" s="16" t="n">
        <x:v>11.04</x:v>
      </x:c>
      <x:c r="F24" s="2" t="n">
        <x:v>3</x:v>
      </x:c>
      <x:c r="G24" s="2" t="n">
        <x:v>6</x:v>
      </x:c>
    </x:row>
    <x:row r="25" ht="23" customHeight="1">
      <x:c r="A25" s="2" t="str">
        <x:v>DEMO-406</x:v>
      </x:c>
      <x:c r="B25" s="2" t="str">
        <x:v>Mini Zip Case</x:v>
      </x:c>
      <x:c r="C25" s="2" t="str">
        <x:v>Accessories</x:v>
      </x:c>
      <x:c r="D25" s="16" t="n">
        <x:v>26</x:v>
      </x:c>
      <x:c r="E25" s="16" t="n">
        <x:v>12.61</x:v>
      </x:c>
      <x:c r="F25" s="2" t="n">
        <x:v>4</x:v>
      </x:c>
      <x:c r="G25" s="2" t="n">
        <x:v>6</x:v>
      </x:c>
    </x:row>
  </x:sheetData>
  <x:pageMargins left="0.7" right="0.7" top="0.75" bottom="0.75" header="0.3" footer="0.3"/>
  <x:tableParts count="1">
    <x:tablePart xmlns:r="http://schemas.openxmlformats.org/officeDocument/2006/relationships" r:id="Rd0b6372d14e24f0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2" customHeight="1">
      <x:c r="A1" s="5" t="str">
        <x:v>SKU</x:v>
      </x:c>
      <x:c r="B1" s="5" t="str">
        <x:v>Week</x:v>
      </x:c>
      <x:c r="C1" s="5" t="str">
        <x:v>Actual net units</x:v>
      </x:c>
      <x:c r="D1" s="5" t="str">
        <x:v>Prior forecast</x:v>
      </x:c>
      <x:c r="E1" s="5" t="str">
        <x:v>Variance units</x:v>
      </x:c>
      <x:c r="F1" s="5" t="str">
        <x:v>Absolute error</x:v>
      </x:c>
    </x:row>
    <x:row r="2" ht="23" customHeight="1">
      <x:c r="A2" s="2" t="str">
        <x:v>DEMO-101</x:v>
      </x:c>
      <x:c r="B2" s="2" t="n">
        <x:v>1</x:v>
      </x:c>
      <x:c r="C2" s="17" t="n">
        <x:f>SUMIFS('Synthetic Sales Data'!$K$2:$K$1921,'Synthetic Sales Data'!$D$2:$D$1921,A2,'Synthetic Sales Data'!$C$2:$C$1921,B2)</x:f>
        <x:v>121</x:v>
      </x:c>
      <x:c r="D2" s="17" t="n">
        <x:f>SUMIFS('Synthetic Sales Data'!$W$2:$W$1921,'Synthetic Sales Data'!$D$2:$D$1921,A2,'Synthetic Sales Data'!$C$2:$C$1921,B2)</x:f>
        <x:v>118</x:v>
      </x:c>
      <x:c r="E2" s="2" t="n">
        <x:f>C2-D2</x:f>
        <x:v>3</x:v>
      </x:c>
      <x:c r="F2" s="2" t="n">
        <x:f>ABS(E2)</x:f>
        <x:v>3</x:v>
      </x:c>
    </x:row>
    <x:row r="3" ht="23" customHeight="1">
      <x:c r="A3" s="2" t="str">
        <x:v>DEMO-101</x:v>
      </x:c>
      <x:c r="B3" s="2" t="n">
        <x:v>2</x:v>
      </x:c>
      <x:c r="C3" s="17" t="n">
        <x:f>SUMIFS('Synthetic Sales Data'!$K$2:$K$1921,'Synthetic Sales Data'!$D$2:$D$1921,A3,'Synthetic Sales Data'!$C$2:$C$1921,B3)</x:f>
        <x:v>122</x:v>
      </x:c>
      <x:c r="D3" s="17" t="n">
        <x:f>SUMIFS('Synthetic Sales Data'!$W$2:$W$1921,'Synthetic Sales Data'!$D$2:$D$1921,A3,'Synthetic Sales Data'!$C$2:$C$1921,B3)</x:f>
        <x:v>121</x:v>
      </x:c>
      <x:c r="E3" s="2" t="n">
        <x:f>C3-D3</x:f>
        <x:v>1</x:v>
      </x:c>
      <x:c r="F3" s="2" t="n">
        <x:f>ABS(E3)</x:f>
        <x:v>1</x:v>
      </x:c>
    </x:row>
    <x:row r="4" ht="23" customHeight="1">
      <x:c r="A4" s="2" t="str">
        <x:v>DEMO-101</x:v>
      </x:c>
      <x:c r="B4" s="2" t="n">
        <x:v>3</x:v>
      </x:c>
      <x:c r="C4" s="17" t="n">
        <x:f>SUMIFS('Synthetic Sales Data'!$K$2:$K$1921,'Synthetic Sales Data'!$D$2:$D$1921,A4,'Synthetic Sales Data'!$C$2:$C$1921,B4)</x:f>
        <x:v>132</x:v>
      </x:c>
      <x:c r="D4" s="17" t="n">
        <x:f>SUMIFS('Synthetic Sales Data'!$W$2:$W$1921,'Synthetic Sales Data'!$D$2:$D$1921,A4,'Synthetic Sales Data'!$C$2:$C$1921,B4)</x:f>
        <x:v>122</x:v>
      </x:c>
      <x:c r="E4" s="2" t="n">
        <x:f>C4-D4</x:f>
        <x:v>10</x:v>
      </x:c>
      <x:c r="F4" s="2" t="n">
        <x:f>ABS(E4)</x:f>
        <x:v>10</x:v>
      </x:c>
    </x:row>
    <x:row r="5" ht="23" customHeight="1">
      <x:c r="A5" s="2" t="str">
        <x:v>DEMO-101</x:v>
      </x:c>
      <x:c r="B5" s="2" t="n">
        <x:v>4</x:v>
      </x:c>
      <x:c r="C5" s="17" t="n">
        <x:f>SUMIFS('Synthetic Sales Data'!$K$2:$K$1921,'Synthetic Sales Data'!$D$2:$D$1921,A5,'Synthetic Sales Data'!$C$2:$C$1921,B5)</x:f>
        <x:v>108</x:v>
      </x:c>
      <x:c r="D5" s="17" t="n">
        <x:f>SUMIFS('Synthetic Sales Data'!$W$2:$W$1921,'Synthetic Sales Data'!$D$2:$D$1921,A5,'Synthetic Sales Data'!$C$2:$C$1921,B5)</x:f>
        <x:v>125</x:v>
      </x:c>
      <x:c r="E5" s="2" t="n">
        <x:f>C5-D5</x:f>
        <x:v>-17</x:v>
      </x:c>
      <x:c r="F5" s="2" t="n">
        <x:f>ABS(E5)</x:f>
        <x:v>17</x:v>
      </x:c>
    </x:row>
    <x:row r="6" ht="23" customHeight="1">
      <x:c r="A6" s="2" t="str">
        <x:v>DEMO-101</x:v>
      </x:c>
      <x:c r="B6" s="2" t="n">
        <x:v>5</x:v>
      </x:c>
      <x:c r="C6" s="17" t="n">
        <x:f>SUMIFS('Synthetic Sales Data'!$K$2:$K$1921,'Synthetic Sales Data'!$D$2:$D$1921,A6,'Synthetic Sales Data'!$C$2:$C$1921,B6)</x:f>
        <x:v>144</x:v>
      </x:c>
      <x:c r="D6" s="17" t="n">
        <x:f>SUMIFS('Synthetic Sales Data'!$W$2:$W$1921,'Synthetic Sales Data'!$D$2:$D$1921,A6,'Synthetic Sales Data'!$C$2:$C$1921,B6)</x:f>
        <x:v>121</x:v>
      </x:c>
      <x:c r="E6" s="2" t="n">
        <x:f>C6-D6</x:f>
        <x:v>23</x:v>
      </x:c>
      <x:c r="F6" s="2" t="n">
        <x:f>ABS(E6)</x:f>
        <x:v>23</x:v>
      </x:c>
    </x:row>
    <x:row r="7" ht="23" customHeight="1">
      <x:c r="A7" s="2" t="str">
        <x:v>DEMO-101</x:v>
      </x:c>
      <x:c r="B7" s="2" t="n">
        <x:v>6</x:v>
      </x:c>
      <x:c r="C7" s="17" t="n">
        <x:f>SUMIFS('Synthetic Sales Data'!$K$2:$K$1921,'Synthetic Sales Data'!$D$2:$D$1921,A7,'Synthetic Sales Data'!$C$2:$C$1921,B7)</x:f>
        <x:v>131</x:v>
      </x:c>
      <x:c r="D7" s="17" t="n">
        <x:f>SUMIFS('Synthetic Sales Data'!$W$2:$W$1921,'Synthetic Sales Data'!$D$2:$D$1921,A7,'Synthetic Sales Data'!$C$2:$C$1921,B7)</x:f>
        <x:v>127</x:v>
      </x:c>
      <x:c r="E7" s="2" t="n">
        <x:f>C7-D7</x:f>
        <x:v>4</x:v>
      </x:c>
      <x:c r="F7" s="2" t="n">
        <x:f>ABS(E7)</x:f>
        <x:v>4</x:v>
      </x:c>
    </x:row>
    <x:row r="8" ht="23" customHeight="1">
      <x:c r="A8" s="2" t="str">
        <x:v>DEMO-101</x:v>
      </x:c>
      <x:c r="B8" s="2" t="n">
        <x:v>7</x:v>
      </x:c>
      <x:c r="C8" s="17" t="n">
        <x:f>SUMIFS('Synthetic Sales Data'!$K$2:$K$1921,'Synthetic Sales Data'!$D$2:$D$1921,A8,'Synthetic Sales Data'!$C$2:$C$1921,B8)</x:f>
        <x:v>94</x:v>
      </x:c>
      <x:c r="D8" s="17" t="n">
        <x:f>SUMIFS('Synthetic Sales Data'!$W$2:$W$1921,'Synthetic Sales Data'!$D$2:$D$1921,A8,'Synthetic Sales Data'!$C$2:$C$1921,B8)</x:f>
        <x:v>129</x:v>
      </x:c>
      <x:c r="E8" s="2" t="n">
        <x:f>C8-D8</x:f>
        <x:v>-35</x:v>
      </x:c>
      <x:c r="F8" s="2" t="n">
        <x:f>ABS(E8)</x:f>
        <x:v>35</x:v>
      </x:c>
    </x:row>
    <x:row r="9" ht="23" customHeight="1">
      <x:c r="A9" s="2" t="str">
        <x:v>DEMO-101</x:v>
      </x:c>
      <x:c r="B9" s="2" t="n">
        <x:v>8</x:v>
      </x:c>
      <x:c r="C9" s="17" t="n">
        <x:f>SUMIFS('Synthetic Sales Data'!$K$2:$K$1921,'Synthetic Sales Data'!$D$2:$D$1921,A9,'Synthetic Sales Data'!$C$2:$C$1921,B9)</x:f>
        <x:v>84</x:v>
      </x:c>
      <x:c r="D9" s="17" t="n">
        <x:f>SUMIFS('Synthetic Sales Data'!$W$2:$W$1921,'Synthetic Sales Data'!$D$2:$D$1921,A9,'Synthetic Sales Data'!$C$2:$C$1921,B9)</x:f>
        <x:v>121</x:v>
      </x:c>
      <x:c r="E9" s="2" t="n">
        <x:f>C9-D9</x:f>
        <x:v>-37</x:v>
      </x:c>
      <x:c r="F9" s="2" t="n">
        <x:f>ABS(E9)</x:f>
        <x:v>37</x:v>
      </x:c>
    </x:row>
    <x:row r="10" ht="23" customHeight="1">
      <x:c r="A10" s="2" t="str">
        <x:v>DEMO-101</x:v>
      </x:c>
      <x:c r="B10" s="2" t="n">
        <x:v>9</x:v>
      </x:c>
      <x:c r="C10" s="17" t="n">
        <x:f>SUMIFS('Synthetic Sales Data'!$K$2:$K$1921,'Synthetic Sales Data'!$D$2:$D$1921,A10,'Synthetic Sales Data'!$C$2:$C$1921,B10)</x:f>
        <x:v>158</x:v>
      </x:c>
      <x:c r="D10" s="17" t="n">
        <x:f>SUMIFS('Synthetic Sales Data'!$W$2:$W$1921,'Synthetic Sales Data'!$D$2:$D$1921,A10,'Synthetic Sales Data'!$C$2:$C$1921,B10)</x:f>
        <x:v>114</x:v>
      </x:c>
      <x:c r="E10" s="2" t="n">
        <x:f>C10-D10</x:f>
        <x:v>44</x:v>
      </x:c>
      <x:c r="F10" s="2" t="n">
        <x:f>ABS(E10)</x:f>
        <x:v>44</x:v>
      </x:c>
    </x:row>
    <x:row r="11" ht="23" customHeight="1">
      <x:c r="A11" s="2" t="str">
        <x:v>DEMO-101</x:v>
      </x:c>
      <x:c r="B11" s="2" t="n">
        <x:v>10</x:v>
      </x:c>
      <x:c r="C11" s="17" t="n">
        <x:f>SUMIFS('Synthetic Sales Data'!$K$2:$K$1921,'Synthetic Sales Data'!$D$2:$D$1921,A11,'Synthetic Sales Data'!$C$2:$C$1921,B11)</x:f>
        <x:v>148</x:v>
      </x:c>
      <x:c r="D11" s="17" t="n">
        <x:f>SUMIFS('Synthetic Sales Data'!$W$2:$W$1921,'Synthetic Sales Data'!$D$2:$D$1921,A11,'Synthetic Sales Data'!$C$2:$C$1921,B11)</x:f>
        <x:v>117</x:v>
      </x:c>
      <x:c r="E11" s="2" t="n">
        <x:f>C11-D11</x:f>
        <x:v>31</x:v>
      </x:c>
      <x:c r="F11" s="2" t="n">
        <x:f>ABS(E11)</x:f>
        <x:v>31</x:v>
      </x:c>
    </x:row>
    <x:row r="12" ht="23" customHeight="1">
      <x:c r="A12" s="2" t="str">
        <x:v>DEMO-101</x:v>
      </x:c>
      <x:c r="B12" s="2" t="n">
        <x:v>11</x:v>
      </x:c>
      <x:c r="C12" s="17" t="n">
        <x:f>SUMIFS('Synthetic Sales Data'!$K$2:$K$1921,'Synthetic Sales Data'!$D$2:$D$1921,A12,'Synthetic Sales Data'!$C$2:$C$1921,B12)</x:f>
        <x:v>102</x:v>
      </x:c>
      <x:c r="D12" s="17" t="n">
        <x:f>SUMIFS('Synthetic Sales Data'!$W$2:$W$1921,'Synthetic Sales Data'!$D$2:$D$1921,A12,'Synthetic Sales Data'!$C$2:$C$1921,B12)</x:f>
        <x:v>122</x:v>
      </x:c>
      <x:c r="E12" s="2" t="n">
        <x:f>C12-D12</x:f>
        <x:v>-20</x:v>
      </x:c>
      <x:c r="F12" s="2" t="n">
        <x:f>ABS(E12)</x:f>
        <x:v>20</x:v>
      </x:c>
    </x:row>
    <x:row r="13" ht="23" customHeight="1">
      <x:c r="A13" s="2" t="str">
        <x:v>DEMO-101</x:v>
      </x:c>
      <x:c r="B13" s="2" t="n">
        <x:v>12</x:v>
      </x:c>
      <x:c r="C13" s="17" t="n">
        <x:f>SUMIFS('Synthetic Sales Data'!$K$2:$K$1921,'Synthetic Sales Data'!$D$2:$D$1921,A13,'Synthetic Sales Data'!$C$2:$C$1921,B13)</x:f>
        <x:v>94</x:v>
      </x:c>
      <x:c r="D13" s="17" t="n">
        <x:f>SUMIFS('Synthetic Sales Data'!$W$2:$W$1921,'Synthetic Sales Data'!$D$2:$D$1921,A13,'Synthetic Sales Data'!$C$2:$C$1921,B13)</x:f>
        <x:v>124</x:v>
      </x:c>
      <x:c r="E13" s="2" t="n">
        <x:f>C13-D13</x:f>
        <x:v>-30</x:v>
      </x:c>
      <x:c r="F13" s="2" t="n">
        <x:f>ABS(E13)</x:f>
        <x:v>30</x:v>
      </x:c>
    </x:row>
    <x:row r="14" ht="23" customHeight="1">
      <x:c r="A14" s="2" t="str">
        <x:v>DEMO-101</x:v>
      </x:c>
      <x:c r="B14" s="2" t="n">
        <x:v>13</x:v>
      </x:c>
      <x:c r="C14" s="17" t="n">
        <x:f>SUMIFS('Synthetic Sales Data'!$K$2:$K$1921,'Synthetic Sales Data'!$D$2:$D$1921,A14,'Synthetic Sales Data'!$C$2:$C$1921,B14)</x:f>
        <x:v>182</x:v>
      </x:c>
      <x:c r="D14" s="17" t="n">
        <x:f>SUMIFS('Synthetic Sales Data'!$W$2:$W$1921,'Synthetic Sales Data'!$D$2:$D$1921,A14,'Synthetic Sales Data'!$C$2:$C$1921,B14)</x:f>
        <x:v>127</x:v>
      </x:c>
      <x:c r="E14" s="2" t="n">
        <x:f>C14-D14</x:f>
        <x:v>55</x:v>
      </x:c>
      <x:c r="F14" s="2" t="n">
        <x:f>ABS(E14)</x:f>
        <x:v>55</x:v>
      </x:c>
    </x:row>
    <x:row r="15" ht="23" customHeight="1">
      <x:c r="A15" s="2" t="str">
        <x:v>DEMO-101</x:v>
      </x:c>
      <x:c r="B15" s="2" t="n">
        <x:v>14</x:v>
      </x:c>
      <x:c r="C15" s="17" t="n">
        <x:f>SUMIFS('Synthetic Sales Data'!$K$2:$K$1921,'Synthetic Sales Data'!$D$2:$D$1921,A15,'Synthetic Sales Data'!$C$2:$C$1921,B15)</x:f>
        <x:v>158</x:v>
      </x:c>
      <x:c r="D15" s="17" t="n">
        <x:f>SUMIFS('Synthetic Sales Data'!$W$2:$W$1921,'Synthetic Sales Data'!$D$2:$D$1921,A15,'Synthetic Sales Data'!$C$2:$C$1921,B15)</x:f>
        <x:v>132</x:v>
      </x:c>
      <x:c r="E15" s="2" t="n">
        <x:f>C15-D15</x:f>
        <x:v>26</x:v>
      </x:c>
      <x:c r="F15" s="2" t="n">
        <x:f>ABS(E15)</x:f>
        <x:v>26</x:v>
      </x:c>
    </x:row>
    <x:row r="16" ht="23" customHeight="1">
      <x:c r="A16" s="2" t="str">
        <x:v>DEMO-101</x:v>
      </x:c>
      <x:c r="B16" s="2" t="n">
        <x:v>15</x:v>
      </x:c>
      <x:c r="C16" s="17" t="n">
        <x:f>SUMIFS('Synthetic Sales Data'!$K$2:$K$1921,'Synthetic Sales Data'!$D$2:$D$1921,A16,'Synthetic Sales Data'!$C$2:$C$1921,B16)</x:f>
        <x:v>22</x:v>
      </x:c>
      <x:c r="D16" s="17" t="n">
        <x:f>SUMIFS('Synthetic Sales Data'!$W$2:$W$1921,'Synthetic Sales Data'!$D$2:$D$1921,A16,'Synthetic Sales Data'!$C$2:$C$1921,B16)</x:f>
        <x:v>135</x:v>
      </x:c>
      <x:c r="E16" s="2" t="n">
        <x:f>C16-D16</x:f>
        <x:v>-113</x:v>
      </x:c>
      <x:c r="F16" s="2" t="n">
        <x:f>ABS(E16)</x:f>
        <x:v>113</x:v>
      </x:c>
    </x:row>
    <x:row r="17" ht="23" customHeight="1">
      <x:c r="A17" s="2" t="str">
        <x:v>DEMO-101</x:v>
      </x:c>
      <x:c r="B17" s="2" t="n">
        <x:v>16</x:v>
      </x:c>
      <x:c r="C17" s="17" t="n">
        <x:f>SUMIFS('Synthetic Sales Data'!$K$2:$K$1921,'Synthetic Sales Data'!$D$2:$D$1921,A17,'Synthetic Sales Data'!$C$2:$C$1921,B17)</x:f>
        <x:v>0</x:v>
      </x:c>
      <x:c r="D17" s="17" t="n">
        <x:f>SUMIFS('Synthetic Sales Data'!$W$2:$W$1921,'Synthetic Sales Data'!$D$2:$D$1921,A17,'Synthetic Sales Data'!$C$2:$C$1921,B17)</x:f>
        <x:v>114</x:v>
      </x:c>
      <x:c r="E17" s="2" t="n">
        <x:f>C17-D17</x:f>
        <x:v>-114</x:v>
      </x:c>
      <x:c r="F17" s="2" t="n">
        <x:f>ABS(E17)</x:f>
        <x:v>114</x:v>
      </x:c>
    </x:row>
    <x:row r="18" ht="23" customHeight="1">
      <x:c r="A18" s="2" t="str">
        <x:v>DEMO-101</x:v>
      </x:c>
      <x:c r="B18" s="2" t="n">
        <x:v>17</x:v>
      </x:c>
      <x:c r="C18" s="17" t="n">
        <x:f>SUMIFS('Synthetic Sales Data'!$K$2:$K$1921,'Synthetic Sales Data'!$D$2:$D$1921,A18,'Synthetic Sales Data'!$C$2:$C$1921,B18)</x:f>
        <x:v>138</x:v>
      </x:c>
      <x:c r="D18" s="17" t="n">
        <x:f>SUMIFS('Synthetic Sales Data'!$W$2:$W$1921,'Synthetic Sales Data'!$D$2:$D$1921,A18,'Synthetic Sales Data'!$C$2:$C$1921,B18)</x:f>
        <x:v>92</x:v>
      </x:c>
      <x:c r="E18" s="2" t="n">
        <x:f>C18-D18</x:f>
        <x:v>46</x:v>
      </x:c>
      <x:c r="F18" s="2" t="n">
        <x:f>ABS(E18)</x:f>
        <x:v>46</x:v>
      </x:c>
    </x:row>
    <x:row r="19" ht="23" customHeight="1">
      <x:c r="A19" s="2" t="str">
        <x:v>DEMO-101</x:v>
      </x:c>
      <x:c r="B19" s="2" t="n">
        <x:v>18</x:v>
      </x:c>
      <x:c r="C19" s="17" t="n">
        <x:f>SUMIFS('Synthetic Sales Data'!$K$2:$K$1921,'Synthetic Sales Data'!$D$2:$D$1921,A19,'Synthetic Sales Data'!$C$2:$C$1921,B19)</x:f>
        <x:v>1</x:v>
      </x:c>
      <x:c r="D19" s="17" t="n">
        <x:f>SUMIFS('Synthetic Sales Data'!$W$2:$W$1921,'Synthetic Sales Data'!$D$2:$D$1921,A19,'Synthetic Sales Data'!$C$2:$C$1921,B19)</x:f>
        <x:v>80</x:v>
      </x:c>
      <x:c r="E19" s="2" t="n">
        <x:f>C19-D19</x:f>
        <x:v>-79</x:v>
      </x:c>
      <x:c r="F19" s="2" t="n">
        <x:f>ABS(E19)</x:f>
        <x:v>79</x:v>
      </x:c>
    </x:row>
    <x:row r="20" ht="23" customHeight="1">
      <x:c r="A20" s="2" t="str">
        <x:v>DEMO-101</x:v>
      </x:c>
      <x:c r="B20" s="2" t="n">
        <x:v>19</x:v>
      </x:c>
      <x:c r="C20" s="17" t="n">
        <x:f>SUMIFS('Synthetic Sales Data'!$K$2:$K$1921,'Synthetic Sales Data'!$D$2:$D$1921,A20,'Synthetic Sales Data'!$C$2:$C$1921,B20)</x:f>
        <x:v>1</x:v>
      </x:c>
      <x:c r="D20" s="17" t="n">
        <x:f>SUMIFS('Synthetic Sales Data'!$W$2:$W$1921,'Synthetic Sales Data'!$D$2:$D$1921,A20,'Synthetic Sales Data'!$C$2:$C$1921,B20)</x:f>
        <x:v>41</x:v>
      </x:c>
      <x:c r="E20" s="2" t="n">
        <x:f>C20-D20</x:f>
        <x:v>-40</x:v>
      </x:c>
      <x:c r="F20" s="2" t="n">
        <x:f>ABS(E20)</x:f>
        <x:v>40</x:v>
      </x:c>
    </x:row>
    <x:row r="21" ht="23" customHeight="1">
      <x:c r="A21" s="2" t="str">
        <x:v>DEMO-101</x:v>
      </x:c>
      <x:c r="B21" s="2" t="n">
        <x:v>20</x:v>
      </x:c>
      <x:c r="C21" s="17" t="n">
        <x:f>SUMIFS('Synthetic Sales Data'!$K$2:$K$1921,'Synthetic Sales Data'!$D$2:$D$1921,A21,'Synthetic Sales Data'!$C$2:$C$1921,B21)</x:f>
        <x:v>0</x:v>
      </x:c>
      <x:c r="D21" s="17" t="n">
        <x:f>SUMIFS('Synthetic Sales Data'!$W$2:$W$1921,'Synthetic Sales Data'!$D$2:$D$1921,A21,'Synthetic Sales Data'!$C$2:$C$1921,B21)</x:f>
        <x:v>36</x:v>
      </x:c>
      <x:c r="E21" s="2" t="n">
        <x:f>C21-D21</x:f>
        <x:v>-36</x:v>
      </x:c>
      <x:c r="F21" s="2" t="n">
        <x:f>ABS(E21)</x:f>
        <x:v>36</x:v>
      </x:c>
    </x:row>
    <x:row r="22" ht="23" customHeight="1">
      <x:c r="A22" s="2" t="str">
        <x:v>DEMO-102</x:v>
      </x:c>
      <x:c r="B22" s="2" t="n">
        <x:v>1</x:v>
      </x:c>
      <x:c r="C22" s="17" t="n">
        <x:f>SUMIFS('Synthetic Sales Data'!$K$2:$K$1921,'Synthetic Sales Data'!$D$2:$D$1921,A22,'Synthetic Sales Data'!$C$2:$C$1921,B22)</x:f>
        <x:v>60</x:v>
      </x:c>
      <x:c r="D22" s="17" t="n">
        <x:f>SUMIFS('Synthetic Sales Data'!$W$2:$W$1921,'Synthetic Sales Data'!$D$2:$D$1921,A22,'Synthetic Sales Data'!$C$2:$C$1921,B22)</x:f>
        <x:v>66</x:v>
      </x:c>
      <x:c r="E22" s="2" t="n">
        <x:f>C22-D22</x:f>
        <x:v>-6</x:v>
      </x:c>
      <x:c r="F22" s="2" t="n">
        <x:f>ABS(E22)</x:f>
        <x:v>6</x:v>
      </x:c>
    </x:row>
    <x:row r="23" ht="23" customHeight="1">
      <x:c r="A23" s="2" t="str">
        <x:v>DEMO-102</x:v>
      </x:c>
      <x:c r="B23" s="2" t="n">
        <x:v>2</x:v>
      </x:c>
      <x:c r="C23" s="17" t="n">
        <x:f>SUMIFS('Synthetic Sales Data'!$K$2:$K$1921,'Synthetic Sales Data'!$D$2:$D$1921,A23,'Synthetic Sales Data'!$C$2:$C$1921,B23)</x:f>
        <x:v>63</x:v>
      </x:c>
      <x:c r="D23" s="17" t="n">
        <x:f>SUMIFS('Synthetic Sales Data'!$W$2:$W$1921,'Synthetic Sales Data'!$D$2:$D$1921,A23,'Synthetic Sales Data'!$C$2:$C$1921,B23)</x:f>
        <x:v>60</x:v>
      </x:c>
      <x:c r="E23" s="2" t="n">
        <x:f>C23-D23</x:f>
        <x:v>3</x:v>
      </x:c>
      <x:c r="F23" s="2" t="n">
        <x:f>ABS(E23)</x:f>
        <x:v>3</x:v>
      </x:c>
    </x:row>
    <x:row r="24" ht="23" customHeight="1">
      <x:c r="A24" s="2" t="str">
        <x:v>DEMO-102</x:v>
      </x:c>
      <x:c r="B24" s="2" t="n">
        <x:v>3</x:v>
      </x:c>
      <x:c r="C24" s="17" t="n">
        <x:f>SUMIFS('Synthetic Sales Data'!$K$2:$K$1921,'Synthetic Sales Data'!$D$2:$D$1921,A24,'Synthetic Sales Data'!$C$2:$C$1921,B24)</x:f>
        <x:v>65</x:v>
      </x:c>
      <x:c r="D24" s="17" t="n">
        <x:f>SUMIFS('Synthetic Sales Data'!$W$2:$W$1921,'Synthetic Sales Data'!$D$2:$D$1921,A24,'Synthetic Sales Data'!$C$2:$C$1921,B24)</x:f>
        <x:v>62</x:v>
      </x:c>
      <x:c r="E24" s="2" t="n">
        <x:f>C24-D24</x:f>
        <x:v>3</x:v>
      </x:c>
      <x:c r="F24" s="2" t="n">
        <x:f>ABS(E24)</x:f>
        <x:v>3</x:v>
      </x:c>
    </x:row>
    <x:row r="25" ht="23" customHeight="1">
      <x:c r="A25" s="2" t="str">
        <x:v>DEMO-102</x:v>
      </x:c>
      <x:c r="B25" s="2" t="n">
        <x:v>4</x:v>
      </x:c>
      <x:c r="C25" s="17" t="n">
        <x:f>SUMIFS('Synthetic Sales Data'!$K$2:$K$1921,'Synthetic Sales Data'!$D$2:$D$1921,A25,'Synthetic Sales Data'!$C$2:$C$1921,B25)</x:f>
        <x:v>66</x:v>
      </x:c>
      <x:c r="D25" s="17" t="n">
        <x:f>SUMIFS('Synthetic Sales Data'!$W$2:$W$1921,'Synthetic Sales Data'!$D$2:$D$1921,A25,'Synthetic Sales Data'!$C$2:$C$1921,B25)</x:f>
        <x:v>63</x:v>
      </x:c>
      <x:c r="E25" s="2" t="n">
        <x:f>C25-D25</x:f>
        <x:v>3</x:v>
      </x:c>
      <x:c r="F25" s="2" t="n">
        <x:f>ABS(E25)</x:f>
        <x:v>3</x:v>
      </x:c>
    </x:row>
    <x:row r="26" ht="23" customHeight="1">
      <x:c r="A26" s="2" t="str">
        <x:v>DEMO-102</x:v>
      </x:c>
      <x:c r="B26" s="2" t="n">
        <x:v>5</x:v>
      </x:c>
      <x:c r="C26" s="17" t="n">
        <x:f>SUMIFS('Synthetic Sales Data'!$K$2:$K$1921,'Synthetic Sales Data'!$D$2:$D$1921,A26,'Synthetic Sales Data'!$C$2:$C$1921,B26)</x:f>
        <x:v>67</x:v>
      </x:c>
      <x:c r="D26" s="17" t="n">
        <x:f>SUMIFS('Synthetic Sales Data'!$W$2:$W$1921,'Synthetic Sales Data'!$D$2:$D$1921,A26,'Synthetic Sales Data'!$C$2:$C$1921,B26)</x:f>
        <x:v>64</x:v>
      </x:c>
      <x:c r="E26" s="2" t="n">
        <x:f>C26-D26</x:f>
        <x:v>3</x:v>
      </x:c>
      <x:c r="F26" s="2" t="n">
        <x:f>ABS(E26)</x:f>
        <x:v>3</x:v>
      </x:c>
    </x:row>
    <x:row r="27" ht="23" customHeight="1">
      <x:c r="A27" s="2" t="str">
        <x:v>DEMO-102</x:v>
      </x:c>
      <x:c r="B27" s="2" t="n">
        <x:v>6</x:v>
      </x:c>
      <x:c r="C27" s="17" t="n">
        <x:f>SUMIFS('Synthetic Sales Data'!$K$2:$K$1921,'Synthetic Sales Data'!$D$2:$D$1921,A27,'Synthetic Sales Data'!$C$2:$C$1921,B27)</x:f>
        <x:v>63</x:v>
      </x:c>
      <x:c r="D27" s="17" t="n">
        <x:f>SUMIFS('Synthetic Sales Data'!$W$2:$W$1921,'Synthetic Sales Data'!$D$2:$D$1921,A27,'Synthetic Sales Data'!$C$2:$C$1921,B27)</x:f>
        <x:v>66</x:v>
      </x:c>
      <x:c r="E27" s="2" t="n">
        <x:f>C27-D27</x:f>
        <x:v>-3</x:v>
      </x:c>
      <x:c r="F27" s="2" t="n">
        <x:f>ABS(E27)</x:f>
        <x:v>3</x:v>
      </x:c>
    </x:row>
    <x:row r="28" ht="23" customHeight="1">
      <x:c r="A28" s="2" t="str">
        <x:v>DEMO-102</x:v>
      </x:c>
      <x:c r="B28" s="2" t="n">
        <x:v>7</x:v>
      </x:c>
      <x:c r="C28" s="17" t="n">
        <x:f>SUMIFS('Synthetic Sales Data'!$K$2:$K$1921,'Synthetic Sales Data'!$D$2:$D$1921,A28,'Synthetic Sales Data'!$C$2:$C$1921,B28)</x:f>
        <x:v>62</x:v>
      </x:c>
      <x:c r="D28" s="17" t="n">
        <x:f>SUMIFS('Synthetic Sales Data'!$W$2:$W$1921,'Synthetic Sales Data'!$D$2:$D$1921,A28,'Synthetic Sales Data'!$C$2:$C$1921,B28)</x:f>
        <x:v>66</x:v>
      </x:c>
      <x:c r="E28" s="2" t="n">
        <x:f>C28-D28</x:f>
        <x:v>-4</x:v>
      </x:c>
      <x:c r="F28" s="2" t="n">
        <x:f>ABS(E28)</x:f>
        <x:v>4</x:v>
      </x:c>
    </x:row>
    <x:row r="29" ht="23" customHeight="1">
      <x:c r="A29" s="2" t="str">
        <x:v>DEMO-102</x:v>
      </x:c>
      <x:c r="B29" s="2" t="n">
        <x:v>8</x:v>
      </x:c>
      <x:c r="C29" s="17" t="n">
        <x:f>SUMIFS('Synthetic Sales Data'!$K$2:$K$1921,'Synthetic Sales Data'!$D$2:$D$1921,A29,'Synthetic Sales Data'!$C$2:$C$1921,B29)</x:f>
        <x:v>59</x:v>
      </x:c>
      <x:c r="D29" s="17" t="n">
        <x:f>SUMIFS('Synthetic Sales Data'!$W$2:$W$1921,'Synthetic Sales Data'!$D$2:$D$1921,A29,'Synthetic Sales Data'!$C$2:$C$1921,B29)</x:f>
        <x:v>65</x:v>
      </x:c>
      <x:c r="E29" s="2" t="n">
        <x:f>C29-D29</x:f>
        <x:v>-6</x:v>
      </x:c>
      <x:c r="F29" s="2" t="n">
        <x:f>ABS(E29)</x:f>
        <x:v>6</x:v>
      </x:c>
    </x:row>
    <x:row r="30" ht="23" customHeight="1">
      <x:c r="A30" s="2" t="str">
        <x:v>DEMO-102</x:v>
      </x:c>
      <x:c r="B30" s="2" t="n">
        <x:v>9</x:v>
      </x:c>
      <x:c r="C30" s="17" t="n">
        <x:f>SUMIFS('Synthetic Sales Data'!$K$2:$K$1921,'Synthetic Sales Data'!$D$2:$D$1921,A30,'Synthetic Sales Data'!$C$2:$C$1921,B30)</x:f>
        <x:v>68</x:v>
      </x:c>
      <x:c r="D30" s="17" t="n">
        <x:f>SUMIFS('Synthetic Sales Data'!$W$2:$W$1921,'Synthetic Sales Data'!$D$2:$D$1921,A30,'Synthetic Sales Data'!$C$2:$C$1921,B30)</x:f>
        <x:v>64</x:v>
      </x:c>
      <x:c r="E30" s="2" t="n">
        <x:f>C30-D30</x:f>
        <x:v>4</x:v>
      </x:c>
      <x:c r="F30" s="2" t="n">
        <x:f>ABS(E30)</x:f>
        <x:v>4</x:v>
      </x:c>
    </x:row>
    <x:row r="31" ht="23" customHeight="1">
      <x:c r="A31" s="2" t="str">
        <x:v>DEMO-102</x:v>
      </x:c>
      <x:c r="B31" s="2" t="n">
        <x:v>10</x:v>
      </x:c>
      <x:c r="C31" s="17" t="n">
        <x:f>SUMIFS('Synthetic Sales Data'!$K$2:$K$1921,'Synthetic Sales Data'!$D$2:$D$1921,A31,'Synthetic Sales Data'!$C$2:$C$1921,B31)</x:f>
        <x:v>67</x:v>
      </x:c>
      <x:c r="D31" s="17" t="n">
        <x:f>SUMIFS('Synthetic Sales Data'!$W$2:$W$1921,'Synthetic Sales Data'!$D$2:$D$1921,A31,'Synthetic Sales Data'!$C$2:$C$1921,B31)</x:f>
        <x:v>64</x:v>
      </x:c>
      <x:c r="E31" s="2" t="n">
        <x:f>C31-D31</x:f>
        <x:v>3</x:v>
      </x:c>
      <x:c r="F31" s="2" t="n">
        <x:f>ABS(E31)</x:f>
        <x:v>3</x:v>
      </x:c>
    </x:row>
    <x:row r="32" ht="23" customHeight="1">
      <x:c r="A32" s="2" t="str">
        <x:v>DEMO-102</x:v>
      </x:c>
      <x:c r="B32" s="2" t="n">
        <x:v>11</x:v>
      </x:c>
      <x:c r="C32" s="17" t="n">
        <x:f>SUMIFS('Synthetic Sales Data'!$K$2:$K$1921,'Synthetic Sales Data'!$D$2:$D$1921,A32,'Synthetic Sales Data'!$C$2:$C$1921,B32)</x:f>
        <x:v>60</x:v>
      </x:c>
      <x:c r="D32" s="17" t="n">
        <x:f>SUMIFS('Synthetic Sales Data'!$W$2:$W$1921,'Synthetic Sales Data'!$D$2:$D$1921,A32,'Synthetic Sales Data'!$C$2:$C$1921,B32)</x:f>
        <x:v>65</x:v>
      </x:c>
      <x:c r="E32" s="2" t="n">
        <x:f>C32-D32</x:f>
        <x:v>-5</x:v>
      </x:c>
      <x:c r="F32" s="2" t="n">
        <x:f>ABS(E32)</x:f>
        <x:v>5</x:v>
      </x:c>
    </x:row>
    <x:row r="33" ht="23" customHeight="1">
      <x:c r="A33" s="2" t="str">
        <x:v>DEMO-102</x:v>
      </x:c>
      <x:c r="B33" s="2" t="n">
        <x:v>12</x:v>
      </x:c>
      <x:c r="C33" s="17" t="n">
        <x:f>SUMIFS('Synthetic Sales Data'!$K$2:$K$1921,'Synthetic Sales Data'!$D$2:$D$1921,A33,'Synthetic Sales Data'!$C$2:$C$1921,B33)</x:f>
        <x:v>68</x:v>
      </x:c>
      <x:c r="D33" s="17" t="n">
        <x:f>SUMIFS('Synthetic Sales Data'!$W$2:$W$1921,'Synthetic Sales Data'!$D$2:$D$1921,A33,'Synthetic Sales Data'!$C$2:$C$1921,B33)</x:f>
        <x:v>64</x:v>
      </x:c>
      <x:c r="E33" s="2" t="n">
        <x:f>C33-D33</x:f>
        <x:v>4</x:v>
      </x:c>
      <x:c r="F33" s="2" t="n">
        <x:f>ABS(E33)</x:f>
        <x:v>4</x:v>
      </x:c>
    </x:row>
    <x:row r="34" ht="23" customHeight="1">
      <x:c r="A34" s="2" t="str">
        <x:v>DEMO-102</x:v>
      </x:c>
      <x:c r="B34" s="2" t="n">
        <x:v>13</x:v>
      </x:c>
      <x:c r="C34" s="17" t="n">
        <x:f>SUMIFS('Synthetic Sales Data'!$K$2:$K$1921,'Synthetic Sales Data'!$D$2:$D$1921,A34,'Synthetic Sales Data'!$C$2:$C$1921,B34)</x:f>
        <x:v>59</x:v>
      </x:c>
      <x:c r="D34" s="17" t="n">
        <x:f>SUMIFS('Synthetic Sales Data'!$W$2:$W$1921,'Synthetic Sales Data'!$D$2:$D$1921,A34,'Synthetic Sales Data'!$C$2:$C$1921,B34)</x:f>
        <x:v>67</x:v>
      </x:c>
      <x:c r="E34" s="2" t="n">
        <x:f>C34-D34</x:f>
        <x:v>-8</x:v>
      </x:c>
      <x:c r="F34" s="2" t="n">
        <x:f>ABS(E34)</x:f>
        <x:v>8</x:v>
      </x:c>
    </x:row>
    <x:row r="35" ht="23" customHeight="1">
      <x:c r="A35" s="2" t="str">
        <x:v>DEMO-102</x:v>
      </x:c>
      <x:c r="B35" s="2" t="n">
        <x:v>14</x:v>
      </x:c>
      <x:c r="C35" s="17" t="n">
        <x:f>SUMIFS('Synthetic Sales Data'!$K$2:$K$1921,'Synthetic Sales Data'!$D$2:$D$1921,A35,'Synthetic Sales Data'!$C$2:$C$1921,B35)</x:f>
        <x:v>69</x:v>
      </x:c>
      <x:c r="D35" s="17" t="n">
        <x:f>SUMIFS('Synthetic Sales Data'!$W$2:$W$1921,'Synthetic Sales Data'!$D$2:$D$1921,A35,'Synthetic Sales Data'!$C$2:$C$1921,B35)</x:f>
        <x:v>64</x:v>
      </x:c>
      <x:c r="E35" s="2" t="n">
        <x:f>C35-D35</x:f>
        <x:v>5</x:v>
      </x:c>
      <x:c r="F35" s="2" t="n">
        <x:f>ABS(E35)</x:f>
        <x:v>5</x:v>
      </x:c>
    </x:row>
    <x:row r="36" ht="23" customHeight="1">
      <x:c r="A36" s="2" t="str">
        <x:v>DEMO-102</x:v>
      </x:c>
      <x:c r="B36" s="2" t="n">
        <x:v>15</x:v>
      </x:c>
      <x:c r="C36" s="17" t="n">
        <x:f>SUMIFS('Synthetic Sales Data'!$K$2:$K$1921,'Synthetic Sales Data'!$D$2:$D$1921,A36,'Synthetic Sales Data'!$C$2:$C$1921,B36)</x:f>
        <x:v>65</x:v>
      </x:c>
      <x:c r="D36" s="17" t="n">
        <x:f>SUMIFS('Synthetic Sales Data'!$W$2:$W$1921,'Synthetic Sales Data'!$D$2:$D$1921,A36,'Synthetic Sales Data'!$C$2:$C$1921,B36)</x:f>
        <x:v>65</x:v>
      </x:c>
      <x:c r="E36" s="2" t="n">
        <x:f>C36-D36</x:f>
        <x:v>0</x:v>
      </x:c>
      <x:c r="F36" s="2" t="n">
        <x:f>ABS(E36)</x:f>
        <x:v>0</x:v>
      </x:c>
    </x:row>
    <x:row r="37" ht="23" customHeight="1">
      <x:c r="A37" s="2" t="str">
        <x:v>DEMO-102</x:v>
      </x:c>
      <x:c r="B37" s="2" t="n">
        <x:v>16</x:v>
      </x:c>
      <x:c r="C37" s="17" t="n">
        <x:f>SUMIFS('Synthetic Sales Data'!$K$2:$K$1921,'Synthetic Sales Data'!$D$2:$D$1921,A37,'Synthetic Sales Data'!$C$2:$C$1921,B37)</x:f>
        <x:v>71</x:v>
      </x:c>
      <x:c r="D37" s="17" t="n">
        <x:f>SUMIFS('Synthetic Sales Data'!$W$2:$W$1921,'Synthetic Sales Data'!$D$2:$D$1921,A37,'Synthetic Sales Data'!$C$2:$C$1921,B37)</x:f>
        <x:v>66</x:v>
      </x:c>
      <x:c r="E37" s="2" t="n">
        <x:f>C37-D37</x:f>
        <x:v>5</x:v>
      </x:c>
      <x:c r="F37" s="2" t="n">
        <x:f>ABS(E37)</x:f>
        <x:v>5</x:v>
      </x:c>
    </x:row>
    <x:row r="38" ht="23" customHeight="1">
      <x:c r="A38" s="2" t="str">
        <x:v>DEMO-102</x:v>
      </x:c>
      <x:c r="B38" s="2" t="n">
        <x:v>17</x:v>
      </x:c>
      <x:c r="C38" s="17" t="n">
        <x:f>SUMIFS('Synthetic Sales Data'!$K$2:$K$1921,'Synthetic Sales Data'!$D$2:$D$1921,A38,'Synthetic Sales Data'!$C$2:$C$1921,B38)</x:f>
        <x:v>64</x:v>
      </x:c>
      <x:c r="D38" s="17" t="n">
        <x:f>SUMIFS('Synthetic Sales Data'!$W$2:$W$1921,'Synthetic Sales Data'!$D$2:$D$1921,A38,'Synthetic Sales Data'!$C$2:$C$1921,B38)</x:f>
        <x:v>66</x:v>
      </x:c>
      <x:c r="E38" s="2" t="n">
        <x:f>C38-D38</x:f>
        <x:v>-2</x:v>
      </x:c>
      <x:c r="F38" s="2" t="n">
        <x:f>ABS(E38)</x:f>
        <x:v>2</x:v>
      </x:c>
    </x:row>
    <x:row r="39" ht="23" customHeight="1">
      <x:c r="A39" s="2" t="str">
        <x:v>DEMO-102</x:v>
      </x:c>
      <x:c r="B39" s="2" t="n">
        <x:v>18</x:v>
      </x:c>
      <x:c r="C39" s="17" t="n">
        <x:f>SUMIFS('Synthetic Sales Data'!$K$2:$K$1921,'Synthetic Sales Data'!$D$2:$D$1921,A39,'Synthetic Sales Data'!$C$2:$C$1921,B39)</x:f>
        <x:v>64</x:v>
      </x:c>
      <x:c r="D39" s="17" t="n">
        <x:f>SUMIFS('Synthetic Sales Data'!$W$2:$W$1921,'Synthetic Sales Data'!$D$2:$D$1921,A39,'Synthetic Sales Data'!$C$2:$C$1921,B39)</x:f>
        <x:v>68</x:v>
      </x:c>
      <x:c r="E39" s="2" t="n">
        <x:f>C39-D39</x:f>
        <x:v>-4</x:v>
      </x:c>
      <x:c r="F39" s="2" t="n">
        <x:f>ABS(E39)</x:f>
        <x:v>4</x:v>
      </x:c>
    </x:row>
    <x:row r="40" ht="23" customHeight="1">
      <x:c r="A40" s="2" t="str">
        <x:v>DEMO-102</x:v>
      </x:c>
      <x:c r="B40" s="2" t="n">
        <x:v>19</x:v>
      </x:c>
      <x:c r="C40" s="17" t="n">
        <x:f>SUMIFS('Synthetic Sales Data'!$K$2:$K$1921,'Synthetic Sales Data'!$D$2:$D$1921,A40,'Synthetic Sales Data'!$C$2:$C$1921,B40)</x:f>
        <x:v>63</x:v>
      </x:c>
      <x:c r="D40" s="17" t="n">
        <x:f>SUMIFS('Synthetic Sales Data'!$W$2:$W$1921,'Synthetic Sales Data'!$D$2:$D$1921,A40,'Synthetic Sales Data'!$C$2:$C$1921,B40)</x:f>
        <x:v>66</x:v>
      </x:c>
      <x:c r="E40" s="2" t="n">
        <x:f>C40-D40</x:f>
        <x:v>-3</x:v>
      </x:c>
      <x:c r="F40" s="2" t="n">
        <x:f>ABS(E40)</x:f>
        <x:v>3</x:v>
      </x:c>
    </x:row>
    <x:row r="41" ht="23" customHeight="1">
      <x:c r="A41" s="2" t="str">
        <x:v>DEMO-102</x:v>
      </x:c>
      <x:c r="B41" s="2" t="n">
        <x:v>20</x:v>
      </x:c>
      <x:c r="C41" s="17" t="n">
        <x:f>SUMIFS('Synthetic Sales Data'!$K$2:$K$1921,'Synthetic Sales Data'!$D$2:$D$1921,A41,'Synthetic Sales Data'!$C$2:$C$1921,B41)</x:f>
        <x:v>70</x:v>
      </x:c>
      <x:c r="D41" s="17" t="n">
        <x:f>SUMIFS('Synthetic Sales Data'!$W$2:$W$1921,'Synthetic Sales Data'!$D$2:$D$1921,A41,'Synthetic Sales Data'!$C$2:$C$1921,B41)</x:f>
        <x:v>67</x:v>
      </x:c>
      <x:c r="E41" s="2" t="n">
        <x:f>C41-D41</x:f>
        <x:v>3</x:v>
      </x:c>
      <x:c r="F41" s="2" t="n">
        <x:f>ABS(E41)</x:f>
        <x:v>3</x:v>
      </x:c>
    </x:row>
    <x:row r="42" ht="23" customHeight="1">
      <x:c r="A42" s="2" t="str">
        <x:v>DEMO-103</x:v>
      </x:c>
      <x:c r="B42" s="2" t="n">
        <x:v>1</x:v>
      </x:c>
      <x:c r="C42" s="17" t="n">
        <x:f>SUMIFS('Synthetic Sales Data'!$K$2:$K$1921,'Synthetic Sales Data'!$D$2:$D$1921,A42,'Synthetic Sales Data'!$C$2:$C$1921,B42)</x:f>
        <x:v>81</x:v>
      </x:c>
      <x:c r="D42" s="17" t="n">
        <x:f>SUMIFS('Synthetic Sales Data'!$W$2:$W$1921,'Synthetic Sales Data'!$D$2:$D$1921,A42,'Synthetic Sales Data'!$C$2:$C$1921,B42)</x:f>
        <x:v>80</x:v>
      </x:c>
      <x:c r="E42" s="2" t="n">
        <x:f>C42-D42</x:f>
        <x:v>1</x:v>
      </x:c>
      <x:c r="F42" s="2" t="n">
        <x:f>ABS(E42)</x:f>
        <x:v>1</x:v>
      </x:c>
    </x:row>
    <x:row r="43" ht="23" customHeight="1">
      <x:c r="A43" s="2" t="str">
        <x:v>DEMO-103</x:v>
      </x:c>
      <x:c r="B43" s="2" t="n">
        <x:v>2</x:v>
      </x:c>
      <x:c r="C43" s="17" t="n">
        <x:f>SUMIFS('Synthetic Sales Data'!$K$2:$K$1921,'Synthetic Sales Data'!$D$2:$D$1921,A43,'Synthetic Sales Data'!$C$2:$C$1921,B43)</x:f>
        <x:v>83</x:v>
      </x:c>
      <x:c r="D43" s="17" t="n">
        <x:f>SUMIFS('Synthetic Sales Data'!$W$2:$W$1921,'Synthetic Sales Data'!$D$2:$D$1921,A43,'Synthetic Sales Data'!$C$2:$C$1921,B43)</x:f>
        <x:v>81</x:v>
      </x:c>
      <x:c r="E43" s="2" t="n">
        <x:f>C43-D43</x:f>
        <x:v>2</x:v>
      </x:c>
      <x:c r="F43" s="2" t="n">
        <x:f>ABS(E43)</x:f>
        <x:v>2</x:v>
      </x:c>
    </x:row>
    <x:row r="44" ht="23" customHeight="1">
      <x:c r="A44" s="2" t="str">
        <x:v>DEMO-103</x:v>
      </x:c>
      <x:c r="B44" s="2" t="n">
        <x:v>3</x:v>
      </x:c>
      <x:c r="C44" s="17" t="n">
        <x:f>SUMIFS('Synthetic Sales Data'!$K$2:$K$1921,'Synthetic Sales Data'!$D$2:$D$1921,A44,'Synthetic Sales Data'!$C$2:$C$1921,B44)</x:f>
        <x:v>84</x:v>
      </x:c>
      <x:c r="D44" s="17" t="n">
        <x:f>SUMIFS('Synthetic Sales Data'!$W$2:$W$1921,'Synthetic Sales Data'!$D$2:$D$1921,A44,'Synthetic Sales Data'!$C$2:$C$1921,B44)</x:f>
        <x:v>83</x:v>
      </x:c>
      <x:c r="E44" s="2" t="n">
        <x:f>C44-D44</x:f>
        <x:v>1</x:v>
      </x:c>
      <x:c r="F44" s="2" t="n">
        <x:f>ABS(E44)</x:f>
        <x:v>1</x:v>
      </x:c>
    </x:row>
    <x:row r="45" ht="23" customHeight="1">
      <x:c r="A45" s="2" t="str">
        <x:v>DEMO-103</x:v>
      </x:c>
      <x:c r="B45" s="2" t="n">
        <x:v>4</x:v>
      </x:c>
      <x:c r="C45" s="17" t="n">
        <x:f>SUMIFS('Synthetic Sales Data'!$K$2:$K$1921,'Synthetic Sales Data'!$D$2:$D$1921,A45,'Synthetic Sales Data'!$C$2:$C$1921,B45)</x:f>
        <x:v>80</x:v>
      </x:c>
      <x:c r="D45" s="17" t="n">
        <x:f>SUMIFS('Synthetic Sales Data'!$W$2:$W$1921,'Synthetic Sales Data'!$D$2:$D$1921,A45,'Synthetic Sales Data'!$C$2:$C$1921,B45)</x:f>
        <x:v>83</x:v>
      </x:c>
      <x:c r="E45" s="2" t="n">
        <x:f>C45-D45</x:f>
        <x:v>-3</x:v>
      </x:c>
      <x:c r="F45" s="2" t="n">
        <x:f>ABS(E45)</x:f>
        <x:v>3</x:v>
      </x:c>
    </x:row>
    <x:row r="46" ht="23" customHeight="1">
      <x:c r="A46" s="2" t="str">
        <x:v>DEMO-103</x:v>
      </x:c>
      <x:c r="B46" s="2" t="n">
        <x:v>5</x:v>
      </x:c>
      <x:c r="C46" s="17" t="n">
        <x:f>SUMIFS('Synthetic Sales Data'!$K$2:$K$1921,'Synthetic Sales Data'!$D$2:$D$1921,A46,'Synthetic Sales Data'!$C$2:$C$1921,B46)</x:f>
        <x:v>77</x:v>
      </x:c>
      <x:c r="D46" s="17" t="n">
        <x:f>SUMIFS('Synthetic Sales Data'!$W$2:$W$1921,'Synthetic Sales Data'!$D$2:$D$1921,A46,'Synthetic Sales Data'!$C$2:$C$1921,B46)</x:f>
        <x:v>82</x:v>
      </x:c>
      <x:c r="E46" s="2" t="n">
        <x:f>C46-D46</x:f>
        <x:v>-5</x:v>
      </x:c>
      <x:c r="F46" s="2" t="n">
        <x:f>ABS(E46)</x:f>
        <x:v>5</x:v>
      </x:c>
    </x:row>
    <x:row r="47" ht="23" customHeight="1">
      <x:c r="A47" s="2" t="str">
        <x:v>DEMO-103</x:v>
      </x:c>
      <x:c r="B47" s="2" t="n">
        <x:v>6</x:v>
      </x:c>
      <x:c r="C47" s="17" t="n">
        <x:f>SUMIFS('Synthetic Sales Data'!$K$2:$K$1921,'Synthetic Sales Data'!$D$2:$D$1921,A47,'Synthetic Sales Data'!$C$2:$C$1921,B47)</x:f>
        <x:v>85</x:v>
      </x:c>
      <x:c r="D47" s="17" t="n">
        <x:f>SUMIFS('Synthetic Sales Data'!$W$2:$W$1921,'Synthetic Sales Data'!$D$2:$D$1921,A47,'Synthetic Sales Data'!$C$2:$C$1921,B47)</x:f>
        <x:v>81</x:v>
      </x:c>
      <x:c r="E47" s="2" t="n">
        <x:f>C47-D47</x:f>
        <x:v>4</x:v>
      </x:c>
      <x:c r="F47" s="2" t="n">
        <x:f>ABS(E47)</x:f>
        <x:v>4</x:v>
      </x:c>
    </x:row>
    <x:row r="48" ht="23" customHeight="1">
      <x:c r="A48" s="2" t="str">
        <x:v>DEMO-103</x:v>
      </x:c>
      <x:c r="B48" s="2" t="n">
        <x:v>7</x:v>
      </x:c>
      <x:c r="C48" s="17" t="n">
        <x:f>SUMIFS('Synthetic Sales Data'!$K$2:$K$1921,'Synthetic Sales Data'!$D$2:$D$1921,A48,'Synthetic Sales Data'!$C$2:$C$1921,B48)</x:f>
        <x:v>75</x:v>
      </x:c>
      <x:c r="D48" s="17" t="n">
        <x:f>SUMIFS('Synthetic Sales Data'!$W$2:$W$1921,'Synthetic Sales Data'!$D$2:$D$1921,A48,'Synthetic Sales Data'!$C$2:$C$1921,B48)</x:f>
        <x:v>82</x:v>
      </x:c>
      <x:c r="E48" s="2" t="n">
        <x:f>C48-D48</x:f>
        <x:v>-7</x:v>
      </x:c>
      <x:c r="F48" s="2" t="n">
        <x:f>ABS(E48)</x:f>
        <x:v>7</x:v>
      </x:c>
    </x:row>
    <x:row r="49" ht="23" customHeight="1">
      <x:c r="A49" s="2" t="str">
        <x:v>DEMO-103</x:v>
      </x:c>
      <x:c r="B49" s="2" t="n">
        <x:v>8</x:v>
      </x:c>
      <x:c r="C49" s="17" t="n">
        <x:f>SUMIFS('Synthetic Sales Data'!$K$2:$K$1921,'Synthetic Sales Data'!$D$2:$D$1921,A49,'Synthetic Sales Data'!$C$2:$C$1921,B49)</x:f>
        <x:v>67</x:v>
      </x:c>
      <x:c r="D49" s="17" t="n">
        <x:f>SUMIFS('Synthetic Sales Data'!$W$2:$W$1921,'Synthetic Sales Data'!$D$2:$D$1921,A49,'Synthetic Sales Data'!$C$2:$C$1921,B49)</x:f>
        <x:v>80</x:v>
      </x:c>
      <x:c r="E49" s="2" t="n">
        <x:f>C49-D49</x:f>
        <x:v>-13</x:v>
      </x:c>
      <x:c r="F49" s="2" t="n">
        <x:f>ABS(E49)</x:f>
        <x:v>13</x:v>
      </x:c>
    </x:row>
    <x:row r="50" ht="23" customHeight="1">
      <x:c r="A50" s="2" t="str">
        <x:v>DEMO-103</x:v>
      </x:c>
      <x:c r="B50" s="2" t="n">
        <x:v>9</x:v>
      </x:c>
      <x:c r="C50" s="17" t="n">
        <x:f>SUMIFS('Synthetic Sales Data'!$K$2:$K$1921,'Synthetic Sales Data'!$D$2:$D$1921,A50,'Synthetic Sales Data'!$C$2:$C$1921,B50)</x:f>
        <x:v>88</x:v>
      </x:c>
      <x:c r="D50" s="17" t="n">
        <x:f>SUMIFS('Synthetic Sales Data'!$W$2:$W$1921,'Synthetic Sales Data'!$D$2:$D$1921,A50,'Synthetic Sales Data'!$C$2:$C$1921,B50)</x:f>
        <x:v>77</x:v>
      </x:c>
      <x:c r="E50" s="2" t="n">
        <x:f>C50-D50</x:f>
        <x:v>11</x:v>
      </x:c>
      <x:c r="F50" s="2" t="n">
        <x:f>ABS(E50)</x:f>
        <x:v>11</x:v>
      </x:c>
    </x:row>
    <x:row r="51" ht="23" customHeight="1">
      <x:c r="A51" s="2" t="str">
        <x:v>DEMO-103</x:v>
      </x:c>
      <x:c r="B51" s="2" t="n">
        <x:v>10</x:v>
      </x:c>
      <x:c r="C51" s="17" t="n">
        <x:f>SUMIFS('Synthetic Sales Data'!$K$2:$K$1921,'Synthetic Sales Data'!$D$2:$D$1921,A51,'Synthetic Sales Data'!$C$2:$C$1921,B51)</x:f>
        <x:v>81</x:v>
      </x:c>
      <x:c r="D51" s="17" t="n">
        <x:f>SUMIFS('Synthetic Sales Data'!$W$2:$W$1921,'Synthetic Sales Data'!$D$2:$D$1921,A51,'Synthetic Sales Data'!$C$2:$C$1921,B51)</x:f>
        <x:v>80</x:v>
      </x:c>
      <x:c r="E51" s="2" t="n">
        <x:f>C51-D51</x:f>
        <x:v>1</x:v>
      </x:c>
      <x:c r="F51" s="2" t="n">
        <x:f>ABS(E51)</x:f>
        <x:v>1</x:v>
      </x:c>
    </x:row>
    <x:row r="52" ht="23" customHeight="1">
      <x:c r="A52" s="2" t="str">
        <x:v>DEMO-103</x:v>
      </x:c>
      <x:c r="B52" s="2" t="n">
        <x:v>11</x:v>
      </x:c>
      <x:c r="C52" s="17" t="n">
        <x:f>SUMIFS('Synthetic Sales Data'!$K$2:$K$1921,'Synthetic Sales Data'!$D$2:$D$1921,A52,'Synthetic Sales Data'!$C$2:$C$1921,B52)</x:f>
        <x:v>86</x:v>
      </x:c>
      <x:c r="D52" s="17" t="n">
        <x:f>SUMIFS('Synthetic Sales Data'!$W$2:$W$1921,'Synthetic Sales Data'!$D$2:$D$1921,A52,'Synthetic Sales Data'!$C$2:$C$1921,B52)</x:f>
        <x:v>79</x:v>
      </x:c>
      <x:c r="E52" s="2" t="n">
        <x:f>C52-D52</x:f>
        <x:v>7</x:v>
      </x:c>
      <x:c r="F52" s="2" t="n">
        <x:f>ABS(E52)</x:f>
        <x:v>7</x:v>
      </x:c>
    </x:row>
    <x:row r="53" ht="23" customHeight="1">
      <x:c r="A53" s="2" t="str">
        <x:v>DEMO-103</x:v>
      </x:c>
      <x:c r="B53" s="2" t="n">
        <x:v>12</x:v>
      </x:c>
      <x:c r="C53" s="17" t="n">
        <x:f>SUMIFS('Synthetic Sales Data'!$K$2:$K$1921,'Synthetic Sales Data'!$D$2:$D$1921,A53,'Synthetic Sales Data'!$C$2:$C$1921,B53)</x:f>
        <x:v>80</x:v>
      </x:c>
      <x:c r="D53" s="17" t="n">
        <x:f>SUMIFS('Synthetic Sales Data'!$W$2:$W$1921,'Synthetic Sales Data'!$D$2:$D$1921,A53,'Synthetic Sales Data'!$C$2:$C$1921,B53)</x:f>
        <x:v>80</x:v>
      </x:c>
      <x:c r="E53" s="2" t="n">
        <x:f>C53-D53</x:f>
        <x:v>0</x:v>
      </x:c>
      <x:c r="F53" s="2" t="n">
        <x:f>ABS(E53)</x:f>
        <x:v>0</x:v>
      </x:c>
    </x:row>
    <x:row r="54" ht="23" customHeight="1">
      <x:c r="A54" s="2" t="str">
        <x:v>DEMO-103</x:v>
      </x:c>
      <x:c r="B54" s="2" t="n">
        <x:v>13</x:v>
      </x:c>
      <x:c r="C54" s="17" t="n">
        <x:f>SUMIFS('Synthetic Sales Data'!$K$2:$K$1921,'Synthetic Sales Data'!$D$2:$D$1921,A54,'Synthetic Sales Data'!$C$2:$C$1921,B54)</x:f>
        <x:v>76</x:v>
      </x:c>
      <x:c r="D54" s="17" t="n">
        <x:f>SUMIFS('Synthetic Sales Data'!$W$2:$W$1921,'Synthetic Sales Data'!$D$2:$D$1921,A54,'Synthetic Sales Data'!$C$2:$C$1921,B54)</x:f>
        <x:v>84</x:v>
      </x:c>
      <x:c r="E54" s="2" t="n">
        <x:f>C54-D54</x:f>
        <x:v>-8</x:v>
      </x:c>
      <x:c r="F54" s="2" t="n">
        <x:f>ABS(E54)</x:f>
        <x:v>8</x:v>
      </x:c>
    </x:row>
    <x:row r="55" ht="23" customHeight="1">
      <x:c r="A55" s="2" t="str">
        <x:v>DEMO-103</x:v>
      </x:c>
      <x:c r="B55" s="2" t="n">
        <x:v>14</x:v>
      </x:c>
      <x:c r="C55" s="17" t="n">
        <x:f>SUMIFS('Synthetic Sales Data'!$K$2:$K$1921,'Synthetic Sales Data'!$D$2:$D$1921,A55,'Synthetic Sales Data'!$C$2:$C$1921,B55)</x:f>
        <x:v>79</x:v>
      </x:c>
      <x:c r="D55" s="17" t="n">
        <x:f>SUMIFS('Synthetic Sales Data'!$W$2:$W$1921,'Synthetic Sales Data'!$D$2:$D$1921,A55,'Synthetic Sales Data'!$C$2:$C$1921,B55)</x:f>
        <x:v>82</x:v>
      </x:c>
      <x:c r="E55" s="2" t="n">
        <x:f>C55-D55</x:f>
        <x:v>-3</x:v>
      </x:c>
      <x:c r="F55" s="2" t="n">
        <x:f>ABS(E55)</x:f>
        <x:v>3</x:v>
      </x:c>
    </x:row>
    <x:row r="56" ht="23" customHeight="1">
      <x:c r="A56" s="2" t="str">
        <x:v>DEMO-103</x:v>
      </x:c>
      <x:c r="B56" s="2" t="n">
        <x:v>15</x:v>
      </x:c>
      <x:c r="C56" s="17" t="n">
        <x:f>SUMIFS('Synthetic Sales Data'!$K$2:$K$1921,'Synthetic Sales Data'!$D$2:$D$1921,A56,'Synthetic Sales Data'!$C$2:$C$1921,B56)</x:f>
        <x:v>71</x:v>
      </x:c>
      <x:c r="D56" s="17" t="n">
        <x:f>SUMIFS('Synthetic Sales Data'!$W$2:$W$1921,'Synthetic Sales Data'!$D$2:$D$1921,A56,'Synthetic Sales Data'!$C$2:$C$1921,B56)</x:f>
        <x:v>81</x:v>
      </x:c>
      <x:c r="E56" s="2" t="n">
        <x:f>C56-D56</x:f>
        <x:v>-10</x:v>
      </x:c>
      <x:c r="F56" s="2" t="n">
        <x:f>ABS(E56)</x:f>
        <x:v>10</x:v>
      </x:c>
    </x:row>
    <x:row r="57" ht="23" customHeight="1">
      <x:c r="A57" s="2" t="str">
        <x:v>DEMO-103</x:v>
      </x:c>
      <x:c r="B57" s="2" t="n">
        <x:v>16</x:v>
      </x:c>
      <x:c r="C57" s="17" t="n">
        <x:f>SUMIFS('Synthetic Sales Data'!$K$2:$K$1921,'Synthetic Sales Data'!$D$2:$D$1921,A57,'Synthetic Sales Data'!$C$2:$C$1921,B57)</x:f>
        <x:v>80</x:v>
      </x:c>
      <x:c r="D57" s="17" t="n">
        <x:f>SUMIFS('Synthetic Sales Data'!$W$2:$W$1921,'Synthetic Sales Data'!$D$2:$D$1921,A57,'Synthetic Sales Data'!$C$2:$C$1921,B57)</x:f>
        <x:v>77</x:v>
      </x:c>
      <x:c r="E57" s="2" t="n">
        <x:f>C57-D57</x:f>
        <x:v>3</x:v>
      </x:c>
      <x:c r="F57" s="2" t="n">
        <x:f>ABS(E57)</x:f>
        <x:v>3</x:v>
      </x:c>
    </x:row>
    <x:row r="58" ht="23" customHeight="1">
      <x:c r="A58" s="2" t="str">
        <x:v>DEMO-103</x:v>
      </x:c>
      <x:c r="B58" s="2" t="n">
        <x:v>17</x:v>
      </x:c>
      <x:c r="C58" s="17" t="n">
        <x:f>SUMIFS('Synthetic Sales Data'!$K$2:$K$1921,'Synthetic Sales Data'!$D$2:$D$1921,A58,'Synthetic Sales Data'!$C$2:$C$1921,B58)</x:f>
        <x:v>82</x:v>
      </x:c>
      <x:c r="D58" s="17" t="n">
        <x:f>SUMIFS('Synthetic Sales Data'!$W$2:$W$1921,'Synthetic Sales Data'!$D$2:$D$1921,A58,'Synthetic Sales Data'!$C$2:$C$1921,B58)</x:f>
        <x:v>76</x:v>
      </x:c>
      <x:c r="E58" s="2" t="n">
        <x:f>C58-D58</x:f>
        <x:v>6</x:v>
      </x:c>
      <x:c r="F58" s="2" t="n">
        <x:f>ABS(E58)</x:f>
        <x:v>6</x:v>
      </x:c>
    </x:row>
    <x:row r="59" ht="23" customHeight="1">
      <x:c r="A59" s="2" t="str">
        <x:v>DEMO-103</x:v>
      </x:c>
      <x:c r="B59" s="2" t="n">
        <x:v>18</x:v>
      </x:c>
      <x:c r="C59" s="17" t="n">
        <x:f>SUMIFS('Synthetic Sales Data'!$K$2:$K$1921,'Synthetic Sales Data'!$D$2:$D$1921,A59,'Synthetic Sales Data'!$C$2:$C$1921,B59)</x:f>
        <x:v>73</x:v>
      </x:c>
      <x:c r="D59" s="17" t="n">
        <x:f>SUMIFS('Synthetic Sales Data'!$W$2:$W$1921,'Synthetic Sales Data'!$D$2:$D$1921,A59,'Synthetic Sales Data'!$C$2:$C$1921,B59)</x:f>
        <x:v>79</x:v>
      </x:c>
      <x:c r="E59" s="2" t="n">
        <x:f>C59-D59</x:f>
        <x:v>-6</x:v>
      </x:c>
      <x:c r="F59" s="2" t="n">
        <x:f>ABS(E59)</x:f>
        <x:v>6</x:v>
      </x:c>
    </x:row>
    <x:row r="60" ht="23" customHeight="1">
      <x:c r="A60" s="2" t="str">
        <x:v>DEMO-103</x:v>
      </x:c>
      <x:c r="B60" s="2" t="n">
        <x:v>19</x:v>
      </x:c>
      <x:c r="C60" s="17" t="n">
        <x:f>SUMIFS('Synthetic Sales Data'!$K$2:$K$1921,'Synthetic Sales Data'!$D$2:$D$1921,A60,'Synthetic Sales Data'!$C$2:$C$1921,B60)</x:f>
        <x:v>83</x:v>
      </x:c>
      <x:c r="D60" s="17" t="n">
        <x:f>SUMIFS('Synthetic Sales Data'!$W$2:$W$1921,'Synthetic Sales Data'!$D$2:$D$1921,A60,'Synthetic Sales Data'!$C$2:$C$1921,B60)</x:f>
        <x:v>78</x:v>
      </x:c>
      <x:c r="E60" s="2" t="n">
        <x:f>C60-D60</x:f>
        <x:v>5</x:v>
      </x:c>
      <x:c r="F60" s="2" t="n">
        <x:f>ABS(E60)</x:f>
        <x:v>5</x:v>
      </x:c>
    </x:row>
    <x:row r="61" ht="23" customHeight="1">
      <x:c r="A61" s="2" t="str">
        <x:v>DEMO-103</x:v>
      </x:c>
      <x:c r="B61" s="2" t="n">
        <x:v>20</x:v>
      </x:c>
      <x:c r="C61" s="17" t="n">
        <x:f>SUMIFS('Synthetic Sales Data'!$K$2:$K$1921,'Synthetic Sales Data'!$D$2:$D$1921,A61,'Synthetic Sales Data'!$C$2:$C$1921,B61)</x:f>
        <x:v>78</x:v>
      </x:c>
      <x:c r="D61" s="17" t="n">
        <x:f>SUMIFS('Synthetic Sales Data'!$W$2:$W$1921,'Synthetic Sales Data'!$D$2:$D$1921,A61,'Synthetic Sales Data'!$C$2:$C$1921,B61)</x:f>
        <x:v>81</x:v>
      </x:c>
      <x:c r="E61" s="2" t="n">
        <x:f>C61-D61</x:f>
        <x:v>-3</x:v>
      </x:c>
      <x:c r="F61" s="2" t="n">
        <x:f>ABS(E61)</x:f>
        <x:v>3</x:v>
      </x:c>
    </x:row>
    <x:row r="62" ht="23" customHeight="1">
      <x:c r="A62" s="2" t="str">
        <x:v>DEMO-104</x:v>
      </x:c>
      <x:c r="B62" s="2" t="n">
        <x:v>1</x:v>
      </x:c>
      <x:c r="C62" s="17" t="n">
        <x:f>SUMIFS('Synthetic Sales Data'!$K$2:$K$1921,'Synthetic Sales Data'!$D$2:$D$1921,A62,'Synthetic Sales Data'!$C$2:$C$1921,B62)</x:f>
        <x:v>36</x:v>
      </x:c>
      <x:c r="D62" s="17" t="n">
        <x:f>SUMIFS('Synthetic Sales Data'!$W$2:$W$1921,'Synthetic Sales Data'!$D$2:$D$1921,A62,'Synthetic Sales Data'!$C$2:$C$1921,B62)</x:f>
        <x:v>38</x:v>
      </x:c>
      <x:c r="E62" s="2" t="n">
        <x:f>C62-D62</x:f>
        <x:v>-2</x:v>
      </x:c>
      <x:c r="F62" s="2" t="n">
        <x:f>ABS(E62)</x:f>
        <x:v>2</x:v>
      </x:c>
    </x:row>
    <x:row r="63" ht="23" customHeight="1">
      <x:c r="A63" s="2" t="str">
        <x:v>DEMO-104</x:v>
      </x:c>
      <x:c r="B63" s="2" t="n">
        <x:v>2</x:v>
      </x:c>
      <x:c r="C63" s="17" t="n">
        <x:f>SUMIFS('Synthetic Sales Data'!$K$2:$K$1921,'Synthetic Sales Data'!$D$2:$D$1921,A63,'Synthetic Sales Data'!$C$2:$C$1921,B63)</x:f>
        <x:v>36</x:v>
      </x:c>
      <x:c r="D63" s="17" t="n">
        <x:f>SUMIFS('Synthetic Sales Data'!$W$2:$W$1921,'Synthetic Sales Data'!$D$2:$D$1921,A63,'Synthetic Sales Data'!$C$2:$C$1921,B63)</x:f>
        <x:v>36</x:v>
      </x:c>
      <x:c r="E63" s="2" t="n">
        <x:f>C63-D63</x:f>
        <x:v>0</x:v>
      </x:c>
      <x:c r="F63" s="2" t="n">
        <x:f>ABS(E63)</x:f>
        <x:v>0</x:v>
      </x:c>
    </x:row>
    <x:row r="64" ht="23" customHeight="1">
      <x:c r="A64" s="2" t="str">
        <x:v>DEMO-104</x:v>
      </x:c>
      <x:c r="B64" s="2" t="n">
        <x:v>3</x:v>
      </x:c>
      <x:c r="C64" s="17" t="n">
        <x:f>SUMIFS('Synthetic Sales Data'!$K$2:$K$1921,'Synthetic Sales Data'!$D$2:$D$1921,A64,'Synthetic Sales Data'!$C$2:$C$1921,B64)</x:f>
        <x:v>38</x:v>
      </x:c>
      <x:c r="D64" s="17" t="n">
        <x:f>SUMIFS('Synthetic Sales Data'!$W$2:$W$1921,'Synthetic Sales Data'!$D$2:$D$1921,A64,'Synthetic Sales Data'!$C$2:$C$1921,B64)</x:f>
        <x:v>38</x:v>
      </x:c>
      <x:c r="E64" s="2" t="n">
        <x:f>C64-D64</x:f>
        <x:v>0</x:v>
      </x:c>
      <x:c r="F64" s="2" t="n">
        <x:f>ABS(E64)</x:f>
        <x:v>0</x:v>
      </x:c>
    </x:row>
    <x:row r="65" ht="23" customHeight="1">
      <x:c r="A65" s="2" t="str">
        <x:v>DEMO-104</x:v>
      </x:c>
      <x:c r="B65" s="2" t="n">
        <x:v>4</x:v>
      </x:c>
      <x:c r="C65" s="17" t="n">
        <x:f>SUMIFS('Synthetic Sales Data'!$K$2:$K$1921,'Synthetic Sales Data'!$D$2:$D$1921,A65,'Synthetic Sales Data'!$C$2:$C$1921,B65)</x:f>
        <x:v>41</x:v>
      </x:c>
      <x:c r="D65" s="17" t="n">
        <x:f>SUMIFS('Synthetic Sales Data'!$W$2:$W$1921,'Synthetic Sales Data'!$D$2:$D$1921,A65,'Synthetic Sales Data'!$C$2:$C$1921,B65)</x:f>
        <x:v>36</x:v>
      </x:c>
      <x:c r="E65" s="2" t="n">
        <x:f>C65-D65</x:f>
        <x:v>5</x:v>
      </x:c>
      <x:c r="F65" s="2" t="n">
        <x:f>ABS(E65)</x:f>
        <x:v>5</x:v>
      </x:c>
    </x:row>
    <x:row r="66" ht="23" customHeight="1">
      <x:c r="A66" s="2" t="str">
        <x:v>DEMO-104</x:v>
      </x:c>
      <x:c r="B66" s="2" t="n">
        <x:v>5</x:v>
      </x:c>
      <x:c r="C66" s="17" t="n">
        <x:f>SUMIFS('Synthetic Sales Data'!$K$2:$K$1921,'Synthetic Sales Data'!$D$2:$D$1921,A66,'Synthetic Sales Data'!$C$2:$C$1921,B66)</x:f>
        <x:v>36</x:v>
      </x:c>
      <x:c r="D66" s="17" t="n">
        <x:f>SUMIFS('Synthetic Sales Data'!$W$2:$W$1921,'Synthetic Sales Data'!$D$2:$D$1921,A66,'Synthetic Sales Data'!$C$2:$C$1921,B66)</x:f>
        <x:v>38</x:v>
      </x:c>
      <x:c r="E66" s="2" t="n">
        <x:f>C66-D66</x:f>
        <x:v>-2</x:v>
      </x:c>
      <x:c r="F66" s="2" t="n">
        <x:f>ABS(E66)</x:f>
        <x:v>2</x:v>
      </x:c>
    </x:row>
    <x:row r="67" ht="23" customHeight="1">
      <x:c r="A67" s="2" t="str">
        <x:v>DEMO-104</x:v>
      </x:c>
      <x:c r="B67" s="2" t="n">
        <x:v>6</x:v>
      </x:c>
      <x:c r="C67" s="17" t="n">
        <x:f>SUMIFS('Synthetic Sales Data'!$K$2:$K$1921,'Synthetic Sales Data'!$D$2:$D$1921,A67,'Synthetic Sales Data'!$C$2:$C$1921,B67)</x:f>
        <x:v>39</x:v>
      </x:c>
      <x:c r="D67" s="17" t="n">
        <x:f>SUMIFS('Synthetic Sales Data'!$W$2:$W$1921,'Synthetic Sales Data'!$D$2:$D$1921,A67,'Synthetic Sales Data'!$C$2:$C$1921,B67)</x:f>
        <x:v>39</x:v>
      </x:c>
      <x:c r="E67" s="2" t="n">
        <x:f>C67-D67</x:f>
        <x:v>0</x:v>
      </x:c>
      <x:c r="F67" s="2" t="n">
        <x:f>ABS(E67)</x:f>
        <x:v>0</x:v>
      </x:c>
    </x:row>
    <x:row r="68" ht="23" customHeight="1">
      <x:c r="A68" s="2" t="str">
        <x:v>DEMO-104</x:v>
      </x:c>
      <x:c r="B68" s="2" t="n">
        <x:v>7</x:v>
      </x:c>
      <x:c r="C68" s="17" t="n">
        <x:f>SUMIFS('Synthetic Sales Data'!$K$2:$K$1921,'Synthetic Sales Data'!$D$2:$D$1921,A68,'Synthetic Sales Data'!$C$2:$C$1921,B68)</x:f>
        <x:v>37</x:v>
      </x:c>
      <x:c r="D68" s="17" t="n">
        <x:f>SUMIFS('Synthetic Sales Data'!$W$2:$W$1921,'Synthetic Sales Data'!$D$2:$D$1921,A68,'Synthetic Sales Data'!$C$2:$C$1921,B68)</x:f>
        <x:v>39</x:v>
      </x:c>
      <x:c r="E68" s="2" t="n">
        <x:f>C68-D68</x:f>
        <x:v>-2</x:v>
      </x:c>
      <x:c r="F68" s="2" t="n">
        <x:f>ABS(E68)</x:f>
        <x:v>2</x:v>
      </x:c>
    </x:row>
    <x:row r="69" ht="23" customHeight="1">
      <x:c r="A69" s="2" t="str">
        <x:v>DEMO-104</x:v>
      </x:c>
      <x:c r="B69" s="2" t="n">
        <x:v>8</x:v>
      </x:c>
      <x:c r="C69" s="17" t="n">
        <x:f>SUMIFS('Synthetic Sales Data'!$K$2:$K$1921,'Synthetic Sales Data'!$D$2:$D$1921,A69,'Synthetic Sales Data'!$C$2:$C$1921,B69)</x:f>
        <x:v>33</x:v>
      </x:c>
      <x:c r="D69" s="17" t="n">
        <x:f>SUMIFS('Synthetic Sales Data'!$W$2:$W$1921,'Synthetic Sales Data'!$D$2:$D$1921,A69,'Synthetic Sales Data'!$C$2:$C$1921,B69)</x:f>
        <x:v>38</x:v>
      </x:c>
      <x:c r="E69" s="2" t="n">
        <x:f>C69-D69</x:f>
        <x:v>-5</x:v>
      </x:c>
      <x:c r="F69" s="2" t="n">
        <x:f>ABS(E69)</x:f>
        <x:v>5</x:v>
      </x:c>
    </x:row>
    <x:row r="70" ht="23" customHeight="1">
      <x:c r="A70" s="2" t="str">
        <x:v>DEMO-104</x:v>
      </x:c>
      <x:c r="B70" s="2" t="n">
        <x:v>9</x:v>
      </x:c>
      <x:c r="C70" s="17" t="n">
        <x:f>SUMIFS('Synthetic Sales Data'!$K$2:$K$1921,'Synthetic Sales Data'!$D$2:$D$1921,A70,'Synthetic Sales Data'!$C$2:$C$1921,B70)</x:f>
        <x:v>39</x:v>
      </x:c>
      <x:c r="D70" s="17" t="n">
        <x:f>SUMIFS('Synthetic Sales Data'!$W$2:$W$1921,'Synthetic Sales Data'!$D$2:$D$1921,A70,'Synthetic Sales Data'!$C$2:$C$1921,B70)</x:f>
        <x:v>36</x:v>
      </x:c>
      <x:c r="E70" s="2" t="n">
        <x:f>C70-D70</x:f>
        <x:v>3</x:v>
      </x:c>
      <x:c r="F70" s="2" t="n">
        <x:f>ABS(E70)</x:f>
        <x:v>3</x:v>
      </x:c>
    </x:row>
    <x:row r="71" ht="23" customHeight="1">
      <x:c r="A71" s="2" t="str">
        <x:v>DEMO-104</x:v>
      </x:c>
      <x:c r="B71" s="2" t="n">
        <x:v>10</x:v>
      </x:c>
      <x:c r="C71" s="17" t="n">
        <x:f>SUMIFS('Synthetic Sales Data'!$K$2:$K$1921,'Synthetic Sales Data'!$D$2:$D$1921,A71,'Synthetic Sales Data'!$C$2:$C$1921,B71)</x:f>
        <x:v>37</x:v>
      </x:c>
      <x:c r="D71" s="17" t="n">
        <x:f>SUMIFS('Synthetic Sales Data'!$W$2:$W$1921,'Synthetic Sales Data'!$D$2:$D$1921,A71,'Synthetic Sales Data'!$C$2:$C$1921,B71)</x:f>
        <x:v>38</x:v>
      </x:c>
      <x:c r="E71" s="2" t="n">
        <x:f>C71-D71</x:f>
        <x:v>-1</x:v>
      </x:c>
      <x:c r="F71" s="2" t="n">
        <x:f>ABS(E71)</x:f>
        <x:v>1</x:v>
      </x:c>
    </x:row>
    <x:row r="72" ht="23" customHeight="1">
      <x:c r="A72" s="2" t="str">
        <x:v>DEMO-104</x:v>
      </x:c>
      <x:c r="B72" s="2" t="n">
        <x:v>11</x:v>
      </x:c>
      <x:c r="C72" s="17" t="n">
        <x:f>SUMIFS('Synthetic Sales Data'!$K$2:$K$1921,'Synthetic Sales Data'!$D$2:$D$1921,A72,'Synthetic Sales Data'!$C$2:$C$1921,B72)</x:f>
        <x:v>42</x:v>
      </x:c>
      <x:c r="D72" s="17" t="n">
        <x:f>SUMIFS('Synthetic Sales Data'!$W$2:$W$1921,'Synthetic Sales Data'!$D$2:$D$1921,A72,'Synthetic Sales Data'!$C$2:$C$1921,B72)</x:f>
        <x:v>37</x:v>
      </x:c>
      <x:c r="E72" s="2" t="n">
        <x:f>C72-D72</x:f>
        <x:v>5</x:v>
      </x:c>
      <x:c r="F72" s="2" t="n">
        <x:f>ABS(E72)</x:f>
        <x:v>5</x:v>
      </x:c>
    </x:row>
    <x:row r="73" ht="23" customHeight="1">
      <x:c r="A73" s="2" t="str">
        <x:v>DEMO-104</x:v>
      </x:c>
      <x:c r="B73" s="2" t="n">
        <x:v>12</x:v>
      </x:c>
      <x:c r="C73" s="17" t="n">
        <x:f>SUMIFS('Synthetic Sales Data'!$K$2:$K$1921,'Synthetic Sales Data'!$D$2:$D$1921,A73,'Synthetic Sales Data'!$C$2:$C$1921,B73)</x:f>
        <x:v>35</x:v>
      </x:c>
      <x:c r="D73" s="17" t="n">
        <x:f>SUMIFS('Synthetic Sales Data'!$W$2:$W$1921,'Synthetic Sales Data'!$D$2:$D$1921,A73,'Synthetic Sales Data'!$C$2:$C$1921,B73)</x:f>
        <x:v>38</x:v>
      </x:c>
      <x:c r="E73" s="2" t="n">
        <x:f>C73-D73</x:f>
        <x:v>-3</x:v>
      </x:c>
      <x:c r="F73" s="2" t="n">
        <x:f>ABS(E73)</x:f>
        <x:v>3</x:v>
      </x:c>
    </x:row>
    <x:row r="74" ht="23" customHeight="1">
      <x:c r="A74" s="2" t="str">
        <x:v>DEMO-104</x:v>
      </x:c>
      <x:c r="B74" s="2" t="n">
        <x:v>13</x:v>
      </x:c>
      <x:c r="C74" s="17" t="n">
        <x:f>SUMIFS('Synthetic Sales Data'!$K$2:$K$1921,'Synthetic Sales Data'!$D$2:$D$1921,A74,'Synthetic Sales Data'!$C$2:$C$1921,B74)</x:f>
        <x:v>37</x:v>
      </x:c>
      <x:c r="D74" s="17" t="n">
        <x:f>SUMIFS('Synthetic Sales Data'!$W$2:$W$1921,'Synthetic Sales Data'!$D$2:$D$1921,A74,'Synthetic Sales Data'!$C$2:$C$1921,B74)</x:f>
        <x:v>39</x:v>
      </x:c>
      <x:c r="E74" s="2" t="n">
        <x:f>C74-D74</x:f>
        <x:v>-2</x:v>
      </x:c>
      <x:c r="F74" s="2" t="n">
        <x:f>ABS(E74)</x:f>
        <x:v>2</x:v>
      </x:c>
    </x:row>
    <x:row r="75" ht="23" customHeight="1">
      <x:c r="A75" s="2" t="str">
        <x:v>DEMO-104</x:v>
      </x:c>
      <x:c r="B75" s="2" t="n">
        <x:v>14</x:v>
      </x:c>
      <x:c r="C75" s="17" t="n">
        <x:f>SUMIFS('Synthetic Sales Data'!$K$2:$K$1921,'Synthetic Sales Data'!$D$2:$D$1921,A75,'Synthetic Sales Data'!$C$2:$C$1921,B75)</x:f>
        <x:v>42</x:v>
      </x:c>
      <x:c r="D75" s="17" t="n">
        <x:f>SUMIFS('Synthetic Sales Data'!$W$2:$W$1921,'Synthetic Sales Data'!$D$2:$D$1921,A75,'Synthetic Sales Data'!$C$2:$C$1921,B75)</x:f>
        <x:v>38</x:v>
      </x:c>
      <x:c r="E75" s="2" t="n">
        <x:f>C75-D75</x:f>
        <x:v>4</x:v>
      </x:c>
      <x:c r="F75" s="2" t="n">
        <x:f>ABS(E75)</x:f>
        <x:v>4</x:v>
      </x:c>
    </x:row>
    <x:row r="76" ht="23" customHeight="1">
      <x:c r="A76" s="2" t="str">
        <x:v>DEMO-104</x:v>
      </x:c>
      <x:c r="B76" s="2" t="n">
        <x:v>15</x:v>
      </x:c>
      <x:c r="C76" s="17" t="n">
        <x:f>SUMIFS('Synthetic Sales Data'!$K$2:$K$1921,'Synthetic Sales Data'!$D$2:$D$1921,A76,'Synthetic Sales Data'!$C$2:$C$1921,B76)</x:f>
        <x:v>34</x:v>
      </x:c>
      <x:c r="D76" s="17" t="n">
        <x:f>SUMIFS('Synthetic Sales Data'!$W$2:$W$1921,'Synthetic Sales Data'!$D$2:$D$1921,A76,'Synthetic Sales Data'!$C$2:$C$1921,B76)</x:f>
        <x:v>39</x:v>
      </x:c>
      <x:c r="E76" s="2" t="n">
        <x:f>C76-D76</x:f>
        <x:v>-5</x:v>
      </x:c>
      <x:c r="F76" s="2" t="n">
        <x:f>ABS(E76)</x:f>
        <x:v>5</x:v>
      </x:c>
    </x:row>
    <x:row r="77" ht="23" customHeight="1">
      <x:c r="A77" s="2" t="str">
        <x:v>DEMO-104</x:v>
      </x:c>
      <x:c r="B77" s="2" t="n">
        <x:v>16</x:v>
      </x:c>
      <x:c r="C77" s="17" t="n">
        <x:f>SUMIFS('Synthetic Sales Data'!$K$2:$K$1921,'Synthetic Sales Data'!$D$2:$D$1921,A77,'Synthetic Sales Data'!$C$2:$C$1921,B77)</x:f>
        <x:v>35</x:v>
      </x:c>
      <x:c r="D77" s="17" t="n">
        <x:f>SUMIFS('Synthetic Sales Data'!$W$2:$W$1921,'Synthetic Sales Data'!$D$2:$D$1921,A77,'Synthetic Sales Data'!$C$2:$C$1921,B77)</x:f>
        <x:v>38</x:v>
      </x:c>
      <x:c r="E77" s="2" t="n">
        <x:f>C77-D77</x:f>
        <x:v>-3</x:v>
      </x:c>
      <x:c r="F77" s="2" t="n">
        <x:f>ABS(E77)</x:f>
        <x:v>3</x:v>
      </x:c>
    </x:row>
    <x:row r="78" ht="23" customHeight="1">
      <x:c r="A78" s="2" t="str">
        <x:v>DEMO-104</x:v>
      </x:c>
      <x:c r="B78" s="2" t="n">
        <x:v>17</x:v>
      </x:c>
      <x:c r="C78" s="17" t="n">
        <x:f>SUMIFS('Synthetic Sales Data'!$K$2:$K$1921,'Synthetic Sales Data'!$D$2:$D$1921,A78,'Synthetic Sales Data'!$C$2:$C$1921,B78)</x:f>
        <x:v>36</x:v>
      </x:c>
      <x:c r="D78" s="17" t="n">
        <x:f>SUMIFS('Synthetic Sales Data'!$W$2:$W$1921,'Synthetic Sales Data'!$D$2:$D$1921,A78,'Synthetic Sales Data'!$C$2:$C$1921,B78)</x:f>
        <x:v>38</x:v>
      </x:c>
      <x:c r="E78" s="2" t="n">
        <x:f>C78-D78</x:f>
        <x:v>-2</x:v>
      </x:c>
      <x:c r="F78" s="2" t="n">
        <x:f>ABS(E78)</x:f>
        <x:v>2</x:v>
      </x:c>
    </x:row>
    <x:row r="79" ht="23" customHeight="1">
      <x:c r="A79" s="2" t="str">
        <x:v>DEMO-104</x:v>
      </x:c>
      <x:c r="B79" s="2" t="n">
        <x:v>18</x:v>
      </x:c>
      <x:c r="C79" s="17" t="n">
        <x:f>SUMIFS('Synthetic Sales Data'!$K$2:$K$1921,'Synthetic Sales Data'!$D$2:$D$1921,A79,'Synthetic Sales Data'!$C$2:$C$1921,B79)</x:f>
        <x:v>37</x:v>
      </x:c>
      <x:c r="D79" s="17" t="n">
        <x:f>SUMIFS('Synthetic Sales Data'!$W$2:$W$1921,'Synthetic Sales Data'!$D$2:$D$1921,A79,'Synthetic Sales Data'!$C$2:$C$1921,B79)</x:f>
        <x:v>38</x:v>
      </x:c>
      <x:c r="E79" s="2" t="n">
        <x:f>C79-D79</x:f>
        <x:v>-1</x:v>
      </x:c>
      <x:c r="F79" s="2" t="n">
        <x:f>ABS(E79)</x:f>
        <x:v>1</x:v>
      </x:c>
    </x:row>
    <x:row r="80" ht="23" customHeight="1">
      <x:c r="A80" s="2" t="str">
        <x:v>DEMO-104</x:v>
      </x:c>
      <x:c r="B80" s="2" t="n">
        <x:v>19</x:v>
      </x:c>
      <x:c r="C80" s="17" t="n">
        <x:f>SUMIFS('Synthetic Sales Data'!$K$2:$K$1921,'Synthetic Sales Data'!$D$2:$D$1921,A80,'Synthetic Sales Data'!$C$2:$C$1921,B80)</x:f>
        <x:v>36</x:v>
      </x:c>
      <x:c r="D80" s="17" t="n">
        <x:f>SUMIFS('Synthetic Sales Data'!$W$2:$W$1921,'Synthetic Sales Data'!$D$2:$D$1921,A80,'Synthetic Sales Data'!$C$2:$C$1921,B80)</x:f>
        <x:v>36</x:v>
      </x:c>
      <x:c r="E80" s="2" t="n">
        <x:f>C80-D80</x:f>
        <x:v>0</x:v>
      </x:c>
      <x:c r="F80" s="2" t="n">
        <x:f>ABS(E80)</x:f>
        <x:v>0</x:v>
      </x:c>
    </x:row>
    <x:row r="81" ht="23" customHeight="1">
      <x:c r="A81" s="2" t="str">
        <x:v>DEMO-104</x:v>
      </x:c>
      <x:c r="B81" s="2" t="n">
        <x:v>20</x:v>
      </x:c>
      <x:c r="C81" s="17" t="n">
        <x:f>SUMIFS('Synthetic Sales Data'!$K$2:$K$1921,'Synthetic Sales Data'!$D$2:$D$1921,A81,'Synthetic Sales Data'!$C$2:$C$1921,B81)</x:f>
        <x:v>39</x:v>
      </x:c>
      <x:c r="D81" s="17" t="n">
        <x:f>SUMIFS('Synthetic Sales Data'!$W$2:$W$1921,'Synthetic Sales Data'!$D$2:$D$1921,A81,'Synthetic Sales Data'!$C$2:$C$1921,B81)</x:f>
        <x:v>37</x:v>
      </x:c>
      <x:c r="E81" s="2" t="n">
        <x:f>C81-D81</x:f>
        <x:v>2</x:v>
      </x:c>
      <x:c r="F81" s="2" t="n">
        <x:f>ABS(E81)</x:f>
        <x:v>2</x:v>
      </x:c>
    </x:row>
    <x:row r="82" ht="23" customHeight="1">
      <x:c r="A82" s="2" t="str">
        <x:v>DEMO-105</x:v>
      </x:c>
      <x:c r="B82" s="2" t="n">
        <x:v>1</x:v>
      </x:c>
      <x:c r="C82" s="17" t="n">
        <x:f>SUMIFS('Synthetic Sales Data'!$K$2:$K$1921,'Synthetic Sales Data'!$D$2:$D$1921,A82,'Synthetic Sales Data'!$C$2:$C$1921,B82)</x:f>
        <x:v>54</x:v>
      </x:c>
      <x:c r="D82" s="17" t="n">
        <x:f>SUMIFS('Synthetic Sales Data'!$W$2:$W$1921,'Synthetic Sales Data'!$D$2:$D$1921,A82,'Synthetic Sales Data'!$C$2:$C$1921,B82)</x:f>
        <x:v>52</x:v>
      </x:c>
      <x:c r="E82" s="2" t="n">
        <x:f>C82-D82</x:f>
        <x:v>2</x:v>
      </x:c>
      <x:c r="F82" s="2" t="n">
        <x:f>ABS(E82)</x:f>
        <x:v>2</x:v>
      </x:c>
    </x:row>
    <x:row r="83" ht="23" customHeight="1">
      <x:c r="A83" s="2" t="str">
        <x:v>DEMO-105</x:v>
      </x:c>
      <x:c r="B83" s="2" t="n">
        <x:v>2</x:v>
      </x:c>
      <x:c r="C83" s="17" t="n">
        <x:f>SUMIFS('Synthetic Sales Data'!$K$2:$K$1921,'Synthetic Sales Data'!$D$2:$D$1921,A83,'Synthetic Sales Data'!$C$2:$C$1921,B83)</x:f>
        <x:v>47</x:v>
      </x:c>
      <x:c r="D83" s="17" t="n">
        <x:f>SUMIFS('Synthetic Sales Data'!$W$2:$W$1921,'Synthetic Sales Data'!$D$2:$D$1921,A83,'Synthetic Sales Data'!$C$2:$C$1921,B83)</x:f>
        <x:v>54</x:v>
      </x:c>
      <x:c r="E83" s="2" t="n">
        <x:f>C83-D83</x:f>
        <x:v>-7</x:v>
      </x:c>
      <x:c r="F83" s="2" t="n">
        <x:f>ABS(E83)</x:f>
        <x:v>7</x:v>
      </x:c>
    </x:row>
    <x:row r="84" ht="23" customHeight="1">
      <x:c r="A84" s="2" t="str">
        <x:v>DEMO-105</x:v>
      </x:c>
      <x:c r="B84" s="2" t="n">
        <x:v>3</x:v>
      </x:c>
      <x:c r="C84" s="17" t="n">
        <x:f>SUMIFS('Synthetic Sales Data'!$K$2:$K$1921,'Synthetic Sales Data'!$D$2:$D$1921,A84,'Synthetic Sales Data'!$C$2:$C$1921,B84)</x:f>
        <x:v>55</x:v>
      </x:c>
      <x:c r="D84" s="17" t="n">
        <x:f>SUMIFS('Synthetic Sales Data'!$W$2:$W$1921,'Synthetic Sales Data'!$D$2:$D$1921,A84,'Synthetic Sales Data'!$C$2:$C$1921,B84)</x:f>
        <x:v>51</x:v>
      </x:c>
      <x:c r="E84" s="2" t="n">
        <x:f>C84-D84</x:f>
        <x:v>4</x:v>
      </x:c>
      <x:c r="F84" s="2" t="n">
        <x:f>ABS(E84)</x:f>
        <x:v>4</x:v>
      </x:c>
    </x:row>
    <x:row r="85" ht="23" customHeight="1">
      <x:c r="A85" s="2" t="str">
        <x:v>DEMO-105</x:v>
      </x:c>
      <x:c r="B85" s="2" t="n">
        <x:v>4</x:v>
      </x:c>
      <x:c r="C85" s="17" t="n">
        <x:f>SUMIFS('Synthetic Sales Data'!$K$2:$K$1921,'Synthetic Sales Data'!$D$2:$D$1921,A85,'Synthetic Sales Data'!$C$2:$C$1921,B85)</x:f>
        <x:v>55</x:v>
      </x:c>
      <x:c r="D85" s="17" t="n">
        <x:f>SUMIFS('Synthetic Sales Data'!$W$2:$W$1921,'Synthetic Sales Data'!$D$2:$D$1921,A85,'Synthetic Sales Data'!$C$2:$C$1921,B85)</x:f>
        <x:v>52</x:v>
      </x:c>
      <x:c r="E85" s="2" t="n">
        <x:f>C85-D85</x:f>
        <x:v>3</x:v>
      </x:c>
      <x:c r="F85" s="2" t="n">
        <x:f>ABS(E85)</x:f>
        <x:v>3</x:v>
      </x:c>
    </x:row>
    <x:row r="86" ht="23" customHeight="1">
      <x:c r="A86" s="2" t="str">
        <x:v>DEMO-105</x:v>
      </x:c>
      <x:c r="B86" s="2" t="n">
        <x:v>5</x:v>
      </x:c>
      <x:c r="C86" s="17" t="n">
        <x:f>SUMIFS('Synthetic Sales Data'!$K$2:$K$1921,'Synthetic Sales Data'!$D$2:$D$1921,A86,'Synthetic Sales Data'!$C$2:$C$1921,B86)</x:f>
        <x:v>45</x:v>
      </x:c>
      <x:c r="D86" s="17" t="n">
        <x:f>SUMIFS('Synthetic Sales Data'!$W$2:$W$1921,'Synthetic Sales Data'!$D$2:$D$1921,A86,'Synthetic Sales Data'!$C$2:$C$1921,B86)</x:f>
        <x:v>52</x:v>
      </x:c>
      <x:c r="E86" s="2" t="n">
        <x:f>C86-D86</x:f>
        <x:v>-7</x:v>
      </x:c>
      <x:c r="F86" s="2" t="n">
        <x:f>ABS(E86)</x:f>
        <x:v>7</x:v>
      </x:c>
    </x:row>
    <x:row r="87" ht="23" customHeight="1">
      <x:c r="A87" s="2" t="str">
        <x:v>DEMO-105</x:v>
      </x:c>
      <x:c r="B87" s="2" t="n">
        <x:v>6</x:v>
      </x:c>
      <x:c r="C87" s="17" t="n">
        <x:f>SUMIFS('Synthetic Sales Data'!$K$2:$K$1921,'Synthetic Sales Data'!$D$2:$D$1921,A87,'Synthetic Sales Data'!$C$2:$C$1921,B87)</x:f>
        <x:v>52</x:v>
      </x:c>
      <x:c r="D87" s="17" t="n">
        <x:f>SUMIFS('Synthetic Sales Data'!$W$2:$W$1921,'Synthetic Sales Data'!$D$2:$D$1921,A87,'Synthetic Sales Data'!$C$2:$C$1921,B87)</x:f>
        <x:v>51</x:v>
      </x:c>
      <x:c r="E87" s="2" t="n">
        <x:f>C87-D87</x:f>
        <x:v>1</x:v>
      </x:c>
      <x:c r="F87" s="2" t="n">
        <x:f>ABS(E87)</x:f>
        <x:v>1</x:v>
      </x:c>
    </x:row>
    <x:row r="88" ht="23" customHeight="1">
      <x:c r="A88" s="2" t="str">
        <x:v>DEMO-105</x:v>
      </x:c>
      <x:c r="B88" s="2" t="n">
        <x:v>7</x:v>
      </x:c>
      <x:c r="C88" s="17" t="n">
        <x:f>SUMIFS('Synthetic Sales Data'!$K$2:$K$1921,'Synthetic Sales Data'!$D$2:$D$1921,A88,'Synthetic Sales Data'!$C$2:$C$1921,B88)</x:f>
        <x:v>51</x:v>
      </x:c>
      <x:c r="D88" s="17" t="n">
        <x:f>SUMIFS('Synthetic Sales Data'!$W$2:$W$1921,'Synthetic Sales Data'!$D$2:$D$1921,A88,'Synthetic Sales Data'!$C$2:$C$1921,B88)</x:f>
        <x:v>52</x:v>
      </x:c>
      <x:c r="E88" s="2" t="n">
        <x:f>C88-D88</x:f>
        <x:v>-1</x:v>
      </x:c>
      <x:c r="F88" s="2" t="n">
        <x:f>ABS(E88)</x:f>
        <x:v>1</x:v>
      </x:c>
    </x:row>
    <x:row r="89" ht="23" customHeight="1">
      <x:c r="A89" s="2" t="str">
        <x:v>DEMO-105</x:v>
      </x:c>
      <x:c r="B89" s="2" t="n">
        <x:v>8</x:v>
      </x:c>
      <x:c r="C89" s="17" t="n">
        <x:f>SUMIFS('Synthetic Sales Data'!$K$2:$K$1921,'Synthetic Sales Data'!$D$2:$D$1921,A89,'Synthetic Sales Data'!$C$2:$C$1921,B89)</x:f>
        <x:v>57</x:v>
      </x:c>
      <x:c r="D89" s="17" t="n">
        <x:f>SUMIFS('Synthetic Sales Data'!$W$2:$W$1921,'Synthetic Sales Data'!$D$2:$D$1921,A89,'Synthetic Sales Data'!$C$2:$C$1921,B89)</x:f>
        <x:v>52</x:v>
      </x:c>
      <x:c r="E89" s="2" t="n">
        <x:f>C89-D89</x:f>
        <x:v>5</x:v>
      </x:c>
      <x:c r="F89" s="2" t="n">
        <x:f>ABS(E89)</x:f>
        <x:v>5</x:v>
      </x:c>
    </x:row>
    <x:row r="90" ht="23" customHeight="1">
      <x:c r="A90" s="2" t="str">
        <x:v>DEMO-105</x:v>
      </x:c>
      <x:c r="B90" s="2" t="n">
        <x:v>9</x:v>
      </x:c>
      <x:c r="C90" s="17" t="n">
        <x:f>SUMIFS('Synthetic Sales Data'!$K$2:$K$1921,'Synthetic Sales Data'!$D$2:$D$1921,A90,'Synthetic Sales Data'!$C$2:$C$1921,B90)</x:f>
        <x:v>51</x:v>
      </x:c>
      <x:c r="D90" s="17" t="n">
        <x:f>SUMIFS('Synthetic Sales Data'!$W$2:$W$1921,'Synthetic Sales Data'!$D$2:$D$1921,A90,'Synthetic Sales Data'!$C$2:$C$1921,B90)</x:f>
        <x:v>52</x:v>
      </x:c>
      <x:c r="E90" s="2" t="n">
        <x:f>C90-D90</x:f>
        <x:v>-1</x:v>
      </x:c>
      <x:c r="F90" s="2" t="n">
        <x:f>ABS(E90)</x:f>
        <x:v>1</x:v>
      </x:c>
    </x:row>
    <x:row r="91" ht="23" customHeight="1">
      <x:c r="A91" s="2" t="str">
        <x:v>DEMO-105</x:v>
      </x:c>
      <x:c r="B91" s="2" t="n">
        <x:v>10</x:v>
      </x:c>
      <x:c r="C91" s="17" t="n">
        <x:f>SUMIFS('Synthetic Sales Data'!$K$2:$K$1921,'Synthetic Sales Data'!$D$2:$D$1921,A91,'Synthetic Sales Data'!$C$2:$C$1921,B91)</x:f>
        <x:v>49</x:v>
      </x:c>
      <x:c r="D91" s="17" t="n">
        <x:f>SUMIFS('Synthetic Sales Data'!$W$2:$W$1921,'Synthetic Sales Data'!$D$2:$D$1921,A91,'Synthetic Sales Data'!$C$2:$C$1921,B91)</x:f>
        <x:v>54</x:v>
      </x:c>
      <x:c r="E91" s="2" t="n">
        <x:f>C91-D91</x:f>
        <x:v>-5</x:v>
      </x:c>
      <x:c r="F91" s="2" t="n">
        <x:f>ABS(E91)</x:f>
        <x:v>5</x:v>
      </x:c>
    </x:row>
    <x:row r="92" ht="23" customHeight="1">
      <x:c r="A92" s="2" t="str">
        <x:v>DEMO-105</x:v>
      </x:c>
      <x:c r="B92" s="2" t="n">
        <x:v>11</x:v>
      </x:c>
      <x:c r="C92" s="17" t="n">
        <x:f>SUMIFS('Synthetic Sales Data'!$K$2:$K$1921,'Synthetic Sales Data'!$D$2:$D$1921,A92,'Synthetic Sales Data'!$C$2:$C$1921,B92)</x:f>
        <x:v>50</x:v>
      </x:c>
      <x:c r="D92" s="17" t="n">
        <x:f>SUMIFS('Synthetic Sales Data'!$W$2:$W$1921,'Synthetic Sales Data'!$D$2:$D$1921,A92,'Synthetic Sales Data'!$C$2:$C$1921,B92)</x:f>
        <x:v>53</x:v>
      </x:c>
      <x:c r="E92" s="2" t="n">
        <x:f>C92-D92</x:f>
        <x:v>-3</x:v>
      </x:c>
      <x:c r="F92" s="2" t="n">
        <x:f>ABS(E92)</x:f>
        <x:v>3</x:v>
      </x:c>
    </x:row>
    <x:row r="93" ht="23" customHeight="1">
      <x:c r="A93" s="2" t="str">
        <x:v>DEMO-105</x:v>
      </x:c>
      <x:c r="B93" s="2" t="n">
        <x:v>12</x:v>
      </x:c>
      <x:c r="C93" s="17" t="n">
        <x:f>SUMIFS('Synthetic Sales Data'!$K$2:$K$1921,'Synthetic Sales Data'!$D$2:$D$1921,A93,'Synthetic Sales Data'!$C$2:$C$1921,B93)</x:f>
        <x:v>51</x:v>
      </x:c>
      <x:c r="D93" s="17" t="n">
        <x:f>SUMIFS('Synthetic Sales Data'!$W$2:$W$1921,'Synthetic Sales Data'!$D$2:$D$1921,A93,'Synthetic Sales Data'!$C$2:$C$1921,B93)</x:f>
        <x:v>52</x:v>
      </x:c>
      <x:c r="E93" s="2" t="n">
        <x:f>C93-D93</x:f>
        <x:v>-1</x:v>
      </x:c>
      <x:c r="F93" s="2" t="n">
        <x:f>ABS(E93)</x:f>
        <x:v>1</x:v>
      </x:c>
    </x:row>
    <x:row r="94" ht="23" customHeight="1">
      <x:c r="A94" s="2" t="str">
        <x:v>DEMO-105</x:v>
      </x:c>
      <x:c r="B94" s="2" t="n">
        <x:v>13</x:v>
      </x:c>
      <x:c r="C94" s="17" t="n">
        <x:f>SUMIFS('Synthetic Sales Data'!$K$2:$K$1921,'Synthetic Sales Data'!$D$2:$D$1921,A94,'Synthetic Sales Data'!$C$2:$C$1921,B94)</x:f>
        <x:v>46</x:v>
      </x:c>
      <x:c r="D94" s="17" t="n">
        <x:f>SUMIFS('Synthetic Sales Data'!$W$2:$W$1921,'Synthetic Sales Data'!$D$2:$D$1921,A94,'Synthetic Sales Data'!$C$2:$C$1921,B94)</x:f>
        <x:v>50</x:v>
      </x:c>
      <x:c r="E94" s="2" t="n">
        <x:f>C94-D94</x:f>
        <x:v>-4</x:v>
      </x:c>
      <x:c r="F94" s="2" t="n">
        <x:f>ABS(E94)</x:f>
        <x:v>4</x:v>
      </x:c>
    </x:row>
    <x:row r="95" ht="23" customHeight="1">
      <x:c r="A95" s="2" t="str">
        <x:v>DEMO-105</x:v>
      </x:c>
      <x:c r="B95" s="2" t="n">
        <x:v>14</x:v>
      </x:c>
      <x:c r="C95" s="17" t="n">
        <x:f>SUMIFS('Synthetic Sales Data'!$K$2:$K$1921,'Synthetic Sales Data'!$D$2:$D$1921,A95,'Synthetic Sales Data'!$C$2:$C$1921,B95)</x:f>
        <x:v>55</x:v>
      </x:c>
      <x:c r="D95" s="17" t="n">
        <x:f>SUMIFS('Synthetic Sales Data'!$W$2:$W$1921,'Synthetic Sales Data'!$D$2:$D$1921,A95,'Synthetic Sales Data'!$C$2:$C$1921,B95)</x:f>
        <x:v>50</x:v>
      </x:c>
      <x:c r="E95" s="2" t="n">
        <x:f>C95-D95</x:f>
        <x:v>5</x:v>
      </x:c>
      <x:c r="F95" s="2" t="n">
        <x:f>ABS(E95)</x:f>
        <x:v>5</x:v>
      </x:c>
    </x:row>
    <x:row r="96" ht="23" customHeight="1">
      <x:c r="A96" s="2" t="str">
        <x:v>DEMO-105</x:v>
      </x:c>
      <x:c r="B96" s="2" t="n">
        <x:v>15</x:v>
      </x:c>
      <x:c r="C96" s="17" t="n">
        <x:f>SUMIFS('Synthetic Sales Data'!$K$2:$K$1921,'Synthetic Sales Data'!$D$2:$D$1921,A96,'Synthetic Sales Data'!$C$2:$C$1921,B96)</x:f>
        <x:v>53</x:v>
      </x:c>
      <x:c r="D96" s="17" t="n">
        <x:f>SUMIFS('Synthetic Sales Data'!$W$2:$W$1921,'Synthetic Sales Data'!$D$2:$D$1921,A96,'Synthetic Sales Data'!$C$2:$C$1921,B96)</x:f>
        <x:v>51</x:v>
      </x:c>
      <x:c r="E96" s="2" t="n">
        <x:f>C96-D96</x:f>
        <x:v>2</x:v>
      </x:c>
      <x:c r="F96" s="2" t="n">
        <x:f>ABS(E96)</x:f>
        <x:v>2</x:v>
      </x:c>
    </x:row>
    <x:row r="97" ht="23" customHeight="1">
      <x:c r="A97" s="2" t="str">
        <x:v>DEMO-105</x:v>
      </x:c>
      <x:c r="B97" s="2" t="n">
        <x:v>16</x:v>
      </x:c>
      <x:c r="C97" s="17" t="n">
        <x:f>SUMIFS('Synthetic Sales Data'!$K$2:$K$1921,'Synthetic Sales Data'!$D$2:$D$1921,A97,'Synthetic Sales Data'!$C$2:$C$1921,B97)</x:f>
        <x:v>49</x:v>
      </x:c>
      <x:c r="D97" s="17" t="n">
        <x:f>SUMIFS('Synthetic Sales Data'!$W$2:$W$1921,'Synthetic Sales Data'!$D$2:$D$1921,A97,'Synthetic Sales Data'!$C$2:$C$1921,B97)</x:f>
        <x:v>52</x:v>
      </x:c>
      <x:c r="E97" s="2" t="n">
        <x:f>C97-D97</x:f>
        <x:v>-3</x:v>
      </x:c>
      <x:c r="F97" s="2" t="n">
        <x:f>ABS(E97)</x:f>
        <x:v>3</x:v>
      </x:c>
    </x:row>
    <x:row r="98" ht="23" customHeight="1">
      <x:c r="A98" s="2" t="str">
        <x:v>DEMO-105</x:v>
      </x:c>
      <x:c r="B98" s="2" t="n">
        <x:v>17</x:v>
      </x:c>
      <x:c r="C98" s="17" t="n">
        <x:f>SUMIFS('Synthetic Sales Data'!$K$2:$K$1921,'Synthetic Sales Data'!$D$2:$D$1921,A98,'Synthetic Sales Data'!$C$2:$C$1921,B98)</x:f>
        <x:v>48</x:v>
      </x:c>
      <x:c r="D98" s="17" t="n">
        <x:f>SUMIFS('Synthetic Sales Data'!$W$2:$W$1921,'Synthetic Sales Data'!$D$2:$D$1921,A98,'Synthetic Sales Data'!$C$2:$C$1921,B98)</x:f>
        <x:v>52</x:v>
      </x:c>
      <x:c r="E98" s="2" t="n">
        <x:f>C98-D98</x:f>
        <x:v>-4</x:v>
      </x:c>
      <x:c r="F98" s="2" t="n">
        <x:f>ABS(E98)</x:f>
        <x:v>4</x:v>
      </x:c>
    </x:row>
    <x:row r="99" ht="23" customHeight="1">
      <x:c r="A99" s="2" t="str">
        <x:v>DEMO-105</x:v>
      </x:c>
      <x:c r="B99" s="2" t="n">
        <x:v>18</x:v>
      </x:c>
      <x:c r="C99" s="17" t="n">
        <x:f>SUMIFS('Synthetic Sales Data'!$K$2:$K$1921,'Synthetic Sales Data'!$D$2:$D$1921,A99,'Synthetic Sales Data'!$C$2:$C$1921,B99)</x:f>
        <x:v>48</x:v>
      </x:c>
      <x:c r="D99" s="17" t="n">
        <x:f>SUMIFS('Synthetic Sales Data'!$W$2:$W$1921,'Synthetic Sales Data'!$D$2:$D$1921,A99,'Synthetic Sales Data'!$C$2:$C$1921,B99)</x:f>
        <x:v>51</x:v>
      </x:c>
      <x:c r="E99" s="2" t="n">
        <x:f>C99-D99</x:f>
        <x:v>-3</x:v>
      </x:c>
      <x:c r="F99" s="2" t="n">
        <x:f>ABS(E99)</x:f>
        <x:v>3</x:v>
      </x:c>
    </x:row>
    <x:row r="100" ht="23" customHeight="1">
      <x:c r="A100" s="2" t="str">
        <x:v>DEMO-105</x:v>
      </x:c>
      <x:c r="B100" s="2" t="n">
        <x:v>19</x:v>
      </x:c>
      <x:c r="C100" s="17" t="n">
        <x:f>SUMIFS('Synthetic Sales Data'!$K$2:$K$1921,'Synthetic Sales Data'!$D$2:$D$1921,A100,'Synthetic Sales Data'!$C$2:$C$1921,B100)</x:f>
        <x:v>50</x:v>
      </x:c>
      <x:c r="D100" s="17" t="n">
        <x:f>SUMIFS('Synthetic Sales Data'!$W$2:$W$1921,'Synthetic Sales Data'!$D$2:$D$1921,A100,'Synthetic Sales Data'!$C$2:$C$1921,B100)</x:f>
        <x:v>50</x:v>
      </x:c>
      <x:c r="E100" s="2" t="n">
        <x:f>C100-D100</x:f>
        <x:v>0</x:v>
      </x:c>
      <x:c r="F100" s="2" t="n">
        <x:f>ABS(E100)</x:f>
        <x:v>0</x:v>
      </x:c>
    </x:row>
    <x:row r="101" ht="23" customHeight="1">
      <x:c r="A101" s="2" t="str">
        <x:v>DEMO-105</x:v>
      </x:c>
      <x:c r="B101" s="2" t="n">
        <x:v>20</x:v>
      </x:c>
      <x:c r="C101" s="17" t="n">
        <x:f>SUMIFS('Synthetic Sales Data'!$K$2:$K$1921,'Synthetic Sales Data'!$D$2:$D$1921,A101,'Synthetic Sales Data'!$C$2:$C$1921,B101)</x:f>
        <x:v>47</x:v>
      </x:c>
      <x:c r="D101" s="17" t="n">
        <x:f>SUMIFS('Synthetic Sales Data'!$W$2:$W$1921,'Synthetic Sales Data'!$D$2:$D$1921,A101,'Synthetic Sales Data'!$C$2:$C$1921,B101)</x:f>
        <x:v>50</x:v>
      </x:c>
      <x:c r="E101" s="2" t="n">
        <x:f>C101-D101</x:f>
        <x:v>-3</x:v>
      </x:c>
      <x:c r="F101" s="2" t="n">
        <x:f>ABS(E101)</x:f>
        <x:v>3</x:v>
      </x:c>
    </x:row>
    <x:row r="102" ht="23" customHeight="1">
      <x:c r="A102" s="2" t="str">
        <x:v>DEMO-106</x:v>
      </x:c>
      <x:c r="B102" s="2" t="n">
        <x:v>1</x:v>
      </x:c>
      <x:c r="C102" s="17" t="n">
        <x:f>SUMIFS('Synthetic Sales Data'!$K$2:$K$1921,'Synthetic Sales Data'!$D$2:$D$1921,A102,'Synthetic Sales Data'!$C$2:$C$1921,B102)</x:f>
        <x:v>67</x:v>
      </x:c>
      <x:c r="D102" s="17" t="n">
        <x:f>SUMIFS('Synthetic Sales Data'!$W$2:$W$1921,'Synthetic Sales Data'!$D$2:$D$1921,A102,'Synthetic Sales Data'!$C$2:$C$1921,B102)</x:f>
        <x:v>66</x:v>
      </x:c>
      <x:c r="E102" s="2" t="n">
        <x:f>C102-D102</x:f>
        <x:v>1</x:v>
      </x:c>
      <x:c r="F102" s="2" t="n">
        <x:f>ABS(E102)</x:f>
        <x:v>1</x:v>
      </x:c>
    </x:row>
    <x:row r="103" ht="23" customHeight="1">
      <x:c r="A103" s="2" t="str">
        <x:v>DEMO-106</x:v>
      </x:c>
      <x:c r="B103" s="2" t="n">
        <x:v>2</x:v>
      </x:c>
      <x:c r="C103" s="17" t="n">
        <x:f>SUMIFS('Synthetic Sales Data'!$K$2:$K$1921,'Synthetic Sales Data'!$D$2:$D$1921,A103,'Synthetic Sales Data'!$C$2:$C$1921,B103)</x:f>
        <x:v>69</x:v>
      </x:c>
      <x:c r="D103" s="17" t="n">
        <x:f>SUMIFS('Synthetic Sales Data'!$W$2:$W$1921,'Synthetic Sales Data'!$D$2:$D$1921,A103,'Synthetic Sales Data'!$C$2:$C$1921,B103)</x:f>
        <x:v>67</x:v>
      </x:c>
      <x:c r="E103" s="2" t="n">
        <x:f>C103-D103</x:f>
        <x:v>2</x:v>
      </x:c>
      <x:c r="F103" s="2" t="n">
        <x:f>ABS(E103)</x:f>
        <x:v>2</x:v>
      </x:c>
    </x:row>
    <x:row r="104" ht="23" customHeight="1">
      <x:c r="A104" s="2" t="str">
        <x:v>DEMO-106</x:v>
      </x:c>
      <x:c r="B104" s="2" t="n">
        <x:v>3</x:v>
      </x:c>
      <x:c r="C104" s="17" t="n">
        <x:f>SUMIFS('Synthetic Sales Data'!$K$2:$K$1921,'Synthetic Sales Data'!$D$2:$D$1921,A104,'Synthetic Sales Data'!$C$2:$C$1921,B104)</x:f>
        <x:v>69</x:v>
      </x:c>
      <x:c r="D104" s="17" t="n">
        <x:f>SUMIFS('Synthetic Sales Data'!$W$2:$W$1921,'Synthetic Sales Data'!$D$2:$D$1921,A104,'Synthetic Sales Data'!$C$2:$C$1921,B104)</x:f>
        <x:v>70</x:v>
      </x:c>
      <x:c r="E104" s="2" t="n">
        <x:f>C104-D104</x:f>
        <x:v>-1</x:v>
      </x:c>
      <x:c r="F104" s="2" t="n">
        <x:f>ABS(E104)</x:f>
        <x:v>1</x:v>
      </x:c>
    </x:row>
    <x:row r="105" ht="23" customHeight="1">
      <x:c r="A105" s="2" t="str">
        <x:v>DEMO-106</x:v>
      </x:c>
      <x:c r="B105" s="2" t="n">
        <x:v>4</x:v>
      </x:c>
      <x:c r="C105" s="17" t="n">
        <x:f>SUMIFS('Synthetic Sales Data'!$K$2:$K$1921,'Synthetic Sales Data'!$D$2:$D$1921,A105,'Synthetic Sales Data'!$C$2:$C$1921,B105)</x:f>
        <x:v>66</x:v>
      </x:c>
      <x:c r="D105" s="17" t="n">
        <x:f>SUMIFS('Synthetic Sales Data'!$W$2:$W$1921,'Synthetic Sales Data'!$D$2:$D$1921,A105,'Synthetic Sales Data'!$C$2:$C$1921,B105)</x:f>
        <x:v>68</x:v>
      </x:c>
      <x:c r="E105" s="2" t="n">
        <x:f>C105-D105</x:f>
        <x:v>-2</x:v>
      </x:c>
      <x:c r="F105" s="2" t="n">
        <x:f>ABS(E105)</x:f>
        <x:v>2</x:v>
      </x:c>
    </x:row>
    <x:row r="106" ht="23" customHeight="1">
      <x:c r="A106" s="2" t="str">
        <x:v>DEMO-106</x:v>
      </x:c>
      <x:c r="B106" s="2" t="n">
        <x:v>5</x:v>
      </x:c>
      <x:c r="C106" s="17" t="n">
        <x:f>SUMIFS('Synthetic Sales Data'!$K$2:$K$1921,'Synthetic Sales Data'!$D$2:$D$1921,A106,'Synthetic Sales Data'!$C$2:$C$1921,B106)</x:f>
        <x:v>68</x:v>
      </x:c>
      <x:c r="D106" s="17" t="n">
        <x:f>SUMIFS('Synthetic Sales Data'!$W$2:$W$1921,'Synthetic Sales Data'!$D$2:$D$1921,A106,'Synthetic Sales Data'!$C$2:$C$1921,B106)</x:f>
        <x:v>68</x:v>
      </x:c>
      <x:c r="E106" s="2" t="n">
        <x:f>C106-D106</x:f>
        <x:v>0</x:v>
      </x:c>
      <x:c r="F106" s="2" t="n">
        <x:f>ABS(E106)</x:f>
        <x:v>0</x:v>
      </x:c>
    </x:row>
    <x:row r="107" ht="23" customHeight="1">
      <x:c r="A107" s="2" t="str">
        <x:v>DEMO-106</x:v>
      </x:c>
      <x:c r="B107" s="2" t="n">
        <x:v>6</x:v>
      </x:c>
      <x:c r="C107" s="17" t="n">
        <x:f>SUMIFS('Synthetic Sales Data'!$K$2:$K$1921,'Synthetic Sales Data'!$D$2:$D$1921,A107,'Synthetic Sales Data'!$C$2:$C$1921,B107)</x:f>
        <x:v>69</x:v>
      </x:c>
      <x:c r="D107" s="17" t="n">
        <x:f>SUMIFS('Synthetic Sales Data'!$W$2:$W$1921,'Synthetic Sales Data'!$D$2:$D$1921,A107,'Synthetic Sales Data'!$C$2:$C$1921,B107)</x:f>
        <x:v>68</x:v>
      </x:c>
      <x:c r="E107" s="2" t="n">
        <x:f>C107-D107</x:f>
        <x:v>1</x:v>
      </x:c>
      <x:c r="F107" s="2" t="n">
        <x:f>ABS(E107)</x:f>
        <x:v>1</x:v>
      </x:c>
    </x:row>
    <x:row r="108" ht="23" customHeight="1">
      <x:c r="A108" s="2" t="str">
        <x:v>DEMO-106</x:v>
      </x:c>
      <x:c r="B108" s="2" t="n">
        <x:v>7</x:v>
      </x:c>
      <x:c r="C108" s="17" t="n">
        <x:f>SUMIFS('Synthetic Sales Data'!$K$2:$K$1921,'Synthetic Sales Data'!$D$2:$D$1921,A108,'Synthetic Sales Data'!$C$2:$C$1921,B108)</x:f>
        <x:v>70</x:v>
      </x:c>
      <x:c r="D108" s="17" t="n">
        <x:f>SUMIFS('Synthetic Sales Data'!$W$2:$W$1921,'Synthetic Sales Data'!$D$2:$D$1921,A108,'Synthetic Sales Data'!$C$2:$C$1921,B108)</x:f>
        <x:v>68</x:v>
      </x:c>
      <x:c r="E108" s="2" t="n">
        <x:f>C108-D108</x:f>
        <x:v>2</x:v>
      </x:c>
      <x:c r="F108" s="2" t="n">
        <x:f>ABS(E108)</x:f>
        <x:v>2</x:v>
      </x:c>
    </x:row>
    <x:row r="109" ht="23" customHeight="1">
      <x:c r="A109" s="2" t="str">
        <x:v>DEMO-106</x:v>
      </x:c>
      <x:c r="B109" s="2" t="n">
        <x:v>8</x:v>
      </x:c>
      <x:c r="C109" s="17" t="n">
        <x:f>SUMIFS('Synthetic Sales Data'!$K$2:$K$1921,'Synthetic Sales Data'!$D$2:$D$1921,A109,'Synthetic Sales Data'!$C$2:$C$1921,B109)</x:f>
        <x:v>65</x:v>
      </x:c>
      <x:c r="D109" s="17" t="n">
        <x:f>SUMIFS('Synthetic Sales Data'!$W$2:$W$1921,'Synthetic Sales Data'!$D$2:$D$1921,A109,'Synthetic Sales Data'!$C$2:$C$1921,B109)</x:f>
        <x:v>69</x:v>
      </x:c>
      <x:c r="E109" s="2" t="n">
        <x:f>C109-D109</x:f>
        <x:v>-4</x:v>
      </x:c>
      <x:c r="F109" s="2" t="n">
        <x:f>ABS(E109)</x:f>
        <x:v>4</x:v>
      </x:c>
    </x:row>
    <x:row r="110" ht="23" customHeight="1">
      <x:c r="A110" s="2" t="str">
        <x:v>DEMO-106</x:v>
      </x:c>
      <x:c r="B110" s="2" t="n">
        <x:v>9</x:v>
      </x:c>
      <x:c r="C110" s="17" t="n">
        <x:f>SUMIFS('Synthetic Sales Data'!$K$2:$K$1921,'Synthetic Sales Data'!$D$2:$D$1921,A110,'Synthetic Sales Data'!$C$2:$C$1921,B110)</x:f>
        <x:v>63</x:v>
      </x:c>
      <x:c r="D110" s="17" t="n">
        <x:f>SUMIFS('Synthetic Sales Data'!$W$2:$W$1921,'Synthetic Sales Data'!$D$2:$D$1921,A110,'Synthetic Sales Data'!$C$2:$C$1921,B110)</x:f>
        <x:v>69</x:v>
      </x:c>
      <x:c r="E110" s="2" t="n">
        <x:f>C110-D110</x:f>
        <x:v>-6</x:v>
      </x:c>
      <x:c r="F110" s="2" t="n">
        <x:f>ABS(E110)</x:f>
        <x:v>6</x:v>
      </x:c>
    </x:row>
    <x:row r="111" ht="23" customHeight="1">
      <x:c r="A111" s="2" t="str">
        <x:v>DEMO-106</x:v>
      </x:c>
      <x:c r="B111" s="2" t="n">
        <x:v>10</x:v>
      </x:c>
      <x:c r="C111" s="17" t="n">
        <x:f>SUMIFS('Synthetic Sales Data'!$K$2:$K$1921,'Synthetic Sales Data'!$D$2:$D$1921,A111,'Synthetic Sales Data'!$C$2:$C$1921,B111)</x:f>
        <x:v>59</x:v>
      </x:c>
      <x:c r="D111" s="17" t="n">
        <x:f>SUMIFS('Synthetic Sales Data'!$W$2:$W$1921,'Synthetic Sales Data'!$D$2:$D$1921,A111,'Synthetic Sales Data'!$C$2:$C$1921,B111)</x:f>
        <x:v>67</x:v>
      </x:c>
      <x:c r="E111" s="2" t="n">
        <x:f>C111-D111</x:f>
        <x:v>-8</x:v>
      </x:c>
      <x:c r="F111" s="2" t="n">
        <x:f>ABS(E111)</x:f>
        <x:v>8</x:v>
      </x:c>
    </x:row>
    <x:row r="112" ht="23" customHeight="1">
      <x:c r="A112" s="2" t="str">
        <x:v>DEMO-106</x:v>
      </x:c>
      <x:c r="B112" s="2" t="n">
        <x:v>11</x:v>
      </x:c>
      <x:c r="C112" s="17" t="n">
        <x:f>SUMIFS('Synthetic Sales Data'!$K$2:$K$1921,'Synthetic Sales Data'!$D$2:$D$1921,A112,'Synthetic Sales Data'!$C$2:$C$1921,B112)</x:f>
        <x:v>67</x:v>
      </x:c>
      <x:c r="D112" s="17" t="n">
        <x:f>SUMIFS('Synthetic Sales Data'!$W$2:$W$1921,'Synthetic Sales Data'!$D$2:$D$1921,A112,'Synthetic Sales Data'!$C$2:$C$1921,B112)</x:f>
        <x:v>65</x:v>
      </x:c>
      <x:c r="E112" s="2" t="n">
        <x:f>C112-D112</x:f>
        <x:v>2</x:v>
      </x:c>
      <x:c r="F112" s="2" t="n">
        <x:f>ABS(E112)</x:f>
        <x:v>2</x:v>
      </x:c>
    </x:row>
    <x:row r="113" ht="23" customHeight="1">
      <x:c r="A113" s="2" t="str">
        <x:v>DEMO-106</x:v>
      </x:c>
      <x:c r="B113" s="2" t="n">
        <x:v>12</x:v>
      </x:c>
      <x:c r="C113" s="17" t="n">
        <x:f>SUMIFS('Synthetic Sales Data'!$K$2:$K$1921,'Synthetic Sales Data'!$D$2:$D$1921,A113,'Synthetic Sales Data'!$C$2:$C$1921,B113)</x:f>
        <x:v>54</x:v>
      </x:c>
      <x:c r="D113" s="17" t="n">
        <x:f>SUMIFS('Synthetic Sales Data'!$W$2:$W$1921,'Synthetic Sales Data'!$D$2:$D$1921,A113,'Synthetic Sales Data'!$C$2:$C$1921,B113)</x:f>
        <x:v>64</x:v>
      </x:c>
      <x:c r="E113" s="2" t="n">
        <x:f>C113-D113</x:f>
        <x:v>-10</x:v>
      </x:c>
      <x:c r="F113" s="2" t="n">
        <x:f>ABS(E113)</x:f>
        <x:v>10</x:v>
      </x:c>
    </x:row>
    <x:row r="114" ht="23" customHeight="1">
      <x:c r="A114" s="2" t="str">
        <x:v>DEMO-106</x:v>
      </x:c>
      <x:c r="B114" s="2" t="n">
        <x:v>13</x:v>
      </x:c>
      <x:c r="C114" s="17" t="n">
        <x:f>SUMIFS('Synthetic Sales Data'!$K$2:$K$1921,'Synthetic Sales Data'!$D$2:$D$1921,A114,'Synthetic Sales Data'!$C$2:$C$1921,B114)</x:f>
        <x:v>57</x:v>
      </x:c>
      <x:c r="D114" s="17" t="n">
        <x:f>SUMIFS('Synthetic Sales Data'!$W$2:$W$1921,'Synthetic Sales Data'!$D$2:$D$1921,A114,'Synthetic Sales Data'!$C$2:$C$1921,B114)</x:f>
        <x:v>61</x:v>
      </x:c>
      <x:c r="E114" s="2" t="n">
        <x:f>C114-D114</x:f>
        <x:v>-4</x:v>
      </x:c>
      <x:c r="F114" s="2" t="n">
        <x:f>ABS(E114)</x:f>
        <x:v>4</x:v>
      </x:c>
    </x:row>
    <x:row r="115" ht="23" customHeight="1">
      <x:c r="A115" s="2" t="str">
        <x:v>DEMO-106</x:v>
      </x:c>
      <x:c r="B115" s="2" t="n">
        <x:v>14</x:v>
      </x:c>
      <x:c r="C115" s="17" t="n">
        <x:f>SUMIFS('Synthetic Sales Data'!$K$2:$K$1921,'Synthetic Sales Data'!$D$2:$D$1921,A115,'Synthetic Sales Data'!$C$2:$C$1921,B115)</x:f>
        <x:v>64</x:v>
      </x:c>
      <x:c r="D115" s="17" t="n">
        <x:f>SUMIFS('Synthetic Sales Data'!$W$2:$W$1921,'Synthetic Sales Data'!$D$2:$D$1921,A115,'Synthetic Sales Data'!$C$2:$C$1921,B115)</x:f>
        <x:v>60</x:v>
      </x:c>
      <x:c r="E115" s="2" t="n">
        <x:f>C115-D115</x:f>
        <x:v>4</x:v>
      </x:c>
      <x:c r="F115" s="2" t="n">
        <x:f>ABS(E115)</x:f>
        <x:v>4</x:v>
      </x:c>
    </x:row>
    <x:row r="116" ht="23" customHeight="1">
      <x:c r="A116" s="2" t="str">
        <x:v>DEMO-106</x:v>
      </x:c>
      <x:c r="B116" s="2" t="n">
        <x:v>15</x:v>
      </x:c>
      <x:c r="C116" s="17" t="n">
        <x:f>SUMIFS('Synthetic Sales Data'!$K$2:$K$1921,'Synthetic Sales Data'!$D$2:$D$1921,A116,'Synthetic Sales Data'!$C$2:$C$1921,B116)</x:f>
        <x:v>59</x:v>
      </x:c>
      <x:c r="D116" s="17" t="n">
        <x:f>SUMIFS('Synthetic Sales Data'!$W$2:$W$1921,'Synthetic Sales Data'!$D$2:$D$1921,A116,'Synthetic Sales Data'!$C$2:$C$1921,B116)</x:f>
        <x:v>61</x:v>
      </x:c>
      <x:c r="E116" s="2" t="n">
        <x:f>C116-D116</x:f>
        <x:v>-2</x:v>
      </x:c>
      <x:c r="F116" s="2" t="n">
        <x:f>ABS(E116)</x:f>
        <x:v>2</x:v>
      </x:c>
    </x:row>
    <x:row r="117" ht="23" customHeight="1">
      <x:c r="A117" s="2" t="str">
        <x:v>DEMO-106</x:v>
      </x:c>
      <x:c r="B117" s="2" t="n">
        <x:v>16</x:v>
      </x:c>
      <x:c r="C117" s="17" t="n">
        <x:f>SUMIFS('Synthetic Sales Data'!$K$2:$K$1921,'Synthetic Sales Data'!$D$2:$D$1921,A117,'Synthetic Sales Data'!$C$2:$C$1921,B117)</x:f>
        <x:v>64</x:v>
      </x:c>
      <x:c r="D117" s="17" t="n">
        <x:f>SUMIFS('Synthetic Sales Data'!$W$2:$W$1921,'Synthetic Sales Data'!$D$2:$D$1921,A117,'Synthetic Sales Data'!$C$2:$C$1921,B117)</x:f>
        <x:v>59</x:v>
      </x:c>
      <x:c r="E117" s="2" t="n">
        <x:f>C117-D117</x:f>
        <x:v>5</x:v>
      </x:c>
      <x:c r="F117" s="2" t="n">
        <x:f>ABS(E117)</x:f>
        <x:v>5</x:v>
      </x:c>
    </x:row>
    <x:row r="118" ht="23" customHeight="1">
      <x:c r="A118" s="2" t="str">
        <x:v>DEMO-106</x:v>
      </x:c>
      <x:c r="B118" s="2" t="n">
        <x:v>17</x:v>
      </x:c>
      <x:c r="C118" s="17" t="n">
        <x:f>SUMIFS('Synthetic Sales Data'!$K$2:$K$1921,'Synthetic Sales Data'!$D$2:$D$1921,A118,'Synthetic Sales Data'!$C$2:$C$1921,B118)</x:f>
        <x:v>70</x:v>
      </x:c>
      <x:c r="D118" s="17" t="n">
        <x:f>SUMIFS('Synthetic Sales Data'!$W$2:$W$1921,'Synthetic Sales Data'!$D$2:$D$1921,A118,'Synthetic Sales Data'!$C$2:$C$1921,B118)</x:f>
        <x:v>61</x:v>
      </x:c>
      <x:c r="E118" s="2" t="n">
        <x:f>C118-D118</x:f>
        <x:v>9</x:v>
      </x:c>
      <x:c r="F118" s="2" t="n">
        <x:f>ABS(E118)</x:f>
        <x:v>9</x:v>
      </x:c>
    </x:row>
    <x:row r="119" ht="23" customHeight="1">
      <x:c r="A119" s="2" t="str">
        <x:v>DEMO-106</x:v>
      </x:c>
      <x:c r="B119" s="2" t="n">
        <x:v>18</x:v>
      </x:c>
      <x:c r="C119" s="17" t="n">
        <x:f>SUMIFS('Synthetic Sales Data'!$K$2:$K$1921,'Synthetic Sales Data'!$D$2:$D$1921,A119,'Synthetic Sales Data'!$C$2:$C$1921,B119)</x:f>
        <x:v>62</x:v>
      </x:c>
      <x:c r="D119" s="17" t="n">
        <x:f>SUMIFS('Synthetic Sales Data'!$W$2:$W$1921,'Synthetic Sales Data'!$D$2:$D$1921,A119,'Synthetic Sales Data'!$C$2:$C$1921,B119)</x:f>
        <x:v>65</x:v>
      </x:c>
      <x:c r="E119" s="2" t="n">
        <x:f>C119-D119</x:f>
        <x:v>-3</x:v>
      </x:c>
      <x:c r="F119" s="2" t="n">
        <x:f>ABS(E119)</x:f>
        <x:v>3</x:v>
      </x:c>
    </x:row>
    <x:row r="120" ht="23" customHeight="1">
      <x:c r="A120" s="2" t="str">
        <x:v>DEMO-106</x:v>
      </x:c>
      <x:c r="B120" s="2" t="n">
        <x:v>19</x:v>
      </x:c>
      <x:c r="C120" s="17" t="n">
        <x:f>SUMIFS('Synthetic Sales Data'!$K$2:$K$1921,'Synthetic Sales Data'!$D$2:$D$1921,A120,'Synthetic Sales Data'!$C$2:$C$1921,B120)</x:f>
        <x:v>65</x:v>
      </x:c>
      <x:c r="D120" s="17" t="n">
        <x:f>SUMIFS('Synthetic Sales Data'!$W$2:$W$1921,'Synthetic Sales Data'!$D$2:$D$1921,A120,'Synthetic Sales Data'!$C$2:$C$1921,B120)</x:f>
        <x:v>65</x:v>
      </x:c>
      <x:c r="E120" s="2" t="n">
        <x:f>C120-D120</x:f>
        <x:v>0</x:v>
      </x:c>
      <x:c r="F120" s="2" t="n">
        <x:f>ABS(E120)</x:f>
        <x:v>0</x:v>
      </x:c>
    </x:row>
    <x:row r="121" ht="23" customHeight="1">
      <x:c r="A121" s="2" t="str">
        <x:v>DEMO-106</x:v>
      </x:c>
      <x:c r="B121" s="2" t="n">
        <x:v>20</x:v>
      </x:c>
      <x:c r="C121" s="17" t="n">
        <x:f>SUMIFS('Synthetic Sales Data'!$K$2:$K$1921,'Synthetic Sales Data'!$D$2:$D$1921,A121,'Synthetic Sales Data'!$C$2:$C$1921,B121)</x:f>
        <x:v>70</x:v>
      </x:c>
      <x:c r="D121" s="17" t="n">
        <x:f>SUMIFS('Synthetic Sales Data'!$W$2:$W$1921,'Synthetic Sales Data'!$D$2:$D$1921,A121,'Synthetic Sales Data'!$C$2:$C$1921,B121)</x:f>
        <x:v>66</x:v>
      </x:c>
      <x:c r="E121" s="2" t="n">
        <x:f>C121-D121</x:f>
        <x:v>4</x:v>
      </x:c>
      <x:c r="F121" s="2" t="n">
        <x:f>ABS(E121)</x:f>
        <x:v>4</x:v>
      </x:c>
    </x:row>
    <x:row r="122" ht="23" customHeight="1">
      <x:c r="A122" s="2" t="str">
        <x:v>DEMO-201</x:v>
      </x:c>
      <x:c r="B122" s="2" t="n">
        <x:v>1</x:v>
      </x:c>
      <x:c r="C122" s="17" t="n">
        <x:f>SUMIFS('Synthetic Sales Data'!$K$2:$K$1921,'Synthetic Sales Data'!$D$2:$D$1921,A122,'Synthetic Sales Data'!$C$2:$C$1921,B122)</x:f>
        <x:v>50</x:v>
      </x:c>
      <x:c r="D122" s="17" t="n">
        <x:f>SUMIFS('Synthetic Sales Data'!$W$2:$W$1921,'Synthetic Sales Data'!$D$2:$D$1921,A122,'Synthetic Sales Data'!$C$2:$C$1921,B122)</x:f>
        <x:v>52</x:v>
      </x:c>
      <x:c r="E122" s="2" t="n">
        <x:f>C122-D122</x:f>
        <x:v>-2</x:v>
      </x:c>
      <x:c r="F122" s="2" t="n">
        <x:f>ABS(E122)</x:f>
        <x:v>2</x:v>
      </x:c>
    </x:row>
    <x:row r="123" ht="23" customHeight="1">
      <x:c r="A123" s="2" t="str">
        <x:v>DEMO-201</x:v>
      </x:c>
      <x:c r="B123" s="2" t="n">
        <x:v>2</x:v>
      </x:c>
      <x:c r="C123" s="17" t="n">
        <x:f>SUMIFS('Synthetic Sales Data'!$K$2:$K$1921,'Synthetic Sales Data'!$D$2:$D$1921,A123,'Synthetic Sales Data'!$C$2:$C$1921,B123)</x:f>
        <x:v>47</x:v>
      </x:c>
      <x:c r="D123" s="17" t="n">
        <x:f>SUMIFS('Synthetic Sales Data'!$W$2:$W$1921,'Synthetic Sales Data'!$D$2:$D$1921,A123,'Synthetic Sales Data'!$C$2:$C$1921,B123)</x:f>
        <x:v>50</x:v>
      </x:c>
      <x:c r="E123" s="2" t="n">
        <x:f>C123-D123</x:f>
        <x:v>-3</x:v>
      </x:c>
      <x:c r="F123" s="2" t="n">
        <x:f>ABS(E123)</x:f>
        <x:v>3</x:v>
      </x:c>
    </x:row>
    <x:row r="124" ht="23" customHeight="1">
      <x:c r="A124" s="2" t="str">
        <x:v>DEMO-201</x:v>
      </x:c>
      <x:c r="B124" s="2" t="n">
        <x:v>3</x:v>
      </x:c>
      <x:c r="C124" s="17" t="n">
        <x:f>SUMIFS('Synthetic Sales Data'!$K$2:$K$1921,'Synthetic Sales Data'!$D$2:$D$1921,A124,'Synthetic Sales Data'!$C$2:$C$1921,B124)</x:f>
        <x:v>52</x:v>
      </x:c>
      <x:c r="D124" s="17" t="n">
        <x:f>SUMIFS('Synthetic Sales Data'!$W$2:$W$1921,'Synthetic Sales Data'!$D$2:$D$1921,A124,'Synthetic Sales Data'!$C$2:$C$1921,B124)</x:f>
        <x:v>49</x:v>
      </x:c>
      <x:c r="E124" s="2" t="n">
        <x:f>C124-D124</x:f>
        <x:v>3</x:v>
      </x:c>
      <x:c r="F124" s="2" t="n">
        <x:f>ABS(E124)</x:f>
        <x:v>3</x:v>
      </x:c>
    </x:row>
    <x:row r="125" ht="23" customHeight="1">
      <x:c r="A125" s="2" t="str">
        <x:v>DEMO-201</x:v>
      </x:c>
      <x:c r="B125" s="2" t="n">
        <x:v>4</x:v>
      </x:c>
      <x:c r="C125" s="17" t="n">
        <x:f>SUMIFS('Synthetic Sales Data'!$K$2:$K$1921,'Synthetic Sales Data'!$D$2:$D$1921,A125,'Synthetic Sales Data'!$C$2:$C$1921,B125)</x:f>
        <x:v>56</x:v>
      </x:c>
      <x:c r="D125" s="17" t="n">
        <x:f>SUMIFS('Synthetic Sales Data'!$W$2:$W$1921,'Synthetic Sales Data'!$D$2:$D$1921,A125,'Synthetic Sales Data'!$C$2:$C$1921,B125)</x:f>
        <x:v>50</x:v>
      </x:c>
      <x:c r="E125" s="2" t="n">
        <x:f>C125-D125</x:f>
        <x:v>6</x:v>
      </x:c>
      <x:c r="F125" s="2" t="n">
        <x:f>ABS(E125)</x:f>
        <x:v>6</x:v>
      </x:c>
    </x:row>
    <x:row r="126" ht="23" customHeight="1">
      <x:c r="A126" s="2" t="str">
        <x:v>DEMO-201</x:v>
      </x:c>
      <x:c r="B126" s="2" t="n">
        <x:v>5</x:v>
      </x:c>
      <x:c r="C126" s="17" t="n">
        <x:f>SUMIFS('Synthetic Sales Data'!$K$2:$K$1921,'Synthetic Sales Data'!$D$2:$D$1921,A126,'Synthetic Sales Data'!$C$2:$C$1921,B126)</x:f>
        <x:v>47</x:v>
      </x:c>
      <x:c r="D126" s="17" t="n">
        <x:f>SUMIFS('Synthetic Sales Data'!$W$2:$W$1921,'Synthetic Sales Data'!$D$2:$D$1921,A126,'Synthetic Sales Data'!$C$2:$C$1921,B126)</x:f>
        <x:v>53</x:v>
      </x:c>
      <x:c r="E126" s="2" t="n">
        <x:f>C126-D126</x:f>
        <x:v>-6</x:v>
      </x:c>
      <x:c r="F126" s="2" t="n">
        <x:f>ABS(E126)</x:f>
        <x:v>6</x:v>
      </x:c>
    </x:row>
    <x:row r="127" ht="23" customHeight="1">
      <x:c r="A127" s="2" t="str">
        <x:v>DEMO-201</x:v>
      </x:c>
      <x:c r="B127" s="2" t="n">
        <x:v>6</x:v>
      </x:c>
      <x:c r="C127" s="17" t="n">
        <x:f>SUMIFS('Synthetic Sales Data'!$K$2:$K$1921,'Synthetic Sales Data'!$D$2:$D$1921,A127,'Synthetic Sales Data'!$C$2:$C$1921,B127)</x:f>
        <x:v>53</x:v>
      </x:c>
      <x:c r="D127" s="17" t="n">
        <x:f>SUMIFS('Synthetic Sales Data'!$W$2:$W$1921,'Synthetic Sales Data'!$D$2:$D$1921,A127,'Synthetic Sales Data'!$C$2:$C$1921,B127)</x:f>
        <x:v>52</x:v>
      </x:c>
      <x:c r="E127" s="2" t="n">
        <x:f>C127-D127</x:f>
        <x:v>1</x:v>
      </x:c>
      <x:c r="F127" s="2" t="n">
        <x:f>ABS(E127)</x:f>
        <x:v>1</x:v>
      </x:c>
    </x:row>
    <x:row r="128" ht="23" customHeight="1">
      <x:c r="A128" s="2" t="str">
        <x:v>DEMO-201</x:v>
      </x:c>
      <x:c r="B128" s="2" t="n">
        <x:v>7</x:v>
      </x:c>
      <x:c r="C128" s="17" t="n">
        <x:f>SUMIFS('Synthetic Sales Data'!$K$2:$K$1921,'Synthetic Sales Data'!$D$2:$D$1921,A128,'Synthetic Sales Data'!$C$2:$C$1921,B128)</x:f>
        <x:v>51</x:v>
      </x:c>
      <x:c r="D128" s="17" t="n">
        <x:f>SUMIFS('Synthetic Sales Data'!$W$2:$W$1921,'Synthetic Sales Data'!$D$2:$D$1921,A128,'Synthetic Sales Data'!$C$2:$C$1921,B128)</x:f>
        <x:v>52</x:v>
      </x:c>
      <x:c r="E128" s="2" t="n">
        <x:f>C128-D128</x:f>
        <x:v>-1</x:v>
      </x:c>
      <x:c r="F128" s="2" t="n">
        <x:f>ABS(E128)</x:f>
        <x:v>1</x:v>
      </x:c>
    </x:row>
    <x:row r="129" ht="23" customHeight="1">
      <x:c r="A129" s="2" t="str">
        <x:v>DEMO-201</x:v>
      </x:c>
      <x:c r="B129" s="2" t="n">
        <x:v>8</x:v>
      </x:c>
      <x:c r="C129" s="17" t="n">
        <x:f>SUMIFS('Synthetic Sales Data'!$K$2:$K$1921,'Synthetic Sales Data'!$D$2:$D$1921,A129,'Synthetic Sales Data'!$C$2:$C$1921,B129)</x:f>
        <x:v>48</x:v>
      </x:c>
      <x:c r="D129" s="17" t="n">
        <x:f>SUMIFS('Synthetic Sales Data'!$W$2:$W$1921,'Synthetic Sales Data'!$D$2:$D$1921,A129,'Synthetic Sales Data'!$C$2:$C$1921,B129)</x:f>
        <x:v>53</x:v>
      </x:c>
      <x:c r="E129" s="2" t="n">
        <x:f>C129-D129</x:f>
        <x:v>-5</x:v>
      </x:c>
      <x:c r="F129" s="2" t="n">
        <x:f>ABS(E129)</x:f>
        <x:v>5</x:v>
      </x:c>
    </x:row>
    <x:row r="130" ht="23" customHeight="1">
      <x:c r="A130" s="2" t="str">
        <x:v>DEMO-201</x:v>
      </x:c>
      <x:c r="B130" s="2" t="n">
        <x:v>9</x:v>
      </x:c>
      <x:c r="C130" s="17" t="n">
        <x:f>SUMIFS('Synthetic Sales Data'!$K$2:$K$1921,'Synthetic Sales Data'!$D$2:$D$1921,A130,'Synthetic Sales Data'!$C$2:$C$1921,B130)</x:f>
        <x:v>50</x:v>
      </x:c>
      <x:c r="D130" s="17" t="n">
        <x:f>SUMIFS('Synthetic Sales Data'!$W$2:$W$1921,'Synthetic Sales Data'!$D$2:$D$1921,A130,'Synthetic Sales Data'!$C$2:$C$1921,B130)</x:f>
        <x:v>50</x:v>
      </x:c>
      <x:c r="E130" s="2" t="n">
        <x:f>C130-D130</x:f>
        <x:v>0</x:v>
      </x:c>
      <x:c r="F130" s="2" t="n">
        <x:f>ABS(E130)</x:f>
        <x:v>0</x:v>
      </x:c>
    </x:row>
    <x:row r="131" ht="23" customHeight="1">
      <x:c r="A131" s="2" t="str">
        <x:v>DEMO-201</x:v>
      </x:c>
      <x:c r="B131" s="2" t="n">
        <x:v>10</x:v>
      </x:c>
      <x:c r="C131" s="17" t="n">
        <x:f>SUMIFS('Synthetic Sales Data'!$K$2:$K$1921,'Synthetic Sales Data'!$D$2:$D$1921,A131,'Synthetic Sales Data'!$C$2:$C$1921,B131)</x:f>
        <x:v>52</x:v>
      </x:c>
      <x:c r="D131" s="17" t="n">
        <x:f>SUMIFS('Synthetic Sales Data'!$W$2:$W$1921,'Synthetic Sales Data'!$D$2:$D$1921,A131,'Synthetic Sales Data'!$C$2:$C$1921,B131)</x:f>
        <x:v>51</x:v>
      </x:c>
      <x:c r="E131" s="2" t="n">
        <x:f>C131-D131</x:f>
        <x:v>1</x:v>
      </x:c>
      <x:c r="F131" s="2" t="n">
        <x:f>ABS(E131)</x:f>
        <x:v>1</x:v>
      </x:c>
    </x:row>
    <x:row r="132" ht="23" customHeight="1">
      <x:c r="A132" s="2" t="str">
        <x:v>DEMO-201</x:v>
      </x:c>
      <x:c r="B132" s="2" t="n">
        <x:v>11</x:v>
      </x:c>
      <x:c r="C132" s="17" t="n">
        <x:f>SUMIFS('Synthetic Sales Data'!$K$2:$K$1921,'Synthetic Sales Data'!$D$2:$D$1921,A132,'Synthetic Sales Data'!$C$2:$C$1921,B132)</x:f>
        <x:v>56</x:v>
      </x:c>
      <x:c r="D132" s="17" t="n">
        <x:f>SUMIFS('Synthetic Sales Data'!$W$2:$W$1921,'Synthetic Sales Data'!$D$2:$D$1921,A132,'Synthetic Sales Data'!$C$2:$C$1921,B132)</x:f>
        <x:v>50</x:v>
      </x:c>
      <x:c r="E132" s="2" t="n">
        <x:f>C132-D132</x:f>
        <x:v>6</x:v>
      </x:c>
      <x:c r="F132" s="2" t="n">
        <x:f>ABS(E132)</x:f>
        <x:v>6</x:v>
      </x:c>
    </x:row>
    <x:row r="133" ht="23" customHeight="1">
      <x:c r="A133" s="2" t="str">
        <x:v>DEMO-201</x:v>
      </x:c>
      <x:c r="B133" s="2" t="n">
        <x:v>12</x:v>
      </x:c>
      <x:c r="C133" s="17" t="n">
        <x:f>SUMIFS('Synthetic Sales Data'!$K$2:$K$1921,'Synthetic Sales Data'!$D$2:$D$1921,A133,'Synthetic Sales Data'!$C$2:$C$1921,B133)</x:f>
        <x:v>121</x:v>
      </x:c>
      <x:c r="D133" s="17" t="n">
        <x:f>SUMIFS('Synthetic Sales Data'!$W$2:$W$1921,'Synthetic Sales Data'!$D$2:$D$1921,A133,'Synthetic Sales Data'!$C$2:$C$1921,B133)</x:f>
        <x:v>52</x:v>
      </x:c>
      <x:c r="E133" s="2" t="n">
        <x:f>C133-D133</x:f>
        <x:v>69</x:v>
      </x:c>
      <x:c r="F133" s="2" t="n">
        <x:f>ABS(E133)</x:f>
        <x:v>69</x:v>
      </x:c>
    </x:row>
    <x:row r="134" ht="23" customHeight="1">
      <x:c r="A134" s="2" t="str">
        <x:v>DEMO-201</x:v>
      </x:c>
      <x:c r="B134" s="2" t="n">
        <x:v>13</x:v>
      </x:c>
      <x:c r="C134" s="17" t="n">
        <x:f>SUMIFS('Synthetic Sales Data'!$K$2:$K$1921,'Synthetic Sales Data'!$D$2:$D$1921,A134,'Synthetic Sales Data'!$C$2:$C$1921,B134)</x:f>
        <x:v>113</x:v>
      </x:c>
      <x:c r="D134" s="17" t="n">
        <x:f>SUMIFS('Synthetic Sales Data'!$W$2:$W$1921,'Synthetic Sales Data'!$D$2:$D$1921,A134,'Synthetic Sales Data'!$C$2:$C$1921,B134)</x:f>
        <x:v>71</x:v>
      </x:c>
      <x:c r="E134" s="2" t="n">
        <x:f>C134-D134</x:f>
        <x:v>42</x:v>
      </x:c>
      <x:c r="F134" s="2" t="n">
        <x:f>ABS(E134)</x:f>
        <x:v>42</x:v>
      </x:c>
    </x:row>
    <x:row r="135" ht="23" customHeight="1">
      <x:c r="A135" s="2" t="str">
        <x:v>DEMO-201</x:v>
      </x:c>
      <x:c r="B135" s="2" t="n">
        <x:v>14</x:v>
      </x:c>
      <x:c r="C135" s="17" t="n">
        <x:f>SUMIFS('Synthetic Sales Data'!$K$2:$K$1921,'Synthetic Sales Data'!$D$2:$D$1921,A135,'Synthetic Sales Data'!$C$2:$C$1921,B135)</x:f>
        <x:v>111</x:v>
      </x:c>
      <x:c r="D135" s="17" t="n">
        <x:f>SUMIFS('Synthetic Sales Data'!$W$2:$W$1921,'Synthetic Sales Data'!$D$2:$D$1921,A135,'Synthetic Sales Data'!$C$2:$C$1921,B135)</x:f>
        <x:v>85</x:v>
      </x:c>
      <x:c r="E135" s="2" t="n">
        <x:f>C135-D135</x:f>
        <x:v>26</x:v>
      </x:c>
      <x:c r="F135" s="2" t="n">
        <x:f>ABS(E135)</x:f>
        <x:v>26</x:v>
      </x:c>
    </x:row>
    <x:row r="136" ht="23" customHeight="1">
      <x:c r="A136" s="2" t="str">
        <x:v>DEMO-201</x:v>
      </x:c>
      <x:c r="B136" s="2" t="n">
        <x:v>15</x:v>
      </x:c>
      <x:c r="C136" s="17" t="n">
        <x:f>SUMIFS('Synthetic Sales Data'!$K$2:$K$1921,'Synthetic Sales Data'!$D$2:$D$1921,A136,'Synthetic Sales Data'!$C$2:$C$1921,B136)</x:f>
        <x:v>50</x:v>
      </x:c>
      <x:c r="D136" s="17" t="n">
        <x:f>SUMIFS('Synthetic Sales Data'!$W$2:$W$1921,'Synthetic Sales Data'!$D$2:$D$1921,A136,'Synthetic Sales Data'!$C$2:$C$1921,B136)</x:f>
        <x:v>101</x:v>
      </x:c>
      <x:c r="E136" s="2" t="n">
        <x:f>C136-D136</x:f>
        <x:v>-51</x:v>
      </x:c>
      <x:c r="F136" s="2" t="n">
        <x:f>ABS(E136)</x:f>
        <x:v>51</x:v>
      </x:c>
    </x:row>
    <x:row r="137" ht="23" customHeight="1">
      <x:c r="A137" s="2" t="str">
        <x:v>DEMO-201</x:v>
      </x:c>
      <x:c r="B137" s="2" t="n">
        <x:v>16</x:v>
      </x:c>
      <x:c r="C137" s="17" t="n">
        <x:f>SUMIFS('Synthetic Sales Data'!$K$2:$K$1921,'Synthetic Sales Data'!$D$2:$D$1921,A137,'Synthetic Sales Data'!$C$2:$C$1921,B137)</x:f>
        <x:v>53</x:v>
      </x:c>
      <x:c r="D137" s="17" t="n">
        <x:f>SUMIFS('Synthetic Sales Data'!$W$2:$W$1921,'Synthetic Sales Data'!$D$2:$D$1921,A137,'Synthetic Sales Data'!$C$2:$C$1921,B137)</x:f>
        <x:v>99</x:v>
      </x:c>
      <x:c r="E137" s="2" t="n">
        <x:f>C137-D137</x:f>
        <x:v>-46</x:v>
      </x:c>
      <x:c r="F137" s="2" t="n">
        <x:f>ABS(E137)</x:f>
        <x:v>46</x:v>
      </x:c>
    </x:row>
    <x:row r="138" ht="23" customHeight="1">
      <x:c r="A138" s="2" t="str">
        <x:v>DEMO-201</x:v>
      </x:c>
      <x:c r="B138" s="2" t="n">
        <x:v>17</x:v>
      </x:c>
      <x:c r="C138" s="17" t="n">
        <x:f>SUMIFS('Synthetic Sales Data'!$K$2:$K$1921,'Synthetic Sales Data'!$D$2:$D$1921,A138,'Synthetic Sales Data'!$C$2:$C$1921,B138)</x:f>
        <x:v>50</x:v>
      </x:c>
      <x:c r="D138" s="17" t="n">
        <x:f>SUMIFS('Synthetic Sales Data'!$W$2:$W$1921,'Synthetic Sales Data'!$D$2:$D$1921,A138,'Synthetic Sales Data'!$C$2:$C$1921,B138)</x:f>
        <x:v>82</x:v>
      </x:c>
      <x:c r="E138" s="2" t="n">
        <x:f>C138-D138</x:f>
        <x:v>-32</x:v>
      </x:c>
      <x:c r="F138" s="2" t="n">
        <x:f>ABS(E138)</x:f>
        <x:v>32</x:v>
      </x:c>
    </x:row>
    <x:row r="139" ht="23" customHeight="1">
      <x:c r="A139" s="2" t="str">
        <x:v>DEMO-201</x:v>
      </x:c>
      <x:c r="B139" s="2" t="n">
        <x:v>18</x:v>
      </x:c>
      <x:c r="C139" s="17" t="n">
        <x:f>SUMIFS('Synthetic Sales Data'!$K$2:$K$1921,'Synthetic Sales Data'!$D$2:$D$1921,A139,'Synthetic Sales Data'!$C$2:$C$1921,B139)</x:f>
        <x:v>50</x:v>
      </x:c>
      <x:c r="D139" s="17" t="n">
        <x:f>SUMIFS('Synthetic Sales Data'!$W$2:$W$1921,'Synthetic Sales Data'!$D$2:$D$1921,A139,'Synthetic Sales Data'!$C$2:$C$1921,B139)</x:f>
        <x:v>66</x:v>
      </x:c>
      <x:c r="E139" s="2" t="n">
        <x:f>C139-D139</x:f>
        <x:v>-16</x:v>
      </x:c>
      <x:c r="F139" s="2" t="n">
        <x:f>ABS(E139)</x:f>
        <x:v>16</x:v>
      </x:c>
    </x:row>
    <x:row r="140" ht="23" customHeight="1">
      <x:c r="A140" s="2" t="str">
        <x:v>DEMO-201</x:v>
      </x:c>
      <x:c r="B140" s="2" t="n">
        <x:v>19</x:v>
      </x:c>
      <x:c r="C140" s="17" t="n">
        <x:f>SUMIFS('Synthetic Sales Data'!$K$2:$K$1921,'Synthetic Sales Data'!$D$2:$D$1921,A140,'Synthetic Sales Data'!$C$2:$C$1921,B140)</x:f>
        <x:v>51</x:v>
      </x:c>
      <x:c r="D140" s="17" t="n">
        <x:f>SUMIFS('Synthetic Sales Data'!$W$2:$W$1921,'Synthetic Sales Data'!$D$2:$D$1921,A140,'Synthetic Sales Data'!$C$2:$C$1921,B140)</x:f>
        <x:v>51</x:v>
      </x:c>
      <x:c r="E140" s="2" t="n">
        <x:f>C140-D140</x:f>
        <x:v>0</x:v>
      </x:c>
      <x:c r="F140" s="2" t="n">
        <x:f>ABS(E140)</x:f>
        <x:v>0</x:v>
      </x:c>
    </x:row>
    <x:row r="141" ht="23" customHeight="1">
      <x:c r="A141" s="2" t="str">
        <x:v>DEMO-201</x:v>
      </x:c>
      <x:c r="B141" s="2" t="n">
        <x:v>20</x:v>
      </x:c>
      <x:c r="C141" s="17" t="n">
        <x:f>SUMIFS('Synthetic Sales Data'!$K$2:$K$1921,'Synthetic Sales Data'!$D$2:$D$1921,A141,'Synthetic Sales Data'!$C$2:$C$1921,B141)</x:f>
        <x:v>50</x:v>
      </x:c>
      <x:c r="D141" s="17" t="n">
        <x:f>SUMIFS('Synthetic Sales Data'!$W$2:$W$1921,'Synthetic Sales Data'!$D$2:$D$1921,A141,'Synthetic Sales Data'!$C$2:$C$1921,B141)</x:f>
        <x:v>51</x:v>
      </x:c>
      <x:c r="E141" s="2" t="n">
        <x:f>C141-D141</x:f>
        <x:v>-1</x:v>
      </x:c>
      <x:c r="F141" s="2" t="n">
        <x:f>ABS(E141)</x:f>
        <x:v>1</x:v>
      </x:c>
    </x:row>
    <x:row r="142" ht="23" customHeight="1">
      <x:c r="A142" s="2" t="str">
        <x:v>DEMO-202</x:v>
      </x:c>
      <x:c r="B142" s="2" t="n">
        <x:v>1</x:v>
      </x:c>
      <x:c r="C142" s="17" t="n">
        <x:f>SUMIFS('Synthetic Sales Data'!$K$2:$K$1921,'Synthetic Sales Data'!$D$2:$D$1921,A142,'Synthetic Sales Data'!$C$2:$C$1921,B142)</x:f>
        <x:v>71</x:v>
      </x:c>
      <x:c r="D142" s="17" t="n">
        <x:f>SUMIFS('Synthetic Sales Data'!$W$2:$W$1921,'Synthetic Sales Data'!$D$2:$D$1921,A142,'Synthetic Sales Data'!$C$2:$C$1921,B142)</x:f>
        <x:v>66</x:v>
      </x:c>
      <x:c r="E142" s="2" t="n">
        <x:f>C142-D142</x:f>
        <x:v>5</x:v>
      </x:c>
      <x:c r="F142" s="2" t="n">
        <x:f>ABS(E142)</x:f>
        <x:v>5</x:v>
      </x:c>
    </x:row>
    <x:row r="143" ht="23" customHeight="1">
      <x:c r="A143" s="2" t="str">
        <x:v>DEMO-202</x:v>
      </x:c>
      <x:c r="B143" s="2" t="n">
        <x:v>2</x:v>
      </x:c>
      <x:c r="C143" s="17" t="n">
        <x:f>SUMIFS('Synthetic Sales Data'!$K$2:$K$1921,'Synthetic Sales Data'!$D$2:$D$1921,A143,'Synthetic Sales Data'!$C$2:$C$1921,B143)</x:f>
        <x:v>61</x:v>
      </x:c>
      <x:c r="D143" s="17" t="n">
        <x:f>SUMIFS('Synthetic Sales Data'!$W$2:$W$1921,'Synthetic Sales Data'!$D$2:$D$1921,A143,'Synthetic Sales Data'!$C$2:$C$1921,B143)</x:f>
        <x:v>71</x:v>
      </x:c>
      <x:c r="E143" s="2" t="n">
        <x:f>C143-D143</x:f>
        <x:v>-10</x:v>
      </x:c>
      <x:c r="F143" s="2" t="n">
        <x:f>ABS(E143)</x:f>
        <x:v>10</x:v>
      </x:c>
    </x:row>
    <x:row r="144" ht="23" customHeight="1">
      <x:c r="A144" s="2" t="str">
        <x:v>DEMO-202</x:v>
      </x:c>
      <x:c r="B144" s="2" t="n">
        <x:v>3</x:v>
      </x:c>
      <x:c r="C144" s="17" t="n">
        <x:f>SUMIFS('Synthetic Sales Data'!$K$2:$K$1921,'Synthetic Sales Data'!$D$2:$D$1921,A144,'Synthetic Sales Data'!$C$2:$C$1921,B144)</x:f>
        <x:v>62</x:v>
      </x:c>
      <x:c r="D144" s="17" t="n">
        <x:f>SUMIFS('Synthetic Sales Data'!$W$2:$W$1921,'Synthetic Sales Data'!$D$2:$D$1921,A144,'Synthetic Sales Data'!$C$2:$C$1921,B144)</x:f>
        <x:v>67</x:v>
      </x:c>
      <x:c r="E144" s="2" t="n">
        <x:f>C144-D144</x:f>
        <x:v>-5</x:v>
      </x:c>
      <x:c r="F144" s="2" t="n">
        <x:f>ABS(E144)</x:f>
        <x:v>5</x:v>
      </x:c>
    </x:row>
    <x:row r="145" ht="23" customHeight="1">
      <x:c r="A145" s="2" t="str">
        <x:v>DEMO-202</x:v>
      </x:c>
      <x:c r="B145" s="2" t="n">
        <x:v>4</x:v>
      </x:c>
      <x:c r="C145" s="17" t="n">
        <x:f>SUMIFS('Synthetic Sales Data'!$K$2:$K$1921,'Synthetic Sales Data'!$D$2:$D$1921,A145,'Synthetic Sales Data'!$C$2:$C$1921,B145)</x:f>
        <x:v>67</x:v>
      </x:c>
      <x:c r="D145" s="17" t="n">
        <x:f>SUMIFS('Synthetic Sales Data'!$W$2:$W$1921,'Synthetic Sales Data'!$D$2:$D$1921,A145,'Synthetic Sales Data'!$C$2:$C$1921,B145)</x:f>
        <x:v>64</x:v>
      </x:c>
      <x:c r="E145" s="2" t="n">
        <x:f>C145-D145</x:f>
        <x:v>3</x:v>
      </x:c>
      <x:c r="F145" s="2" t="n">
        <x:f>ABS(E145)</x:f>
        <x:v>3</x:v>
      </x:c>
    </x:row>
    <x:row r="146" ht="23" customHeight="1">
      <x:c r="A146" s="2" t="str">
        <x:v>DEMO-202</x:v>
      </x:c>
      <x:c r="B146" s="2" t="n">
        <x:v>5</x:v>
      </x:c>
      <x:c r="C146" s="17" t="n">
        <x:f>SUMIFS('Synthetic Sales Data'!$K$2:$K$1921,'Synthetic Sales Data'!$D$2:$D$1921,A146,'Synthetic Sales Data'!$C$2:$C$1921,B146)</x:f>
        <x:v>62</x:v>
      </x:c>
      <x:c r="D146" s="17" t="n">
        <x:f>SUMIFS('Synthetic Sales Data'!$W$2:$W$1921,'Synthetic Sales Data'!$D$2:$D$1921,A146,'Synthetic Sales Data'!$C$2:$C$1921,B146)</x:f>
        <x:v>66</x:v>
      </x:c>
      <x:c r="E146" s="2" t="n">
        <x:f>C146-D146</x:f>
        <x:v>-4</x:v>
      </x:c>
      <x:c r="F146" s="2" t="n">
        <x:f>ABS(E146)</x:f>
        <x:v>4</x:v>
      </x:c>
    </x:row>
    <x:row r="147" ht="23" customHeight="1">
      <x:c r="A147" s="2" t="str">
        <x:v>DEMO-202</x:v>
      </x:c>
      <x:c r="B147" s="2" t="n">
        <x:v>6</x:v>
      </x:c>
      <x:c r="C147" s="17" t="n">
        <x:f>SUMIFS('Synthetic Sales Data'!$K$2:$K$1921,'Synthetic Sales Data'!$D$2:$D$1921,A147,'Synthetic Sales Data'!$C$2:$C$1921,B147)</x:f>
        <x:v>75</x:v>
      </x:c>
      <x:c r="D147" s="17" t="n">
        <x:f>SUMIFS('Synthetic Sales Data'!$W$2:$W$1921,'Synthetic Sales Data'!$D$2:$D$1921,A147,'Synthetic Sales Data'!$C$2:$C$1921,B147)</x:f>
        <x:v>63</x:v>
      </x:c>
      <x:c r="E147" s="2" t="n">
        <x:f>C147-D147</x:f>
        <x:v>12</x:v>
      </x:c>
      <x:c r="F147" s="2" t="n">
        <x:f>ABS(E147)</x:f>
        <x:v>12</x:v>
      </x:c>
    </x:row>
    <x:row r="148" ht="23" customHeight="1">
      <x:c r="A148" s="2" t="str">
        <x:v>DEMO-202</x:v>
      </x:c>
      <x:c r="B148" s="2" t="n">
        <x:v>7</x:v>
      </x:c>
      <x:c r="C148" s="17" t="n">
        <x:f>SUMIFS('Synthetic Sales Data'!$K$2:$K$1921,'Synthetic Sales Data'!$D$2:$D$1921,A148,'Synthetic Sales Data'!$C$2:$C$1921,B148)</x:f>
        <x:v>63</x:v>
      </x:c>
      <x:c r="D148" s="17" t="n">
        <x:f>SUMIFS('Synthetic Sales Data'!$W$2:$W$1921,'Synthetic Sales Data'!$D$2:$D$1921,A148,'Synthetic Sales Data'!$C$2:$C$1921,B148)</x:f>
        <x:v>67</x:v>
      </x:c>
      <x:c r="E148" s="2" t="n">
        <x:f>C148-D148</x:f>
        <x:v>-4</x:v>
      </x:c>
      <x:c r="F148" s="2" t="n">
        <x:f>ABS(E148)</x:f>
        <x:v>4</x:v>
      </x:c>
    </x:row>
    <x:row r="149" ht="23" customHeight="1">
      <x:c r="A149" s="2" t="str">
        <x:v>DEMO-202</x:v>
      </x:c>
      <x:c r="B149" s="2" t="n">
        <x:v>8</x:v>
      </x:c>
      <x:c r="C149" s="17" t="n">
        <x:f>SUMIFS('Synthetic Sales Data'!$K$2:$K$1921,'Synthetic Sales Data'!$D$2:$D$1921,A149,'Synthetic Sales Data'!$C$2:$C$1921,B149)</x:f>
        <x:v>63</x:v>
      </x:c>
      <x:c r="D149" s="17" t="n">
        <x:f>SUMIFS('Synthetic Sales Data'!$W$2:$W$1921,'Synthetic Sales Data'!$D$2:$D$1921,A149,'Synthetic Sales Data'!$C$2:$C$1921,B149)</x:f>
        <x:v>67</x:v>
      </x:c>
      <x:c r="E149" s="2" t="n">
        <x:f>C149-D149</x:f>
        <x:v>-4</x:v>
      </x:c>
      <x:c r="F149" s="2" t="n">
        <x:f>ABS(E149)</x:f>
        <x:v>4</x:v>
      </x:c>
    </x:row>
    <x:row r="150" ht="23" customHeight="1">
      <x:c r="A150" s="2" t="str">
        <x:v>DEMO-202</x:v>
      </x:c>
      <x:c r="B150" s="2" t="n">
        <x:v>9</x:v>
      </x:c>
      <x:c r="C150" s="17" t="n">
        <x:f>SUMIFS('Synthetic Sales Data'!$K$2:$K$1921,'Synthetic Sales Data'!$D$2:$D$1921,A150,'Synthetic Sales Data'!$C$2:$C$1921,B150)</x:f>
        <x:v>69</x:v>
      </x:c>
      <x:c r="D150" s="17" t="n">
        <x:f>SUMIFS('Synthetic Sales Data'!$W$2:$W$1921,'Synthetic Sales Data'!$D$2:$D$1921,A150,'Synthetic Sales Data'!$C$2:$C$1921,B150)</x:f>
        <x:v>65</x:v>
      </x:c>
      <x:c r="E150" s="2" t="n">
        <x:f>C150-D150</x:f>
        <x:v>4</x:v>
      </x:c>
      <x:c r="F150" s="2" t="n">
        <x:f>ABS(E150)</x:f>
        <x:v>4</x:v>
      </x:c>
    </x:row>
    <x:row r="151" ht="23" customHeight="1">
      <x:c r="A151" s="2" t="str">
        <x:v>DEMO-202</x:v>
      </x:c>
      <x:c r="B151" s="2" t="n">
        <x:v>10</x:v>
      </x:c>
      <x:c r="C151" s="17" t="n">
        <x:f>SUMIFS('Synthetic Sales Data'!$K$2:$K$1921,'Synthetic Sales Data'!$D$2:$D$1921,A151,'Synthetic Sales Data'!$C$2:$C$1921,B151)</x:f>
        <x:v>67</x:v>
      </x:c>
      <x:c r="D151" s="17" t="n">
        <x:f>SUMIFS('Synthetic Sales Data'!$W$2:$W$1921,'Synthetic Sales Data'!$D$2:$D$1921,A151,'Synthetic Sales Data'!$C$2:$C$1921,B151)</x:f>
        <x:v>68</x:v>
      </x:c>
      <x:c r="E151" s="2" t="n">
        <x:f>C151-D151</x:f>
        <x:v>-1</x:v>
      </x:c>
      <x:c r="F151" s="2" t="n">
        <x:f>ABS(E151)</x:f>
        <x:v>1</x:v>
      </x:c>
    </x:row>
    <x:row r="152" ht="23" customHeight="1">
      <x:c r="A152" s="2" t="str">
        <x:v>DEMO-202</x:v>
      </x:c>
      <x:c r="B152" s="2" t="n">
        <x:v>11</x:v>
      </x:c>
      <x:c r="C152" s="17" t="n">
        <x:f>SUMIFS('Synthetic Sales Data'!$K$2:$K$1921,'Synthetic Sales Data'!$D$2:$D$1921,A152,'Synthetic Sales Data'!$C$2:$C$1921,B152)</x:f>
        <x:v>68</x:v>
      </x:c>
      <x:c r="D152" s="17" t="n">
        <x:f>SUMIFS('Synthetic Sales Data'!$W$2:$W$1921,'Synthetic Sales Data'!$D$2:$D$1921,A152,'Synthetic Sales Data'!$C$2:$C$1921,B152)</x:f>
        <x:v>67</x:v>
      </x:c>
      <x:c r="E152" s="2" t="n">
        <x:f>C152-D152</x:f>
        <x:v>1</x:v>
      </x:c>
      <x:c r="F152" s="2" t="n">
        <x:f>ABS(E152)</x:f>
        <x:v>1</x:v>
      </x:c>
    </x:row>
    <x:row r="153" ht="23" customHeight="1">
      <x:c r="A153" s="2" t="str">
        <x:v>DEMO-202</x:v>
      </x:c>
      <x:c r="B153" s="2" t="n">
        <x:v>12</x:v>
      </x:c>
      <x:c r="C153" s="17" t="n">
        <x:f>SUMIFS('Synthetic Sales Data'!$K$2:$K$1921,'Synthetic Sales Data'!$D$2:$D$1921,A153,'Synthetic Sales Data'!$C$2:$C$1921,B153)</x:f>
        <x:v>143</x:v>
      </x:c>
      <x:c r="D153" s="17" t="n">
        <x:f>SUMIFS('Synthetic Sales Data'!$W$2:$W$1921,'Synthetic Sales Data'!$D$2:$D$1921,A153,'Synthetic Sales Data'!$C$2:$C$1921,B153)</x:f>
        <x:v>67</x:v>
      </x:c>
      <x:c r="E153" s="2" t="n">
        <x:f>C153-D153</x:f>
        <x:v>76</x:v>
      </x:c>
      <x:c r="F153" s="2" t="n">
        <x:f>ABS(E153)</x:f>
        <x:v>76</x:v>
      </x:c>
    </x:row>
    <x:row r="154" ht="23" customHeight="1">
      <x:c r="A154" s="2" t="str">
        <x:v>DEMO-202</x:v>
      </x:c>
      <x:c r="B154" s="2" t="n">
        <x:v>13</x:v>
      </x:c>
      <x:c r="C154" s="17" t="n">
        <x:f>SUMIFS('Synthetic Sales Data'!$K$2:$K$1921,'Synthetic Sales Data'!$D$2:$D$1921,A154,'Synthetic Sales Data'!$C$2:$C$1921,B154)</x:f>
        <x:v>130</x:v>
      </x:c>
      <x:c r="D154" s="17" t="n">
        <x:f>SUMIFS('Synthetic Sales Data'!$W$2:$W$1921,'Synthetic Sales Data'!$D$2:$D$1921,A154,'Synthetic Sales Data'!$C$2:$C$1921,B154)</x:f>
        <x:v>87</x:v>
      </x:c>
      <x:c r="E154" s="2" t="n">
        <x:f>C154-D154</x:f>
        <x:v>43</x:v>
      </x:c>
      <x:c r="F154" s="2" t="n">
        <x:f>ABS(E154)</x:f>
        <x:v>43</x:v>
      </x:c>
    </x:row>
    <x:row r="155" ht="23" customHeight="1">
      <x:c r="A155" s="2" t="str">
        <x:v>DEMO-202</x:v>
      </x:c>
      <x:c r="B155" s="2" t="n">
        <x:v>14</x:v>
      </x:c>
      <x:c r="C155" s="17" t="n">
        <x:f>SUMIFS('Synthetic Sales Data'!$K$2:$K$1921,'Synthetic Sales Data'!$D$2:$D$1921,A155,'Synthetic Sales Data'!$C$2:$C$1921,B155)</x:f>
        <x:v>134</x:v>
      </x:c>
      <x:c r="D155" s="17" t="n">
        <x:f>SUMIFS('Synthetic Sales Data'!$W$2:$W$1921,'Synthetic Sales Data'!$D$2:$D$1921,A155,'Synthetic Sales Data'!$C$2:$C$1921,B155)</x:f>
        <x:v>102</x:v>
      </x:c>
      <x:c r="E155" s="2" t="n">
        <x:f>C155-D155</x:f>
        <x:v>32</x:v>
      </x:c>
      <x:c r="F155" s="2" t="n">
        <x:f>ABS(E155)</x:f>
        <x:v>32</x:v>
      </x:c>
    </x:row>
    <x:row r="156" ht="23" customHeight="1">
      <x:c r="A156" s="2" t="str">
        <x:v>DEMO-202</x:v>
      </x:c>
      <x:c r="B156" s="2" t="n">
        <x:v>15</x:v>
      </x:c>
      <x:c r="C156" s="17" t="n">
        <x:f>SUMIFS('Synthetic Sales Data'!$K$2:$K$1921,'Synthetic Sales Data'!$D$2:$D$1921,A156,'Synthetic Sales Data'!$C$2:$C$1921,B156)</x:f>
        <x:v>60</x:v>
      </x:c>
      <x:c r="D156" s="17" t="n">
        <x:f>SUMIFS('Synthetic Sales Data'!$W$2:$W$1921,'Synthetic Sales Data'!$D$2:$D$1921,A156,'Synthetic Sales Data'!$C$2:$C$1921,B156)</x:f>
        <x:v>120</x:v>
      </x:c>
      <x:c r="E156" s="2" t="n">
        <x:f>C156-D156</x:f>
        <x:v>-60</x:v>
      </x:c>
      <x:c r="F156" s="2" t="n">
        <x:f>ABS(E156)</x:f>
        <x:v>60</x:v>
      </x:c>
    </x:row>
    <x:row r="157" ht="23" customHeight="1">
      <x:c r="A157" s="2" t="str">
        <x:v>DEMO-202</x:v>
      </x:c>
      <x:c r="B157" s="2" t="n">
        <x:v>16</x:v>
      </x:c>
      <x:c r="C157" s="17" t="n">
        <x:f>SUMIFS('Synthetic Sales Data'!$K$2:$K$1921,'Synthetic Sales Data'!$D$2:$D$1921,A157,'Synthetic Sales Data'!$C$2:$C$1921,B157)</x:f>
        <x:v>62</x:v>
      </x:c>
      <x:c r="D157" s="17" t="n">
        <x:f>SUMIFS('Synthetic Sales Data'!$W$2:$W$1921,'Synthetic Sales Data'!$D$2:$D$1921,A157,'Synthetic Sales Data'!$C$2:$C$1921,B157)</x:f>
        <x:v>118</x:v>
      </x:c>
      <x:c r="E157" s="2" t="n">
        <x:f>C157-D157</x:f>
        <x:v>-56</x:v>
      </x:c>
      <x:c r="F157" s="2" t="n">
        <x:f>ABS(E157)</x:f>
        <x:v>56</x:v>
      </x:c>
    </x:row>
    <x:row r="158" ht="23" customHeight="1">
      <x:c r="A158" s="2" t="str">
        <x:v>DEMO-202</x:v>
      </x:c>
      <x:c r="B158" s="2" t="n">
        <x:v>17</x:v>
      </x:c>
      <x:c r="C158" s="17" t="n">
        <x:f>SUMIFS('Synthetic Sales Data'!$K$2:$K$1921,'Synthetic Sales Data'!$D$2:$D$1921,A158,'Synthetic Sales Data'!$C$2:$C$1921,B158)</x:f>
        <x:v>70</x:v>
      </x:c>
      <x:c r="D158" s="17" t="n">
        <x:f>SUMIFS('Synthetic Sales Data'!$W$2:$W$1921,'Synthetic Sales Data'!$D$2:$D$1921,A158,'Synthetic Sales Data'!$C$2:$C$1921,B158)</x:f>
        <x:v>97</x:v>
      </x:c>
      <x:c r="E158" s="2" t="n">
        <x:f>C158-D158</x:f>
        <x:v>-27</x:v>
      </x:c>
      <x:c r="F158" s="2" t="n">
        <x:f>ABS(E158)</x:f>
        <x:v>27</x:v>
      </x:c>
    </x:row>
    <x:row r="159" ht="23" customHeight="1">
      <x:c r="A159" s="2" t="str">
        <x:v>DEMO-202</x:v>
      </x:c>
      <x:c r="B159" s="2" t="n">
        <x:v>18</x:v>
      </x:c>
      <x:c r="C159" s="17" t="n">
        <x:f>SUMIFS('Synthetic Sales Data'!$K$2:$K$1921,'Synthetic Sales Data'!$D$2:$D$1921,A159,'Synthetic Sales Data'!$C$2:$C$1921,B159)</x:f>
        <x:v>61</x:v>
      </x:c>
      <x:c r="D159" s="17" t="n">
        <x:f>SUMIFS('Synthetic Sales Data'!$W$2:$W$1921,'Synthetic Sales Data'!$D$2:$D$1921,A159,'Synthetic Sales Data'!$C$2:$C$1921,B159)</x:f>
        <x:v>82</x:v>
      </x:c>
      <x:c r="E159" s="2" t="n">
        <x:f>C159-D159</x:f>
        <x:v>-21</x:v>
      </x:c>
      <x:c r="F159" s="2" t="n">
        <x:f>ABS(E159)</x:f>
        <x:v>21</x:v>
      </x:c>
    </x:row>
    <x:row r="160" ht="23" customHeight="1">
      <x:c r="A160" s="2" t="str">
        <x:v>DEMO-202</x:v>
      </x:c>
      <x:c r="B160" s="2" t="n">
        <x:v>19</x:v>
      </x:c>
      <x:c r="C160" s="17" t="n">
        <x:f>SUMIFS('Synthetic Sales Data'!$K$2:$K$1921,'Synthetic Sales Data'!$D$2:$D$1921,A160,'Synthetic Sales Data'!$C$2:$C$1921,B160)</x:f>
        <x:v>61</x:v>
      </x:c>
      <x:c r="D160" s="17" t="n">
        <x:f>SUMIFS('Synthetic Sales Data'!$W$2:$W$1921,'Synthetic Sales Data'!$D$2:$D$1921,A160,'Synthetic Sales Data'!$C$2:$C$1921,B160)</x:f>
        <x:v>63</x:v>
      </x:c>
      <x:c r="E160" s="2" t="n">
        <x:f>C160-D160</x:f>
        <x:v>-2</x:v>
      </x:c>
      <x:c r="F160" s="2" t="n">
        <x:f>ABS(E160)</x:f>
        <x:v>2</x:v>
      </x:c>
    </x:row>
    <x:row r="161" ht="23" customHeight="1">
      <x:c r="A161" s="2" t="str">
        <x:v>DEMO-202</x:v>
      </x:c>
      <x:c r="B161" s="2" t="n">
        <x:v>20</x:v>
      </x:c>
      <x:c r="C161" s="17" t="n">
        <x:f>SUMIFS('Synthetic Sales Data'!$K$2:$K$1921,'Synthetic Sales Data'!$D$2:$D$1921,A161,'Synthetic Sales Data'!$C$2:$C$1921,B161)</x:f>
        <x:v>69</x:v>
      </x:c>
      <x:c r="D161" s="17" t="n">
        <x:f>SUMIFS('Synthetic Sales Data'!$W$2:$W$1921,'Synthetic Sales Data'!$D$2:$D$1921,A161,'Synthetic Sales Data'!$C$2:$C$1921,B161)</x:f>
        <x:v>63</x:v>
      </x:c>
      <x:c r="E161" s="2" t="n">
        <x:f>C161-D161</x:f>
        <x:v>6</x:v>
      </x:c>
      <x:c r="F161" s="2" t="n">
        <x:f>ABS(E161)</x:f>
        <x:v>6</x:v>
      </x:c>
    </x:row>
    <x:row r="162" ht="23" customHeight="1">
      <x:c r="A162" s="2" t="str">
        <x:v>DEMO-203</x:v>
      </x:c>
      <x:c r="B162" s="2" t="n">
        <x:v>1</x:v>
      </x:c>
      <x:c r="C162" s="17" t="n">
        <x:f>SUMIFS('Synthetic Sales Data'!$K$2:$K$1921,'Synthetic Sales Data'!$D$2:$D$1921,A162,'Synthetic Sales Data'!$C$2:$C$1921,B162)</x:f>
        <x:v>86</x:v>
      </x:c>
      <x:c r="D162" s="17" t="n">
        <x:f>SUMIFS('Synthetic Sales Data'!$W$2:$W$1921,'Synthetic Sales Data'!$D$2:$D$1921,A162,'Synthetic Sales Data'!$C$2:$C$1921,B162)</x:f>
        <x:v>80</x:v>
      </x:c>
      <x:c r="E162" s="2" t="n">
        <x:f>C162-D162</x:f>
        <x:v>6</x:v>
      </x:c>
      <x:c r="F162" s="2" t="n">
        <x:f>ABS(E162)</x:f>
        <x:v>6</x:v>
      </x:c>
    </x:row>
    <x:row r="163" ht="23" customHeight="1">
      <x:c r="A163" s="2" t="str">
        <x:v>DEMO-203</x:v>
      </x:c>
      <x:c r="B163" s="2" t="n">
        <x:v>2</x:v>
      </x:c>
      <x:c r="C163" s="17" t="n">
        <x:f>SUMIFS('Synthetic Sales Data'!$K$2:$K$1921,'Synthetic Sales Data'!$D$2:$D$1921,A163,'Synthetic Sales Data'!$C$2:$C$1921,B163)</x:f>
        <x:v>82</x:v>
      </x:c>
      <x:c r="D163" s="17" t="n">
        <x:f>SUMIFS('Synthetic Sales Data'!$W$2:$W$1921,'Synthetic Sales Data'!$D$2:$D$1921,A163,'Synthetic Sales Data'!$C$2:$C$1921,B163)</x:f>
        <x:v>86</x:v>
      </x:c>
      <x:c r="E163" s="2" t="n">
        <x:f>C163-D163</x:f>
        <x:v>-4</x:v>
      </x:c>
      <x:c r="F163" s="2" t="n">
        <x:f>ABS(E163)</x:f>
        <x:v>4</x:v>
      </x:c>
    </x:row>
    <x:row r="164" ht="23" customHeight="1">
      <x:c r="A164" s="2" t="str">
        <x:v>DEMO-203</x:v>
      </x:c>
      <x:c r="B164" s="2" t="n">
        <x:v>3</x:v>
      </x:c>
      <x:c r="C164" s="17" t="n">
        <x:f>SUMIFS('Synthetic Sales Data'!$K$2:$K$1921,'Synthetic Sales Data'!$D$2:$D$1921,A164,'Synthetic Sales Data'!$C$2:$C$1921,B164)</x:f>
        <x:v>75</x:v>
      </x:c>
      <x:c r="D164" s="17" t="n">
        <x:f>SUMIFS('Synthetic Sales Data'!$W$2:$W$1921,'Synthetic Sales Data'!$D$2:$D$1921,A164,'Synthetic Sales Data'!$C$2:$C$1921,B164)</x:f>
        <x:v>85</x:v>
      </x:c>
      <x:c r="E164" s="2" t="n">
        <x:f>C164-D164</x:f>
        <x:v>-10</x:v>
      </x:c>
      <x:c r="F164" s="2" t="n">
        <x:f>ABS(E164)</x:f>
        <x:v>10</x:v>
      </x:c>
    </x:row>
    <x:row r="165" ht="23" customHeight="1">
      <x:c r="A165" s="2" t="str">
        <x:v>DEMO-203</x:v>
      </x:c>
      <x:c r="B165" s="2" t="n">
        <x:v>4</x:v>
      </x:c>
      <x:c r="C165" s="17" t="n">
        <x:f>SUMIFS('Synthetic Sales Data'!$K$2:$K$1921,'Synthetic Sales Data'!$D$2:$D$1921,A165,'Synthetic Sales Data'!$C$2:$C$1921,B165)</x:f>
        <x:v>83</x:v>
      </x:c>
      <x:c r="D165" s="17" t="n">
        <x:f>SUMIFS('Synthetic Sales Data'!$W$2:$W$1921,'Synthetic Sales Data'!$D$2:$D$1921,A165,'Synthetic Sales Data'!$C$2:$C$1921,B165)</x:f>
        <x:v>81</x:v>
      </x:c>
      <x:c r="E165" s="2" t="n">
        <x:f>C165-D165</x:f>
        <x:v>2</x:v>
      </x:c>
      <x:c r="F165" s="2" t="n">
        <x:f>ABS(E165)</x:f>
        <x:v>2</x:v>
      </x:c>
    </x:row>
    <x:row r="166" ht="23" customHeight="1">
      <x:c r="A166" s="2" t="str">
        <x:v>DEMO-203</x:v>
      </x:c>
      <x:c r="B166" s="2" t="n">
        <x:v>5</x:v>
      </x:c>
      <x:c r="C166" s="17" t="n">
        <x:f>SUMIFS('Synthetic Sales Data'!$K$2:$K$1921,'Synthetic Sales Data'!$D$2:$D$1921,A166,'Synthetic Sales Data'!$C$2:$C$1921,B166)</x:f>
        <x:v>76</x:v>
      </x:c>
      <x:c r="D166" s="17" t="n">
        <x:f>SUMIFS('Synthetic Sales Data'!$W$2:$W$1921,'Synthetic Sales Data'!$D$2:$D$1921,A166,'Synthetic Sales Data'!$C$2:$C$1921,B166)</x:f>
        <x:v>82</x:v>
      </x:c>
      <x:c r="E166" s="2" t="n">
        <x:f>C166-D166</x:f>
        <x:v>-6</x:v>
      </x:c>
      <x:c r="F166" s="2" t="n">
        <x:f>ABS(E166)</x:f>
        <x:v>6</x:v>
      </x:c>
    </x:row>
    <x:row r="167" ht="23" customHeight="1">
      <x:c r="A167" s="2" t="str">
        <x:v>DEMO-203</x:v>
      </x:c>
      <x:c r="B167" s="2" t="n">
        <x:v>6</x:v>
      </x:c>
      <x:c r="C167" s="17" t="n">
        <x:f>SUMIFS('Synthetic Sales Data'!$K$2:$K$1921,'Synthetic Sales Data'!$D$2:$D$1921,A167,'Synthetic Sales Data'!$C$2:$C$1921,B167)</x:f>
        <x:v>71</x:v>
      </x:c>
      <x:c r="D167" s="17" t="n">
        <x:f>SUMIFS('Synthetic Sales Data'!$W$2:$W$1921,'Synthetic Sales Data'!$D$2:$D$1921,A167,'Synthetic Sales Data'!$C$2:$C$1921,B167)</x:f>
        <x:v>80</x:v>
      </x:c>
      <x:c r="E167" s="2" t="n">
        <x:f>C167-D167</x:f>
        <x:v>-9</x:v>
      </x:c>
      <x:c r="F167" s="2" t="n">
        <x:f>ABS(E167)</x:f>
        <x:v>9</x:v>
      </x:c>
    </x:row>
    <x:row r="168" ht="23" customHeight="1">
      <x:c r="A168" s="2" t="str">
        <x:v>DEMO-203</x:v>
      </x:c>
      <x:c r="B168" s="2" t="n">
        <x:v>7</x:v>
      </x:c>
      <x:c r="C168" s="17" t="n">
        <x:f>SUMIFS('Synthetic Sales Data'!$K$2:$K$1921,'Synthetic Sales Data'!$D$2:$D$1921,A168,'Synthetic Sales Data'!$C$2:$C$1921,B168)</x:f>
        <x:v>84</x:v>
      </x:c>
      <x:c r="D168" s="17" t="n">
        <x:f>SUMIFS('Synthetic Sales Data'!$W$2:$W$1921,'Synthetic Sales Data'!$D$2:$D$1921,A168,'Synthetic Sales Data'!$C$2:$C$1921,B168)</x:f>
        <x:v>77</x:v>
      </x:c>
      <x:c r="E168" s="2" t="n">
        <x:f>C168-D168</x:f>
        <x:v>7</x:v>
      </x:c>
      <x:c r="F168" s="2" t="n">
        <x:f>ABS(E168)</x:f>
        <x:v>7</x:v>
      </x:c>
    </x:row>
    <x:row r="169" ht="23" customHeight="1">
      <x:c r="A169" s="2" t="str">
        <x:v>DEMO-203</x:v>
      </x:c>
      <x:c r="B169" s="2" t="n">
        <x:v>8</x:v>
      </x:c>
      <x:c r="C169" s="17" t="n">
        <x:f>SUMIFS('Synthetic Sales Data'!$K$2:$K$1921,'Synthetic Sales Data'!$D$2:$D$1921,A169,'Synthetic Sales Data'!$C$2:$C$1921,B169)</x:f>
        <x:v>80</x:v>
      </x:c>
      <x:c r="D169" s="17" t="n">
        <x:f>SUMIFS('Synthetic Sales Data'!$W$2:$W$1921,'Synthetic Sales Data'!$D$2:$D$1921,A169,'Synthetic Sales Data'!$C$2:$C$1921,B169)</x:f>
        <x:v>79</x:v>
      </x:c>
      <x:c r="E169" s="2" t="n">
        <x:f>C169-D169</x:f>
        <x:v>1</x:v>
      </x:c>
      <x:c r="F169" s="2" t="n">
        <x:f>ABS(E169)</x:f>
        <x:v>1</x:v>
      </x:c>
    </x:row>
    <x:row r="170" ht="23" customHeight="1">
      <x:c r="A170" s="2" t="str">
        <x:v>DEMO-203</x:v>
      </x:c>
      <x:c r="B170" s="2" t="n">
        <x:v>9</x:v>
      </x:c>
      <x:c r="C170" s="17" t="n">
        <x:f>SUMIFS('Synthetic Sales Data'!$K$2:$K$1921,'Synthetic Sales Data'!$D$2:$D$1921,A170,'Synthetic Sales Data'!$C$2:$C$1921,B170)</x:f>
        <x:v>73</x:v>
      </x:c>
      <x:c r="D170" s="17" t="n">
        <x:f>SUMIFS('Synthetic Sales Data'!$W$2:$W$1921,'Synthetic Sales Data'!$D$2:$D$1921,A170,'Synthetic Sales Data'!$C$2:$C$1921,B170)</x:f>
        <x:v>78</x:v>
      </x:c>
      <x:c r="E170" s="2" t="n">
        <x:f>C170-D170</x:f>
        <x:v>-5</x:v>
      </x:c>
      <x:c r="F170" s="2" t="n">
        <x:f>ABS(E170)</x:f>
        <x:v>5</x:v>
      </x:c>
    </x:row>
    <x:row r="171" ht="23" customHeight="1">
      <x:c r="A171" s="2" t="str">
        <x:v>DEMO-203</x:v>
      </x:c>
      <x:c r="B171" s="2" t="n">
        <x:v>10</x:v>
      </x:c>
      <x:c r="C171" s="17" t="n">
        <x:f>SUMIFS('Synthetic Sales Data'!$K$2:$K$1921,'Synthetic Sales Data'!$D$2:$D$1921,A171,'Synthetic Sales Data'!$C$2:$C$1921,B171)</x:f>
        <x:v>80</x:v>
      </x:c>
      <x:c r="D171" s="17" t="n">
        <x:f>SUMIFS('Synthetic Sales Data'!$W$2:$W$1921,'Synthetic Sales Data'!$D$2:$D$1921,A171,'Synthetic Sales Data'!$C$2:$C$1921,B171)</x:f>
        <x:v>76</x:v>
      </x:c>
      <x:c r="E171" s="2" t="n">
        <x:f>C171-D171</x:f>
        <x:v>4</x:v>
      </x:c>
      <x:c r="F171" s="2" t="n">
        <x:f>ABS(E171)</x:f>
        <x:v>4</x:v>
      </x:c>
    </x:row>
    <x:row r="172" ht="23" customHeight="1">
      <x:c r="A172" s="2" t="str">
        <x:v>DEMO-203</x:v>
      </x:c>
      <x:c r="B172" s="2" t="n">
        <x:v>11</x:v>
      </x:c>
      <x:c r="C172" s="17" t="n">
        <x:f>SUMIFS('Synthetic Sales Data'!$K$2:$K$1921,'Synthetic Sales Data'!$D$2:$D$1921,A172,'Synthetic Sales Data'!$C$2:$C$1921,B172)</x:f>
        <x:v>74</x:v>
      </x:c>
      <x:c r="D172" s="17" t="n">
        <x:f>SUMIFS('Synthetic Sales Data'!$W$2:$W$1921,'Synthetic Sales Data'!$D$2:$D$1921,A172,'Synthetic Sales Data'!$C$2:$C$1921,B172)</x:f>
        <x:v>80</x:v>
      </x:c>
      <x:c r="E172" s="2" t="n">
        <x:f>C172-D172</x:f>
        <x:v>-6</x:v>
      </x:c>
      <x:c r="F172" s="2" t="n">
        <x:f>ABS(E172)</x:f>
        <x:v>6</x:v>
      </x:c>
    </x:row>
    <x:row r="173" ht="23" customHeight="1">
      <x:c r="A173" s="2" t="str">
        <x:v>DEMO-203</x:v>
      </x:c>
      <x:c r="B173" s="2" t="n">
        <x:v>12</x:v>
      </x:c>
      <x:c r="C173" s="17" t="n">
        <x:f>SUMIFS('Synthetic Sales Data'!$K$2:$K$1921,'Synthetic Sales Data'!$D$2:$D$1921,A173,'Synthetic Sales Data'!$C$2:$C$1921,B173)</x:f>
        <x:v>170</x:v>
      </x:c>
      <x:c r="D173" s="17" t="n">
        <x:f>SUMIFS('Synthetic Sales Data'!$W$2:$W$1921,'Synthetic Sales Data'!$D$2:$D$1921,A173,'Synthetic Sales Data'!$C$2:$C$1921,B173)</x:f>
        <x:v>77</x:v>
      </x:c>
      <x:c r="E173" s="2" t="n">
        <x:f>C173-D173</x:f>
        <x:v>93</x:v>
      </x:c>
      <x:c r="F173" s="2" t="n">
        <x:f>ABS(E173)</x:f>
        <x:v>93</x:v>
      </x:c>
    </x:row>
    <x:row r="174" ht="23" customHeight="1">
      <x:c r="A174" s="2" t="str">
        <x:v>DEMO-203</x:v>
      </x:c>
      <x:c r="B174" s="2" t="n">
        <x:v>13</x:v>
      </x:c>
      <x:c r="C174" s="17" t="n">
        <x:f>SUMIFS('Synthetic Sales Data'!$K$2:$K$1921,'Synthetic Sales Data'!$D$2:$D$1921,A174,'Synthetic Sales Data'!$C$2:$C$1921,B174)</x:f>
        <x:v>179</x:v>
      </x:c>
      <x:c r="D174" s="17" t="n">
        <x:f>SUMIFS('Synthetic Sales Data'!$W$2:$W$1921,'Synthetic Sales Data'!$D$2:$D$1921,A174,'Synthetic Sales Data'!$C$2:$C$1921,B174)</x:f>
        <x:v>99</x:v>
      </x:c>
      <x:c r="E174" s="2" t="n">
        <x:f>C174-D174</x:f>
        <x:v>80</x:v>
      </x:c>
      <x:c r="F174" s="2" t="n">
        <x:f>ABS(E174)</x:f>
        <x:v>80</x:v>
      </x:c>
    </x:row>
    <x:row r="175" ht="23" customHeight="1">
      <x:c r="A175" s="2" t="str">
        <x:v>DEMO-203</x:v>
      </x:c>
      <x:c r="B175" s="2" t="n">
        <x:v>14</x:v>
      </x:c>
      <x:c r="C175" s="17" t="n">
        <x:f>SUMIFS('Synthetic Sales Data'!$K$2:$K$1921,'Synthetic Sales Data'!$D$2:$D$1921,A175,'Synthetic Sales Data'!$C$2:$C$1921,B175)</x:f>
        <x:v>168</x:v>
      </x:c>
      <x:c r="D175" s="17" t="n">
        <x:f>SUMIFS('Synthetic Sales Data'!$W$2:$W$1921,'Synthetic Sales Data'!$D$2:$D$1921,A175,'Synthetic Sales Data'!$C$2:$C$1921,B175)</x:f>
        <x:v>127</x:v>
      </x:c>
      <x:c r="E175" s="2" t="n">
        <x:f>C175-D175</x:f>
        <x:v>41</x:v>
      </x:c>
      <x:c r="F175" s="2" t="n">
        <x:f>ABS(E175)</x:f>
        <x:v>41</x:v>
      </x:c>
    </x:row>
    <x:row r="176" ht="23" customHeight="1">
      <x:c r="A176" s="2" t="str">
        <x:v>DEMO-203</x:v>
      </x:c>
      <x:c r="B176" s="2" t="n">
        <x:v>15</x:v>
      </x:c>
      <x:c r="C176" s="17" t="n">
        <x:f>SUMIFS('Synthetic Sales Data'!$K$2:$K$1921,'Synthetic Sales Data'!$D$2:$D$1921,A176,'Synthetic Sales Data'!$C$2:$C$1921,B176)</x:f>
        <x:v>81</x:v>
      </x:c>
      <x:c r="D176" s="17" t="n">
        <x:f>SUMIFS('Synthetic Sales Data'!$W$2:$W$1921,'Synthetic Sales Data'!$D$2:$D$1921,A176,'Synthetic Sales Data'!$C$2:$C$1921,B176)</x:f>
        <x:v>149</x:v>
      </x:c>
      <x:c r="E176" s="2" t="n">
        <x:f>C176-D176</x:f>
        <x:v>-68</x:v>
      </x:c>
      <x:c r="F176" s="2" t="n">
        <x:f>ABS(E176)</x:f>
        <x:v>68</x:v>
      </x:c>
    </x:row>
    <x:row r="177" ht="23" customHeight="1">
      <x:c r="A177" s="2" t="str">
        <x:v>DEMO-203</x:v>
      </x:c>
      <x:c r="B177" s="2" t="n">
        <x:v>16</x:v>
      </x:c>
      <x:c r="C177" s="17" t="n">
        <x:f>SUMIFS('Synthetic Sales Data'!$K$2:$K$1921,'Synthetic Sales Data'!$D$2:$D$1921,A177,'Synthetic Sales Data'!$C$2:$C$1921,B177)</x:f>
        <x:v>68</x:v>
      </x:c>
      <x:c r="D177" s="17" t="n">
        <x:f>SUMIFS('Synthetic Sales Data'!$W$2:$W$1921,'Synthetic Sales Data'!$D$2:$D$1921,A177,'Synthetic Sales Data'!$C$2:$C$1921,B177)</x:f>
        <x:v>151</x:v>
      </x:c>
      <x:c r="E177" s="2" t="n">
        <x:f>C177-D177</x:f>
        <x:v>-83</x:v>
      </x:c>
      <x:c r="F177" s="2" t="n">
        <x:f>ABS(E177)</x:f>
        <x:v>83</x:v>
      </x:c>
    </x:row>
    <x:row r="178" ht="23" customHeight="1">
      <x:c r="A178" s="2" t="str">
        <x:v>DEMO-203</x:v>
      </x:c>
      <x:c r="B178" s="2" t="n">
        <x:v>17</x:v>
      </x:c>
      <x:c r="C178" s="17" t="n">
        <x:f>SUMIFS('Synthetic Sales Data'!$K$2:$K$1921,'Synthetic Sales Data'!$D$2:$D$1921,A178,'Synthetic Sales Data'!$C$2:$C$1921,B178)</x:f>
        <x:v>73</x:v>
      </x:c>
      <x:c r="D178" s="17" t="n">
        <x:f>SUMIFS('Synthetic Sales Data'!$W$2:$W$1921,'Synthetic Sales Data'!$D$2:$D$1921,A178,'Synthetic Sales Data'!$C$2:$C$1921,B178)</x:f>
        <x:v>124</x:v>
      </x:c>
      <x:c r="E178" s="2" t="n">
        <x:f>C178-D178</x:f>
        <x:v>-51</x:v>
      </x:c>
      <x:c r="F178" s="2" t="n">
        <x:f>ABS(E178)</x:f>
        <x:v>51</x:v>
      </x:c>
    </x:row>
    <x:row r="179" ht="23" customHeight="1">
      <x:c r="A179" s="2" t="str">
        <x:v>DEMO-203</x:v>
      </x:c>
      <x:c r="B179" s="2" t="n">
        <x:v>18</x:v>
      </x:c>
      <x:c r="C179" s="17" t="n">
        <x:f>SUMIFS('Synthetic Sales Data'!$K$2:$K$1921,'Synthetic Sales Data'!$D$2:$D$1921,A179,'Synthetic Sales Data'!$C$2:$C$1921,B179)</x:f>
        <x:v>86</x:v>
      </x:c>
      <x:c r="D179" s="17" t="n">
        <x:f>SUMIFS('Synthetic Sales Data'!$W$2:$W$1921,'Synthetic Sales Data'!$D$2:$D$1921,A179,'Synthetic Sales Data'!$C$2:$C$1921,B179)</x:f>
        <x:v>99</x:v>
      </x:c>
      <x:c r="E179" s="2" t="n">
        <x:f>C179-D179</x:f>
        <x:v>-13</x:v>
      </x:c>
      <x:c r="F179" s="2" t="n">
        <x:f>ABS(E179)</x:f>
        <x:v>13</x:v>
      </x:c>
    </x:row>
    <x:row r="180" ht="23" customHeight="1">
      <x:c r="A180" s="2" t="str">
        <x:v>DEMO-203</x:v>
      </x:c>
      <x:c r="B180" s="2" t="n">
        <x:v>19</x:v>
      </x:c>
      <x:c r="C180" s="17" t="n">
        <x:f>SUMIFS('Synthetic Sales Data'!$K$2:$K$1921,'Synthetic Sales Data'!$D$2:$D$1921,A180,'Synthetic Sales Data'!$C$2:$C$1921,B180)</x:f>
        <x:v>80</x:v>
      </x:c>
      <x:c r="D180" s="17" t="n">
        <x:f>SUMIFS('Synthetic Sales Data'!$W$2:$W$1921,'Synthetic Sales Data'!$D$2:$D$1921,A180,'Synthetic Sales Data'!$C$2:$C$1921,B180)</x:f>
        <x:v>78</x:v>
      </x:c>
      <x:c r="E180" s="2" t="n">
        <x:f>C180-D180</x:f>
        <x:v>2</x:v>
      </x:c>
      <x:c r="F180" s="2" t="n">
        <x:f>ABS(E180)</x:f>
        <x:v>2</x:v>
      </x:c>
    </x:row>
    <x:row r="181" ht="23" customHeight="1">
      <x:c r="A181" s="2" t="str">
        <x:v>DEMO-203</x:v>
      </x:c>
      <x:c r="B181" s="2" t="n">
        <x:v>20</x:v>
      </x:c>
      <x:c r="C181" s="17" t="n">
        <x:f>SUMIFS('Synthetic Sales Data'!$K$2:$K$1921,'Synthetic Sales Data'!$D$2:$D$1921,A181,'Synthetic Sales Data'!$C$2:$C$1921,B181)</x:f>
        <x:v>81</x:v>
      </x:c>
      <x:c r="D181" s="17" t="n">
        <x:f>SUMIFS('Synthetic Sales Data'!$W$2:$W$1921,'Synthetic Sales Data'!$D$2:$D$1921,A181,'Synthetic Sales Data'!$C$2:$C$1921,B181)</x:f>
        <x:v>77</x:v>
      </x:c>
      <x:c r="E181" s="2" t="n">
        <x:f>C181-D181</x:f>
        <x:v>4</x:v>
      </x:c>
      <x:c r="F181" s="2" t="n">
        <x:f>ABS(E181)</x:f>
        <x:v>4</x:v>
      </x:c>
    </x:row>
    <x:row r="182" ht="23" customHeight="1">
      <x:c r="A182" s="2" t="str">
        <x:v>DEMO-204</x:v>
      </x:c>
      <x:c r="B182" s="2" t="n">
        <x:v>1</x:v>
      </x:c>
      <x:c r="C182" s="17" t="n">
        <x:f>SUMIFS('Synthetic Sales Data'!$K$2:$K$1921,'Synthetic Sales Data'!$D$2:$D$1921,A182,'Synthetic Sales Data'!$C$2:$C$1921,B182)</x:f>
        <x:v>37</x:v>
      </x:c>
      <x:c r="D182" s="17" t="n">
        <x:f>SUMIFS('Synthetic Sales Data'!$W$2:$W$1921,'Synthetic Sales Data'!$D$2:$D$1921,A182,'Synthetic Sales Data'!$C$2:$C$1921,B182)</x:f>
        <x:v>38</x:v>
      </x:c>
      <x:c r="E182" s="2" t="n">
        <x:f>C182-D182</x:f>
        <x:v>-1</x:v>
      </x:c>
      <x:c r="F182" s="2" t="n">
        <x:f>ABS(E182)</x:f>
        <x:v>1</x:v>
      </x:c>
    </x:row>
    <x:row r="183" ht="23" customHeight="1">
      <x:c r="A183" s="2" t="str">
        <x:v>DEMO-204</x:v>
      </x:c>
      <x:c r="B183" s="2" t="n">
        <x:v>2</x:v>
      </x:c>
      <x:c r="C183" s="17" t="n">
        <x:f>SUMIFS('Synthetic Sales Data'!$K$2:$K$1921,'Synthetic Sales Data'!$D$2:$D$1921,A183,'Synthetic Sales Data'!$C$2:$C$1921,B183)</x:f>
        <x:v>38</x:v>
      </x:c>
      <x:c r="D183" s="17" t="n">
        <x:f>SUMIFS('Synthetic Sales Data'!$W$2:$W$1921,'Synthetic Sales Data'!$D$2:$D$1921,A183,'Synthetic Sales Data'!$C$2:$C$1921,B183)</x:f>
        <x:v>37</x:v>
      </x:c>
      <x:c r="E183" s="2" t="n">
        <x:f>C183-D183</x:f>
        <x:v>1</x:v>
      </x:c>
      <x:c r="F183" s="2" t="n">
        <x:f>ABS(E183)</x:f>
        <x:v>1</x:v>
      </x:c>
    </x:row>
    <x:row r="184" ht="23" customHeight="1">
      <x:c r="A184" s="2" t="str">
        <x:v>DEMO-204</x:v>
      </x:c>
      <x:c r="B184" s="2" t="n">
        <x:v>3</x:v>
      </x:c>
      <x:c r="C184" s="17" t="n">
        <x:f>SUMIFS('Synthetic Sales Data'!$K$2:$K$1921,'Synthetic Sales Data'!$D$2:$D$1921,A184,'Synthetic Sales Data'!$C$2:$C$1921,B184)</x:f>
        <x:v>37</x:v>
      </x:c>
      <x:c r="D184" s="17" t="n">
        <x:f>SUMIFS('Synthetic Sales Data'!$W$2:$W$1921,'Synthetic Sales Data'!$D$2:$D$1921,A184,'Synthetic Sales Data'!$C$2:$C$1921,B184)</x:f>
        <x:v>39</x:v>
      </x:c>
      <x:c r="E184" s="2" t="n">
        <x:f>C184-D184</x:f>
        <x:v>-2</x:v>
      </x:c>
      <x:c r="F184" s="2" t="n">
        <x:f>ABS(E184)</x:f>
        <x:v>2</x:v>
      </x:c>
    </x:row>
    <x:row r="185" ht="23" customHeight="1">
      <x:c r="A185" s="2" t="str">
        <x:v>DEMO-204</x:v>
      </x:c>
      <x:c r="B185" s="2" t="n">
        <x:v>4</x:v>
      </x:c>
      <x:c r="C185" s="17" t="n">
        <x:f>SUMIFS('Synthetic Sales Data'!$K$2:$K$1921,'Synthetic Sales Data'!$D$2:$D$1921,A185,'Synthetic Sales Data'!$C$2:$C$1921,B185)</x:f>
        <x:v>40</x:v>
      </x:c>
      <x:c r="D185" s="17" t="n">
        <x:f>SUMIFS('Synthetic Sales Data'!$W$2:$W$1921,'Synthetic Sales Data'!$D$2:$D$1921,A185,'Synthetic Sales Data'!$C$2:$C$1921,B185)</x:f>
        <x:v>38</x:v>
      </x:c>
      <x:c r="E185" s="2" t="n">
        <x:f>C185-D185</x:f>
        <x:v>2</x:v>
      </x:c>
      <x:c r="F185" s="2" t="n">
        <x:f>ABS(E185)</x:f>
        <x:v>2</x:v>
      </x:c>
    </x:row>
    <x:row r="186" ht="23" customHeight="1">
      <x:c r="A186" s="2" t="str">
        <x:v>DEMO-204</x:v>
      </x:c>
      <x:c r="B186" s="2" t="n">
        <x:v>5</x:v>
      </x:c>
      <x:c r="C186" s="17" t="n">
        <x:f>SUMIFS('Synthetic Sales Data'!$K$2:$K$1921,'Synthetic Sales Data'!$D$2:$D$1921,A186,'Synthetic Sales Data'!$C$2:$C$1921,B186)</x:f>
        <x:v>35</x:v>
      </x:c>
      <x:c r="D186" s="17" t="n">
        <x:f>SUMIFS('Synthetic Sales Data'!$W$2:$W$1921,'Synthetic Sales Data'!$D$2:$D$1921,A186,'Synthetic Sales Data'!$C$2:$C$1921,B186)</x:f>
        <x:v>39</x:v>
      </x:c>
      <x:c r="E186" s="2" t="n">
        <x:f>C186-D186</x:f>
        <x:v>-4</x:v>
      </x:c>
      <x:c r="F186" s="2" t="n">
        <x:f>ABS(E186)</x:f>
        <x:v>4</x:v>
      </x:c>
    </x:row>
    <x:row r="187" ht="23" customHeight="1">
      <x:c r="A187" s="2" t="str">
        <x:v>DEMO-204</x:v>
      </x:c>
      <x:c r="B187" s="2" t="n">
        <x:v>6</x:v>
      </x:c>
      <x:c r="C187" s="17" t="n">
        <x:f>SUMIFS('Synthetic Sales Data'!$K$2:$K$1921,'Synthetic Sales Data'!$D$2:$D$1921,A187,'Synthetic Sales Data'!$C$2:$C$1921,B187)</x:f>
        <x:v>34</x:v>
      </x:c>
      <x:c r="D187" s="17" t="n">
        <x:f>SUMIFS('Synthetic Sales Data'!$W$2:$W$1921,'Synthetic Sales Data'!$D$2:$D$1921,A187,'Synthetic Sales Data'!$C$2:$C$1921,B187)</x:f>
        <x:v>38</x:v>
      </x:c>
      <x:c r="E187" s="2" t="n">
        <x:f>C187-D187</x:f>
        <x:v>-4</x:v>
      </x:c>
      <x:c r="F187" s="2" t="n">
        <x:f>ABS(E187)</x:f>
        <x:v>4</x:v>
      </x:c>
    </x:row>
    <x:row r="188" ht="23" customHeight="1">
      <x:c r="A188" s="2" t="str">
        <x:v>DEMO-204</x:v>
      </x:c>
      <x:c r="B188" s="2" t="n">
        <x:v>7</x:v>
      </x:c>
      <x:c r="C188" s="17" t="n">
        <x:f>SUMIFS('Synthetic Sales Data'!$K$2:$K$1921,'Synthetic Sales Data'!$D$2:$D$1921,A188,'Synthetic Sales Data'!$C$2:$C$1921,B188)</x:f>
        <x:v>40</x:v>
      </x:c>
      <x:c r="D188" s="17" t="n">
        <x:f>SUMIFS('Synthetic Sales Data'!$W$2:$W$1921,'Synthetic Sales Data'!$D$2:$D$1921,A188,'Synthetic Sales Data'!$C$2:$C$1921,B188)</x:f>
        <x:v>37</x:v>
      </x:c>
      <x:c r="E188" s="2" t="n">
        <x:f>C188-D188</x:f>
        <x:v>3</x:v>
      </x:c>
      <x:c r="F188" s="2" t="n">
        <x:f>ABS(E188)</x:f>
        <x:v>3</x:v>
      </x:c>
    </x:row>
    <x:row r="189" ht="23" customHeight="1">
      <x:c r="A189" s="2" t="str">
        <x:v>DEMO-204</x:v>
      </x:c>
      <x:c r="B189" s="2" t="n">
        <x:v>8</x:v>
      </x:c>
      <x:c r="C189" s="17" t="n">
        <x:f>SUMIFS('Synthetic Sales Data'!$K$2:$K$1921,'Synthetic Sales Data'!$D$2:$D$1921,A189,'Synthetic Sales Data'!$C$2:$C$1921,B189)</x:f>
        <x:v>36</x:v>
      </x:c>
      <x:c r="D189" s="17" t="n">
        <x:f>SUMIFS('Synthetic Sales Data'!$W$2:$W$1921,'Synthetic Sales Data'!$D$2:$D$1921,A189,'Synthetic Sales Data'!$C$2:$C$1921,B189)</x:f>
        <x:v>38</x:v>
      </x:c>
      <x:c r="E189" s="2" t="n">
        <x:f>C189-D189</x:f>
        <x:v>-2</x:v>
      </x:c>
      <x:c r="F189" s="2" t="n">
        <x:f>ABS(E189)</x:f>
        <x:v>2</x:v>
      </x:c>
    </x:row>
    <x:row r="190" ht="23" customHeight="1">
      <x:c r="A190" s="2" t="str">
        <x:v>DEMO-204</x:v>
      </x:c>
      <x:c r="B190" s="2" t="n">
        <x:v>9</x:v>
      </x:c>
      <x:c r="C190" s="17" t="n">
        <x:f>SUMIFS('Synthetic Sales Data'!$K$2:$K$1921,'Synthetic Sales Data'!$D$2:$D$1921,A190,'Synthetic Sales Data'!$C$2:$C$1921,B190)</x:f>
        <x:v>40</x:v>
      </x:c>
      <x:c r="D190" s="17" t="n">
        <x:f>SUMIFS('Synthetic Sales Data'!$W$2:$W$1921,'Synthetic Sales Data'!$D$2:$D$1921,A190,'Synthetic Sales Data'!$C$2:$C$1921,B190)</x:f>
        <x:v>37</x:v>
      </x:c>
      <x:c r="E190" s="2" t="n">
        <x:f>C190-D190</x:f>
        <x:v>3</x:v>
      </x:c>
      <x:c r="F190" s="2" t="n">
        <x:f>ABS(E190)</x:f>
        <x:v>3</x:v>
      </x:c>
    </x:row>
    <x:row r="191" ht="23" customHeight="1">
      <x:c r="A191" s="2" t="str">
        <x:v>DEMO-204</x:v>
      </x:c>
      <x:c r="B191" s="2" t="n">
        <x:v>10</x:v>
      </x:c>
      <x:c r="C191" s="17" t="n">
        <x:f>SUMIFS('Synthetic Sales Data'!$K$2:$K$1921,'Synthetic Sales Data'!$D$2:$D$1921,A191,'Synthetic Sales Data'!$C$2:$C$1921,B191)</x:f>
        <x:v>33</x:v>
      </x:c>
      <x:c r="D191" s="17" t="n">
        <x:f>SUMIFS('Synthetic Sales Data'!$W$2:$W$1921,'Synthetic Sales Data'!$D$2:$D$1921,A191,'Synthetic Sales Data'!$C$2:$C$1921,B191)</x:f>
        <x:v>38</x:v>
      </x:c>
      <x:c r="E191" s="2" t="n">
        <x:f>C191-D191</x:f>
        <x:v>-5</x:v>
      </x:c>
      <x:c r="F191" s="2" t="n">
        <x:f>ABS(E191)</x:f>
        <x:v>5</x:v>
      </x:c>
    </x:row>
    <x:row r="192" ht="23" customHeight="1">
      <x:c r="A192" s="2" t="str">
        <x:v>DEMO-204</x:v>
      </x:c>
      <x:c r="B192" s="2" t="n">
        <x:v>11</x:v>
      </x:c>
      <x:c r="C192" s="17" t="n">
        <x:f>SUMIFS('Synthetic Sales Data'!$K$2:$K$1921,'Synthetic Sales Data'!$D$2:$D$1921,A192,'Synthetic Sales Data'!$C$2:$C$1921,B192)</x:f>
        <x:v>38</x:v>
      </x:c>
      <x:c r="D192" s="17" t="n">
        <x:f>SUMIFS('Synthetic Sales Data'!$W$2:$W$1921,'Synthetic Sales Data'!$D$2:$D$1921,A192,'Synthetic Sales Data'!$C$2:$C$1921,B192)</x:f>
        <x:v>37</x:v>
      </x:c>
      <x:c r="E192" s="2" t="n">
        <x:f>C192-D192</x:f>
        <x:v>1</x:v>
      </x:c>
      <x:c r="F192" s="2" t="n">
        <x:f>ABS(E192)</x:f>
        <x:v>1</x:v>
      </x:c>
    </x:row>
    <x:row r="193" ht="23" customHeight="1">
      <x:c r="A193" s="2" t="str">
        <x:v>DEMO-204</x:v>
      </x:c>
      <x:c r="B193" s="2" t="n">
        <x:v>12</x:v>
      </x:c>
      <x:c r="C193" s="17" t="n">
        <x:f>SUMIFS('Synthetic Sales Data'!$K$2:$K$1921,'Synthetic Sales Data'!$D$2:$D$1921,A193,'Synthetic Sales Data'!$C$2:$C$1921,B193)</x:f>
        <x:v>88</x:v>
      </x:c>
      <x:c r="D193" s="17" t="n">
        <x:f>SUMIFS('Synthetic Sales Data'!$W$2:$W$1921,'Synthetic Sales Data'!$D$2:$D$1921,A193,'Synthetic Sales Data'!$C$2:$C$1921,B193)</x:f>
        <x:v>37</x:v>
      </x:c>
      <x:c r="E193" s="2" t="n">
        <x:f>C193-D193</x:f>
        <x:v>51</x:v>
      </x:c>
      <x:c r="F193" s="2" t="n">
        <x:f>ABS(E193)</x:f>
        <x:v>51</x:v>
      </x:c>
    </x:row>
    <x:row r="194" ht="23" customHeight="1">
      <x:c r="A194" s="2" t="str">
        <x:v>DEMO-204</x:v>
      </x:c>
      <x:c r="B194" s="2" t="n">
        <x:v>13</x:v>
      </x:c>
      <x:c r="C194" s="17" t="n">
        <x:f>SUMIFS('Synthetic Sales Data'!$K$2:$K$1921,'Synthetic Sales Data'!$D$2:$D$1921,A194,'Synthetic Sales Data'!$C$2:$C$1921,B194)</x:f>
        <x:v>78</x:v>
      </x:c>
      <x:c r="D194" s="17" t="n">
        <x:f>SUMIFS('Synthetic Sales Data'!$W$2:$W$1921,'Synthetic Sales Data'!$D$2:$D$1921,A194,'Synthetic Sales Data'!$C$2:$C$1921,B194)</x:f>
        <x:v>50</x:v>
      </x:c>
      <x:c r="E194" s="2" t="n">
        <x:f>C194-D194</x:f>
        <x:v>28</x:v>
      </x:c>
      <x:c r="F194" s="2" t="n">
        <x:f>ABS(E194)</x:f>
        <x:v>28</x:v>
      </x:c>
    </x:row>
    <x:row r="195" ht="23" customHeight="1">
      <x:c r="A195" s="2" t="str">
        <x:v>DEMO-204</x:v>
      </x:c>
      <x:c r="B195" s="2" t="n">
        <x:v>14</x:v>
      </x:c>
      <x:c r="C195" s="17" t="n">
        <x:f>SUMIFS('Synthetic Sales Data'!$K$2:$K$1921,'Synthetic Sales Data'!$D$2:$D$1921,A195,'Synthetic Sales Data'!$C$2:$C$1921,B195)</x:f>
        <x:v>75</x:v>
      </x:c>
      <x:c r="D195" s="17" t="n">
        <x:f>SUMIFS('Synthetic Sales Data'!$W$2:$W$1921,'Synthetic Sales Data'!$D$2:$D$1921,A195,'Synthetic Sales Data'!$C$2:$C$1921,B195)</x:f>
        <x:v>60</x:v>
      </x:c>
      <x:c r="E195" s="2" t="n">
        <x:f>C195-D195</x:f>
        <x:v>15</x:v>
      </x:c>
      <x:c r="F195" s="2" t="n">
        <x:f>ABS(E195)</x:f>
        <x:v>15</x:v>
      </x:c>
    </x:row>
    <x:row r="196" ht="23" customHeight="1">
      <x:c r="A196" s="2" t="str">
        <x:v>DEMO-204</x:v>
      </x:c>
      <x:c r="B196" s="2" t="n">
        <x:v>15</x:v>
      </x:c>
      <x:c r="C196" s="17" t="n">
        <x:f>SUMIFS('Synthetic Sales Data'!$K$2:$K$1921,'Synthetic Sales Data'!$D$2:$D$1921,A196,'Synthetic Sales Data'!$C$2:$C$1921,B196)</x:f>
        <x:v>38</x:v>
      </x:c>
      <x:c r="D196" s="17" t="n">
        <x:f>SUMIFS('Synthetic Sales Data'!$W$2:$W$1921,'Synthetic Sales Data'!$D$2:$D$1921,A196,'Synthetic Sales Data'!$C$2:$C$1921,B196)</x:f>
        <x:v>71</x:v>
      </x:c>
      <x:c r="E196" s="2" t="n">
        <x:f>C196-D196</x:f>
        <x:v>-33</x:v>
      </x:c>
      <x:c r="F196" s="2" t="n">
        <x:f>ABS(E196)</x:f>
        <x:v>33</x:v>
      </x:c>
    </x:row>
    <x:row r="197" ht="23" customHeight="1">
      <x:c r="A197" s="2" t="str">
        <x:v>DEMO-204</x:v>
      </x:c>
      <x:c r="B197" s="2" t="n">
        <x:v>16</x:v>
      </x:c>
      <x:c r="C197" s="17" t="n">
        <x:f>SUMIFS('Synthetic Sales Data'!$K$2:$K$1921,'Synthetic Sales Data'!$D$2:$D$1921,A197,'Synthetic Sales Data'!$C$2:$C$1921,B197)</x:f>
        <x:v>35</x:v>
      </x:c>
      <x:c r="D197" s="17" t="n">
        <x:f>SUMIFS('Synthetic Sales Data'!$W$2:$W$1921,'Synthetic Sales Data'!$D$2:$D$1921,A197,'Synthetic Sales Data'!$C$2:$C$1921,B197)</x:f>
        <x:v>71</x:v>
      </x:c>
      <x:c r="E197" s="2" t="n">
        <x:f>C197-D197</x:f>
        <x:v>-36</x:v>
      </x:c>
      <x:c r="F197" s="2" t="n">
        <x:f>ABS(E197)</x:f>
        <x:v>36</x:v>
      </x:c>
    </x:row>
    <x:row r="198" ht="23" customHeight="1">
      <x:c r="A198" s="2" t="str">
        <x:v>DEMO-204</x:v>
      </x:c>
      <x:c r="B198" s="2" t="n">
        <x:v>17</x:v>
      </x:c>
      <x:c r="C198" s="17" t="n">
        <x:f>SUMIFS('Synthetic Sales Data'!$K$2:$K$1921,'Synthetic Sales Data'!$D$2:$D$1921,A198,'Synthetic Sales Data'!$C$2:$C$1921,B198)</x:f>
        <x:v>38</x:v>
      </x:c>
      <x:c r="D198" s="17" t="n">
        <x:f>SUMIFS('Synthetic Sales Data'!$W$2:$W$1921,'Synthetic Sales Data'!$D$2:$D$1921,A198,'Synthetic Sales Data'!$C$2:$C$1921,B198)</x:f>
        <x:v>57</x:v>
      </x:c>
      <x:c r="E198" s="2" t="n">
        <x:f>C198-D198</x:f>
        <x:v>-19</x:v>
      </x:c>
      <x:c r="F198" s="2" t="n">
        <x:f>ABS(E198)</x:f>
        <x:v>19</x:v>
      </x:c>
    </x:row>
    <x:row r="199" ht="23" customHeight="1">
      <x:c r="A199" s="2" t="str">
        <x:v>DEMO-204</x:v>
      </x:c>
      <x:c r="B199" s="2" t="n">
        <x:v>18</x:v>
      </x:c>
      <x:c r="C199" s="17" t="n">
        <x:f>SUMIFS('Synthetic Sales Data'!$K$2:$K$1921,'Synthetic Sales Data'!$D$2:$D$1921,A199,'Synthetic Sales Data'!$C$2:$C$1921,B199)</x:f>
        <x:v>36</x:v>
      </x:c>
      <x:c r="D199" s="17" t="n">
        <x:f>SUMIFS('Synthetic Sales Data'!$W$2:$W$1921,'Synthetic Sales Data'!$D$2:$D$1921,A199,'Synthetic Sales Data'!$C$2:$C$1921,B199)</x:f>
        <x:v>48</x:v>
      </x:c>
      <x:c r="E199" s="2" t="n">
        <x:f>C199-D199</x:f>
        <x:v>-12</x:v>
      </x:c>
      <x:c r="F199" s="2" t="n">
        <x:f>ABS(E199)</x:f>
        <x:v>12</x:v>
      </x:c>
    </x:row>
    <x:row r="200" ht="23" customHeight="1">
      <x:c r="A200" s="2" t="str">
        <x:v>DEMO-204</x:v>
      </x:c>
      <x:c r="B200" s="2" t="n">
        <x:v>19</x:v>
      </x:c>
      <x:c r="C200" s="17" t="n">
        <x:f>SUMIFS('Synthetic Sales Data'!$K$2:$K$1921,'Synthetic Sales Data'!$D$2:$D$1921,A200,'Synthetic Sales Data'!$C$2:$C$1921,B200)</x:f>
        <x:v>37</x:v>
      </x:c>
      <x:c r="D200" s="17" t="n">
        <x:f>SUMIFS('Synthetic Sales Data'!$W$2:$W$1921,'Synthetic Sales Data'!$D$2:$D$1921,A200,'Synthetic Sales Data'!$C$2:$C$1921,B200)</x:f>
        <x:v>37</x:v>
      </x:c>
      <x:c r="E200" s="2" t="n">
        <x:f>C200-D200</x:f>
        <x:v>0</x:v>
      </x:c>
      <x:c r="F200" s="2" t="n">
        <x:f>ABS(E200)</x:f>
        <x:v>0</x:v>
      </x:c>
    </x:row>
    <x:row r="201" ht="23" customHeight="1">
      <x:c r="A201" s="2" t="str">
        <x:v>DEMO-204</x:v>
      </x:c>
      <x:c r="B201" s="2" t="n">
        <x:v>20</x:v>
      </x:c>
      <x:c r="C201" s="17" t="n">
        <x:f>SUMIFS('Synthetic Sales Data'!$K$2:$K$1921,'Synthetic Sales Data'!$D$2:$D$1921,A201,'Synthetic Sales Data'!$C$2:$C$1921,B201)</x:f>
        <x:v>38</x:v>
      </x:c>
      <x:c r="D201" s="17" t="n">
        <x:f>SUMIFS('Synthetic Sales Data'!$W$2:$W$1921,'Synthetic Sales Data'!$D$2:$D$1921,A201,'Synthetic Sales Data'!$C$2:$C$1921,B201)</x:f>
        <x:v>36</x:v>
      </x:c>
      <x:c r="E201" s="2" t="n">
        <x:f>C201-D201</x:f>
        <x:v>2</x:v>
      </x:c>
      <x:c r="F201" s="2" t="n">
        <x:f>ABS(E201)</x:f>
        <x:v>2</x:v>
      </x:c>
    </x:row>
    <x:row r="202" ht="23" customHeight="1">
      <x:c r="A202" s="2" t="str">
        <x:v>DEMO-205</x:v>
      </x:c>
      <x:c r="B202" s="2" t="n">
        <x:v>1</x:v>
      </x:c>
      <x:c r="C202" s="17" t="n">
        <x:f>SUMIFS('Synthetic Sales Data'!$K$2:$K$1921,'Synthetic Sales Data'!$D$2:$D$1921,A202,'Synthetic Sales Data'!$C$2:$C$1921,B202)</x:f>
        <x:v>56</x:v>
      </x:c>
      <x:c r="D202" s="17" t="n">
        <x:f>SUMIFS('Synthetic Sales Data'!$W$2:$W$1921,'Synthetic Sales Data'!$D$2:$D$1921,A202,'Synthetic Sales Data'!$C$2:$C$1921,B202)</x:f>
        <x:v>52</x:v>
      </x:c>
      <x:c r="E202" s="2" t="n">
        <x:f>C202-D202</x:f>
        <x:v>4</x:v>
      </x:c>
      <x:c r="F202" s="2" t="n">
        <x:f>ABS(E202)</x:f>
        <x:v>4</x:v>
      </x:c>
    </x:row>
    <x:row r="203" ht="23" customHeight="1">
      <x:c r="A203" s="2" t="str">
        <x:v>DEMO-205</x:v>
      </x:c>
      <x:c r="B203" s="2" t="n">
        <x:v>2</x:v>
      </x:c>
      <x:c r="C203" s="17" t="n">
        <x:f>SUMIFS('Synthetic Sales Data'!$K$2:$K$1921,'Synthetic Sales Data'!$D$2:$D$1921,A203,'Synthetic Sales Data'!$C$2:$C$1921,B203)</x:f>
        <x:v>45</x:v>
      </x:c>
      <x:c r="D203" s="17" t="n">
        <x:f>SUMIFS('Synthetic Sales Data'!$W$2:$W$1921,'Synthetic Sales Data'!$D$2:$D$1921,A203,'Synthetic Sales Data'!$C$2:$C$1921,B203)</x:f>
        <x:v>56</x:v>
      </x:c>
      <x:c r="E203" s="2" t="n">
        <x:f>C203-D203</x:f>
        <x:v>-11</x:v>
      </x:c>
      <x:c r="F203" s="2" t="n">
        <x:f>ABS(E203)</x:f>
        <x:v>11</x:v>
      </x:c>
    </x:row>
    <x:row r="204" ht="23" customHeight="1">
      <x:c r="A204" s="2" t="str">
        <x:v>DEMO-205</x:v>
      </x:c>
      <x:c r="B204" s="2" t="n">
        <x:v>3</x:v>
      </x:c>
      <x:c r="C204" s="17" t="n">
        <x:f>SUMIFS('Synthetic Sales Data'!$K$2:$K$1921,'Synthetic Sales Data'!$D$2:$D$1921,A204,'Synthetic Sales Data'!$C$2:$C$1921,B204)</x:f>
        <x:v>52</x:v>
      </x:c>
      <x:c r="D204" s="17" t="n">
        <x:f>SUMIFS('Synthetic Sales Data'!$W$2:$W$1921,'Synthetic Sales Data'!$D$2:$D$1921,A204,'Synthetic Sales Data'!$C$2:$C$1921,B204)</x:f>
        <x:v>52</x:v>
      </x:c>
      <x:c r="E204" s="2" t="n">
        <x:f>C204-D204</x:f>
        <x:v>0</x:v>
      </x:c>
      <x:c r="F204" s="2" t="n">
        <x:f>ABS(E204)</x:f>
        <x:v>0</x:v>
      </x:c>
    </x:row>
    <x:row r="205" ht="23" customHeight="1">
      <x:c r="A205" s="2" t="str">
        <x:v>DEMO-205</x:v>
      </x:c>
      <x:c r="B205" s="2" t="n">
        <x:v>4</x:v>
      </x:c>
      <x:c r="C205" s="17" t="n">
        <x:f>SUMIFS('Synthetic Sales Data'!$K$2:$K$1921,'Synthetic Sales Data'!$D$2:$D$1921,A205,'Synthetic Sales Data'!$C$2:$C$1921,B205)</x:f>
        <x:v>55</x:v>
      </x:c>
      <x:c r="D205" s="17" t="n">
        <x:f>SUMIFS('Synthetic Sales Data'!$W$2:$W$1921,'Synthetic Sales Data'!$D$2:$D$1921,A205,'Synthetic Sales Data'!$C$2:$C$1921,B205)</x:f>
        <x:v>50</x:v>
      </x:c>
      <x:c r="E205" s="2" t="n">
        <x:f>C205-D205</x:f>
        <x:v>5</x:v>
      </x:c>
      <x:c r="F205" s="2" t="n">
        <x:f>ABS(E205)</x:f>
        <x:v>5</x:v>
      </x:c>
    </x:row>
    <x:row r="206" ht="23" customHeight="1">
      <x:c r="A206" s="2" t="str">
        <x:v>DEMO-205</x:v>
      </x:c>
      <x:c r="B206" s="2" t="n">
        <x:v>5</x:v>
      </x:c>
      <x:c r="C206" s="17" t="n">
        <x:f>SUMIFS('Synthetic Sales Data'!$K$2:$K$1921,'Synthetic Sales Data'!$D$2:$D$1921,A206,'Synthetic Sales Data'!$C$2:$C$1921,B206)</x:f>
        <x:v>47</x:v>
      </x:c>
      <x:c r="D206" s="17" t="n">
        <x:f>SUMIFS('Synthetic Sales Data'!$W$2:$W$1921,'Synthetic Sales Data'!$D$2:$D$1921,A206,'Synthetic Sales Data'!$C$2:$C$1921,B206)</x:f>
        <x:v>53</x:v>
      </x:c>
      <x:c r="E206" s="2" t="n">
        <x:f>C206-D206</x:f>
        <x:v>-6</x:v>
      </x:c>
      <x:c r="F206" s="2" t="n">
        <x:f>ABS(E206)</x:f>
        <x:v>6</x:v>
      </x:c>
    </x:row>
    <x:row r="207" ht="23" customHeight="1">
      <x:c r="A207" s="2" t="str">
        <x:v>DEMO-205</x:v>
      </x:c>
      <x:c r="B207" s="2" t="n">
        <x:v>6</x:v>
      </x:c>
      <x:c r="C207" s="17" t="n">
        <x:f>SUMIFS('Synthetic Sales Data'!$K$2:$K$1921,'Synthetic Sales Data'!$D$2:$D$1921,A207,'Synthetic Sales Data'!$C$2:$C$1921,B207)</x:f>
        <x:v>54</x:v>
      </x:c>
      <x:c r="D207" s="17" t="n">
        <x:f>SUMIFS('Synthetic Sales Data'!$W$2:$W$1921,'Synthetic Sales Data'!$D$2:$D$1921,A207,'Synthetic Sales Data'!$C$2:$C$1921,B207)</x:f>
        <x:v>50</x:v>
      </x:c>
      <x:c r="E207" s="2" t="n">
        <x:f>C207-D207</x:f>
        <x:v>4</x:v>
      </x:c>
      <x:c r="F207" s="2" t="n">
        <x:f>ABS(E207)</x:f>
        <x:v>4</x:v>
      </x:c>
    </x:row>
    <x:row r="208" ht="23" customHeight="1">
      <x:c r="A208" s="2" t="str">
        <x:v>DEMO-205</x:v>
      </x:c>
      <x:c r="B208" s="2" t="n">
        <x:v>7</x:v>
      </x:c>
      <x:c r="C208" s="17" t="n">
        <x:f>SUMIFS('Synthetic Sales Data'!$K$2:$K$1921,'Synthetic Sales Data'!$D$2:$D$1921,A208,'Synthetic Sales Data'!$C$2:$C$1921,B208)</x:f>
        <x:v>47</x:v>
      </x:c>
      <x:c r="D208" s="17" t="n">
        <x:f>SUMIFS('Synthetic Sales Data'!$W$2:$W$1921,'Synthetic Sales Data'!$D$2:$D$1921,A208,'Synthetic Sales Data'!$C$2:$C$1921,B208)</x:f>
        <x:v>53</x:v>
      </x:c>
      <x:c r="E208" s="2" t="n">
        <x:f>C208-D208</x:f>
        <x:v>-6</x:v>
      </x:c>
      <x:c r="F208" s="2" t="n">
        <x:f>ABS(E208)</x:f>
        <x:v>6</x:v>
      </x:c>
    </x:row>
    <x:row r="209" ht="23" customHeight="1">
      <x:c r="A209" s="2" t="str">
        <x:v>DEMO-205</x:v>
      </x:c>
      <x:c r="B209" s="2" t="n">
        <x:v>8</x:v>
      </x:c>
      <x:c r="C209" s="17" t="n">
        <x:f>SUMIFS('Synthetic Sales Data'!$K$2:$K$1921,'Synthetic Sales Data'!$D$2:$D$1921,A209,'Synthetic Sales Data'!$C$2:$C$1921,B209)</x:f>
        <x:v>51</x:v>
      </x:c>
      <x:c r="D209" s="17" t="n">
        <x:f>SUMIFS('Synthetic Sales Data'!$W$2:$W$1921,'Synthetic Sales Data'!$D$2:$D$1921,A209,'Synthetic Sales Data'!$C$2:$C$1921,B209)</x:f>
        <x:v>51</x:v>
      </x:c>
      <x:c r="E209" s="2" t="n">
        <x:f>C209-D209</x:f>
        <x:v>0</x:v>
      </x:c>
      <x:c r="F209" s="2" t="n">
        <x:f>ABS(E209)</x:f>
        <x:v>0</x:v>
      </x:c>
    </x:row>
    <x:row r="210" ht="23" customHeight="1">
      <x:c r="A210" s="2" t="str">
        <x:v>DEMO-205</x:v>
      </x:c>
      <x:c r="B210" s="2" t="n">
        <x:v>9</x:v>
      </x:c>
      <x:c r="C210" s="17" t="n">
        <x:f>SUMIFS('Synthetic Sales Data'!$K$2:$K$1921,'Synthetic Sales Data'!$D$2:$D$1921,A210,'Synthetic Sales Data'!$C$2:$C$1921,B210)</x:f>
        <x:v>55</x:v>
      </x:c>
      <x:c r="D210" s="17" t="n">
        <x:f>SUMIFS('Synthetic Sales Data'!$W$2:$W$1921,'Synthetic Sales Data'!$D$2:$D$1921,A210,'Synthetic Sales Data'!$C$2:$C$1921,B210)</x:f>
        <x:v>50</x:v>
      </x:c>
      <x:c r="E210" s="2" t="n">
        <x:f>C210-D210</x:f>
        <x:v>5</x:v>
      </x:c>
      <x:c r="F210" s="2" t="n">
        <x:f>ABS(E210)</x:f>
        <x:v>5</x:v>
      </x:c>
    </x:row>
    <x:row r="211" ht="23" customHeight="1">
      <x:c r="A211" s="2" t="str">
        <x:v>DEMO-205</x:v>
      </x:c>
      <x:c r="B211" s="2" t="n">
        <x:v>10</x:v>
      </x:c>
      <x:c r="C211" s="17" t="n">
        <x:f>SUMIFS('Synthetic Sales Data'!$K$2:$K$1921,'Synthetic Sales Data'!$D$2:$D$1921,A211,'Synthetic Sales Data'!$C$2:$C$1921,B211)</x:f>
        <x:v>52</x:v>
      </x:c>
      <x:c r="D211" s="17" t="n">
        <x:f>SUMIFS('Synthetic Sales Data'!$W$2:$W$1921,'Synthetic Sales Data'!$D$2:$D$1921,A211,'Synthetic Sales Data'!$C$2:$C$1921,B211)</x:f>
        <x:v>52</x:v>
      </x:c>
      <x:c r="E211" s="2" t="n">
        <x:f>C211-D211</x:f>
        <x:v>0</x:v>
      </x:c>
      <x:c r="F211" s="2" t="n">
        <x:f>ABS(E211)</x:f>
        <x:v>0</x:v>
      </x:c>
    </x:row>
    <x:row r="212" ht="23" customHeight="1">
      <x:c r="A212" s="2" t="str">
        <x:v>DEMO-205</x:v>
      </x:c>
      <x:c r="B212" s="2" t="n">
        <x:v>11</x:v>
      </x:c>
      <x:c r="C212" s="17" t="n">
        <x:f>SUMIFS('Synthetic Sales Data'!$K$2:$K$1921,'Synthetic Sales Data'!$D$2:$D$1921,A212,'Synthetic Sales Data'!$C$2:$C$1921,B212)</x:f>
        <x:v>50</x:v>
      </x:c>
      <x:c r="D212" s="17" t="n">
        <x:f>SUMIFS('Synthetic Sales Data'!$W$2:$W$1921,'Synthetic Sales Data'!$D$2:$D$1921,A212,'Synthetic Sales Data'!$C$2:$C$1921,B212)</x:f>
        <x:v>51</x:v>
      </x:c>
      <x:c r="E212" s="2" t="n">
        <x:f>C212-D212</x:f>
        <x:v>-1</x:v>
      </x:c>
      <x:c r="F212" s="2" t="n">
        <x:f>ABS(E212)</x:f>
        <x:v>1</x:v>
      </x:c>
    </x:row>
    <x:row r="213" ht="23" customHeight="1">
      <x:c r="A213" s="2" t="str">
        <x:v>DEMO-205</x:v>
      </x:c>
      <x:c r="B213" s="2" t="n">
        <x:v>12</x:v>
      </x:c>
      <x:c r="C213" s="17" t="n">
        <x:f>SUMIFS('Synthetic Sales Data'!$K$2:$K$1921,'Synthetic Sales Data'!$D$2:$D$1921,A213,'Synthetic Sales Data'!$C$2:$C$1921,B213)</x:f>
        <x:v>112</x:v>
      </x:c>
      <x:c r="D213" s="17" t="n">
        <x:f>SUMIFS('Synthetic Sales Data'!$W$2:$W$1921,'Synthetic Sales Data'!$D$2:$D$1921,A213,'Synthetic Sales Data'!$C$2:$C$1921,B213)</x:f>
        <x:v>53</x:v>
      </x:c>
      <x:c r="E213" s="2" t="n">
        <x:f>C213-D213</x:f>
        <x:v>59</x:v>
      </x:c>
      <x:c r="F213" s="2" t="n">
        <x:f>ABS(E213)</x:f>
        <x:v>59</x:v>
      </x:c>
    </x:row>
    <x:row r="214" ht="23" customHeight="1">
      <x:c r="A214" s="2" t="str">
        <x:v>DEMO-205</x:v>
      </x:c>
      <x:c r="B214" s="2" t="n">
        <x:v>13</x:v>
      </x:c>
      <x:c r="C214" s="17" t="n">
        <x:f>SUMIFS('Synthetic Sales Data'!$K$2:$K$1921,'Synthetic Sales Data'!$D$2:$D$1921,A214,'Synthetic Sales Data'!$C$2:$C$1921,B214)</x:f>
        <x:v>100</x:v>
      </x:c>
      <x:c r="D214" s="17" t="n">
        <x:f>SUMIFS('Synthetic Sales Data'!$W$2:$W$1921,'Synthetic Sales Data'!$D$2:$D$1921,A214,'Synthetic Sales Data'!$C$2:$C$1921,B214)</x:f>
        <x:v>67</x:v>
      </x:c>
      <x:c r="E214" s="2" t="n">
        <x:f>C214-D214</x:f>
        <x:v>33</x:v>
      </x:c>
      <x:c r="F214" s="2" t="n">
        <x:f>ABS(E214)</x:f>
        <x:v>33</x:v>
      </x:c>
    </x:row>
    <x:row r="215" ht="23" customHeight="1">
      <x:c r="A215" s="2" t="str">
        <x:v>DEMO-205</x:v>
      </x:c>
      <x:c r="B215" s="2" t="n">
        <x:v>14</x:v>
      </x:c>
      <x:c r="C215" s="17" t="n">
        <x:f>SUMIFS('Synthetic Sales Data'!$K$2:$K$1921,'Synthetic Sales Data'!$D$2:$D$1921,A215,'Synthetic Sales Data'!$C$2:$C$1921,B215)</x:f>
        <x:v>121</x:v>
      </x:c>
      <x:c r="D215" s="17" t="n">
        <x:f>SUMIFS('Synthetic Sales Data'!$W$2:$W$1921,'Synthetic Sales Data'!$D$2:$D$1921,A215,'Synthetic Sales Data'!$C$2:$C$1921,B215)</x:f>
        <x:v>79</x:v>
      </x:c>
      <x:c r="E215" s="2" t="n">
        <x:f>C215-D215</x:f>
        <x:v>42</x:v>
      </x:c>
      <x:c r="F215" s="2" t="n">
        <x:f>ABS(E215)</x:f>
        <x:v>42</x:v>
      </x:c>
    </x:row>
    <x:row r="216" ht="23" customHeight="1">
      <x:c r="A216" s="2" t="str">
        <x:v>DEMO-205</x:v>
      </x:c>
      <x:c r="B216" s="2" t="n">
        <x:v>15</x:v>
      </x:c>
      <x:c r="C216" s="17" t="n">
        <x:f>SUMIFS('Synthetic Sales Data'!$K$2:$K$1921,'Synthetic Sales Data'!$D$2:$D$1921,A216,'Synthetic Sales Data'!$C$2:$C$1921,B216)</x:f>
        <x:v>47</x:v>
      </x:c>
      <x:c r="D216" s="17" t="n">
        <x:f>SUMIFS('Synthetic Sales Data'!$W$2:$W$1921,'Synthetic Sales Data'!$D$2:$D$1921,A216,'Synthetic Sales Data'!$C$2:$C$1921,B216)</x:f>
        <x:v>96</x:v>
      </x:c>
      <x:c r="E216" s="2" t="n">
        <x:f>C216-D216</x:f>
        <x:v>-49</x:v>
      </x:c>
      <x:c r="F216" s="2" t="n">
        <x:f>ABS(E216)</x:f>
        <x:v>49</x:v>
      </x:c>
    </x:row>
    <x:row r="217" ht="23" customHeight="1">
      <x:c r="A217" s="2" t="str">
        <x:v>DEMO-205</x:v>
      </x:c>
      <x:c r="B217" s="2" t="n">
        <x:v>16</x:v>
      </x:c>
      <x:c r="C217" s="17" t="n">
        <x:f>SUMIFS('Synthetic Sales Data'!$K$2:$K$1921,'Synthetic Sales Data'!$D$2:$D$1921,A217,'Synthetic Sales Data'!$C$2:$C$1921,B217)</x:f>
        <x:v>44</x:v>
      </x:c>
      <x:c r="D217" s="17" t="n">
        <x:f>SUMIFS('Synthetic Sales Data'!$W$2:$W$1921,'Synthetic Sales Data'!$D$2:$D$1921,A217,'Synthetic Sales Data'!$C$2:$C$1921,B217)</x:f>
        <x:v>96</x:v>
      </x:c>
      <x:c r="E217" s="2" t="n">
        <x:f>C217-D217</x:f>
        <x:v>-52</x:v>
      </x:c>
      <x:c r="F217" s="2" t="n">
        <x:f>ABS(E217)</x:f>
        <x:v>52</x:v>
      </x:c>
    </x:row>
    <x:row r="218" ht="23" customHeight="1">
      <x:c r="A218" s="2" t="str">
        <x:v>DEMO-205</x:v>
      </x:c>
      <x:c r="B218" s="2" t="n">
        <x:v>17</x:v>
      </x:c>
      <x:c r="C218" s="17" t="n">
        <x:f>SUMIFS('Synthetic Sales Data'!$K$2:$K$1921,'Synthetic Sales Data'!$D$2:$D$1921,A218,'Synthetic Sales Data'!$C$2:$C$1921,B218)</x:f>
        <x:v>55</x:v>
      </x:c>
      <x:c r="D218" s="17" t="n">
        <x:f>SUMIFS('Synthetic Sales Data'!$W$2:$W$1921,'Synthetic Sales Data'!$D$2:$D$1921,A218,'Synthetic Sales Data'!$C$2:$C$1921,B218)</x:f>
        <x:v>79</x:v>
      </x:c>
      <x:c r="E218" s="2" t="n">
        <x:f>C218-D218</x:f>
        <x:v>-24</x:v>
      </x:c>
      <x:c r="F218" s="2" t="n">
        <x:f>ABS(E218)</x:f>
        <x:v>24</x:v>
      </x:c>
    </x:row>
    <x:row r="219" ht="23" customHeight="1">
      <x:c r="A219" s="2" t="str">
        <x:v>DEMO-205</x:v>
      </x:c>
      <x:c r="B219" s="2" t="n">
        <x:v>18</x:v>
      </x:c>
      <x:c r="C219" s="17" t="n">
        <x:f>SUMIFS('Synthetic Sales Data'!$K$2:$K$1921,'Synthetic Sales Data'!$D$2:$D$1921,A219,'Synthetic Sales Data'!$C$2:$C$1921,B219)</x:f>
        <x:v>54</x:v>
      </x:c>
      <x:c r="D219" s="17" t="n">
        <x:f>SUMIFS('Synthetic Sales Data'!$W$2:$W$1921,'Synthetic Sales Data'!$D$2:$D$1921,A219,'Synthetic Sales Data'!$C$2:$C$1921,B219)</x:f>
        <x:v>68</x:v>
      </x:c>
      <x:c r="E219" s="2" t="n">
        <x:f>C219-D219</x:f>
        <x:v>-14</x:v>
      </x:c>
      <x:c r="F219" s="2" t="n">
        <x:f>ABS(E219)</x:f>
        <x:v>14</x:v>
      </x:c>
    </x:row>
    <x:row r="220" ht="23" customHeight="1">
      <x:c r="A220" s="2" t="str">
        <x:v>DEMO-205</x:v>
      </x:c>
      <x:c r="B220" s="2" t="n">
        <x:v>19</x:v>
      </x:c>
      <x:c r="C220" s="17" t="n">
        <x:f>SUMIFS('Synthetic Sales Data'!$K$2:$K$1921,'Synthetic Sales Data'!$D$2:$D$1921,A220,'Synthetic Sales Data'!$C$2:$C$1921,B220)</x:f>
        <x:v>51</x:v>
      </x:c>
      <x:c r="D220" s="17" t="n">
        <x:f>SUMIFS('Synthetic Sales Data'!$W$2:$W$1921,'Synthetic Sales Data'!$D$2:$D$1921,A220,'Synthetic Sales Data'!$C$2:$C$1921,B220)</x:f>
        <x:v>51</x:v>
      </x:c>
      <x:c r="E220" s="2" t="n">
        <x:f>C220-D220</x:f>
        <x:v>0</x:v>
      </x:c>
      <x:c r="F220" s="2" t="n">
        <x:f>ABS(E220)</x:f>
        <x:v>0</x:v>
      </x:c>
    </x:row>
    <x:row r="221" ht="23" customHeight="1">
      <x:c r="A221" s="2" t="str">
        <x:v>DEMO-205</x:v>
      </x:c>
      <x:c r="B221" s="2" t="n">
        <x:v>20</x:v>
      </x:c>
      <x:c r="C221" s="17" t="n">
        <x:f>SUMIFS('Synthetic Sales Data'!$K$2:$K$1921,'Synthetic Sales Data'!$D$2:$D$1921,A221,'Synthetic Sales Data'!$C$2:$C$1921,B221)</x:f>
        <x:v>51</x:v>
      </x:c>
      <x:c r="D221" s="17" t="n">
        <x:f>SUMIFS('Synthetic Sales Data'!$W$2:$W$1921,'Synthetic Sales Data'!$D$2:$D$1921,A221,'Synthetic Sales Data'!$C$2:$C$1921,B221)</x:f>
        <x:v>51</x:v>
      </x:c>
      <x:c r="E221" s="2" t="n">
        <x:f>C221-D221</x:f>
        <x:v>0</x:v>
      </x:c>
      <x:c r="F221" s="2" t="n">
        <x:f>ABS(E221)</x:f>
        <x:v>0</x:v>
      </x:c>
    </x:row>
    <x:row r="222" ht="23" customHeight="1">
      <x:c r="A222" s="2" t="str">
        <x:v>DEMO-206</x:v>
      </x:c>
      <x:c r="B222" s="2" t="n">
        <x:v>1</x:v>
      </x:c>
      <x:c r="C222" s="17" t="n">
        <x:f>SUMIFS('Synthetic Sales Data'!$K$2:$K$1921,'Synthetic Sales Data'!$D$2:$D$1921,A222,'Synthetic Sales Data'!$C$2:$C$1921,B222)</x:f>
        <x:v>69</x:v>
      </x:c>
      <x:c r="D222" s="17" t="n">
        <x:f>SUMIFS('Synthetic Sales Data'!$W$2:$W$1921,'Synthetic Sales Data'!$D$2:$D$1921,A222,'Synthetic Sales Data'!$C$2:$C$1921,B222)</x:f>
        <x:v>66</x:v>
      </x:c>
      <x:c r="E222" s="2" t="n">
        <x:f>C222-D222</x:f>
        <x:v>3</x:v>
      </x:c>
      <x:c r="F222" s="2" t="n">
        <x:f>ABS(E222)</x:f>
        <x:v>3</x:v>
      </x:c>
    </x:row>
    <x:row r="223" ht="23" customHeight="1">
      <x:c r="A223" s="2" t="str">
        <x:v>DEMO-206</x:v>
      </x:c>
      <x:c r="B223" s="2" t="n">
        <x:v>2</x:v>
      </x:c>
      <x:c r="C223" s="17" t="n">
        <x:f>SUMIFS('Synthetic Sales Data'!$K$2:$K$1921,'Synthetic Sales Data'!$D$2:$D$1921,A223,'Synthetic Sales Data'!$C$2:$C$1921,B223)</x:f>
        <x:v>70</x:v>
      </x:c>
      <x:c r="D223" s="17" t="n">
        <x:f>SUMIFS('Synthetic Sales Data'!$W$2:$W$1921,'Synthetic Sales Data'!$D$2:$D$1921,A223,'Synthetic Sales Data'!$C$2:$C$1921,B223)</x:f>
        <x:v>69</x:v>
      </x:c>
      <x:c r="E223" s="2" t="n">
        <x:f>C223-D223</x:f>
        <x:v>1</x:v>
      </x:c>
      <x:c r="F223" s="2" t="n">
        <x:f>ABS(E223)</x:f>
        <x:v>1</x:v>
      </x:c>
    </x:row>
    <x:row r="224" ht="23" customHeight="1">
      <x:c r="A224" s="2" t="str">
        <x:v>DEMO-206</x:v>
      </x:c>
      <x:c r="B224" s="2" t="n">
        <x:v>3</x:v>
      </x:c>
      <x:c r="C224" s="17" t="n">
        <x:f>SUMIFS('Synthetic Sales Data'!$K$2:$K$1921,'Synthetic Sales Data'!$D$2:$D$1921,A224,'Synthetic Sales Data'!$C$2:$C$1921,B224)</x:f>
        <x:v>66</x:v>
      </x:c>
      <x:c r="D224" s="17" t="n">
        <x:f>SUMIFS('Synthetic Sales Data'!$W$2:$W$1921,'Synthetic Sales Data'!$D$2:$D$1921,A224,'Synthetic Sales Data'!$C$2:$C$1921,B224)</x:f>
        <x:v>70</x:v>
      </x:c>
      <x:c r="E224" s="2" t="n">
        <x:f>C224-D224</x:f>
        <x:v>-4</x:v>
      </x:c>
      <x:c r="F224" s="2" t="n">
        <x:f>ABS(E224)</x:f>
        <x:v>4</x:v>
      </x:c>
    </x:row>
    <x:row r="225" ht="23" customHeight="1">
      <x:c r="A225" s="2" t="str">
        <x:v>DEMO-206</x:v>
      </x:c>
      <x:c r="B225" s="2" t="n">
        <x:v>4</x:v>
      </x:c>
      <x:c r="C225" s="17" t="n">
        <x:f>SUMIFS('Synthetic Sales Data'!$K$2:$K$1921,'Synthetic Sales Data'!$D$2:$D$1921,A225,'Synthetic Sales Data'!$C$2:$C$1921,B225)</x:f>
        <x:v>57</x:v>
      </x:c>
      <x:c r="D225" s="17" t="n">
        <x:f>SUMIFS('Synthetic Sales Data'!$W$2:$W$1921,'Synthetic Sales Data'!$D$2:$D$1921,A225,'Synthetic Sales Data'!$C$2:$C$1921,B225)</x:f>
        <x:v>69</x:v>
      </x:c>
      <x:c r="E225" s="2" t="n">
        <x:f>C225-D225</x:f>
        <x:v>-12</x:v>
      </x:c>
      <x:c r="F225" s="2" t="n">
        <x:f>ABS(E225)</x:f>
        <x:v>12</x:v>
      </x:c>
    </x:row>
    <x:row r="226" ht="23" customHeight="1">
      <x:c r="A226" s="2" t="str">
        <x:v>DEMO-206</x:v>
      </x:c>
      <x:c r="B226" s="2" t="n">
        <x:v>5</x:v>
      </x:c>
      <x:c r="C226" s="17" t="n">
        <x:f>SUMIFS('Synthetic Sales Data'!$K$2:$K$1921,'Synthetic Sales Data'!$D$2:$D$1921,A226,'Synthetic Sales Data'!$C$2:$C$1921,B226)</x:f>
        <x:v>64</x:v>
      </x:c>
      <x:c r="D226" s="17" t="n">
        <x:f>SUMIFS('Synthetic Sales Data'!$W$2:$W$1921,'Synthetic Sales Data'!$D$2:$D$1921,A226,'Synthetic Sales Data'!$C$2:$C$1921,B226)</x:f>
        <x:v>66</x:v>
      </x:c>
      <x:c r="E226" s="2" t="n">
        <x:f>C226-D226</x:f>
        <x:v>-2</x:v>
      </x:c>
      <x:c r="F226" s="2" t="n">
        <x:f>ABS(E226)</x:f>
        <x:v>2</x:v>
      </x:c>
    </x:row>
    <x:row r="227" ht="23" customHeight="1">
      <x:c r="A227" s="2" t="str">
        <x:v>DEMO-206</x:v>
      </x:c>
      <x:c r="B227" s="2" t="n">
        <x:v>6</x:v>
      </x:c>
      <x:c r="C227" s="17" t="n">
        <x:f>SUMIFS('Synthetic Sales Data'!$K$2:$K$1921,'Synthetic Sales Data'!$D$2:$D$1921,A227,'Synthetic Sales Data'!$C$2:$C$1921,B227)</x:f>
        <x:v>62</x:v>
      </x:c>
      <x:c r="D227" s="17" t="n">
        <x:f>SUMIFS('Synthetic Sales Data'!$W$2:$W$1921,'Synthetic Sales Data'!$D$2:$D$1921,A227,'Synthetic Sales Data'!$C$2:$C$1921,B227)</x:f>
        <x:v>64</x:v>
      </x:c>
      <x:c r="E227" s="2" t="n">
        <x:f>C227-D227</x:f>
        <x:v>-2</x:v>
      </x:c>
      <x:c r="F227" s="2" t="n">
        <x:f>ABS(E227)</x:f>
        <x:v>2</x:v>
      </x:c>
    </x:row>
    <x:row r="228" ht="23" customHeight="1">
      <x:c r="A228" s="2" t="str">
        <x:v>DEMO-206</x:v>
      </x:c>
      <x:c r="B228" s="2" t="n">
        <x:v>7</x:v>
      </x:c>
      <x:c r="C228" s="17" t="n">
        <x:f>SUMIFS('Synthetic Sales Data'!$K$2:$K$1921,'Synthetic Sales Data'!$D$2:$D$1921,A228,'Synthetic Sales Data'!$C$2:$C$1921,B228)</x:f>
        <x:v>62</x:v>
      </x:c>
      <x:c r="D228" s="17" t="n">
        <x:f>SUMIFS('Synthetic Sales Data'!$W$2:$W$1921,'Synthetic Sales Data'!$D$2:$D$1921,A228,'Synthetic Sales Data'!$C$2:$C$1921,B228)</x:f>
        <x:v>63</x:v>
      </x:c>
      <x:c r="E228" s="2" t="n">
        <x:f>C228-D228</x:f>
        <x:v>-1</x:v>
      </x:c>
      <x:c r="F228" s="2" t="n">
        <x:f>ABS(E228)</x:f>
        <x:v>1</x:v>
      </x:c>
    </x:row>
    <x:row r="229" ht="23" customHeight="1">
      <x:c r="A229" s="2" t="str">
        <x:v>DEMO-206</x:v>
      </x:c>
      <x:c r="B229" s="2" t="n">
        <x:v>8</x:v>
      </x:c>
      <x:c r="C229" s="17" t="n">
        <x:f>SUMIFS('Synthetic Sales Data'!$K$2:$K$1921,'Synthetic Sales Data'!$D$2:$D$1921,A229,'Synthetic Sales Data'!$C$2:$C$1921,B229)</x:f>
        <x:v>71</x:v>
      </x:c>
      <x:c r="D229" s="17" t="n">
        <x:f>SUMIFS('Synthetic Sales Data'!$W$2:$W$1921,'Synthetic Sales Data'!$D$2:$D$1921,A229,'Synthetic Sales Data'!$C$2:$C$1921,B229)</x:f>
        <x:v>62</x:v>
      </x:c>
      <x:c r="E229" s="2" t="n">
        <x:f>C229-D229</x:f>
        <x:v>9</x:v>
      </x:c>
      <x:c r="F229" s="2" t="n">
        <x:f>ABS(E229)</x:f>
        <x:v>9</x:v>
      </x:c>
    </x:row>
    <x:row r="230" ht="23" customHeight="1">
      <x:c r="A230" s="2" t="str">
        <x:v>DEMO-206</x:v>
      </x:c>
      <x:c r="B230" s="2" t="n">
        <x:v>9</x:v>
      </x:c>
      <x:c r="C230" s="17" t="n">
        <x:f>SUMIFS('Synthetic Sales Data'!$K$2:$K$1921,'Synthetic Sales Data'!$D$2:$D$1921,A230,'Synthetic Sales Data'!$C$2:$C$1921,B230)</x:f>
        <x:v>64</x:v>
      </x:c>
      <x:c r="D230" s="17" t="n">
        <x:f>SUMIFS('Synthetic Sales Data'!$W$2:$W$1921,'Synthetic Sales Data'!$D$2:$D$1921,A230,'Synthetic Sales Data'!$C$2:$C$1921,B230)</x:f>
        <x:v>66</x:v>
      </x:c>
      <x:c r="E230" s="2" t="n">
        <x:f>C230-D230</x:f>
        <x:v>-2</x:v>
      </x:c>
      <x:c r="F230" s="2" t="n">
        <x:f>ABS(E230)</x:f>
        <x:v>2</x:v>
      </x:c>
    </x:row>
    <x:row r="231" ht="23" customHeight="1">
      <x:c r="A231" s="2" t="str">
        <x:v>DEMO-206</x:v>
      </x:c>
      <x:c r="B231" s="2" t="n">
        <x:v>10</x:v>
      </x:c>
      <x:c r="C231" s="17" t="n">
        <x:f>SUMIFS('Synthetic Sales Data'!$K$2:$K$1921,'Synthetic Sales Data'!$D$2:$D$1921,A231,'Synthetic Sales Data'!$C$2:$C$1921,B231)</x:f>
        <x:v>65</x:v>
      </x:c>
      <x:c r="D231" s="17" t="n">
        <x:f>SUMIFS('Synthetic Sales Data'!$W$2:$W$1921,'Synthetic Sales Data'!$D$2:$D$1921,A231,'Synthetic Sales Data'!$C$2:$C$1921,B231)</x:f>
        <x:v>65</x:v>
      </x:c>
      <x:c r="E231" s="2" t="n">
        <x:f>C231-D231</x:f>
        <x:v>0</x:v>
      </x:c>
      <x:c r="F231" s="2" t="n">
        <x:f>ABS(E231)</x:f>
        <x:v>0</x:v>
      </x:c>
    </x:row>
    <x:row r="232" ht="23" customHeight="1">
      <x:c r="A232" s="2" t="str">
        <x:v>DEMO-206</x:v>
      </x:c>
      <x:c r="B232" s="2" t="n">
        <x:v>11</x:v>
      </x:c>
      <x:c r="C232" s="17" t="n">
        <x:f>SUMIFS('Synthetic Sales Data'!$K$2:$K$1921,'Synthetic Sales Data'!$D$2:$D$1921,A232,'Synthetic Sales Data'!$C$2:$C$1921,B232)</x:f>
        <x:v>63</x:v>
      </x:c>
      <x:c r="D232" s="17" t="n">
        <x:f>SUMIFS('Synthetic Sales Data'!$W$2:$W$1921,'Synthetic Sales Data'!$D$2:$D$1921,A232,'Synthetic Sales Data'!$C$2:$C$1921,B232)</x:f>
        <x:v>66</x:v>
      </x:c>
      <x:c r="E232" s="2" t="n">
        <x:f>C232-D232</x:f>
        <x:v>-3</x:v>
      </x:c>
      <x:c r="F232" s="2" t="n">
        <x:f>ABS(E232)</x:f>
        <x:v>3</x:v>
      </x:c>
    </x:row>
    <x:row r="233" ht="23" customHeight="1">
      <x:c r="A233" s="2" t="str">
        <x:v>DEMO-206</x:v>
      </x:c>
      <x:c r="B233" s="2" t="n">
        <x:v>12</x:v>
      </x:c>
      <x:c r="C233" s="17" t="n">
        <x:f>SUMIFS('Synthetic Sales Data'!$K$2:$K$1921,'Synthetic Sales Data'!$D$2:$D$1921,A233,'Synthetic Sales Data'!$C$2:$C$1921,B233)</x:f>
        <x:v>143</x:v>
      </x:c>
      <x:c r="D233" s="17" t="n">
        <x:f>SUMIFS('Synthetic Sales Data'!$W$2:$W$1921,'Synthetic Sales Data'!$D$2:$D$1921,A233,'Synthetic Sales Data'!$C$2:$C$1921,B233)</x:f>
        <x:v>67</x:v>
      </x:c>
      <x:c r="E233" s="2" t="n">
        <x:f>C233-D233</x:f>
        <x:v>76</x:v>
      </x:c>
      <x:c r="F233" s="2" t="n">
        <x:f>ABS(E233)</x:f>
        <x:v>76</x:v>
      </x:c>
    </x:row>
    <x:row r="234" ht="23" customHeight="1">
      <x:c r="A234" s="2" t="str">
        <x:v>DEMO-206</x:v>
      </x:c>
      <x:c r="B234" s="2" t="n">
        <x:v>13</x:v>
      </x:c>
      <x:c r="C234" s="17" t="n">
        <x:f>SUMIFS('Synthetic Sales Data'!$K$2:$K$1921,'Synthetic Sales Data'!$D$2:$D$1921,A234,'Synthetic Sales Data'!$C$2:$C$1921,B234)</x:f>
        <x:v>140</x:v>
      </x:c>
      <x:c r="D234" s="17" t="n">
        <x:f>SUMIFS('Synthetic Sales Data'!$W$2:$W$1921,'Synthetic Sales Data'!$D$2:$D$1921,A234,'Synthetic Sales Data'!$C$2:$C$1921,B234)</x:f>
        <x:v>85</x:v>
      </x:c>
      <x:c r="E234" s="2" t="n">
        <x:f>C234-D234</x:f>
        <x:v>55</x:v>
      </x:c>
      <x:c r="F234" s="2" t="n">
        <x:f>ABS(E234)</x:f>
        <x:v>55</x:v>
      </x:c>
    </x:row>
    <x:row r="235" ht="23" customHeight="1">
      <x:c r="A235" s="2" t="str">
        <x:v>DEMO-206</x:v>
      </x:c>
      <x:c r="B235" s="2" t="n">
        <x:v>14</x:v>
      </x:c>
      <x:c r="C235" s="17" t="n">
        <x:f>SUMIFS('Synthetic Sales Data'!$K$2:$K$1921,'Synthetic Sales Data'!$D$2:$D$1921,A235,'Synthetic Sales Data'!$C$2:$C$1921,B235)</x:f>
        <x:v>146</x:v>
      </x:c>
      <x:c r="D235" s="17" t="n">
        <x:f>SUMIFS('Synthetic Sales Data'!$W$2:$W$1921,'Synthetic Sales Data'!$D$2:$D$1921,A235,'Synthetic Sales Data'!$C$2:$C$1921,B235)</x:f>
        <x:v>103</x:v>
      </x:c>
      <x:c r="E235" s="2" t="n">
        <x:f>C235-D235</x:f>
        <x:v>43</x:v>
      </x:c>
      <x:c r="F235" s="2" t="n">
        <x:f>ABS(E235)</x:f>
        <x:v>43</x:v>
      </x:c>
    </x:row>
    <x:row r="236" ht="23" customHeight="1">
      <x:c r="A236" s="2" t="str">
        <x:v>DEMO-206</x:v>
      </x:c>
      <x:c r="B236" s="2" t="n">
        <x:v>15</x:v>
      </x:c>
      <x:c r="C236" s="17" t="n">
        <x:f>SUMIFS('Synthetic Sales Data'!$K$2:$K$1921,'Synthetic Sales Data'!$D$2:$D$1921,A236,'Synthetic Sales Data'!$C$2:$C$1921,B236)</x:f>
        <x:v>66</x:v>
      </x:c>
      <x:c r="D236" s="17" t="n">
        <x:f>SUMIFS('Synthetic Sales Data'!$W$2:$W$1921,'Synthetic Sales Data'!$D$2:$D$1921,A236,'Synthetic Sales Data'!$C$2:$C$1921,B236)</x:f>
        <x:v>124</x:v>
      </x:c>
      <x:c r="E236" s="2" t="n">
        <x:f>C236-D236</x:f>
        <x:v>-58</x:v>
      </x:c>
      <x:c r="F236" s="2" t="n">
        <x:f>ABS(E236)</x:f>
        <x:v>58</x:v>
      </x:c>
    </x:row>
    <x:row r="237" ht="23" customHeight="1">
      <x:c r="A237" s="2" t="str">
        <x:v>DEMO-206</x:v>
      </x:c>
      <x:c r="B237" s="2" t="n">
        <x:v>16</x:v>
      </x:c>
      <x:c r="C237" s="17" t="n">
        <x:f>SUMIFS('Synthetic Sales Data'!$K$2:$K$1921,'Synthetic Sales Data'!$D$2:$D$1921,A237,'Synthetic Sales Data'!$C$2:$C$1921,B237)</x:f>
        <x:v>63</x:v>
      </x:c>
      <x:c r="D237" s="17" t="n">
        <x:f>SUMIFS('Synthetic Sales Data'!$W$2:$W$1921,'Synthetic Sales Data'!$D$2:$D$1921,A237,'Synthetic Sales Data'!$C$2:$C$1921,B237)</x:f>
        <x:v>124</x:v>
      </x:c>
      <x:c r="E237" s="2" t="n">
        <x:f>C237-D237</x:f>
        <x:v>-61</x:v>
      </x:c>
      <x:c r="F237" s="2" t="n">
        <x:f>ABS(E237)</x:f>
        <x:v>61</x:v>
      </x:c>
    </x:row>
    <x:row r="238" ht="23" customHeight="1">
      <x:c r="A238" s="2" t="str">
        <x:v>DEMO-206</x:v>
      </x:c>
      <x:c r="B238" s="2" t="n">
        <x:v>17</x:v>
      </x:c>
      <x:c r="C238" s="17" t="n">
        <x:f>SUMIFS('Synthetic Sales Data'!$K$2:$K$1921,'Synthetic Sales Data'!$D$2:$D$1921,A238,'Synthetic Sales Data'!$C$2:$C$1921,B238)</x:f>
        <x:v>61</x:v>
      </x:c>
      <x:c r="D238" s="17" t="n">
        <x:f>SUMIFS('Synthetic Sales Data'!$W$2:$W$1921,'Synthetic Sales Data'!$D$2:$D$1921,A238,'Synthetic Sales Data'!$C$2:$C$1921,B238)</x:f>
        <x:v>105</x:v>
      </x:c>
      <x:c r="E238" s="2" t="n">
        <x:f>C238-D238</x:f>
        <x:v>-44</x:v>
      </x:c>
      <x:c r="F238" s="2" t="n">
        <x:f>ABS(E238)</x:f>
        <x:v>44</x:v>
      </x:c>
    </x:row>
    <x:row r="239" ht="23" customHeight="1">
      <x:c r="A239" s="2" t="str">
        <x:v>DEMO-206</x:v>
      </x:c>
      <x:c r="B239" s="2" t="n">
        <x:v>18</x:v>
      </x:c>
      <x:c r="C239" s="17" t="n">
        <x:f>SUMIFS('Synthetic Sales Data'!$K$2:$K$1921,'Synthetic Sales Data'!$D$2:$D$1921,A239,'Synthetic Sales Data'!$C$2:$C$1921,B239)</x:f>
        <x:v>61</x:v>
      </x:c>
      <x:c r="D239" s="17" t="n">
        <x:f>SUMIFS('Synthetic Sales Data'!$W$2:$W$1921,'Synthetic Sales Data'!$D$2:$D$1921,A239,'Synthetic Sales Data'!$C$2:$C$1921,B239)</x:f>
        <x:v>85</x:v>
      </x:c>
      <x:c r="E239" s="2" t="n">
        <x:f>C239-D239</x:f>
        <x:v>-24</x:v>
      </x:c>
      <x:c r="F239" s="2" t="n">
        <x:f>ABS(E239)</x:f>
        <x:v>24</x:v>
      </x:c>
    </x:row>
    <x:row r="240" ht="23" customHeight="1">
      <x:c r="A240" s="2" t="str">
        <x:v>DEMO-206</x:v>
      </x:c>
      <x:c r="B240" s="2" t="n">
        <x:v>19</x:v>
      </x:c>
      <x:c r="C240" s="17" t="n">
        <x:f>SUMIFS('Synthetic Sales Data'!$K$2:$K$1921,'Synthetic Sales Data'!$D$2:$D$1921,A240,'Synthetic Sales Data'!$C$2:$C$1921,B240)</x:f>
        <x:v>61</x:v>
      </x:c>
      <x:c r="D240" s="17" t="n">
        <x:f>SUMIFS('Synthetic Sales Data'!$W$2:$W$1921,'Synthetic Sales Data'!$D$2:$D$1921,A240,'Synthetic Sales Data'!$C$2:$C$1921,B240)</x:f>
        <x:v>64</x:v>
      </x:c>
      <x:c r="E240" s="2" t="n">
        <x:f>C240-D240</x:f>
        <x:v>-3</x:v>
      </x:c>
      <x:c r="F240" s="2" t="n">
        <x:f>ABS(E240)</x:f>
        <x:v>3</x:v>
      </x:c>
    </x:row>
    <x:row r="241" ht="23" customHeight="1">
      <x:c r="A241" s="2" t="str">
        <x:v>DEMO-206</x:v>
      </x:c>
      <x:c r="B241" s="2" t="n">
        <x:v>20</x:v>
      </x:c>
      <x:c r="C241" s="17" t="n">
        <x:f>SUMIFS('Synthetic Sales Data'!$K$2:$K$1921,'Synthetic Sales Data'!$D$2:$D$1921,A241,'Synthetic Sales Data'!$C$2:$C$1921,B241)</x:f>
        <x:v>67</x:v>
      </x:c>
      <x:c r="D241" s="17" t="n">
        <x:f>SUMIFS('Synthetic Sales Data'!$W$2:$W$1921,'Synthetic Sales Data'!$D$2:$D$1921,A241,'Synthetic Sales Data'!$C$2:$C$1921,B241)</x:f>
        <x:v>62</x:v>
      </x:c>
      <x:c r="E241" s="2" t="n">
        <x:f>C241-D241</x:f>
        <x:v>5</x:v>
      </x:c>
      <x:c r="F241" s="2" t="n">
        <x:f>ABS(E241)</x:f>
        <x:v>5</x:v>
      </x:c>
    </x:row>
    <x:row r="242" ht="23" customHeight="1">
      <x:c r="A242" s="2" t="str">
        <x:v>DEMO-301</x:v>
      </x:c>
      <x:c r="B242" s="2" t="n">
        <x:v>1</x:v>
      </x:c>
      <x:c r="C242" s="17" t="n">
        <x:f>SUMIFS('Synthetic Sales Data'!$K$2:$K$1921,'Synthetic Sales Data'!$D$2:$D$1921,A242,'Synthetic Sales Data'!$C$2:$C$1921,B242)</x:f>
        <x:v>45</x:v>
      </x:c>
      <x:c r="D242" s="17" t="n">
        <x:f>SUMIFS('Synthetic Sales Data'!$W$2:$W$1921,'Synthetic Sales Data'!$D$2:$D$1921,A242,'Synthetic Sales Data'!$C$2:$C$1921,B242)</x:f>
        <x:v>52</x:v>
      </x:c>
      <x:c r="E242" s="2" t="n">
        <x:f>C242-D242</x:f>
        <x:v>-7</x:v>
      </x:c>
      <x:c r="F242" s="2" t="n">
        <x:f>ABS(E242)</x:f>
        <x:v>7</x:v>
      </x:c>
    </x:row>
    <x:row r="243" ht="23" customHeight="1">
      <x:c r="A243" s="2" t="str">
        <x:v>DEMO-301</x:v>
      </x:c>
      <x:c r="B243" s="2" t="n">
        <x:v>2</x:v>
      </x:c>
      <x:c r="C243" s="17" t="n">
        <x:f>SUMIFS('Synthetic Sales Data'!$K$2:$K$1921,'Synthetic Sales Data'!$D$2:$D$1921,A243,'Synthetic Sales Data'!$C$2:$C$1921,B243)</x:f>
        <x:v>41</x:v>
      </x:c>
      <x:c r="D243" s="17" t="n">
        <x:f>SUMIFS('Synthetic Sales Data'!$W$2:$W$1921,'Synthetic Sales Data'!$D$2:$D$1921,A243,'Synthetic Sales Data'!$C$2:$C$1921,B243)</x:f>
        <x:v>45</x:v>
      </x:c>
      <x:c r="E243" s="2" t="n">
        <x:f>C243-D243</x:f>
        <x:v>-4</x:v>
      </x:c>
      <x:c r="F243" s="2" t="n">
        <x:f>ABS(E243)</x:f>
        <x:v>4</x:v>
      </x:c>
    </x:row>
    <x:row r="244" ht="23" customHeight="1">
      <x:c r="A244" s="2" t="str">
        <x:v>DEMO-301</x:v>
      </x:c>
      <x:c r="B244" s="2" t="n">
        <x:v>3</x:v>
      </x:c>
      <x:c r="C244" s="17" t="n">
        <x:f>SUMIFS('Synthetic Sales Data'!$K$2:$K$1921,'Synthetic Sales Data'!$D$2:$D$1921,A244,'Synthetic Sales Data'!$C$2:$C$1921,B244)</x:f>
        <x:v>49</x:v>
      </x:c>
      <x:c r="D244" s="17" t="n">
        <x:f>SUMIFS('Synthetic Sales Data'!$W$2:$W$1921,'Synthetic Sales Data'!$D$2:$D$1921,A244,'Synthetic Sales Data'!$C$2:$C$1921,B244)</x:f>
        <x:v>43</x:v>
      </x:c>
      <x:c r="E244" s="2" t="n">
        <x:f>C244-D244</x:f>
        <x:v>6</x:v>
      </x:c>
      <x:c r="F244" s="2" t="n">
        <x:f>ABS(E244)</x:f>
        <x:v>6</x:v>
      </x:c>
    </x:row>
    <x:row r="245" ht="23" customHeight="1">
      <x:c r="A245" s="2" t="str">
        <x:v>DEMO-301</x:v>
      </x:c>
      <x:c r="B245" s="2" t="n">
        <x:v>4</x:v>
      </x:c>
      <x:c r="C245" s="17" t="n">
        <x:f>SUMIFS('Synthetic Sales Data'!$K$2:$K$1921,'Synthetic Sales Data'!$D$2:$D$1921,A245,'Synthetic Sales Data'!$C$2:$C$1921,B245)</x:f>
        <x:v>45</x:v>
      </x:c>
      <x:c r="D245" s="17" t="n">
        <x:f>SUMIFS('Synthetic Sales Data'!$W$2:$W$1921,'Synthetic Sales Data'!$D$2:$D$1921,A245,'Synthetic Sales Data'!$C$2:$C$1921,B245)</x:f>
        <x:v>44</x:v>
      </x:c>
      <x:c r="E245" s="2" t="n">
        <x:f>C245-D245</x:f>
        <x:v>1</x:v>
      </x:c>
      <x:c r="F245" s="2" t="n">
        <x:f>ABS(E245)</x:f>
        <x:v>1</x:v>
      </x:c>
    </x:row>
    <x:row r="246" ht="23" customHeight="1">
      <x:c r="A246" s="2" t="str">
        <x:v>DEMO-301</x:v>
      </x:c>
      <x:c r="B246" s="2" t="n">
        <x:v>5</x:v>
      </x:c>
      <x:c r="C246" s="17" t="n">
        <x:f>SUMIFS('Synthetic Sales Data'!$K$2:$K$1921,'Synthetic Sales Data'!$D$2:$D$1921,A246,'Synthetic Sales Data'!$C$2:$C$1921,B246)</x:f>
        <x:v>40</x:v>
      </x:c>
      <x:c r="D246" s="17" t="n">
        <x:f>SUMIFS('Synthetic Sales Data'!$W$2:$W$1921,'Synthetic Sales Data'!$D$2:$D$1921,A246,'Synthetic Sales Data'!$C$2:$C$1921,B246)</x:f>
        <x:v>45</x:v>
      </x:c>
      <x:c r="E246" s="2" t="n">
        <x:f>C246-D246</x:f>
        <x:v>-5</x:v>
      </x:c>
      <x:c r="F246" s="2" t="n">
        <x:f>ABS(E246)</x:f>
        <x:v>5</x:v>
      </x:c>
    </x:row>
    <x:row r="247" ht="23" customHeight="1">
      <x:c r="A247" s="2" t="str">
        <x:v>DEMO-301</x:v>
      </x:c>
      <x:c r="B247" s="2" t="n">
        <x:v>6</x:v>
      </x:c>
      <x:c r="C247" s="17" t="n">
        <x:f>SUMIFS('Synthetic Sales Data'!$K$2:$K$1921,'Synthetic Sales Data'!$D$2:$D$1921,A247,'Synthetic Sales Data'!$C$2:$C$1921,B247)</x:f>
        <x:v>41</x:v>
      </x:c>
      <x:c r="D247" s="17" t="n">
        <x:f>SUMIFS('Synthetic Sales Data'!$W$2:$W$1921,'Synthetic Sales Data'!$D$2:$D$1921,A247,'Synthetic Sales Data'!$C$2:$C$1921,B247)</x:f>
        <x:v>44</x:v>
      </x:c>
      <x:c r="E247" s="2" t="n">
        <x:f>C247-D247</x:f>
        <x:v>-3</x:v>
      </x:c>
      <x:c r="F247" s="2" t="n">
        <x:f>ABS(E247)</x:f>
        <x:v>3</x:v>
      </x:c>
    </x:row>
    <x:row r="248" ht="23" customHeight="1">
      <x:c r="A248" s="2" t="str">
        <x:v>DEMO-301</x:v>
      </x:c>
      <x:c r="B248" s="2" t="n">
        <x:v>7</x:v>
      </x:c>
      <x:c r="C248" s="17" t="n">
        <x:f>SUMIFS('Synthetic Sales Data'!$K$2:$K$1921,'Synthetic Sales Data'!$D$2:$D$1921,A248,'Synthetic Sales Data'!$C$2:$C$1921,B248)</x:f>
        <x:v>40</x:v>
      </x:c>
      <x:c r="D248" s="17" t="n">
        <x:f>SUMIFS('Synthetic Sales Data'!$W$2:$W$1921,'Synthetic Sales Data'!$D$2:$D$1921,A248,'Synthetic Sales Data'!$C$2:$C$1921,B248)</x:f>
        <x:v>45</x:v>
      </x:c>
      <x:c r="E248" s="2" t="n">
        <x:f>C248-D248</x:f>
        <x:v>-5</x:v>
      </x:c>
      <x:c r="F248" s="2" t="n">
        <x:f>ABS(E248)</x:f>
        <x:v>5</x:v>
      </x:c>
    </x:row>
    <x:row r="249" ht="23" customHeight="1">
      <x:c r="A249" s="2" t="str">
        <x:v>DEMO-301</x:v>
      </x:c>
      <x:c r="B249" s="2" t="n">
        <x:v>8</x:v>
      </x:c>
      <x:c r="C249" s="17" t="n">
        <x:f>SUMIFS('Synthetic Sales Data'!$K$2:$K$1921,'Synthetic Sales Data'!$D$2:$D$1921,A249,'Synthetic Sales Data'!$C$2:$C$1921,B249)</x:f>
        <x:v>34</x:v>
      </x:c>
      <x:c r="D249" s="17" t="n">
        <x:f>SUMIFS('Synthetic Sales Data'!$W$2:$W$1921,'Synthetic Sales Data'!$D$2:$D$1921,A249,'Synthetic Sales Data'!$C$2:$C$1921,B249)</x:f>
        <x:v>42</x:v>
      </x:c>
      <x:c r="E249" s="2" t="n">
        <x:f>C249-D249</x:f>
        <x:v>-8</x:v>
      </x:c>
      <x:c r="F249" s="2" t="n">
        <x:f>ABS(E249)</x:f>
        <x:v>8</x:v>
      </x:c>
    </x:row>
    <x:row r="250" ht="23" customHeight="1">
      <x:c r="A250" s="2" t="str">
        <x:v>DEMO-301</x:v>
      </x:c>
      <x:c r="B250" s="2" t="n">
        <x:v>9</x:v>
      </x:c>
      <x:c r="C250" s="17" t="n">
        <x:f>SUMIFS('Synthetic Sales Data'!$K$2:$K$1921,'Synthetic Sales Data'!$D$2:$D$1921,A250,'Synthetic Sales Data'!$C$2:$C$1921,B250)</x:f>
        <x:v>41</x:v>
      </x:c>
      <x:c r="D250" s="17" t="n">
        <x:f>SUMIFS('Synthetic Sales Data'!$W$2:$W$1921,'Synthetic Sales Data'!$D$2:$D$1921,A250,'Synthetic Sales Data'!$C$2:$C$1921,B250)</x:f>
        <x:v>38</x:v>
      </x:c>
      <x:c r="E250" s="2" t="n">
        <x:f>C250-D250</x:f>
        <x:v>3</x:v>
      </x:c>
      <x:c r="F250" s="2" t="n">
        <x:f>ABS(E250)</x:f>
        <x:v>3</x:v>
      </x:c>
    </x:row>
    <x:row r="251" ht="23" customHeight="1">
      <x:c r="A251" s="2" t="str">
        <x:v>DEMO-301</x:v>
      </x:c>
      <x:c r="B251" s="2" t="n">
        <x:v>10</x:v>
      </x:c>
      <x:c r="C251" s="17" t="n">
        <x:f>SUMIFS('Synthetic Sales Data'!$K$2:$K$1921,'Synthetic Sales Data'!$D$2:$D$1921,A251,'Synthetic Sales Data'!$C$2:$C$1921,B251)</x:f>
        <x:v>40</x:v>
      </x:c>
      <x:c r="D251" s="17" t="n">
        <x:f>SUMIFS('Synthetic Sales Data'!$W$2:$W$1921,'Synthetic Sales Data'!$D$2:$D$1921,A251,'Synthetic Sales Data'!$C$2:$C$1921,B251)</x:f>
        <x:v>40</x:v>
      </x:c>
      <x:c r="E251" s="2" t="n">
        <x:f>C251-D251</x:f>
        <x:v>0</x:v>
      </x:c>
      <x:c r="F251" s="2" t="n">
        <x:f>ABS(E251)</x:f>
        <x:v>0</x:v>
      </x:c>
    </x:row>
    <x:row r="252" ht="23" customHeight="1">
      <x:c r="A252" s="2" t="str">
        <x:v>DEMO-301</x:v>
      </x:c>
      <x:c r="B252" s="2" t="n">
        <x:v>11</x:v>
      </x:c>
      <x:c r="C252" s="17" t="n">
        <x:f>SUMIFS('Synthetic Sales Data'!$K$2:$K$1921,'Synthetic Sales Data'!$D$2:$D$1921,A252,'Synthetic Sales Data'!$C$2:$C$1921,B252)</x:f>
        <x:v>40</x:v>
      </x:c>
      <x:c r="D252" s="17" t="n">
        <x:f>SUMIFS('Synthetic Sales Data'!$W$2:$W$1921,'Synthetic Sales Data'!$D$2:$D$1921,A252,'Synthetic Sales Data'!$C$2:$C$1921,B252)</x:f>
        <x:v>39</x:v>
      </x:c>
      <x:c r="E252" s="2" t="n">
        <x:f>C252-D252</x:f>
        <x:v>1</x:v>
      </x:c>
      <x:c r="F252" s="2" t="n">
        <x:f>ABS(E252)</x:f>
        <x:v>1</x:v>
      </x:c>
    </x:row>
    <x:row r="253" ht="23" customHeight="1">
      <x:c r="A253" s="2" t="str">
        <x:v>DEMO-301</x:v>
      </x:c>
      <x:c r="B253" s="2" t="n">
        <x:v>12</x:v>
      </x:c>
      <x:c r="C253" s="17" t="n">
        <x:f>SUMIFS('Synthetic Sales Data'!$K$2:$K$1921,'Synthetic Sales Data'!$D$2:$D$1921,A253,'Synthetic Sales Data'!$C$2:$C$1921,B253)</x:f>
        <x:v>38</x:v>
      </x:c>
      <x:c r="D253" s="17" t="n">
        <x:f>SUMIFS('Synthetic Sales Data'!$W$2:$W$1921,'Synthetic Sales Data'!$D$2:$D$1921,A253,'Synthetic Sales Data'!$C$2:$C$1921,B253)</x:f>
        <x:v>39</x:v>
      </x:c>
      <x:c r="E253" s="2" t="n">
        <x:f>C253-D253</x:f>
        <x:v>-1</x:v>
      </x:c>
      <x:c r="F253" s="2" t="n">
        <x:f>ABS(E253)</x:f>
        <x:v>1</x:v>
      </x:c>
    </x:row>
    <x:row r="254" ht="23" customHeight="1">
      <x:c r="A254" s="2" t="str">
        <x:v>DEMO-301</x:v>
      </x:c>
      <x:c r="B254" s="2" t="n">
        <x:v>13</x:v>
      </x:c>
      <x:c r="C254" s="17" t="n">
        <x:f>SUMIFS('Synthetic Sales Data'!$K$2:$K$1921,'Synthetic Sales Data'!$D$2:$D$1921,A254,'Synthetic Sales Data'!$C$2:$C$1921,B254)</x:f>
        <x:v>34</x:v>
      </x:c>
      <x:c r="D254" s="17" t="n">
        <x:f>SUMIFS('Synthetic Sales Data'!$W$2:$W$1921,'Synthetic Sales Data'!$D$2:$D$1921,A254,'Synthetic Sales Data'!$C$2:$C$1921,B254)</x:f>
        <x:v>40</x:v>
      </x:c>
      <x:c r="E254" s="2" t="n">
        <x:f>C254-D254</x:f>
        <x:v>-6</x:v>
      </x:c>
      <x:c r="F254" s="2" t="n">
        <x:f>ABS(E254)</x:f>
        <x:v>6</x:v>
      </x:c>
    </x:row>
    <x:row r="255" ht="23" customHeight="1">
      <x:c r="A255" s="2" t="str">
        <x:v>DEMO-301</x:v>
      </x:c>
      <x:c r="B255" s="2" t="n">
        <x:v>14</x:v>
      </x:c>
      <x:c r="C255" s="17" t="n">
        <x:f>SUMIFS('Synthetic Sales Data'!$K$2:$K$1921,'Synthetic Sales Data'!$D$2:$D$1921,A255,'Synthetic Sales Data'!$C$2:$C$1921,B255)</x:f>
        <x:v>30</x:v>
      </x:c>
      <x:c r="D255" s="17" t="n">
        <x:f>SUMIFS('Synthetic Sales Data'!$W$2:$W$1921,'Synthetic Sales Data'!$D$2:$D$1921,A255,'Synthetic Sales Data'!$C$2:$C$1921,B255)</x:f>
        <x:v>39</x:v>
      </x:c>
      <x:c r="E255" s="2" t="n">
        <x:f>C255-D255</x:f>
        <x:v>-9</x:v>
      </x:c>
      <x:c r="F255" s="2" t="n">
        <x:f>ABS(E255)</x:f>
        <x:v>9</x:v>
      </x:c>
    </x:row>
    <x:row r="256" ht="23" customHeight="1">
      <x:c r="A256" s="2" t="str">
        <x:v>DEMO-301</x:v>
      </x:c>
      <x:c r="B256" s="2" t="n">
        <x:v>15</x:v>
      </x:c>
      <x:c r="C256" s="17" t="n">
        <x:f>SUMIFS('Synthetic Sales Data'!$K$2:$K$1921,'Synthetic Sales Data'!$D$2:$D$1921,A256,'Synthetic Sales Data'!$C$2:$C$1921,B256)</x:f>
        <x:v>32</x:v>
      </x:c>
      <x:c r="D256" s="17" t="n">
        <x:f>SUMIFS('Synthetic Sales Data'!$W$2:$W$1921,'Synthetic Sales Data'!$D$2:$D$1921,A256,'Synthetic Sales Data'!$C$2:$C$1921,B256)</x:f>
        <x:v>36</x:v>
      </x:c>
      <x:c r="E256" s="2" t="n">
        <x:f>C256-D256</x:f>
        <x:v>-4</x:v>
      </x:c>
      <x:c r="F256" s="2" t="n">
        <x:f>ABS(E256)</x:f>
        <x:v>4</x:v>
      </x:c>
    </x:row>
    <x:row r="257" ht="23" customHeight="1">
      <x:c r="A257" s="2" t="str">
        <x:v>DEMO-301</x:v>
      </x:c>
      <x:c r="B257" s="2" t="n">
        <x:v>16</x:v>
      </x:c>
      <x:c r="C257" s="17" t="n">
        <x:f>SUMIFS('Synthetic Sales Data'!$K$2:$K$1921,'Synthetic Sales Data'!$D$2:$D$1921,A257,'Synthetic Sales Data'!$C$2:$C$1921,B257)</x:f>
        <x:v>25</x:v>
      </x:c>
      <x:c r="D257" s="17" t="n">
        <x:f>SUMIFS('Synthetic Sales Data'!$W$2:$W$1921,'Synthetic Sales Data'!$D$2:$D$1921,A257,'Synthetic Sales Data'!$C$2:$C$1921,B257)</x:f>
        <x:v>33</x:v>
      </x:c>
      <x:c r="E257" s="2" t="n">
        <x:f>C257-D257</x:f>
        <x:v>-8</x:v>
      </x:c>
      <x:c r="F257" s="2" t="n">
        <x:f>ABS(E257)</x:f>
        <x:v>8</x:v>
      </x:c>
    </x:row>
    <x:row r="258" ht="23" customHeight="1">
      <x:c r="A258" s="2" t="str">
        <x:v>DEMO-301</x:v>
      </x:c>
      <x:c r="B258" s="2" t="n">
        <x:v>17</x:v>
      </x:c>
      <x:c r="C258" s="17" t="n">
        <x:f>SUMIFS('Synthetic Sales Data'!$K$2:$K$1921,'Synthetic Sales Data'!$D$2:$D$1921,A258,'Synthetic Sales Data'!$C$2:$C$1921,B258)</x:f>
        <x:v>36</x:v>
      </x:c>
      <x:c r="D258" s="17" t="n">
        <x:f>SUMIFS('Synthetic Sales Data'!$W$2:$W$1921,'Synthetic Sales Data'!$D$2:$D$1921,A258,'Synthetic Sales Data'!$C$2:$C$1921,B258)</x:f>
        <x:v>31</x:v>
      </x:c>
      <x:c r="E258" s="2" t="n">
        <x:f>C258-D258</x:f>
        <x:v>5</x:v>
      </x:c>
      <x:c r="F258" s="2" t="n">
        <x:f>ABS(E258)</x:f>
        <x:v>5</x:v>
      </x:c>
    </x:row>
    <x:row r="259" ht="23" customHeight="1">
      <x:c r="A259" s="2" t="str">
        <x:v>DEMO-301</x:v>
      </x:c>
      <x:c r="B259" s="2" t="n">
        <x:v>18</x:v>
      </x:c>
      <x:c r="C259" s="17" t="n">
        <x:f>SUMIFS('Synthetic Sales Data'!$K$2:$K$1921,'Synthetic Sales Data'!$D$2:$D$1921,A259,'Synthetic Sales Data'!$C$2:$C$1921,B259)</x:f>
        <x:v>30</x:v>
      </x:c>
      <x:c r="D259" s="17" t="n">
        <x:f>SUMIFS('Synthetic Sales Data'!$W$2:$W$1921,'Synthetic Sales Data'!$D$2:$D$1921,A259,'Synthetic Sales Data'!$C$2:$C$1921,B259)</x:f>
        <x:v>32</x:v>
      </x:c>
      <x:c r="E259" s="2" t="n">
        <x:f>C259-D259</x:f>
        <x:v>-2</x:v>
      </x:c>
      <x:c r="F259" s="2" t="n">
        <x:f>ABS(E259)</x:f>
        <x:v>2</x:v>
      </x:c>
    </x:row>
    <x:row r="260" ht="23" customHeight="1">
      <x:c r="A260" s="2" t="str">
        <x:v>DEMO-301</x:v>
      </x:c>
      <x:c r="B260" s="2" t="n">
        <x:v>19</x:v>
      </x:c>
      <x:c r="C260" s="17" t="n">
        <x:f>SUMIFS('Synthetic Sales Data'!$K$2:$K$1921,'Synthetic Sales Data'!$D$2:$D$1921,A260,'Synthetic Sales Data'!$C$2:$C$1921,B260)</x:f>
        <x:v>32</x:v>
      </x:c>
      <x:c r="D260" s="17" t="n">
        <x:f>SUMIFS('Synthetic Sales Data'!$W$2:$W$1921,'Synthetic Sales Data'!$D$2:$D$1921,A260,'Synthetic Sales Data'!$C$2:$C$1921,B260)</x:f>
        <x:v>31</x:v>
      </x:c>
      <x:c r="E260" s="2" t="n">
        <x:f>C260-D260</x:f>
        <x:v>1</x:v>
      </x:c>
      <x:c r="F260" s="2" t="n">
        <x:f>ABS(E260)</x:f>
        <x:v>1</x:v>
      </x:c>
    </x:row>
    <x:row r="261" ht="23" customHeight="1">
      <x:c r="A261" s="2" t="str">
        <x:v>DEMO-301</x:v>
      </x:c>
      <x:c r="B261" s="2" t="n">
        <x:v>20</x:v>
      </x:c>
      <x:c r="C261" s="17" t="n">
        <x:f>SUMIFS('Synthetic Sales Data'!$K$2:$K$1921,'Synthetic Sales Data'!$D$2:$D$1921,A261,'Synthetic Sales Data'!$C$2:$C$1921,B261)</x:f>
        <x:v>23</x:v>
      </x:c>
      <x:c r="D261" s="17" t="n">
        <x:f>SUMIFS('Synthetic Sales Data'!$W$2:$W$1921,'Synthetic Sales Data'!$D$2:$D$1921,A261,'Synthetic Sales Data'!$C$2:$C$1921,B261)</x:f>
        <x:v>32</x:v>
      </x:c>
      <x:c r="E261" s="2" t="n">
        <x:f>C261-D261</x:f>
        <x:v>-9</x:v>
      </x:c>
      <x:c r="F261" s="2" t="n">
        <x:f>ABS(E261)</x:f>
        <x:v>9</x:v>
      </x:c>
    </x:row>
    <x:row r="262" ht="23" customHeight="1">
      <x:c r="A262" s="2" t="str">
        <x:v>DEMO-302</x:v>
      </x:c>
      <x:c r="B262" s="2" t="n">
        <x:v>1</x:v>
      </x:c>
      <x:c r="C262" s="17" t="n">
        <x:f>SUMIFS('Synthetic Sales Data'!$K$2:$K$1921,'Synthetic Sales Data'!$D$2:$D$1921,A262,'Synthetic Sales Data'!$C$2:$C$1921,B262)</x:f>
        <x:v>69</x:v>
      </x:c>
      <x:c r="D262" s="17" t="n">
        <x:f>SUMIFS('Synthetic Sales Data'!$W$2:$W$1921,'Synthetic Sales Data'!$D$2:$D$1921,A262,'Synthetic Sales Data'!$C$2:$C$1921,B262)</x:f>
        <x:v>66</x:v>
      </x:c>
      <x:c r="E262" s="2" t="n">
        <x:f>C262-D262</x:f>
        <x:v>3</x:v>
      </x:c>
      <x:c r="F262" s="2" t="n">
        <x:f>ABS(E262)</x:f>
        <x:v>3</x:v>
      </x:c>
    </x:row>
    <x:row r="263" ht="23" customHeight="1">
      <x:c r="A263" s="2" t="str">
        <x:v>DEMO-302</x:v>
      </x:c>
      <x:c r="B263" s="2" t="n">
        <x:v>2</x:v>
      </x:c>
      <x:c r="C263" s="17" t="n">
        <x:f>SUMIFS('Synthetic Sales Data'!$K$2:$K$1921,'Synthetic Sales Data'!$D$2:$D$1921,A263,'Synthetic Sales Data'!$C$2:$C$1921,B263)</x:f>
        <x:v>59</x:v>
      </x:c>
      <x:c r="D263" s="17" t="n">
        <x:f>SUMIFS('Synthetic Sales Data'!$W$2:$W$1921,'Synthetic Sales Data'!$D$2:$D$1921,A263,'Synthetic Sales Data'!$C$2:$C$1921,B263)</x:f>
        <x:v>69</x:v>
      </x:c>
      <x:c r="E263" s="2" t="n">
        <x:f>C263-D263</x:f>
        <x:v>-10</x:v>
      </x:c>
      <x:c r="F263" s="2" t="n">
        <x:f>ABS(E263)</x:f>
        <x:v>10</x:v>
      </x:c>
    </x:row>
    <x:row r="264" ht="23" customHeight="1">
      <x:c r="A264" s="2" t="str">
        <x:v>DEMO-302</x:v>
      </x:c>
      <x:c r="B264" s="2" t="n">
        <x:v>3</x:v>
      </x:c>
      <x:c r="C264" s="17" t="n">
        <x:f>SUMIFS('Synthetic Sales Data'!$K$2:$K$1921,'Synthetic Sales Data'!$D$2:$D$1921,A264,'Synthetic Sales Data'!$C$2:$C$1921,B264)</x:f>
        <x:v>62</x:v>
      </x:c>
      <x:c r="D264" s="17" t="n">
        <x:f>SUMIFS('Synthetic Sales Data'!$W$2:$W$1921,'Synthetic Sales Data'!$D$2:$D$1921,A264,'Synthetic Sales Data'!$C$2:$C$1921,B264)</x:f>
        <x:v>65</x:v>
      </x:c>
      <x:c r="E264" s="2" t="n">
        <x:f>C264-D264</x:f>
        <x:v>-3</x:v>
      </x:c>
      <x:c r="F264" s="2" t="n">
        <x:f>ABS(E264)</x:f>
        <x:v>3</x:v>
      </x:c>
    </x:row>
    <x:row r="265" ht="23" customHeight="1">
      <x:c r="A265" s="2" t="str">
        <x:v>DEMO-302</x:v>
      </x:c>
      <x:c r="B265" s="2" t="n">
        <x:v>4</x:v>
      </x:c>
      <x:c r="C265" s="17" t="n">
        <x:f>SUMIFS('Synthetic Sales Data'!$K$2:$K$1921,'Synthetic Sales Data'!$D$2:$D$1921,A265,'Synthetic Sales Data'!$C$2:$C$1921,B265)</x:f>
        <x:v>60</x:v>
      </x:c>
      <x:c r="D265" s="17" t="n">
        <x:f>SUMIFS('Synthetic Sales Data'!$W$2:$W$1921,'Synthetic Sales Data'!$D$2:$D$1921,A265,'Synthetic Sales Data'!$C$2:$C$1921,B265)</x:f>
        <x:v>63</x:v>
      </x:c>
      <x:c r="E265" s="2" t="n">
        <x:f>C265-D265</x:f>
        <x:v>-3</x:v>
      </x:c>
      <x:c r="F265" s="2" t="n">
        <x:f>ABS(E265)</x:f>
        <x:v>3</x:v>
      </x:c>
    </x:row>
    <x:row r="266" ht="23" customHeight="1">
      <x:c r="A266" s="2" t="str">
        <x:v>DEMO-302</x:v>
      </x:c>
      <x:c r="B266" s="2" t="n">
        <x:v>5</x:v>
      </x:c>
      <x:c r="C266" s="17" t="n">
        <x:f>SUMIFS('Synthetic Sales Data'!$K$2:$K$1921,'Synthetic Sales Data'!$D$2:$D$1921,A266,'Synthetic Sales Data'!$C$2:$C$1921,B266)</x:f>
        <x:v>58</x:v>
      </x:c>
      <x:c r="D266" s="17" t="n">
        <x:f>SUMIFS('Synthetic Sales Data'!$W$2:$W$1921,'Synthetic Sales Data'!$D$2:$D$1921,A266,'Synthetic Sales Data'!$C$2:$C$1921,B266)</x:f>
        <x:v>63</x:v>
      </x:c>
      <x:c r="E266" s="2" t="n">
        <x:f>C266-D266</x:f>
        <x:v>-5</x:v>
      </x:c>
      <x:c r="F266" s="2" t="n">
        <x:f>ABS(E266)</x:f>
        <x:v>5</x:v>
      </x:c>
    </x:row>
    <x:row r="267" ht="23" customHeight="1">
      <x:c r="A267" s="2" t="str">
        <x:v>DEMO-302</x:v>
      </x:c>
      <x:c r="B267" s="2" t="n">
        <x:v>6</x:v>
      </x:c>
      <x:c r="C267" s="17" t="n">
        <x:f>SUMIFS('Synthetic Sales Data'!$K$2:$K$1921,'Synthetic Sales Data'!$D$2:$D$1921,A267,'Synthetic Sales Data'!$C$2:$C$1921,B267)</x:f>
        <x:v>59</x:v>
      </x:c>
      <x:c r="D267" s="17" t="n">
        <x:f>SUMIFS('Synthetic Sales Data'!$W$2:$W$1921,'Synthetic Sales Data'!$D$2:$D$1921,A267,'Synthetic Sales Data'!$C$2:$C$1921,B267)</x:f>
        <x:v>60</x:v>
      </x:c>
      <x:c r="E267" s="2" t="n">
        <x:f>C267-D267</x:f>
        <x:v>-1</x:v>
      </x:c>
      <x:c r="F267" s="2" t="n">
        <x:f>ABS(E267)</x:f>
        <x:v>1</x:v>
      </x:c>
    </x:row>
    <x:row r="268" ht="23" customHeight="1">
      <x:c r="A268" s="2" t="str">
        <x:v>DEMO-302</x:v>
      </x:c>
      <x:c r="B268" s="2" t="n">
        <x:v>7</x:v>
      </x:c>
      <x:c r="C268" s="17" t="n">
        <x:f>SUMIFS('Synthetic Sales Data'!$K$2:$K$1921,'Synthetic Sales Data'!$D$2:$D$1921,A268,'Synthetic Sales Data'!$C$2:$C$1921,B268)</x:f>
        <x:v>56</x:v>
      </x:c>
      <x:c r="D268" s="17" t="n">
        <x:f>SUMIFS('Synthetic Sales Data'!$W$2:$W$1921,'Synthetic Sales Data'!$D$2:$D$1921,A268,'Synthetic Sales Data'!$C$2:$C$1921,B268)</x:f>
        <x:v>60</x:v>
      </x:c>
      <x:c r="E268" s="2" t="n">
        <x:f>C268-D268</x:f>
        <x:v>-4</x:v>
      </x:c>
      <x:c r="F268" s="2" t="n">
        <x:f>ABS(E268)</x:f>
        <x:v>4</x:v>
      </x:c>
    </x:row>
    <x:row r="269" ht="23" customHeight="1">
      <x:c r="A269" s="2" t="str">
        <x:v>DEMO-302</x:v>
      </x:c>
      <x:c r="B269" s="2" t="n">
        <x:v>8</x:v>
      </x:c>
      <x:c r="C269" s="17" t="n">
        <x:f>SUMIFS('Synthetic Sales Data'!$K$2:$K$1921,'Synthetic Sales Data'!$D$2:$D$1921,A269,'Synthetic Sales Data'!$C$2:$C$1921,B269)</x:f>
        <x:v>49</x:v>
      </x:c>
      <x:c r="D269" s="17" t="n">
        <x:f>SUMIFS('Synthetic Sales Data'!$W$2:$W$1921,'Synthetic Sales Data'!$D$2:$D$1921,A269,'Synthetic Sales Data'!$C$2:$C$1921,B269)</x:f>
        <x:v>59</x:v>
      </x:c>
      <x:c r="E269" s="2" t="n">
        <x:f>C269-D269</x:f>
        <x:v>-10</x:v>
      </x:c>
      <x:c r="F269" s="2" t="n">
        <x:f>ABS(E269)</x:f>
        <x:v>10</x:v>
      </x:c>
    </x:row>
    <x:row r="270" ht="23" customHeight="1">
      <x:c r="A270" s="2" t="str">
        <x:v>DEMO-302</x:v>
      </x:c>
      <x:c r="B270" s="2" t="n">
        <x:v>9</x:v>
      </x:c>
      <x:c r="C270" s="17" t="n">
        <x:f>SUMIFS('Synthetic Sales Data'!$K$2:$K$1921,'Synthetic Sales Data'!$D$2:$D$1921,A270,'Synthetic Sales Data'!$C$2:$C$1921,B270)</x:f>
        <x:v>53</x:v>
      </x:c>
      <x:c r="D270" s="17" t="n">
        <x:f>SUMIFS('Synthetic Sales Data'!$W$2:$W$1921,'Synthetic Sales Data'!$D$2:$D$1921,A270,'Synthetic Sales Data'!$C$2:$C$1921,B270)</x:f>
        <x:v>56</x:v>
      </x:c>
      <x:c r="E270" s="2" t="n">
        <x:f>C270-D270</x:f>
        <x:v>-3</x:v>
      </x:c>
      <x:c r="F270" s="2" t="n">
        <x:f>ABS(E270)</x:f>
        <x:v>3</x:v>
      </x:c>
    </x:row>
    <x:row r="271" ht="23" customHeight="1">
      <x:c r="A271" s="2" t="str">
        <x:v>DEMO-302</x:v>
      </x:c>
      <x:c r="B271" s="2" t="n">
        <x:v>10</x:v>
      </x:c>
      <x:c r="C271" s="17" t="n">
        <x:f>SUMIFS('Synthetic Sales Data'!$K$2:$K$1921,'Synthetic Sales Data'!$D$2:$D$1921,A271,'Synthetic Sales Data'!$C$2:$C$1921,B271)</x:f>
        <x:v>50</x:v>
      </x:c>
      <x:c r="D271" s="17" t="n">
        <x:f>SUMIFS('Synthetic Sales Data'!$W$2:$W$1921,'Synthetic Sales Data'!$D$2:$D$1921,A271,'Synthetic Sales Data'!$C$2:$C$1921,B271)</x:f>
        <x:v>55</x:v>
      </x:c>
      <x:c r="E271" s="2" t="n">
        <x:f>C271-D271</x:f>
        <x:v>-5</x:v>
      </x:c>
      <x:c r="F271" s="2" t="n">
        <x:f>ABS(E271)</x:f>
        <x:v>5</x:v>
      </x:c>
    </x:row>
    <x:row r="272" ht="23" customHeight="1">
      <x:c r="A272" s="2" t="str">
        <x:v>DEMO-302</x:v>
      </x:c>
      <x:c r="B272" s="2" t="n">
        <x:v>11</x:v>
      </x:c>
      <x:c r="C272" s="17" t="n">
        <x:f>SUMIFS('Synthetic Sales Data'!$K$2:$K$1921,'Synthetic Sales Data'!$D$2:$D$1921,A272,'Synthetic Sales Data'!$C$2:$C$1921,B272)</x:f>
        <x:v>41</x:v>
      </x:c>
      <x:c r="D272" s="17" t="n">
        <x:f>SUMIFS('Synthetic Sales Data'!$W$2:$W$1921,'Synthetic Sales Data'!$D$2:$D$1921,A272,'Synthetic Sales Data'!$C$2:$C$1921,B272)</x:f>
        <x:v>53</x:v>
      </x:c>
      <x:c r="E272" s="2" t="n">
        <x:f>C272-D272</x:f>
        <x:v>-12</x:v>
      </x:c>
      <x:c r="F272" s="2" t="n">
        <x:f>ABS(E272)</x:f>
        <x:v>12</x:v>
      </x:c>
    </x:row>
    <x:row r="273" ht="23" customHeight="1">
      <x:c r="A273" s="2" t="str">
        <x:v>DEMO-302</x:v>
      </x:c>
      <x:c r="B273" s="2" t="n">
        <x:v>12</x:v>
      </x:c>
      <x:c r="C273" s="17" t="n">
        <x:f>SUMIFS('Synthetic Sales Data'!$K$2:$K$1921,'Synthetic Sales Data'!$D$2:$D$1921,A273,'Synthetic Sales Data'!$C$2:$C$1921,B273)</x:f>
        <x:v>46</x:v>
      </x:c>
      <x:c r="D273" s="17" t="n">
        <x:f>SUMIFS('Synthetic Sales Data'!$W$2:$W$1921,'Synthetic Sales Data'!$D$2:$D$1921,A273,'Synthetic Sales Data'!$C$2:$C$1921,B273)</x:f>
        <x:v>49</x:v>
      </x:c>
      <x:c r="E273" s="2" t="n">
        <x:f>C273-D273</x:f>
        <x:v>-3</x:v>
      </x:c>
      <x:c r="F273" s="2" t="n">
        <x:f>ABS(E273)</x:f>
        <x:v>3</x:v>
      </x:c>
    </x:row>
    <x:row r="274" ht="23" customHeight="1">
      <x:c r="A274" s="2" t="str">
        <x:v>DEMO-302</x:v>
      </x:c>
      <x:c r="B274" s="2" t="n">
        <x:v>13</x:v>
      </x:c>
      <x:c r="C274" s="17" t="n">
        <x:f>SUMIFS('Synthetic Sales Data'!$K$2:$K$1921,'Synthetic Sales Data'!$D$2:$D$1921,A274,'Synthetic Sales Data'!$C$2:$C$1921,B274)</x:f>
        <x:v>36</x:v>
      </x:c>
      <x:c r="D274" s="17" t="n">
        <x:f>SUMIFS('Synthetic Sales Data'!$W$2:$W$1921,'Synthetic Sales Data'!$D$2:$D$1921,A274,'Synthetic Sales Data'!$C$2:$C$1921,B274)</x:f>
        <x:v>48</x:v>
      </x:c>
      <x:c r="E274" s="2" t="n">
        <x:f>C274-D274</x:f>
        <x:v>-12</x:v>
      </x:c>
      <x:c r="F274" s="2" t="n">
        <x:f>ABS(E274)</x:f>
        <x:v>12</x:v>
      </x:c>
    </x:row>
    <x:row r="275" ht="23" customHeight="1">
      <x:c r="A275" s="2" t="str">
        <x:v>DEMO-302</x:v>
      </x:c>
      <x:c r="B275" s="2" t="n">
        <x:v>14</x:v>
      </x:c>
      <x:c r="C275" s="17" t="n">
        <x:f>SUMIFS('Synthetic Sales Data'!$K$2:$K$1921,'Synthetic Sales Data'!$D$2:$D$1921,A275,'Synthetic Sales Data'!$C$2:$C$1921,B275)</x:f>
        <x:v>40</x:v>
      </x:c>
      <x:c r="D275" s="17" t="n">
        <x:f>SUMIFS('Synthetic Sales Data'!$W$2:$W$1921,'Synthetic Sales Data'!$D$2:$D$1921,A275,'Synthetic Sales Data'!$C$2:$C$1921,B275)</x:f>
        <x:v>43</x:v>
      </x:c>
      <x:c r="E275" s="2" t="n">
        <x:f>C275-D275</x:f>
        <x:v>-3</x:v>
      </x:c>
      <x:c r="F275" s="2" t="n">
        <x:f>ABS(E275)</x:f>
        <x:v>3</x:v>
      </x:c>
    </x:row>
    <x:row r="276" ht="23" customHeight="1">
      <x:c r="A276" s="2" t="str">
        <x:v>DEMO-302</x:v>
      </x:c>
      <x:c r="B276" s="2" t="n">
        <x:v>15</x:v>
      </x:c>
      <x:c r="C276" s="17" t="n">
        <x:f>SUMIFS('Synthetic Sales Data'!$K$2:$K$1921,'Synthetic Sales Data'!$D$2:$D$1921,A276,'Synthetic Sales Data'!$C$2:$C$1921,B276)</x:f>
        <x:v>39</x:v>
      </x:c>
      <x:c r="D276" s="17" t="n">
        <x:f>SUMIFS('Synthetic Sales Data'!$W$2:$W$1921,'Synthetic Sales Data'!$D$2:$D$1921,A276,'Synthetic Sales Data'!$C$2:$C$1921,B276)</x:f>
        <x:v>40</x:v>
      </x:c>
      <x:c r="E276" s="2" t="n">
        <x:f>C276-D276</x:f>
        <x:v>-1</x:v>
      </x:c>
      <x:c r="F276" s="2" t="n">
        <x:f>ABS(E276)</x:f>
        <x:v>1</x:v>
      </x:c>
    </x:row>
    <x:row r="277" ht="23" customHeight="1">
      <x:c r="A277" s="2" t="str">
        <x:v>DEMO-302</x:v>
      </x:c>
      <x:c r="B277" s="2" t="n">
        <x:v>16</x:v>
      </x:c>
      <x:c r="C277" s="17" t="n">
        <x:f>SUMIFS('Synthetic Sales Data'!$K$2:$K$1921,'Synthetic Sales Data'!$D$2:$D$1921,A277,'Synthetic Sales Data'!$C$2:$C$1921,B277)</x:f>
        <x:v>37</x:v>
      </x:c>
      <x:c r="D277" s="17" t="n">
        <x:f>SUMIFS('Synthetic Sales Data'!$W$2:$W$1921,'Synthetic Sales Data'!$D$2:$D$1921,A277,'Synthetic Sales Data'!$C$2:$C$1921,B277)</x:f>
        <x:v>41</x:v>
      </x:c>
      <x:c r="E277" s="2" t="n">
        <x:f>C277-D277</x:f>
        <x:v>-4</x:v>
      </x:c>
      <x:c r="F277" s="2" t="n">
        <x:f>ABS(E277)</x:f>
        <x:v>4</x:v>
      </x:c>
    </x:row>
    <x:row r="278" ht="23" customHeight="1">
      <x:c r="A278" s="2" t="str">
        <x:v>DEMO-302</x:v>
      </x:c>
      <x:c r="B278" s="2" t="n">
        <x:v>17</x:v>
      </x:c>
      <x:c r="C278" s="17" t="n">
        <x:f>SUMIFS('Synthetic Sales Data'!$K$2:$K$1921,'Synthetic Sales Data'!$D$2:$D$1921,A278,'Synthetic Sales Data'!$C$2:$C$1921,B278)</x:f>
        <x:v>47</x:v>
      </x:c>
      <x:c r="D278" s="17" t="n">
        <x:f>SUMIFS('Synthetic Sales Data'!$W$2:$W$1921,'Synthetic Sales Data'!$D$2:$D$1921,A278,'Synthetic Sales Data'!$C$2:$C$1921,B278)</x:f>
        <x:v>39</x:v>
      </x:c>
      <x:c r="E278" s="2" t="n">
        <x:f>C278-D278</x:f>
        <x:v>8</x:v>
      </x:c>
      <x:c r="F278" s="2" t="n">
        <x:f>ABS(E278)</x:f>
        <x:v>8</x:v>
      </x:c>
    </x:row>
    <x:row r="279" ht="23" customHeight="1">
      <x:c r="A279" s="2" t="str">
        <x:v>DEMO-302</x:v>
      </x:c>
      <x:c r="B279" s="2" t="n">
        <x:v>18</x:v>
      </x:c>
      <x:c r="C279" s="17" t="n">
        <x:f>SUMIFS('Synthetic Sales Data'!$K$2:$K$1921,'Synthetic Sales Data'!$D$2:$D$1921,A279,'Synthetic Sales Data'!$C$2:$C$1921,B279)</x:f>
        <x:v>42</x:v>
      </x:c>
      <x:c r="D279" s="17" t="n">
        <x:f>SUMIFS('Synthetic Sales Data'!$W$2:$W$1921,'Synthetic Sales Data'!$D$2:$D$1921,A279,'Synthetic Sales Data'!$C$2:$C$1921,B279)</x:f>
        <x:v>41</x:v>
      </x:c>
      <x:c r="E279" s="2" t="n">
        <x:f>C279-D279</x:f>
        <x:v>1</x:v>
      </x:c>
      <x:c r="F279" s="2" t="n">
        <x:f>ABS(E279)</x:f>
        <x:v>1</x:v>
      </x:c>
    </x:row>
    <x:row r="280" ht="23" customHeight="1">
      <x:c r="A280" s="2" t="str">
        <x:v>DEMO-302</x:v>
      </x:c>
      <x:c r="B280" s="2" t="n">
        <x:v>19</x:v>
      </x:c>
      <x:c r="C280" s="17" t="n">
        <x:f>SUMIFS('Synthetic Sales Data'!$K$2:$K$1921,'Synthetic Sales Data'!$D$2:$D$1921,A280,'Synthetic Sales Data'!$C$2:$C$1921,B280)</x:f>
        <x:v>37</x:v>
      </x:c>
      <x:c r="D280" s="17" t="n">
        <x:f>SUMIFS('Synthetic Sales Data'!$W$2:$W$1921,'Synthetic Sales Data'!$D$2:$D$1921,A280,'Synthetic Sales Data'!$C$2:$C$1921,B280)</x:f>
        <x:v>43</x:v>
      </x:c>
      <x:c r="E280" s="2" t="n">
        <x:f>C280-D280</x:f>
        <x:v>-6</x:v>
      </x:c>
      <x:c r="F280" s="2" t="n">
        <x:f>ABS(E280)</x:f>
        <x:v>6</x:v>
      </x:c>
    </x:row>
    <x:row r="281" ht="23" customHeight="1">
      <x:c r="A281" s="2" t="str">
        <x:v>DEMO-302</x:v>
      </x:c>
      <x:c r="B281" s="2" t="n">
        <x:v>20</x:v>
      </x:c>
      <x:c r="C281" s="17" t="n">
        <x:f>SUMIFS('Synthetic Sales Data'!$K$2:$K$1921,'Synthetic Sales Data'!$D$2:$D$1921,A281,'Synthetic Sales Data'!$C$2:$C$1921,B281)</x:f>
        <x:v>38</x:v>
      </x:c>
      <x:c r="D281" s="17" t="n">
        <x:f>SUMIFS('Synthetic Sales Data'!$W$2:$W$1921,'Synthetic Sales Data'!$D$2:$D$1921,A281,'Synthetic Sales Data'!$C$2:$C$1921,B281)</x:f>
        <x:v>41</x:v>
      </x:c>
      <x:c r="E281" s="2" t="n">
        <x:f>C281-D281</x:f>
        <x:v>-3</x:v>
      </x:c>
      <x:c r="F281" s="2" t="n">
        <x:f>ABS(E281)</x:f>
        <x:v>3</x:v>
      </x:c>
    </x:row>
    <x:row r="282" ht="23" customHeight="1">
      <x:c r="A282" s="2" t="str">
        <x:v>DEMO-303</x:v>
      </x:c>
      <x:c r="B282" s="2" t="n">
        <x:v>1</x:v>
      </x:c>
      <x:c r="C282" s="17" t="n">
        <x:f>SUMIFS('Synthetic Sales Data'!$K$2:$K$1921,'Synthetic Sales Data'!$D$2:$D$1921,A282,'Synthetic Sales Data'!$C$2:$C$1921,B282)</x:f>
        <x:v>75</x:v>
      </x:c>
      <x:c r="D282" s="17" t="n">
        <x:f>SUMIFS('Synthetic Sales Data'!$W$2:$W$1921,'Synthetic Sales Data'!$D$2:$D$1921,A282,'Synthetic Sales Data'!$C$2:$C$1921,B282)</x:f>
        <x:v>80</x:v>
      </x:c>
      <x:c r="E282" s="2" t="n">
        <x:f>C282-D282</x:f>
        <x:v>-5</x:v>
      </x:c>
      <x:c r="F282" s="2" t="n">
        <x:f>ABS(E282)</x:f>
        <x:v>5</x:v>
      </x:c>
    </x:row>
    <x:row r="283" ht="23" customHeight="1">
      <x:c r="A283" s="2" t="str">
        <x:v>DEMO-303</x:v>
      </x:c>
      <x:c r="B283" s="2" t="n">
        <x:v>2</x:v>
      </x:c>
      <x:c r="C283" s="17" t="n">
        <x:f>SUMIFS('Synthetic Sales Data'!$K$2:$K$1921,'Synthetic Sales Data'!$D$2:$D$1921,A283,'Synthetic Sales Data'!$C$2:$C$1921,B283)</x:f>
        <x:v>83</x:v>
      </x:c>
      <x:c r="D283" s="17" t="n">
        <x:f>SUMIFS('Synthetic Sales Data'!$W$2:$W$1921,'Synthetic Sales Data'!$D$2:$D$1921,A283,'Synthetic Sales Data'!$C$2:$C$1921,B283)</x:f>
        <x:v>75</x:v>
      </x:c>
      <x:c r="E283" s="2" t="n">
        <x:f>C283-D283</x:f>
        <x:v>8</x:v>
      </x:c>
      <x:c r="F283" s="2" t="n">
        <x:f>ABS(E283)</x:f>
        <x:v>8</x:v>
      </x:c>
    </x:row>
    <x:row r="284" ht="23" customHeight="1">
      <x:c r="A284" s="2" t="str">
        <x:v>DEMO-303</x:v>
      </x:c>
      <x:c r="B284" s="2" t="n">
        <x:v>3</x:v>
      </x:c>
      <x:c r="C284" s="17" t="n">
        <x:f>SUMIFS('Synthetic Sales Data'!$K$2:$K$1921,'Synthetic Sales Data'!$D$2:$D$1921,A284,'Synthetic Sales Data'!$C$2:$C$1921,B284)</x:f>
        <x:v>73</x:v>
      </x:c>
      <x:c r="D284" s="17" t="n">
        <x:f>SUMIFS('Synthetic Sales Data'!$W$2:$W$1921,'Synthetic Sales Data'!$D$2:$D$1921,A284,'Synthetic Sales Data'!$C$2:$C$1921,B284)</x:f>
        <x:v>80</x:v>
      </x:c>
      <x:c r="E284" s="2" t="n">
        <x:f>C284-D284</x:f>
        <x:v>-7</x:v>
      </x:c>
      <x:c r="F284" s="2" t="n">
        <x:f>ABS(E284)</x:f>
        <x:v>7</x:v>
      </x:c>
    </x:row>
    <x:row r="285" ht="23" customHeight="1">
      <x:c r="A285" s="2" t="str">
        <x:v>DEMO-303</x:v>
      </x:c>
      <x:c r="B285" s="2" t="n">
        <x:v>4</x:v>
      </x:c>
      <x:c r="C285" s="17" t="n">
        <x:f>SUMIFS('Synthetic Sales Data'!$K$2:$K$1921,'Synthetic Sales Data'!$D$2:$D$1921,A285,'Synthetic Sales Data'!$C$2:$C$1921,B285)</x:f>
        <x:v>72</x:v>
      </x:c>
      <x:c r="D285" s="17" t="n">
        <x:f>SUMIFS('Synthetic Sales Data'!$W$2:$W$1921,'Synthetic Sales Data'!$D$2:$D$1921,A285,'Synthetic Sales Data'!$C$2:$C$1921,B285)</x:f>
        <x:v>77</x:v>
      </x:c>
      <x:c r="E285" s="2" t="n">
        <x:f>C285-D285</x:f>
        <x:v>-5</x:v>
      </x:c>
      <x:c r="F285" s="2" t="n">
        <x:f>ABS(E285)</x:f>
        <x:v>5</x:v>
      </x:c>
    </x:row>
    <x:row r="286" ht="23" customHeight="1">
      <x:c r="A286" s="2" t="str">
        <x:v>DEMO-303</x:v>
      </x:c>
      <x:c r="B286" s="2" t="n">
        <x:v>5</x:v>
      </x:c>
      <x:c r="C286" s="17" t="n">
        <x:f>SUMIFS('Synthetic Sales Data'!$K$2:$K$1921,'Synthetic Sales Data'!$D$2:$D$1921,A286,'Synthetic Sales Data'!$C$2:$C$1921,B286)</x:f>
        <x:v>74</x:v>
      </x:c>
      <x:c r="D286" s="17" t="n">
        <x:f>SUMIFS('Synthetic Sales Data'!$W$2:$W$1921,'Synthetic Sales Data'!$D$2:$D$1921,A286,'Synthetic Sales Data'!$C$2:$C$1921,B286)</x:f>
        <x:v>77</x:v>
      </x:c>
      <x:c r="E286" s="2" t="n">
        <x:f>C286-D286</x:f>
        <x:v>-3</x:v>
      </x:c>
      <x:c r="F286" s="2" t="n">
        <x:f>ABS(E286)</x:f>
        <x:v>3</x:v>
      </x:c>
    </x:row>
    <x:row r="287" ht="23" customHeight="1">
      <x:c r="A287" s="2" t="str">
        <x:v>DEMO-303</x:v>
      </x:c>
      <x:c r="B287" s="2" t="n">
        <x:v>6</x:v>
      </x:c>
      <x:c r="C287" s="17" t="n">
        <x:f>SUMIFS('Synthetic Sales Data'!$K$2:$K$1921,'Synthetic Sales Data'!$D$2:$D$1921,A287,'Synthetic Sales Data'!$C$2:$C$1921,B287)</x:f>
        <x:v>73</x:v>
      </x:c>
      <x:c r="D287" s="17" t="n">
        <x:f>SUMIFS('Synthetic Sales Data'!$W$2:$W$1921,'Synthetic Sales Data'!$D$2:$D$1921,A287,'Synthetic Sales Data'!$C$2:$C$1921,B287)</x:f>
        <x:v>76</x:v>
      </x:c>
      <x:c r="E287" s="2" t="n">
        <x:f>C287-D287</x:f>
        <x:v>-3</x:v>
      </x:c>
      <x:c r="F287" s="2" t="n">
        <x:f>ABS(E287)</x:f>
        <x:v>3</x:v>
      </x:c>
    </x:row>
    <x:row r="288" ht="23" customHeight="1">
      <x:c r="A288" s="2" t="str">
        <x:v>DEMO-303</x:v>
      </x:c>
      <x:c r="B288" s="2" t="n">
        <x:v>7</x:v>
      </x:c>
      <x:c r="C288" s="17" t="n">
        <x:f>SUMIFS('Synthetic Sales Data'!$K$2:$K$1921,'Synthetic Sales Data'!$D$2:$D$1921,A288,'Synthetic Sales Data'!$C$2:$C$1921,B288)</x:f>
        <x:v>64</x:v>
      </x:c>
      <x:c r="D288" s="17" t="n">
        <x:f>SUMIFS('Synthetic Sales Data'!$W$2:$W$1921,'Synthetic Sales Data'!$D$2:$D$1921,A288,'Synthetic Sales Data'!$C$2:$C$1921,B288)</x:f>
        <x:v>73</x:v>
      </x:c>
      <x:c r="E288" s="2" t="n">
        <x:f>C288-D288</x:f>
        <x:v>-9</x:v>
      </x:c>
      <x:c r="F288" s="2" t="n">
        <x:f>ABS(E288)</x:f>
        <x:v>9</x:v>
      </x:c>
    </x:row>
    <x:row r="289" ht="23" customHeight="1">
      <x:c r="A289" s="2" t="str">
        <x:v>DEMO-303</x:v>
      </x:c>
      <x:c r="B289" s="2" t="n">
        <x:v>8</x:v>
      </x:c>
      <x:c r="C289" s="17" t="n">
        <x:f>SUMIFS('Synthetic Sales Data'!$K$2:$K$1921,'Synthetic Sales Data'!$D$2:$D$1921,A289,'Synthetic Sales Data'!$C$2:$C$1921,B289)</x:f>
        <x:v>59</x:v>
      </x:c>
      <x:c r="D289" s="17" t="n">
        <x:f>SUMIFS('Synthetic Sales Data'!$W$2:$W$1921,'Synthetic Sales Data'!$D$2:$D$1921,A289,'Synthetic Sales Data'!$C$2:$C$1921,B289)</x:f>
        <x:v>72</x:v>
      </x:c>
      <x:c r="E289" s="2" t="n">
        <x:f>C289-D289</x:f>
        <x:v>-13</x:v>
      </x:c>
      <x:c r="F289" s="2" t="n">
        <x:f>ABS(E289)</x:f>
        <x:v>13</x:v>
      </x:c>
    </x:row>
    <x:row r="290" ht="23" customHeight="1">
      <x:c r="A290" s="2" t="str">
        <x:v>DEMO-303</x:v>
      </x:c>
      <x:c r="B290" s="2" t="n">
        <x:v>9</x:v>
      </x:c>
      <x:c r="C290" s="17" t="n">
        <x:f>SUMIFS('Synthetic Sales Data'!$K$2:$K$1921,'Synthetic Sales Data'!$D$2:$D$1921,A290,'Synthetic Sales Data'!$C$2:$C$1921,B290)</x:f>
        <x:v>58</x:v>
      </x:c>
      <x:c r="D290" s="17" t="n">
        <x:f>SUMIFS('Synthetic Sales Data'!$W$2:$W$1921,'Synthetic Sales Data'!$D$2:$D$1921,A290,'Synthetic Sales Data'!$C$2:$C$1921,B290)</x:f>
        <x:v>68</x:v>
      </x:c>
      <x:c r="E290" s="2" t="n">
        <x:f>C290-D290</x:f>
        <x:v>-10</x:v>
      </x:c>
      <x:c r="F290" s="2" t="n">
        <x:f>ABS(E290)</x:f>
        <x:v>10</x:v>
      </x:c>
    </x:row>
    <x:row r="291" ht="23" customHeight="1">
      <x:c r="A291" s="2" t="str">
        <x:v>DEMO-303</x:v>
      </x:c>
      <x:c r="B291" s="2" t="n">
        <x:v>10</x:v>
      </x:c>
      <x:c r="C291" s="17" t="n">
        <x:f>SUMIFS('Synthetic Sales Data'!$K$2:$K$1921,'Synthetic Sales Data'!$D$2:$D$1921,A291,'Synthetic Sales Data'!$C$2:$C$1921,B291)</x:f>
        <x:v>57</x:v>
      </x:c>
      <x:c r="D291" s="17" t="n">
        <x:f>SUMIFS('Synthetic Sales Data'!$W$2:$W$1921,'Synthetic Sales Data'!$D$2:$D$1921,A291,'Synthetic Sales Data'!$C$2:$C$1921,B291)</x:f>
        <x:v>64</x:v>
      </x:c>
      <x:c r="E291" s="2" t="n">
        <x:f>C291-D291</x:f>
        <x:v>-7</x:v>
      </x:c>
      <x:c r="F291" s="2" t="n">
        <x:f>ABS(E291)</x:f>
        <x:v>7</x:v>
      </x:c>
    </x:row>
    <x:row r="292" ht="23" customHeight="1">
      <x:c r="A292" s="2" t="str">
        <x:v>DEMO-303</x:v>
      </x:c>
      <x:c r="B292" s="2" t="n">
        <x:v>11</x:v>
      </x:c>
      <x:c r="C292" s="17" t="n">
        <x:f>SUMIFS('Synthetic Sales Data'!$K$2:$K$1921,'Synthetic Sales Data'!$D$2:$D$1921,A292,'Synthetic Sales Data'!$C$2:$C$1921,B292)</x:f>
        <x:v>50</x:v>
      </x:c>
      <x:c r="D292" s="17" t="n">
        <x:f>SUMIFS('Synthetic Sales Data'!$W$2:$W$1921,'Synthetic Sales Data'!$D$2:$D$1921,A292,'Synthetic Sales Data'!$C$2:$C$1921,B292)</x:f>
        <x:v>61</x:v>
      </x:c>
      <x:c r="E292" s="2" t="n">
        <x:f>C292-D292</x:f>
        <x:v>-11</x:v>
      </x:c>
      <x:c r="F292" s="2" t="n">
        <x:f>ABS(E292)</x:f>
        <x:v>11</x:v>
      </x:c>
    </x:row>
    <x:row r="293" ht="23" customHeight="1">
      <x:c r="A293" s="2" t="str">
        <x:v>DEMO-303</x:v>
      </x:c>
      <x:c r="B293" s="2" t="n">
        <x:v>12</x:v>
      </x:c>
      <x:c r="C293" s="17" t="n">
        <x:f>SUMIFS('Synthetic Sales Data'!$K$2:$K$1921,'Synthetic Sales Data'!$D$2:$D$1921,A293,'Synthetic Sales Data'!$C$2:$C$1921,B293)</x:f>
        <x:v>54</x:v>
      </x:c>
      <x:c r="D293" s="17" t="n">
        <x:f>SUMIFS('Synthetic Sales Data'!$W$2:$W$1921,'Synthetic Sales Data'!$D$2:$D$1921,A293,'Synthetic Sales Data'!$C$2:$C$1921,B293)</x:f>
        <x:v>57</x:v>
      </x:c>
      <x:c r="E293" s="2" t="n">
        <x:f>C293-D293</x:f>
        <x:v>-3</x:v>
      </x:c>
      <x:c r="F293" s="2" t="n">
        <x:f>ABS(E293)</x:f>
        <x:v>3</x:v>
      </x:c>
    </x:row>
    <x:row r="294" ht="23" customHeight="1">
      <x:c r="A294" s="2" t="str">
        <x:v>DEMO-303</x:v>
      </x:c>
      <x:c r="B294" s="2" t="n">
        <x:v>13</x:v>
      </x:c>
      <x:c r="C294" s="17" t="n">
        <x:f>SUMIFS('Synthetic Sales Data'!$K$2:$K$1921,'Synthetic Sales Data'!$D$2:$D$1921,A294,'Synthetic Sales Data'!$C$2:$C$1921,B294)</x:f>
        <x:v>55</x:v>
      </x:c>
      <x:c r="D294" s="17" t="n">
        <x:f>SUMIFS('Synthetic Sales Data'!$W$2:$W$1921,'Synthetic Sales Data'!$D$2:$D$1921,A294,'Synthetic Sales Data'!$C$2:$C$1921,B294)</x:f>
        <x:v>55</x:v>
      </x:c>
      <x:c r="E294" s="2" t="n">
        <x:f>C294-D294</x:f>
        <x:v>0</x:v>
      </x:c>
      <x:c r="F294" s="2" t="n">
        <x:f>ABS(E294)</x:f>
        <x:v>0</x:v>
      </x:c>
    </x:row>
    <x:row r="295" ht="23" customHeight="1">
      <x:c r="A295" s="2" t="str">
        <x:v>DEMO-303</x:v>
      </x:c>
      <x:c r="B295" s="2" t="n">
        <x:v>14</x:v>
      </x:c>
      <x:c r="C295" s="17" t="n">
        <x:f>SUMIFS('Synthetic Sales Data'!$K$2:$K$1921,'Synthetic Sales Data'!$D$2:$D$1921,A295,'Synthetic Sales Data'!$C$2:$C$1921,B295)</x:f>
        <x:v>47</x:v>
      </x:c>
      <x:c r="D295" s="17" t="n">
        <x:f>SUMIFS('Synthetic Sales Data'!$W$2:$W$1921,'Synthetic Sales Data'!$D$2:$D$1921,A295,'Synthetic Sales Data'!$C$2:$C$1921,B295)</x:f>
        <x:v>54</x:v>
      </x:c>
      <x:c r="E295" s="2" t="n">
        <x:f>C295-D295</x:f>
        <x:v>-7</x:v>
      </x:c>
      <x:c r="F295" s="2" t="n">
        <x:f>ABS(E295)</x:f>
        <x:v>7</x:v>
      </x:c>
    </x:row>
    <x:row r="296" ht="23" customHeight="1">
      <x:c r="A296" s="2" t="str">
        <x:v>DEMO-303</x:v>
      </x:c>
      <x:c r="B296" s="2" t="n">
        <x:v>15</x:v>
      </x:c>
      <x:c r="C296" s="17" t="n">
        <x:f>SUMIFS('Synthetic Sales Data'!$K$2:$K$1921,'Synthetic Sales Data'!$D$2:$D$1921,A296,'Synthetic Sales Data'!$C$2:$C$1921,B296)</x:f>
        <x:v>47</x:v>
      </x:c>
      <x:c r="D296" s="17" t="n">
        <x:f>SUMIFS('Synthetic Sales Data'!$W$2:$W$1921,'Synthetic Sales Data'!$D$2:$D$1921,A296,'Synthetic Sales Data'!$C$2:$C$1921,B296)</x:f>
        <x:v>52</x:v>
      </x:c>
      <x:c r="E296" s="2" t="n">
        <x:f>C296-D296</x:f>
        <x:v>-5</x:v>
      </x:c>
      <x:c r="F296" s="2" t="n">
        <x:f>ABS(E296)</x:f>
        <x:v>5</x:v>
      </x:c>
    </x:row>
    <x:row r="297" ht="23" customHeight="1">
      <x:c r="A297" s="2" t="str">
        <x:v>DEMO-303</x:v>
      </x:c>
      <x:c r="B297" s="2" t="n">
        <x:v>16</x:v>
      </x:c>
      <x:c r="C297" s="17" t="n">
        <x:f>SUMIFS('Synthetic Sales Data'!$K$2:$K$1921,'Synthetic Sales Data'!$D$2:$D$1921,A297,'Synthetic Sales Data'!$C$2:$C$1921,B297)</x:f>
        <x:v>45</x:v>
      </x:c>
      <x:c r="D297" s="17" t="n">
        <x:f>SUMIFS('Synthetic Sales Data'!$W$2:$W$1921,'Synthetic Sales Data'!$D$2:$D$1921,A297,'Synthetic Sales Data'!$C$2:$C$1921,B297)</x:f>
        <x:v>51</x:v>
      </x:c>
      <x:c r="E297" s="2" t="n">
        <x:f>C297-D297</x:f>
        <x:v>-6</x:v>
      </x:c>
      <x:c r="F297" s="2" t="n">
        <x:f>ABS(E297)</x:f>
        <x:v>6</x:v>
      </x:c>
    </x:row>
    <x:row r="298" ht="23" customHeight="1">
      <x:c r="A298" s="2" t="str">
        <x:v>DEMO-303</x:v>
      </x:c>
      <x:c r="B298" s="2" t="n">
        <x:v>17</x:v>
      </x:c>
      <x:c r="C298" s="17" t="n">
        <x:f>SUMIFS('Synthetic Sales Data'!$K$2:$K$1921,'Synthetic Sales Data'!$D$2:$D$1921,A298,'Synthetic Sales Data'!$C$2:$C$1921,B298)</x:f>
        <x:v>58</x:v>
      </x:c>
      <x:c r="D298" s="17" t="n">
        <x:f>SUMIFS('Synthetic Sales Data'!$W$2:$W$1921,'Synthetic Sales Data'!$D$2:$D$1921,A298,'Synthetic Sales Data'!$C$2:$C$1921,B298)</x:f>
        <x:v>49</x:v>
      </x:c>
      <x:c r="E298" s="2" t="n">
        <x:f>C298-D298</x:f>
        <x:v>9</x:v>
      </x:c>
      <x:c r="F298" s="2" t="n">
        <x:f>ABS(E298)</x:f>
        <x:v>9</x:v>
      </x:c>
    </x:row>
    <x:row r="299" ht="23" customHeight="1">
      <x:c r="A299" s="2" t="str">
        <x:v>DEMO-303</x:v>
      </x:c>
      <x:c r="B299" s="2" t="n">
        <x:v>18</x:v>
      </x:c>
      <x:c r="C299" s="17" t="n">
        <x:f>SUMIFS('Synthetic Sales Data'!$K$2:$K$1921,'Synthetic Sales Data'!$D$2:$D$1921,A299,'Synthetic Sales Data'!$C$2:$C$1921,B299)</x:f>
        <x:v>51</x:v>
      </x:c>
      <x:c r="D299" s="17" t="n">
        <x:f>SUMIFS('Synthetic Sales Data'!$W$2:$W$1921,'Synthetic Sales Data'!$D$2:$D$1921,A299,'Synthetic Sales Data'!$C$2:$C$1921,B299)</x:f>
        <x:v>50</x:v>
      </x:c>
      <x:c r="E299" s="2" t="n">
        <x:f>C299-D299</x:f>
        <x:v>1</x:v>
      </x:c>
      <x:c r="F299" s="2" t="n">
        <x:f>ABS(E299)</x:f>
        <x:v>1</x:v>
      </x:c>
    </x:row>
    <x:row r="300" ht="23" customHeight="1">
      <x:c r="A300" s="2" t="str">
        <x:v>DEMO-303</x:v>
      </x:c>
      <x:c r="B300" s="2" t="n">
        <x:v>19</x:v>
      </x:c>
      <x:c r="C300" s="17" t="n">
        <x:f>SUMIFS('Synthetic Sales Data'!$K$2:$K$1921,'Synthetic Sales Data'!$D$2:$D$1921,A300,'Synthetic Sales Data'!$C$2:$C$1921,B300)</x:f>
        <x:v>50</x:v>
      </x:c>
      <x:c r="D300" s="17" t="n">
        <x:f>SUMIFS('Synthetic Sales Data'!$W$2:$W$1921,'Synthetic Sales Data'!$D$2:$D$1921,A300,'Synthetic Sales Data'!$C$2:$C$1921,B300)</x:f>
        <x:v>51</x:v>
      </x:c>
      <x:c r="E300" s="2" t="n">
        <x:f>C300-D300</x:f>
        <x:v>-1</x:v>
      </x:c>
      <x:c r="F300" s="2" t="n">
        <x:f>ABS(E300)</x:f>
        <x:v>1</x:v>
      </x:c>
    </x:row>
    <x:row r="301" ht="23" customHeight="1">
      <x:c r="A301" s="2" t="str">
        <x:v>DEMO-303</x:v>
      </x:c>
      <x:c r="B301" s="2" t="n">
        <x:v>20</x:v>
      </x:c>
      <x:c r="C301" s="17" t="n">
        <x:f>SUMIFS('Synthetic Sales Data'!$K$2:$K$1921,'Synthetic Sales Data'!$D$2:$D$1921,A301,'Synthetic Sales Data'!$C$2:$C$1921,B301)</x:f>
        <x:v>40</x:v>
      </x:c>
      <x:c r="D301" s="17" t="n">
        <x:f>SUMIFS('Synthetic Sales Data'!$W$2:$W$1921,'Synthetic Sales Data'!$D$2:$D$1921,A301,'Synthetic Sales Data'!$C$2:$C$1921,B301)</x:f>
        <x:v>52</x:v>
      </x:c>
      <x:c r="E301" s="2" t="n">
        <x:f>C301-D301</x:f>
        <x:v>-12</x:v>
      </x:c>
      <x:c r="F301" s="2" t="n">
        <x:f>ABS(E301)</x:f>
        <x:v>12</x:v>
      </x:c>
    </x:row>
    <x:row r="302" ht="23" customHeight="1">
      <x:c r="A302" s="2" t="str">
        <x:v>DEMO-304</x:v>
      </x:c>
      <x:c r="B302" s="2" t="n">
        <x:v>1</x:v>
      </x:c>
      <x:c r="C302" s="17" t="n">
        <x:f>SUMIFS('Synthetic Sales Data'!$K$2:$K$1921,'Synthetic Sales Data'!$D$2:$D$1921,A302,'Synthetic Sales Data'!$C$2:$C$1921,B302)</x:f>
        <x:v>36</x:v>
      </x:c>
      <x:c r="D302" s="17" t="n">
        <x:f>SUMIFS('Synthetic Sales Data'!$W$2:$W$1921,'Synthetic Sales Data'!$D$2:$D$1921,A302,'Synthetic Sales Data'!$C$2:$C$1921,B302)</x:f>
        <x:v>38</x:v>
      </x:c>
      <x:c r="E302" s="2" t="n">
        <x:f>C302-D302</x:f>
        <x:v>-2</x:v>
      </x:c>
      <x:c r="F302" s="2" t="n">
        <x:f>ABS(E302)</x:f>
        <x:v>2</x:v>
      </x:c>
    </x:row>
    <x:row r="303" ht="23" customHeight="1">
      <x:c r="A303" s="2" t="str">
        <x:v>DEMO-304</x:v>
      </x:c>
      <x:c r="B303" s="2" t="n">
        <x:v>2</x:v>
      </x:c>
      <x:c r="C303" s="17" t="n">
        <x:f>SUMIFS('Synthetic Sales Data'!$K$2:$K$1921,'Synthetic Sales Data'!$D$2:$D$1921,A303,'Synthetic Sales Data'!$C$2:$C$1921,B303)</x:f>
        <x:v>33</x:v>
      </x:c>
      <x:c r="D303" s="17" t="n">
        <x:f>SUMIFS('Synthetic Sales Data'!$W$2:$W$1921,'Synthetic Sales Data'!$D$2:$D$1921,A303,'Synthetic Sales Data'!$C$2:$C$1921,B303)</x:f>
        <x:v>36</x:v>
      </x:c>
      <x:c r="E303" s="2" t="n">
        <x:f>C303-D303</x:f>
        <x:v>-3</x:v>
      </x:c>
      <x:c r="F303" s="2" t="n">
        <x:f>ABS(E303)</x:f>
        <x:v>3</x:v>
      </x:c>
    </x:row>
    <x:row r="304" ht="23" customHeight="1">
      <x:c r="A304" s="2" t="str">
        <x:v>DEMO-304</x:v>
      </x:c>
      <x:c r="B304" s="2" t="n">
        <x:v>3</x:v>
      </x:c>
      <x:c r="C304" s="17" t="n">
        <x:f>SUMIFS('Synthetic Sales Data'!$K$2:$K$1921,'Synthetic Sales Data'!$D$2:$D$1921,A304,'Synthetic Sales Data'!$C$2:$C$1921,B304)</x:f>
        <x:v>35</x:v>
      </x:c>
      <x:c r="D304" s="17" t="n">
        <x:f>SUMIFS('Synthetic Sales Data'!$W$2:$W$1921,'Synthetic Sales Data'!$D$2:$D$1921,A304,'Synthetic Sales Data'!$C$2:$C$1921,B304)</x:f>
        <x:v>36</x:v>
      </x:c>
      <x:c r="E304" s="2" t="n">
        <x:f>C304-D304</x:f>
        <x:v>-1</x:v>
      </x:c>
      <x:c r="F304" s="2" t="n">
        <x:f>ABS(E304)</x:f>
        <x:v>1</x:v>
      </x:c>
    </x:row>
    <x:row r="305" ht="23" customHeight="1">
      <x:c r="A305" s="2" t="str">
        <x:v>DEMO-304</x:v>
      </x:c>
      <x:c r="B305" s="2" t="n">
        <x:v>4</x:v>
      </x:c>
      <x:c r="C305" s="17" t="n">
        <x:f>SUMIFS('Synthetic Sales Data'!$K$2:$K$1921,'Synthetic Sales Data'!$D$2:$D$1921,A305,'Synthetic Sales Data'!$C$2:$C$1921,B305)</x:f>
        <x:v>32</x:v>
      </x:c>
      <x:c r="D305" s="17" t="n">
        <x:f>SUMIFS('Synthetic Sales Data'!$W$2:$W$1921,'Synthetic Sales Data'!$D$2:$D$1921,A305,'Synthetic Sales Data'!$C$2:$C$1921,B305)</x:f>
        <x:v>34</x:v>
      </x:c>
      <x:c r="E305" s="2" t="n">
        <x:f>C305-D305</x:f>
        <x:v>-2</x:v>
      </x:c>
      <x:c r="F305" s="2" t="n">
        <x:f>ABS(E305)</x:f>
        <x:v>2</x:v>
      </x:c>
    </x:row>
    <x:row r="306" ht="23" customHeight="1">
      <x:c r="A306" s="2" t="str">
        <x:v>DEMO-304</x:v>
      </x:c>
      <x:c r="B306" s="2" t="n">
        <x:v>5</x:v>
      </x:c>
      <x:c r="C306" s="17" t="n">
        <x:f>SUMIFS('Synthetic Sales Data'!$K$2:$K$1921,'Synthetic Sales Data'!$D$2:$D$1921,A306,'Synthetic Sales Data'!$C$2:$C$1921,B306)</x:f>
        <x:v>32</x:v>
      </x:c>
      <x:c r="D306" s="17" t="n">
        <x:f>SUMIFS('Synthetic Sales Data'!$W$2:$W$1921,'Synthetic Sales Data'!$D$2:$D$1921,A306,'Synthetic Sales Data'!$C$2:$C$1921,B306)</x:f>
        <x:v>34</x:v>
      </x:c>
      <x:c r="E306" s="2" t="n">
        <x:f>C306-D306</x:f>
        <x:v>-2</x:v>
      </x:c>
      <x:c r="F306" s="2" t="n">
        <x:f>ABS(E306)</x:f>
        <x:v>2</x:v>
      </x:c>
    </x:row>
    <x:row r="307" ht="23" customHeight="1">
      <x:c r="A307" s="2" t="str">
        <x:v>DEMO-304</x:v>
      </x:c>
      <x:c r="B307" s="2" t="n">
        <x:v>6</x:v>
      </x:c>
      <x:c r="C307" s="17" t="n">
        <x:f>SUMIFS('Synthetic Sales Data'!$K$2:$K$1921,'Synthetic Sales Data'!$D$2:$D$1921,A307,'Synthetic Sales Data'!$C$2:$C$1921,B307)</x:f>
        <x:v>29</x:v>
      </x:c>
      <x:c r="D307" s="17" t="n">
        <x:f>SUMIFS('Synthetic Sales Data'!$W$2:$W$1921,'Synthetic Sales Data'!$D$2:$D$1921,A307,'Synthetic Sales Data'!$C$2:$C$1921,B307)</x:f>
        <x:v>33</x:v>
      </x:c>
      <x:c r="E307" s="2" t="n">
        <x:f>C307-D307</x:f>
        <x:v>-4</x:v>
      </x:c>
      <x:c r="F307" s="2" t="n">
        <x:f>ABS(E307)</x:f>
        <x:v>4</x:v>
      </x:c>
    </x:row>
    <x:row r="308" ht="23" customHeight="1">
      <x:c r="A308" s="2" t="str">
        <x:v>DEMO-304</x:v>
      </x:c>
      <x:c r="B308" s="2" t="n">
        <x:v>7</x:v>
      </x:c>
      <x:c r="C308" s="17" t="n">
        <x:f>SUMIFS('Synthetic Sales Data'!$K$2:$K$1921,'Synthetic Sales Data'!$D$2:$D$1921,A308,'Synthetic Sales Data'!$C$2:$C$1921,B308)</x:f>
        <x:v>30</x:v>
      </x:c>
      <x:c r="D308" s="17" t="n">
        <x:f>SUMIFS('Synthetic Sales Data'!$W$2:$W$1921,'Synthetic Sales Data'!$D$2:$D$1921,A308,'Synthetic Sales Data'!$C$2:$C$1921,B308)</x:f>
        <x:v>32</x:v>
      </x:c>
      <x:c r="E308" s="2" t="n">
        <x:f>C308-D308</x:f>
        <x:v>-2</x:v>
      </x:c>
      <x:c r="F308" s="2" t="n">
        <x:f>ABS(E308)</x:f>
        <x:v>2</x:v>
      </x:c>
    </x:row>
    <x:row r="309" ht="23" customHeight="1">
      <x:c r="A309" s="2" t="str">
        <x:v>DEMO-304</x:v>
      </x:c>
      <x:c r="B309" s="2" t="n">
        <x:v>8</x:v>
      </x:c>
      <x:c r="C309" s="17" t="n">
        <x:f>SUMIFS('Synthetic Sales Data'!$K$2:$K$1921,'Synthetic Sales Data'!$D$2:$D$1921,A309,'Synthetic Sales Data'!$C$2:$C$1921,B309)</x:f>
        <x:v>28</x:v>
      </x:c>
      <x:c r="D309" s="17" t="n">
        <x:f>SUMIFS('Synthetic Sales Data'!$W$2:$W$1921,'Synthetic Sales Data'!$D$2:$D$1921,A309,'Synthetic Sales Data'!$C$2:$C$1921,B309)</x:f>
        <x:v>32</x:v>
      </x:c>
      <x:c r="E309" s="2" t="n">
        <x:f>C309-D309</x:f>
        <x:v>-4</x:v>
      </x:c>
      <x:c r="F309" s="2" t="n">
        <x:f>ABS(E309)</x:f>
        <x:v>4</x:v>
      </x:c>
    </x:row>
    <x:row r="310" ht="23" customHeight="1">
      <x:c r="A310" s="2" t="str">
        <x:v>DEMO-304</x:v>
      </x:c>
      <x:c r="B310" s="2" t="n">
        <x:v>9</x:v>
      </x:c>
      <x:c r="C310" s="17" t="n">
        <x:f>SUMIFS('Synthetic Sales Data'!$K$2:$K$1921,'Synthetic Sales Data'!$D$2:$D$1921,A310,'Synthetic Sales Data'!$C$2:$C$1921,B310)</x:f>
        <x:v>30</x:v>
      </x:c>
      <x:c r="D310" s="17" t="n">
        <x:f>SUMIFS('Synthetic Sales Data'!$W$2:$W$1921,'Synthetic Sales Data'!$D$2:$D$1921,A310,'Synthetic Sales Data'!$C$2:$C$1921,B310)</x:f>
        <x:v>30</x:v>
      </x:c>
      <x:c r="E310" s="2" t="n">
        <x:f>C310-D310</x:f>
        <x:v>0</x:v>
      </x:c>
      <x:c r="F310" s="2" t="n">
        <x:f>ABS(E310)</x:f>
        <x:v>0</x:v>
      </x:c>
    </x:row>
    <x:row r="311" ht="23" customHeight="1">
      <x:c r="A311" s="2" t="str">
        <x:v>DEMO-304</x:v>
      </x:c>
      <x:c r="B311" s="2" t="n">
        <x:v>10</x:v>
      </x:c>
      <x:c r="C311" s="17" t="n">
        <x:f>SUMIFS('Synthetic Sales Data'!$K$2:$K$1921,'Synthetic Sales Data'!$D$2:$D$1921,A311,'Synthetic Sales Data'!$C$2:$C$1921,B311)</x:f>
        <x:v>25</x:v>
      </x:c>
      <x:c r="D311" s="17" t="n">
        <x:f>SUMIFS('Synthetic Sales Data'!$W$2:$W$1921,'Synthetic Sales Data'!$D$2:$D$1921,A311,'Synthetic Sales Data'!$C$2:$C$1921,B311)</x:f>
        <x:v>30</x:v>
      </x:c>
      <x:c r="E311" s="2" t="n">
        <x:f>C311-D311</x:f>
        <x:v>-5</x:v>
      </x:c>
      <x:c r="F311" s="2" t="n">
        <x:f>ABS(E311)</x:f>
        <x:v>5</x:v>
      </x:c>
    </x:row>
    <x:row r="312" ht="23" customHeight="1">
      <x:c r="A312" s="2" t="str">
        <x:v>DEMO-304</x:v>
      </x:c>
      <x:c r="B312" s="2" t="n">
        <x:v>11</x:v>
      </x:c>
      <x:c r="C312" s="17" t="n">
        <x:f>SUMIFS('Synthetic Sales Data'!$K$2:$K$1921,'Synthetic Sales Data'!$D$2:$D$1921,A312,'Synthetic Sales Data'!$C$2:$C$1921,B312)</x:f>
        <x:v>24</x:v>
      </x:c>
      <x:c r="D312" s="17" t="n">
        <x:f>SUMIFS('Synthetic Sales Data'!$W$2:$W$1921,'Synthetic Sales Data'!$D$2:$D$1921,A312,'Synthetic Sales Data'!$C$2:$C$1921,B312)</x:f>
        <x:v>28</x:v>
      </x:c>
      <x:c r="E312" s="2" t="n">
        <x:f>C312-D312</x:f>
        <x:v>-4</x:v>
      </x:c>
      <x:c r="F312" s="2" t="n">
        <x:f>ABS(E312)</x:f>
        <x:v>4</x:v>
      </x:c>
    </x:row>
    <x:row r="313" ht="23" customHeight="1">
      <x:c r="A313" s="2" t="str">
        <x:v>DEMO-304</x:v>
      </x:c>
      <x:c r="B313" s="2" t="n">
        <x:v>12</x:v>
      </x:c>
      <x:c r="C313" s="17" t="n">
        <x:f>SUMIFS('Synthetic Sales Data'!$K$2:$K$1921,'Synthetic Sales Data'!$D$2:$D$1921,A313,'Synthetic Sales Data'!$C$2:$C$1921,B313)</x:f>
        <x:v>20</x:v>
      </x:c>
      <x:c r="D313" s="17" t="n">
        <x:f>SUMIFS('Synthetic Sales Data'!$W$2:$W$1921,'Synthetic Sales Data'!$D$2:$D$1921,A313,'Synthetic Sales Data'!$C$2:$C$1921,B313)</x:f>
        <x:v>27</x:v>
      </x:c>
      <x:c r="E313" s="2" t="n">
        <x:f>C313-D313</x:f>
        <x:v>-7</x:v>
      </x:c>
      <x:c r="F313" s="2" t="n">
        <x:f>ABS(E313)</x:f>
        <x:v>7</x:v>
      </x:c>
    </x:row>
    <x:row r="314" ht="23" customHeight="1">
      <x:c r="A314" s="2" t="str">
        <x:v>DEMO-304</x:v>
      </x:c>
      <x:c r="B314" s="2" t="n">
        <x:v>13</x:v>
      </x:c>
      <x:c r="C314" s="17" t="n">
        <x:f>SUMIFS('Synthetic Sales Data'!$K$2:$K$1921,'Synthetic Sales Data'!$D$2:$D$1921,A314,'Synthetic Sales Data'!$C$2:$C$1921,B314)</x:f>
        <x:v>25</x:v>
      </x:c>
      <x:c r="D314" s="17" t="n">
        <x:f>SUMIFS('Synthetic Sales Data'!$W$2:$W$1921,'Synthetic Sales Data'!$D$2:$D$1921,A314,'Synthetic Sales Data'!$C$2:$C$1921,B314)</x:f>
        <x:v>26</x:v>
      </x:c>
      <x:c r="E314" s="2" t="n">
        <x:f>C314-D314</x:f>
        <x:v>-1</x:v>
      </x:c>
      <x:c r="F314" s="2" t="n">
        <x:f>ABS(E314)</x:f>
        <x:v>1</x:v>
      </x:c>
    </x:row>
    <x:row r="315" ht="23" customHeight="1">
      <x:c r="A315" s="2" t="str">
        <x:v>DEMO-304</x:v>
      </x:c>
      <x:c r="B315" s="2" t="n">
        <x:v>14</x:v>
      </x:c>
      <x:c r="C315" s="17" t="n">
        <x:f>SUMIFS('Synthetic Sales Data'!$K$2:$K$1921,'Synthetic Sales Data'!$D$2:$D$1921,A315,'Synthetic Sales Data'!$C$2:$C$1921,B315)</x:f>
        <x:v>21</x:v>
      </x:c>
      <x:c r="D315" s="17" t="n">
        <x:f>SUMIFS('Synthetic Sales Data'!$W$2:$W$1921,'Synthetic Sales Data'!$D$2:$D$1921,A315,'Synthetic Sales Data'!$C$2:$C$1921,B315)</x:f>
        <x:v>24</x:v>
      </x:c>
      <x:c r="E315" s="2" t="n">
        <x:f>C315-D315</x:f>
        <x:v>-3</x:v>
      </x:c>
      <x:c r="F315" s="2" t="n">
        <x:f>ABS(E315)</x:f>
        <x:v>3</x:v>
      </x:c>
    </x:row>
    <x:row r="316" ht="23" customHeight="1">
      <x:c r="A316" s="2" t="str">
        <x:v>DEMO-304</x:v>
      </x:c>
      <x:c r="B316" s="2" t="n">
        <x:v>15</x:v>
      </x:c>
      <x:c r="C316" s="17" t="n">
        <x:f>SUMIFS('Synthetic Sales Data'!$K$2:$K$1921,'Synthetic Sales Data'!$D$2:$D$1921,A316,'Synthetic Sales Data'!$C$2:$C$1921,B316)</x:f>
        <x:v>20</x:v>
      </x:c>
      <x:c r="D316" s="17" t="n">
        <x:f>SUMIFS('Synthetic Sales Data'!$W$2:$W$1921,'Synthetic Sales Data'!$D$2:$D$1921,A316,'Synthetic Sales Data'!$C$2:$C$1921,B316)</x:f>
        <x:v>23</x:v>
      </x:c>
      <x:c r="E316" s="2" t="n">
        <x:f>C316-D316</x:f>
        <x:v>-3</x:v>
      </x:c>
      <x:c r="F316" s="2" t="n">
        <x:f>ABS(E316)</x:f>
        <x:v>3</x:v>
      </x:c>
    </x:row>
    <x:row r="317" ht="23" customHeight="1">
      <x:c r="A317" s="2" t="str">
        <x:v>DEMO-304</x:v>
      </x:c>
      <x:c r="B317" s="2" t="n">
        <x:v>16</x:v>
      </x:c>
      <x:c r="C317" s="17" t="n">
        <x:f>SUMIFS('Synthetic Sales Data'!$K$2:$K$1921,'Synthetic Sales Data'!$D$2:$D$1921,A317,'Synthetic Sales Data'!$C$2:$C$1921,B317)</x:f>
        <x:v>20</x:v>
      </x:c>
      <x:c r="D317" s="17" t="n">
        <x:f>SUMIFS('Synthetic Sales Data'!$W$2:$W$1921,'Synthetic Sales Data'!$D$2:$D$1921,A317,'Synthetic Sales Data'!$C$2:$C$1921,B317)</x:f>
        <x:v>22</x:v>
      </x:c>
      <x:c r="E317" s="2" t="n">
        <x:f>C317-D317</x:f>
        <x:v>-2</x:v>
      </x:c>
      <x:c r="F317" s="2" t="n">
        <x:f>ABS(E317)</x:f>
        <x:v>2</x:v>
      </x:c>
    </x:row>
    <x:row r="318" ht="23" customHeight="1">
      <x:c r="A318" s="2" t="str">
        <x:v>DEMO-304</x:v>
      </x:c>
      <x:c r="B318" s="2" t="n">
        <x:v>17</x:v>
      </x:c>
      <x:c r="C318" s="17" t="n">
        <x:f>SUMIFS('Synthetic Sales Data'!$K$2:$K$1921,'Synthetic Sales Data'!$D$2:$D$1921,A318,'Synthetic Sales Data'!$C$2:$C$1921,B318)</x:f>
        <x:v>22</x:v>
      </x:c>
      <x:c r="D318" s="17" t="n">
        <x:f>SUMIFS('Synthetic Sales Data'!$W$2:$W$1921,'Synthetic Sales Data'!$D$2:$D$1921,A318,'Synthetic Sales Data'!$C$2:$C$1921,B318)</x:f>
        <x:v>22</x:v>
      </x:c>
      <x:c r="E318" s="2" t="n">
        <x:f>C318-D318</x:f>
        <x:v>0</x:v>
      </x:c>
      <x:c r="F318" s="2" t="n">
        <x:f>ABS(E318)</x:f>
        <x:v>0</x:v>
      </x:c>
    </x:row>
    <x:row r="319" ht="23" customHeight="1">
      <x:c r="A319" s="2" t="str">
        <x:v>DEMO-304</x:v>
      </x:c>
      <x:c r="B319" s="2" t="n">
        <x:v>18</x:v>
      </x:c>
      <x:c r="C319" s="17" t="n">
        <x:f>SUMIFS('Synthetic Sales Data'!$K$2:$K$1921,'Synthetic Sales Data'!$D$2:$D$1921,A319,'Synthetic Sales Data'!$C$2:$C$1921,B319)</x:f>
        <x:v>23</x:v>
      </x:c>
      <x:c r="D319" s="17" t="n">
        <x:f>SUMIFS('Synthetic Sales Data'!$W$2:$W$1921,'Synthetic Sales Data'!$D$2:$D$1921,A319,'Synthetic Sales Data'!$C$2:$C$1921,B319)</x:f>
        <x:v>20</x:v>
      </x:c>
      <x:c r="E319" s="2" t="n">
        <x:f>C319-D319</x:f>
        <x:v>3</x:v>
      </x:c>
      <x:c r="F319" s="2" t="n">
        <x:f>ABS(E319)</x:f>
        <x:v>3</x:v>
      </x:c>
    </x:row>
    <x:row r="320" ht="23" customHeight="1">
      <x:c r="A320" s="2" t="str">
        <x:v>DEMO-304</x:v>
      </x:c>
      <x:c r="B320" s="2" t="n">
        <x:v>19</x:v>
      </x:c>
      <x:c r="C320" s="17" t="n">
        <x:f>SUMIFS('Synthetic Sales Data'!$K$2:$K$1921,'Synthetic Sales Data'!$D$2:$D$1921,A320,'Synthetic Sales Data'!$C$2:$C$1921,B320)</x:f>
        <x:v>24</x:v>
      </x:c>
      <x:c r="D320" s="17" t="n">
        <x:f>SUMIFS('Synthetic Sales Data'!$W$2:$W$1921,'Synthetic Sales Data'!$D$2:$D$1921,A320,'Synthetic Sales Data'!$C$2:$C$1921,B320)</x:f>
        <x:v>22</x:v>
      </x:c>
      <x:c r="E320" s="2" t="n">
        <x:f>C320-D320</x:f>
        <x:v>2</x:v>
      </x:c>
      <x:c r="F320" s="2" t="n">
        <x:f>ABS(E320)</x:f>
        <x:v>2</x:v>
      </x:c>
    </x:row>
    <x:row r="321" ht="23" customHeight="1">
      <x:c r="A321" s="2" t="str">
        <x:v>DEMO-304</x:v>
      </x:c>
      <x:c r="B321" s="2" t="n">
        <x:v>20</x:v>
      </x:c>
      <x:c r="C321" s="17" t="n">
        <x:f>SUMIFS('Synthetic Sales Data'!$K$2:$K$1921,'Synthetic Sales Data'!$D$2:$D$1921,A321,'Synthetic Sales Data'!$C$2:$C$1921,B321)</x:f>
        <x:v>18</x:v>
      </x:c>
      <x:c r="D321" s="17" t="n">
        <x:f>SUMIFS('Synthetic Sales Data'!$W$2:$W$1921,'Synthetic Sales Data'!$D$2:$D$1921,A321,'Synthetic Sales Data'!$C$2:$C$1921,B321)</x:f>
        <x:v>22</x:v>
      </x:c>
      <x:c r="E321" s="2" t="n">
        <x:f>C321-D321</x:f>
        <x:v>-4</x:v>
      </x:c>
      <x:c r="F321" s="2" t="n">
        <x:f>ABS(E321)</x:f>
        <x:v>4</x:v>
      </x:c>
    </x:row>
    <x:row r="322" ht="23" customHeight="1">
      <x:c r="A322" s="2" t="str">
        <x:v>DEMO-305</x:v>
      </x:c>
      <x:c r="B322" s="2" t="n">
        <x:v>1</x:v>
      </x:c>
      <x:c r="C322" s="17" t="n">
        <x:f>SUMIFS('Synthetic Sales Data'!$K$2:$K$1921,'Synthetic Sales Data'!$D$2:$D$1921,A322,'Synthetic Sales Data'!$C$2:$C$1921,B322)</x:f>
        <x:v>42</x:v>
      </x:c>
      <x:c r="D322" s="17" t="n">
        <x:f>SUMIFS('Synthetic Sales Data'!$W$2:$W$1921,'Synthetic Sales Data'!$D$2:$D$1921,A322,'Synthetic Sales Data'!$C$2:$C$1921,B322)</x:f>
        <x:v>52</x:v>
      </x:c>
      <x:c r="E322" s="2" t="n">
        <x:f>C322-D322</x:f>
        <x:v>-10</x:v>
      </x:c>
      <x:c r="F322" s="2" t="n">
        <x:f>ABS(E322)</x:f>
        <x:v>10</x:v>
      </x:c>
    </x:row>
    <x:row r="323" ht="23" customHeight="1">
      <x:c r="A323" s="2" t="str">
        <x:v>DEMO-305</x:v>
      </x:c>
      <x:c r="B323" s="2" t="n">
        <x:v>2</x:v>
      </x:c>
      <x:c r="C323" s="17" t="n">
        <x:f>SUMIFS('Synthetic Sales Data'!$K$2:$K$1921,'Synthetic Sales Data'!$D$2:$D$1921,A323,'Synthetic Sales Data'!$C$2:$C$1921,B323)</x:f>
        <x:v>47</x:v>
      </x:c>
      <x:c r="D323" s="17" t="n">
        <x:f>SUMIFS('Synthetic Sales Data'!$W$2:$W$1921,'Synthetic Sales Data'!$D$2:$D$1921,A323,'Synthetic Sales Data'!$C$2:$C$1921,B323)</x:f>
        <x:v>42</x:v>
      </x:c>
      <x:c r="E323" s="2" t="n">
        <x:f>C323-D323</x:f>
        <x:v>5</x:v>
      </x:c>
      <x:c r="F323" s="2" t="n">
        <x:f>ABS(E323)</x:f>
        <x:v>5</x:v>
      </x:c>
    </x:row>
    <x:row r="324" ht="23" customHeight="1">
      <x:c r="A324" s="2" t="str">
        <x:v>DEMO-305</x:v>
      </x:c>
      <x:c r="B324" s="2" t="n">
        <x:v>3</x:v>
      </x:c>
      <x:c r="C324" s="17" t="n">
        <x:f>SUMIFS('Synthetic Sales Data'!$K$2:$K$1921,'Synthetic Sales Data'!$D$2:$D$1921,A324,'Synthetic Sales Data'!$C$2:$C$1921,B324)</x:f>
        <x:v>49</x:v>
      </x:c>
      <x:c r="D324" s="17" t="n">
        <x:f>SUMIFS('Synthetic Sales Data'!$W$2:$W$1921,'Synthetic Sales Data'!$D$2:$D$1921,A324,'Synthetic Sales Data'!$C$2:$C$1921,B324)</x:f>
        <x:v>45</x:v>
      </x:c>
      <x:c r="E324" s="2" t="n">
        <x:f>C324-D324</x:f>
        <x:v>4</x:v>
      </x:c>
      <x:c r="F324" s="2" t="n">
        <x:f>ABS(E324)</x:f>
        <x:v>4</x:v>
      </x:c>
    </x:row>
    <x:row r="325" ht="23" customHeight="1">
      <x:c r="A325" s="2" t="str">
        <x:v>DEMO-305</x:v>
      </x:c>
      <x:c r="B325" s="2" t="n">
        <x:v>4</x:v>
      </x:c>
      <x:c r="C325" s="17" t="n">
        <x:f>SUMIFS('Synthetic Sales Data'!$K$2:$K$1921,'Synthetic Sales Data'!$D$2:$D$1921,A325,'Synthetic Sales Data'!$C$2:$C$1921,B325)</x:f>
        <x:v>44</x:v>
      </x:c>
      <x:c r="D325" s="17" t="n">
        <x:f>SUMIFS('Synthetic Sales Data'!$W$2:$W$1921,'Synthetic Sales Data'!$D$2:$D$1921,A325,'Synthetic Sales Data'!$C$2:$C$1921,B325)</x:f>
        <x:v>46</x:v>
      </x:c>
      <x:c r="E325" s="2" t="n">
        <x:f>C325-D325</x:f>
        <x:v>-2</x:v>
      </x:c>
      <x:c r="F325" s="2" t="n">
        <x:f>ABS(E325)</x:f>
        <x:v>2</x:v>
      </x:c>
    </x:row>
    <x:row r="326" ht="23" customHeight="1">
      <x:c r="A326" s="2" t="str">
        <x:v>DEMO-305</x:v>
      </x:c>
      <x:c r="B326" s="2" t="n">
        <x:v>5</x:v>
      </x:c>
      <x:c r="C326" s="17" t="n">
        <x:f>SUMIFS('Synthetic Sales Data'!$K$2:$K$1921,'Synthetic Sales Data'!$D$2:$D$1921,A326,'Synthetic Sales Data'!$C$2:$C$1921,B326)</x:f>
        <x:v>49</x:v>
      </x:c>
      <x:c r="D326" s="17" t="n">
        <x:f>SUMIFS('Synthetic Sales Data'!$W$2:$W$1921,'Synthetic Sales Data'!$D$2:$D$1921,A326,'Synthetic Sales Data'!$C$2:$C$1921,B326)</x:f>
        <x:v>45</x:v>
      </x:c>
      <x:c r="E326" s="2" t="n">
        <x:f>C326-D326</x:f>
        <x:v>4</x:v>
      </x:c>
      <x:c r="F326" s="2" t="n">
        <x:f>ABS(E326)</x:f>
        <x:v>4</x:v>
      </x:c>
    </x:row>
    <x:row r="327" ht="23" customHeight="1">
      <x:c r="A327" s="2" t="str">
        <x:v>DEMO-305</x:v>
      </x:c>
      <x:c r="B327" s="2" t="n">
        <x:v>6</x:v>
      </x:c>
      <x:c r="C327" s="17" t="n">
        <x:f>SUMIFS('Synthetic Sales Data'!$K$2:$K$1921,'Synthetic Sales Data'!$D$2:$D$1921,A327,'Synthetic Sales Data'!$C$2:$C$1921,B327)</x:f>
        <x:v>45</x:v>
      </x:c>
      <x:c r="D327" s="17" t="n">
        <x:f>SUMIFS('Synthetic Sales Data'!$W$2:$W$1921,'Synthetic Sales Data'!$D$2:$D$1921,A327,'Synthetic Sales Data'!$C$2:$C$1921,B327)</x:f>
        <x:v>48</x:v>
      </x:c>
      <x:c r="E327" s="2" t="n">
        <x:f>C327-D327</x:f>
        <x:v>-3</x:v>
      </x:c>
      <x:c r="F327" s="2" t="n">
        <x:f>ABS(E327)</x:f>
        <x:v>3</x:v>
      </x:c>
    </x:row>
    <x:row r="328" ht="23" customHeight="1">
      <x:c r="A328" s="2" t="str">
        <x:v>DEMO-305</x:v>
      </x:c>
      <x:c r="B328" s="2" t="n">
        <x:v>7</x:v>
      </x:c>
      <x:c r="C328" s="17" t="n">
        <x:f>SUMIFS('Synthetic Sales Data'!$K$2:$K$1921,'Synthetic Sales Data'!$D$2:$D$1921,A328,'Synthetic Sales Data'!$C$2:$C$1921,B328)</x:f>
        <x:v>44</x:v>
      </x:c>
      <x:c r="D328" s="17" t="n">
        <x:f>SUMIFS('Synthetic Sales Data'!$W$2:$W$1921,'Synthetic Sales Data'!$D$2:$D$1921,A328,'Synthetic Sales Data'!$C$2:$C$1921,B328)</x:f>
        <x:v>48</x:v>
      </x:c>
      <x:c r="E328" s="2" t="n">
        <x:f>C328-D328</x:f>
        <x:v>-4</x:v>
      </x:c>
      <x:c r="F328" s="2" t="n">
        <x:f>ABS(E328)</x:f>
        <x:v>4</x:v>
      </x:c>
    </x:row>
    <x:row r="329" ht="23" customHeight="1">
      <x:c r="A329" s="2" t="str">
        <x:v>DEMO-305</x:v>
      </x:c>
      <x:c r="B329" s="2" t="n">
        <x:v>8</x:v>
      </x:c>
      <x:c r="C329" s="17" t="n">
        <x:f>SUMIFS('Synthetic Sales Data'!$K$2:$K$1921,'Synthetic Sales Data'!$D$2:$D$1921,A329,'Synthetic Sales Data'!$C$2:$C$1921,B329)</x:f>
        <x:v>40</x:v>
      </x:c>
      <x:c r="D329" s="17" t="n">
        <x:f>SUMIFS('Synthetic Sales Data'!$W$2:$W$1921,'Synthetic Sales Data'!$D$2:$D$1921,A329,'Synthetic Sales Data'!$C$2:$C$1921,B329)</x:f>
        <x:v>46</x:v>
      </x:c>
      <x:c r="E329" s="2" t="n">
        <x:f>C329-D329</x:f>
        <x:v>-6</x:v>
      </x:c>
      <x:c r="F329" s="2" t="n">
        <x:f>ABS(E329)</x:f>
        <x:v>6</x:v>
      </x:c>
    </x:row>
    <x:row r="330" ht="23" customHeight="1">
      <x:c r="A330" s="2" t="str">
        <x:v>DEMO-305</x:v>
      </x:c>
      <x:c r="B330" s="2" t="n">
        <x:v>9</x:v>
      </x:c>
      <x:c r="C330" s="17" t="n">
        <x:f>SUMIFS('Synthetic Sales Data'!$K$2:$K$1921,'Synthetic Sales Data'!$D$2:$D$1921,A330,'Synthetic Sales Data'!$C$2:$C$1921,B330)</x:f>
        <x:v>42</x:v>
      </x:c>
      <x:c r="D330" s="17" t="n">
        <x:f>SUMIFS('Synthetic Sales Data'!$W$2:$W$1921,'Synthetic Sales Data'!$D$2:$D$1921,A330,'Synthetic Sales Data'!$C$2:$C$1921,B330)</x:f>
        <x:v>45</x:v>
      </x:c>
      <x:c r="E330" s="2" t="n">
        <x:f>C330-D330</x:f>
        <x:v>-3</x:v>
      </x:c>
      <x:c r="F330" s="2" t="n">
        <x:f>ABS(E330)</x:f>
        <x:v>3</x:v>
      </x:c>
    </x:row>
    <x:row r="331" ht="23" customHeight="1">
      <x:c r="A331" s="2" t="str">
        <x:v>DEMO-305</x:v>
      </x:c>
      <x:c r="B331" s="2" t="n">
        <x:v>10</x:v>
      </x:c>
      <x:c r="C331" s="17" t="n">
        <x:f>SUMIFS('Synthetic Sales Data'!$K$2:$K$1921,'Synthetic Sales Data'!$D$2:$D$1921,A331,'Synthetic Sales Data'!$C$2:$C$1921,B331)</x:f>
        <x:v>37</x:v>
      </x:c>
      <x:c r="D331" s="17" t="n">
        <x:f>SUMIFS('Synthetic Sales Data'!$W$2:$W$1921,'Synthetic Sales Data'!$D$2:$D$1921,A331,'Synthetic Sales Data'!$C$2:$C$1921,B331)</x:f>
        <x:v>43</x:v>
      </x:c>
      <x:c r="E331" s="2" t="n">
        <x:f>C331-D331</x:f>
        <x:v>-6</x:v>
      </x:c>
      <x:c r="F331" s="2" t="n">
        <x:f>ABS(E331)</x:f>
        <x:v>6</x:v>
      </x:c>
    </x:row>
    <x:row r="332" ht="23" customHeight="1">
      <x:c r="A332" s="2" t="str">
        <x:v>DEMO-305</x:v>
      </x:c>
      <x:c r="B332" s="2" t="n">
        <x:v>11</x:v>
      </x:c>
      <x:c r="C332" s="17" t="n">
        <x:f>SUMIFS('Synthetic Sales Data'!$K$2:$K$1921,'Synthetic Sales Data'!$D$2:$D$1921,A332,'Synthetic Sales Data'!$C$2:$C$1921,B332)</x:f>
        <x:v>33</x:v>
      </x:c>
      <x:c r="D332" s="17" t="n">
        <x:f>SUMIFS('Synthetic Sales Data'!$W$2:$W$1921,'Synthetic Sales Data'!$D$2:$D$1921,A332,'Synthetic Sales Data'!$C$2:$C$1921,B332)</x:f>
        <x:v>42</x:v>
      </x:c>
      <x:c r="E332" s="2" t="n">
        <x:f>C332-D332</x:f>
        <x:v>-9</x:v>
      </x:c>
      <x:c r="F332" s="2" t="n">
        <x:f>ABS(E332)</x:f>
        <x:v>9</x:v>
      </x:c>
    </x:row>
    <x:row r="333" ht="23" customHeight="1">
      <x:c r="A333" s="2" t="str">
        <x:v>DEMO-305</x:v>
      </x:c>
      <x:c r="B333" s="2" t="n">
        <x:v>12</x:v>
      </x:c>
      <x:c r="C333" s="17" t="n">
        <x:f>SUMIFS('Synthetic Sales Data'!$K$2:$K$1921,'Synthetic Sales Data'!$D$2:$D$1921,A333,'Synthetic Sales Data'!$C$2:$C$1921,B333)</x:f>
        <x:v>34</x:v>
      </x:c>
      <x:c r="D333" s="17" t="n">
        <x:f>SUMIFS('Synthetic Sales Data'!$W$2:$W$1921,'Synthetic Sales Data'!$D$2:$D$1921,A333,'Synthetic Sales Data'!$C$2:$C$1921,B333)</x:f>
        <x:v>38</x:v>
      </x:c>
      <x:c r="E333" s="2" t="n">
        <x:f>C333-D333</x:f>
        <x:v>-4</x:v>
      </x:c>
      <x:c r="F333" s="2" t="n">
        <x:f>ABS(E333)</x:f>
        <x:v>4</x:v>
      </x:c>
    </x:row>
    <x:row r="334" ht="23" customHeight="1">
      <x:c r="A334" s="2" t="str">
        <x:v>DEMO-305</x:v>
      </x:c>
      <x:c r="B334" s="2" t="n">
        <x:v>13</x:v>
      </x:c>
      <x:c r="C334" s="17" t="n">
        <x:f>SUMIFS('Synthetic Sales Data'!$K$2:$K$1921,'Synthetic Sales Data'!$D$2:$D$1921,A334,'Synthetic Sales Data'!$C$2:$C$1921,B334)</x:f>
        <x:v>32</x:v>
      </x:c>
      <x:c r="D334" s="17" t="n">
        <x:f>SUMIFS('Synthetic Sales Data'!$W$2:$W$1921,'Synthetic Sales Data'!$D$2:$D$1921,A334,'Synthetic Sales Data'!$C$2:$C$1921,B334)</x:f>
        <x:v>37</x:v>
      </x:c>
      <x:c r="E334" s="2" t="n">
        <x:f>C334-D334</x:f>
        <x:v>-5</x:v>
      </x:c>
      <x:c r="F334" s="2" t="n">
        <x:f>ABS(E334)</x:f>
        <x:v>5</x:v>
      </x:c>
    </x:row>
    <x:row r="335" ht="23" customHeight="1">
      <x:c r="A335" s="2" t="str">
        <x:v>DEMO-305</x:v>
      </x:c>
      <x:c r="B335" s="2" t="n">
        <x:v>14</x:v>
      </x:c>
      <x:c r="C335" s="17" t="n">
        <x:f>SUMIFS('Synthetic Sales Data'!$K$2:$K$1921,'Synthetic Sales Data'!$D$2:$D$1921,A335,'Synthetic Sales Data'!$C$2:$C$1921,B335)</x:f>
        <x:v>31</x:v>
      </x:c>
      <x:c r="D335" s="17" t="n">
        <x:f>SUMIFS('Synthetic Sales Data'!$W$2:$W$1921,'Synthetic Sales Data'!$D$2:$D$1921,A335,'Synthetic Sales Data'!$C$2:$C$1921,B335)</x:f>
        <x:v>34</x:v>
      </x:c>
      <x:c r="E335" s="2" t="n">
        <x:f>C335-D335</x:f>
        <x:v>-3</x:v>
      </x:c>
      <x:c r="F335" s="2" t="n">
        <x:f>ABS(E335)</x:f>
        <x:v>3</x:v>
      </x:c>
    </x:row>
    <x:row r="336" ht="23" customHeight="1">
      <x:c r="A336" s="2" t="str">
        <x:v>DEMO-305</x:v>
      </x:c>
      <x:c r="B336" s="2" t="n">
        <x:v>15</x:v>
      </x:c>
      <x:c r="C336" s="17" t="n">
        <x:f>SUMIFS('Synthetic Sales Data'!$K$2:$K$1921,'Synthetic Sales Data'!$D$2:$D$1921,A336,'Synthetic Sales Data'!$C$2:$C$1921,B336)</x:f>
        <x:v>27</x:v>
      </x:c>
      <x:c r="D336" s="17" t="n">
        <x:f>SUMIFS('Synthetic Sales Data'!$W$2:$W$1921,'Synthetic Sales Data'!$D$2:$D$1921,A336,'Synthetic Sales Data'!$C$2:$C$1921,B336)</x:f>
        <x:v>33</x:v>
      </x:c>
      <x:c r="E336" s="2" t="n">
        <x:f>C336-D336</x:f>
        <x:v>-6</x:v>
      </x:c>
      <x:c r="F336" s="2" t="n">
        <x:f>ABS(E336)</x:f>
        <x:v>6</x:v>
      </x:c>
    </x:row>
    <x:row r="337" ht="23" customHeight="1">
      <x:c r="A337" s="2" t="str">
        <x:v>DEMO-305</x:v>
      </x:c>
      <x:c r="B337" s="2" t="n">
        <x:v>16</x:v>
      </x:c>
      <x:c r="C337" s="17" t="n">
        <x:f>SUMIFS('Synthetic Sales Data'!$K$2:$K$1921,'Synthetic Sales Data'!$D$2:$D$1921,A337,'Synthetic Sales Data'!$C$2:$C$1921,B337)</x:f>
        <x:v>28</x:v>
      </x:c>
      <x:c r="D337" s="17" t="n">
        <x:f>SUMIFS('Synthetic Sales Data'!$W$2:$W$1921,'Synthetic Sales Data'!$D$2:$D$1921,A337,'Synthetic Sales Data'!$C$2:$C$1921,B337)</x:f>
        <x:v>32</x:v>
      </x:c>
      <x:c r="E337" s="2" t="n">
        <x:f>C337-D337</x:f>
        <x:v>-4</x:v>
      </x:c>
      <x:c r="F337" s="2" t="n">
        <x:f>ABS(E337)</x:f>
        <x:v>4</x:v>
      </x:c>
    </x:row>
    <x:row r="338" ht="23" customHeight="1">
      <x:c r="A338" s="2" t="str">
        <x:v>DEMO-305</x:v>
      </x:c>
      <x:c r="B338" s="2" t="n">
        <x:v>17</x:v>
      </x:c>
      <x:c r="C338" s="17" t="n">
        <x:f>SUMIFS('Synthetic Sales Data'!$K$2:$K$1921,'Synthetic Sales Data'!$D$2:$D$1921,A338,'Synthetic Sales Data'!$C$2:$C$1921,B338)</x:f>
        <x:v>31</x:v>
      </x:c>
      <x:c r="D338" s="17" t="n">
        <x:f>SUMIFS('Synthetic Sales Data'!$W$2:$W$1921,'Synthetic Sales Data'!$D$2:$D$1921,A338,'Synthetic Sales Data'!$C$2:$C$1921,B338)</x:f>
        <x:v>30</x:v>
      </x:c>
      <x:c r="E338" s="2" t="n">
        <x:f>C338-D338</x:f>
        <x:v>1</x:v>
      </x:c>
      <x:c r="F338" s="2" t="n">
        <x:f>ABS(E338)</x:f>
        <x:v>1</x:v>
      </x:c>
    </x:row>
    <x:row r="339" ht="23" customHeight="1">
      <x:c r="A339" s="2" t="str">
        <x:v>DEMO-305</x:v>
      </x:c>
      <x:c r="B339" s="2" t="n">
        <x:v>18</x:v>
      </x:c>
      <x:c r="C339" s="17" t="n">
        <x:f>SUMIFS('Synthetic Sales Data'!$K$2:$K$1921,'Synthetic Sales Data'!$D$2:$D$1921,A339,'Synthetic Sales Data'!$C$2:$C$1921,B339)</x:f>
        <x:v>34</x:v>
      </x:c>
      <x:c r="D339" s="17" t="n">
        <x:f>SUMIFS('Synthetic Sales Data'!$W$2:$W$1921,'Synthetic Sales Data'!$D$2:$D$1921,A339,'Synthetic Sales Data'!$C$2:$C$1921,B339)</x:f>
        <x:v>29</x:v>
      </x:c>
      <x:c r="E339" s="2" t="n">
        <x:f>C339-D339</x:f>
        <x:v>5</x:v>
      </x:c>
      <x:c r="F339" s="2" t="n">
        <x:f>ABS(E339)</x:f>
        <x:v>5</x:v>
      </x:c>
    </x:row>
    <x:row r="340" ht="23" customHeight="1">
      <x:c r="A340" s="2" t="str">
        <x:v>DEMO-305</x:v>
      </x:c>
      <x:c r="B340" s="2" t="n">
        <x:v>19</x:v>
      </x:c>
      <x:c r="C340" s="17" t="n">
        <x:f>SUMIFS('Synthetic Sales Data'!$K$2:$K$1921,'Synthetic Sales Data'!$D$2:$D$1921,A340,'Synthetic Sales Data'!$C$2:$C$1921,B340)</x:f>
        <x:v>29</x:v>
      </x:c>
      <x:c r="D340" s="17" t="n">
        <x:f>SUMIFS('Synthetic Sales Data'!$W$2:$W$1921,'Synthetic Sales Data'!$D$2:$D$1921,A340,'Synthetic Sales Data'!$C$2:$C$1921,B340)</x:f>
        <x:v>31</x:v>
      </x:c>
      <x:c r="E340" s="2" t="n">
        <x:f>C340-D340</x:f>
        <x:v>-2</x:v>
      </x:c>
      <x:c r="F340" s="2" t="n">
        <x:f>ABS(E340)</x:f>
        <x:v>2</x:v>
      </x:c>
    </x:row>
    <x:row r="341" ht="23" customHeight="1">
      <x:c r="A341" s="2" t="str">
        <x:v>DEMO-305</x:v>
      </x:c>
      <x:c r="B341" s="2" t="n">
        <x:v>20</x:v>
      </x:c>
      <x:c r="C341" s="17" t="n">
        <x:f>SUMIFS('Synthetic Sales Data'!$K$2:$K$1921,'Synthetic Sales Data'!$D$2:$D$1921,A341,'Synthetic Sales Data'!$C$2:$C$1921,B341)</x:f>
        <x:v>29</x:v>
      </x:c>
      <x:c r="D341" s="17" t="n">
        <x:f>SUMIFS('Synthetic Sales Data'!$W$2:$W$1921,'Synthetic Sales Data'!$D$2:$D$1921,A341,'Synthetic Sales Data'!$C$2:$C$1921,B341)</x:f>
        <x:v>31</x:v>
      </x:c>
      <x:c r="E341" s="2" t="n">
        <x:f>C341-D341</x:f>
        <x:v>-2</x:v>
      </x:c>
      <x:c r="F341" s="2" t="n">
        <x:f>ABS(E341)</x:f>
        <x:v>2</x:v>
      </x:c>
    </x:row>
    <x:row r="342" ht="23" customHeight="1">
      <x:c r="A342" s="2" t="str">
        <x:v>DEMO-306</x:v>
      </x:c>
      <x:c r="B342" s="2" t="n">
        <x:v>1</x:v>
      </x:c>
      <x:c r="C342" s="17" t="n">
        <x:f>SUMIFS('Synthetic Sales Data'!$K$2:$K$1921,'Synthetic Sales Data'!$D$2:$D$1921,A342,'Synthetic Sales Data'!$C$2:$C$1921,B342)</x:f>
        <x:v>71</x:v>
      </x:c>
      <x:c r="D342" s="17" t="n">
        <x:f>SUMIFS('Synthetic Sales Data'!$W$2:$W$1921,'Synthetic Sales Data'!$D$2:$D$1921,A342,'Synthetic Sales Data'!$C$2:$C$1921,B342)</x:f>
        <x:v>66</x:v>
      </x:c>
      <x:c r="E342" s="2" t="n">
        <x:f>C342-D342</x:f>
        <x:v>5</x:v>
      </x:c>
      <x:c r="F342" s="2" t="n">
        <x:f>ABS(E342)</x:f>
        <x:v>5</x:v>
      </x:c>
    </x:row>
    <x:row r="343" ht="23" customHeight="1">
      <x:c r="A343" s="2" t="str">
        <x:v>DEMO-306</x:v>
      </x:c>
      <x:c r="B343" s="2" t="n">
        <x:v>2</x:v>
      </x:c>
      <x:c r="C343" s="17" t="n">
        <x:f>SUMIFS('Synthetic Sales Data'!$K$2:$K$1921,'Synthetic Sales Data'!$D$2:$D$1921,A343,'Synthetic Sales Data'!$C$2:$C$1921,B343)</x:f>
        <x:v>60</x:v>
      </x:c>
      <x:c r="D343" s="17" t="n">
        <x:f>SUMIFS('Synthetic Sales Data'!$W$2:$W$1921,'Synthetic Sales Data'!$D$2:$D$1921,A343,'Synthetic Sales Data'!$C$2:$C$1921,B343)</x:f>
        <x:v>71</x:v>
      </x:c>
      <x:c r="E343" s="2" t="n">
        <x:f>C343-D343</x:f>
        <x:v>-11</x:v>
      </x:c>
      <x:c r="F343" s="2" t="n">
        <x:f>ABS(E343)</x:f>
        <x:v>11</x:v>
      </x:c>
    </x:row>
    <x:row r="344" ht="23" customHeight="1">
      <x:c r="A344" s="2" t="str">
        <x:v>DEMO-306</x:v>
      </x:c>
      <x:c r="B344" s="2" t="n">
        <x:v>3</x:v>
      </x:c>
      <x:c r="C344" s="17" t="n">
        <x:f>SUMIFS('Synthetic Sales Data'!$K$2:$K$1921,'Synthetic Sales Data'!$D$2:$D$1921,A344,'Synthetic Sales Data'!$C$2:$C$1921,B344)</x:f>
        <x:v>54</x:v>
      </x:c>
      <x:c r="D344" s="17" t="n">
        <x:f>SUMIFS('Synthetic Sales Data'!$W$2:$W$1921,'Synthetic Sales Data'!$D$2:$D$1921,A344,'Synthetic Sales Data'!$C$2:$C$1921,B344)</x:f>
        <x:v>66</x:v>
      </x:c>
      <x:c r="E344" s="2" t="n">
        <x:f>C344-D344</x:f>
        <x:v>-12</x:v>
      </x:c>
      <x:c r="F344" s="2" t="n">
        <x:f>ABS(E344)</x:f>
        <x:v>12</x:v>
      </x:c>
    </x:row>
    <x:row r="345" ht="23" customHeight="1">
      <x:c r="A345" s="2" t="str">
        <x:v>DEMO-306</x:v>
      </x:c>
      <x:c r="B345" s="2" t="n">
        <x:v>4</x:v>
      </x:c>
      <x:c r="C345" s="17" t="n">
        <x:f>SUMIFS('Synthetic Sales Data'!$K$2:$K$1921,'Synthetic Sales Data'!$D$2:$D$1921,A345,'Synthetic Sales Data'!$C$2:$C$1921,B345)</x:f>
        <x:v>53</x:v>
      </x:c>
      <x:c r="D345" s="17" t="n">
        <x:f>SUMIFS('Synthetic Sales Data'!$W$2:$W$1921,'Synthetic Sales Data'!$D$2:$D$1921,A345,'Synthetic Sales Data'!$C$2:$C$1921,B345)</x:f>
        <x:v>62</x:v>
      </x:c>
      <x:c r="E345" s="2" t="n">
        <x:f>C345-D345</x:f>
        <x:v>-9</x:v>
      </x:c>
      <x:c r="F345" s="2" t="n">
        <x:f>ABS(E345)</x:f>
        <x:v>9</x:v>
      </x:c>
    </x:row>
    <x:row r="346" ht="23" customHeight="1">
      <x:c r="A346" s="2" t="str">
        <x:v>DEMO-306</x:v>
      </x:c>
      <x:c r="B346" s="2" t="n">
        <x:v>5</x:v>
      </x:c>
      <x:c r="C346" s="17" t="n">
        <x:f>SUMIFS('Synthetic Sales Data'!$K$2:$K$1921,'Synthetic Sales Data'!$D$2:$D$1921,A346,'Synthetic Sales Data'!$C$2:$C$1921,B346)</x:f>
        <x:v>61</x:v>
      </x:c>
      <x:c r="D346" s="17" t="n">
        <x:f>SUMIFS('Synthetic Sales Data'!$W$2:$W$1921,'Synthetic Sales Data'!$D$2:$D$1921,A346,'Synthetic Sales Data'!$C$2:$C$1921,B346)</x:f>
        <x:v>60</x:v>
      </x:c>
      <x:c r="E346" s="2" t="n">
        <x:f>C346-D346</x:f>
        <x:v>1</x:v>
      </x:c>
      <x:c r="F346" s="2" t="n">
        <x:f>ABS(E346)</x:f>
        <x:v>1</x:v>
      </x:c>
    </x:row>
    <x:row r="347" ht="23" customHeight="1">
      <x:c r="A347" s="2" t="str">
        <x:v>DEMO-306</x:v>
      </x:c>
      <x:c r="B347" s="2" t="n">
        <x:v>6</x:v>
      </x:c>
      <x:c r="C347" s="17" t="n">
        <x:f>SUMIFS('Synthetic Sales Data'!$K$2:$K$1921,'Synthetic Sales Data'!$D$2:$D$1921,A347,'Synthetic Sales Data'!$C$2:$C$1921,B347)</x:f>
        <x:v>54</x:v>
      </x:c>
      <x:c r="D347" s="17" t="n">
        <x:f>SUMIFS('Synthetic Sales Data'!$W$2:$W$1921,'Synthetic Sales Data'!$D$2:$D$1921,A347,'Synthetic Sales Data'!$C$2:$C$1921,B347)</x:f>
        <x:v>57</x:v>
      </x:c>
      <x:c r="E347" s="2" t="n">
        <x:f>C347-D347</x:f>
        <x:v>-3</x:v>
      </x:c>
      <x:c r="F347" s="2" t="n">
        <x:f>ABS(E347)</x:f>
        <x:v>3</x:v>
      </x:c>
    </x:row>
    <x:row r="348" ht="23" customHeight="1">
      <x:c r="A348" s="2" t="str">
        <x:v>DEMO-306</x:v>
      </x:c>
      <x:c r="B348" s="2" t="n">
        <x:v>7</x:v>
      </x:c>
      <x:c r="C348" s="17" t="n">
        <x:f>SUMIFS('Synthetic Sales Data'!$K$2:$K$1921,'Synthetic Sales Data'!$D$2:$D$1921,A348,'Synthetic Sales Data'!$C$2:$C$1921,B348)</x:f>
        <x:v>56</x:v>
      </x:c>
      <x:c r="D348" s="17" t="n">
        <x:f>SUMIFS('Synthetic Sales Data'!$W$2:$W$1921,'Synthetic Sales Data'!$D$2:$D$1921,A348,'Synthetic Sales Data'!$C$2:$C$1921,B348)</x:f>
        <x:v>56</x:v>
      </x:c>
      <x:c r="E348" s="2" t="n">
        <x:f>C348-D348</x:f>
        <x:v>0</x:v>
      </x:c>
      <x:c r="F348" s="2" t="n">
        <x:f>ABS(E348)</x:f>
        <x:v>0</x:v>
      </x:c>
    </x:row>
    <x:row r="349" ht="23" customHeight="1">
      <x:c r="A349" s="2" t="str">
        <x:v>DEMO-306</x:v>
      </x:c>
      <x:c r="B349" s="2" t="n">
        <x:v>8</x:v>
      </x:c>
      <x:c r="C349" s="17" t="n">
        <x:f>SUMIFS('Synthetic Sales Data'!$K$2:$K$1921,'Synthetic Sales Data'!$D$2:$D$1921,A349,'Synthetic Sales Data'!$C$2:$C$1921,B349)</x:f>
        <x:v>51</x:v>
      </x:c>
      <x:c r="D349" s="17" t="n">
        <x:f>SUMIFS('Synthetic Sales Data'!$W$2:$W$1921,'Synthetic Sales Data'!$D$2:$D$1921,A349,'Synthetic Sales Data'!$C$2:$C$1921,B349)</x:f>
        <x:v>57</x:v>
      </x:c>
      <x:c r="E349" s="2" t="n">
        <x:f>C349-D349</x:f>
        <x:v>-6</x:v>
      </x:c>
      <x:c r="F349" s="2" t="n">
        <x:f>ABS(E349)</x:f>
        <x:v>6</x:v>
      </x:c>
    </x:row>
    <x:row r="350" ht="23" customHeight="1">
      <x:c r="A350" s="2" t="str">
        <x:v>DEMO-306</x:v>
      </x:c>
      <x:c r="B350" s="2" t="n">
        <x:v>9</x:v>
      </x:c>
      <x:c r="C350" s="17" t="n">
        <x:f>SUMIFS('Synthetic Sales Data'!$K$2:$K$1921,'Synthetic Sales Data'!$D$2:$D$1921,A350,'Synthetic Sales Data'!$C$2:$C$1921,B350)</x:f>
        <x:v>52</x:v>
      </x:c>
      <x:c r="D350" s="17" t="n">
        <x:f>SUMIFS('Synthetic Sales Data'!$W$2:$W$1921,'Synthetic Sales Data'!$D$2:$D$1921,A350,'Synthetic Sales Data'!$C$2:$C$1921,B350)</x:f>
        <x:v>55</x:v>
      </x:c>
      <x:c r="E350" s="2" t="n">
        <x:f>C350-D350</x:f>
        <x:v>-3</x:v>
      </x:c>
      <x:c r="F350" s="2" t="n">
        <x:f>ABS(E350)</x:f>
        <x:v>3</x:v>
      </x:c>
    </x:row>
    <x:row r="351" ht="23" customHeight="1">
      <x:c r="A351" s="2" t="str">
        <x:v>DEMO-306</x:v>
      </x:c>
      <x:c r="B351" s="2" t="n">
        <x:v>10</x:v>
      </x:c>
      <x:c r="C351" s="17" t="n">
        <x:f>SUMIFS('Synthetic Sales Data'!$K$2:$K$1921,'Synthetic Sales Data'!$D$2:$D$1921,A351,'Synthetic Sales Data'!$C$2:$C$1921,B351)</x:f>
        <x:v>45</x:v>
      </x:c>
      <x:c r="D351" s="17" t="n">
        <x:f>SUMIFS('Synthetic Sales Data'!$W$2:$W$1921,'Synthetic Sales Data'!$D$2:$D$1921,A351,'Synthetic Sales Data'!$C$2:$C$1921,B351)</x:f>
        <x:v>53</x:v>
      </x:c>
      <x:c r="E351" s="2" t="n">
        <x:f>C351-D351</x:f>
        <x:v>-8</x:v>
      </x:c>
      <x:c r="F351" s="2" t="n">
        <x:f>ABS(E351)</x:f>
        <x:v>8</x:v>
      </x:c>
    </x:row>
    <x:row r="352" ht="23" customHeight="1">
      <x:c r="A352" s="2" t="str">
        <x:v>DEMO-306</x:v>
      </x:c>
      <x:c r="B352" s="2" t="n">
        <x:v>11</x:v>
      </x:c>
      <x:c r="C352" s="17" t="n">
        <x:f>SUMIFS('Synthetic Sales Data'!$K$2:$K$1921,'Synthetic Sales Data'!$D$2:$D$1921,A352,'Synthetic Sales Data'!$C$2:$C$1921,B352)</x:f>
        <x:v>47</x:v>
      </x:c>
      <x:c r="D352" s="17" t="n">
        <x:f>SUMIFS('Synthetic Sales Data'!$W$2:$W$1921,'Synthetic Sales Data'!$D$2:$D$1921,A352,'Synthetic Sales Data'!$C$2:$C$1921,B352)</x:f>
        <x:v>51</x:v>
      </x:c>
      <x:c r="E352" s="2" t="n">
        <x:f>C352-D352</x:f>
        <x:v>-4</x:v>
      </x:c>
      <x:c r="F352" s="2" t="n">
        <x:f>ABS(E352)</x:f>
        <x:v>4</x:v>
      </x:c>
    </x:row>
    <x:row r="353" ht="23" customHeight="1">
      <x:c r="A353" s="2" t="str">
        <x:v>DEMO-306</x:v>
      </x:c>
      <x:c r="B353" s="2" t="n">
        <x:v>12</x:v>
      </x:c>
      <x:c r="C353" s="17" t="n">
        <x:f>SUMIFS('Synthetic Sales Data'!$K$2:$K$1921,'Synthetic Sales Data'!$D$2:$D$1921,A353,'Synthetic Sales Data'!$C$2:$C$1921,B353)</x:f>
        <x:v>45</x:v>
      </x:c>
      <x:c r="D353" s="17" t="n">
        <x:f>SUMIFS('Synthetic Sales Data'!$W$2:$W$1921,'Synthetic Sales Data'!$D$2:$D$1921,A353,'Synthetic Sales Data'!$C$2:$C$1921,B353)</x:f>
        <x:v>49</x:v>
      </x:c>
      <x:c r="E353" s="2" t="n">
        <x:f>C353-D353</x:f>
        <x:v>-4</x:v>
      </x:c>
      <x:c r="F353" s="2" t="n">
        <x:f>ABS(E353)</x:f>
        <x:v>4</x:v>
      </x:c>
    </x:row>
    <x:row r="354" ht="23" customHeight="1">
      <x:c r="A354" s="2" t="str">
        <x:v>DEMO-306</x:v>
      </x:c>
      <x:c r="B354" s="2" t="n">
        <x:v>13</x:v>
      </x:c>
      <x:c r="C354" s="17" t="n">
        <x:f>SUMIFS('Synthetic Sales Data'!$K$2:$K$1921,'Synthetic Sales Data'!$D$2:$D$1921,A354,'Synthetic Sales Data'!$C$2:$C$1921,B354)</x:f>
        <x:v>44</x:v>
      </x:c>
      <x:c r="D354" s="17" t="n">
        <x:f>SUMIFS('Synthetic Sales Data'!$W$2:$W$1921,'Synthetic Sales Data'!$D$2:$D$1921,A354,'Synthetic Sales Data'!$C$2:$C$1921,B354)</x:f>
        <x:v>48</x:v>
      </x:c>
      <x:c r="E354" s="2" t="n">
        <x:f>C354-D354</x:f>
        <x:v>-4</x:v>
      </x:c>
      <x:c r="F354" s="2" t="n">
        <x:f>ABS(E354)</x:f>
        <x:v>4</x:v>
      </x:c>
    </x:row>
    <x:row r="355" ht="23" customHeight="1">
      <x:c r="A355" s="2" t="str">
        <x:v>DEMO-306</x:v>
      </x:c>
      <x:c r="B355" s="2" t="n">
        <x:v>14</x:v>
      </x:c>
      <x:c r="C355" s="17" t="n">
        <x:f>SUMIFS('Synthetic Sales Data'!$K$2:$K$1921,'Synthetic Sales Data'!$D$2:$D$1921,A355,'Synthetic Sales Data'!$C$2:$C$1921,B355)</x:f>
        <x:v>42</x:v>
      </x:c>
      <x:c r="D355" s="17" t="n">
        <x:f>SUMIFS('Synthetic Sales Data'!$W$2:$W$1921,'Synthetic Sales Data'!$D$2:$D$1921,A355,'Synthetic Sales Data'!$C$2:$C$1921,B355)</x:f>
        <x:v>47</x:v>
      </x:c>
      <x:c r="E355" s="2" t="n">
        <x:f>C355-D355</x:f>
        <x:v>-5</x:v>
      </x:c>
      <x:c r="F355" s="2" t="n">
        <x:f>ABS(E355)</x:f>
        <x:v>5</x:v>
      </x:c>
    </x:row>
    <x:row r="356" ht="23" customHeight="1">
      <x:c r="A356" s="2" t="str">
        <x:v>DEMO-306</x:v>
      </x:c>
      <x:c r="B356" s="2" t="n">
        <x:v>15</x:v>
      </x:c>
      <x:c r="C356" s="17" t="n">
        <x:f>SUMIFS('Synthetic Sales Data'!$K$2:$K$1921,'Synthetic Sales Data'!$D$2:$D$1921,A356,'Synthetic Sales Data'!$C$2:$C$1921,B356)</x:f>
        <x:v>34</x:v>
      </x:c>
      <x:c r="D356" s="17" t="n">
        <x:f>SUMIFS('Synthetic Sales Data'!$W$2:$W$1921,'Synthetic Sales Data'!$D$2:$D$1921,A356,'Synthetic Sales Data'!$C$2:$C$1921,B356)</x:f>
        <x:v>46</x:v>
      </x:c>
      <x:c r="E356" s="2" t="n">
        <x:f>C356-D356</x:f>
        <x:v>-12</x:v>
      </x:c>
      <x:c r="F356" s="2" t="n">
        <x:f>ABS(E356)</x:f>
        <x:v>12</x:v>
      </x:c>
    </x:row>
    <x:row r="357" ht="23" customHeight="1">
      <x:c r="A357" s="2" t="str">
        <x:v>DEMO-306</x:v>
      </x:c>
      <x:c r="B357" s="2" t="n">
        <x:v>16</x:v>
      </x:c>
      <x:c r="C357" s="17" t="n">
        <x:f>SUMIFS('Synthetic Sales Data'!$K$2:$K$1921,'Synthetic Sales Data'!$D$2:$D$1921,A357,'Synthetic Sales Data'!$C$2:$C$1921,B357)</x:f>
        <x:v>41</x:v>
      </x:c>
      <x:c r="D357" s="17" t="n">
        <x:f>SUMIFS('Synthetic Sales Data'!$W$2:$W$1921,'Synthetic Sales Data'!$D$2:$D$1921,A357,'Synthetic Sales Data'!$C$2:$C$1921,B357)</x:f>
        <x:v>42</x:v>
      </x:c>
      <x:c r="E357" s="2" t="n">
        <x:f>C357-D357</x:f>
        <x:v>-1</x:v>
      </x:c>
      <x:c r="F357" s="2" t="n">
        <x:f>ABS(E357)</x:f>
        <x:v>1</x:v>
      </x:c>
    </x:row>
    <x:row r="358" ht="23" customHeight="1">
      <x:c r="A358" s="2" t="str">
        <x:v>DEMO-306</x:v>
      </x:c>
      <x:c r="B358" s="2" t="n">
        <x:v>17</x:v>
      </x:c>
      <x:c r="C358" s="17" t="n">
        <x:f>SUMIFS('Synthetic Sales Data'!$K$2:$K$1921,'Synthetic Sales Data'!$D$2:$D$1921,A358,'Synthetic Sales Data'!$C$2:$C$1921,B358)</x:f>
        <x:v>46</x:v>
      </x:c>
      <x:c r="D358" s="17" t="n">
        <x:f>SUMIFS('Synthetic Sales Data'!$W$2:$W$1921,'Synthetic Sales Data'!$D$2:$D$1921,A358,'Synthetic Sales Data'!$C$2:$C$1921,B358)</x:f>
        <x:v>40</x:v>
      </x:c>
      <x:c r="E358" s="2" t="n">
        <x:f>C358-D358</x:f>
        <x:v>6</x:v>
      </x:c>
      <x:c r="F358" s="2" t="n">
        <x:f>ABS(E358)</x:f>
        <x:v>6</x:v>
      </x:c>
    </x:row>
    <x:row r="359" ht="23" customHeight="1">
      <x:c r="A359" s="2" t="str">
        <x:v>DEMO-306</x:v>
      </x:c>
      <x:c r="B359" s="2" t="n">
        <x:v>18</x:v>
      </x:c>
      <x:c r="C359" s="17" t="n">
        <x:f>SUMIFS('Synthetic Sales Data'!$K$2:$K$1921,'Synthetic Sales Data'!$D$2:$D$1921,A359,'Synthetic Sales Data'!$C$2:$C$1921,B359)</x:f>
        <x:v>38</x:v>
      </x:c>
      <x:c r="D359" s="17" t="n">
        <x:f>SUMIFS('Synthetic Sales Data'!$W$2:$W$1921,'Synthetic Sales Data'!$D$2:$D$1921,A359,'Synthetic Sales Data'!$C$2:$C$1921,B359)</x:f>
        <x:v>41</x:v>
      </x:c>
      <x:c r="E359" s="2" t="n">
        <x:f>C359-D359</x:f>
        <x:v>-3</x:v>
      </x:c>
      <x:c r="F359" s="2" t="n">
        <x:f>ABS(E359)</x:f>
        <x:v>3</x:v>
      </x:c>
    </x:row>
    <x:row r="360" ht="23" customHeight="1">
      <x:c r="A360" s="2" t="str">
        <x:v>DEMO-306</x:v>
      </x:c>
      <x:c r="B360" s="2" t="n">
        <x:v>19</x:v>
      </x:c>
      <x:c r="C360" s="17" t="n">
        <x:f>SUMIFS('Synthetic Sales Data'!$K$2:$K$1921,'Synthetic Sales Data'!$D$2:$D$1921,A360,'Synthetic Sales Data'!$C$2:$C$1921,B360)</x:f>
        <x:v>43</x:v>
      </x:c>
      <x:c r="D360" s="17" t="n">
        <x:f>SUMIFS('Synthetic Sales Data'!$W$2:$W$1921,'Synthetic Sales Data'!$D$2:$D$1921,A360,'Synthetic Sales Data'!$C$2:$C$1921,B360)</x:f>
        <x:v>40</x:v>
      </x:c>
      <x:c r="E360" s="2" t="n">
        <x:f>C360-D360</x:f>
        <x:v>3</x:v>
      </x:c>
      <x:c r="F360" s="2" t="n">
        <x:f>ABS(E360)</x:f>
        <x:v>3</x:v>
      </x:c>
    </x:row>
    <x:row r="361" ht="23" customHeight="1">
      <x:c r="A361" s="2" t="str">
        <x:v>DEMO-306</x:v>
      </x:c>
      <x:c r="B361" s="2" t="n">
        <x:v>20</x:v>
      </x:c>
      <x:c r="C361" s="17" t="n">
        <x:f>SUMIFS('Synthetic Sales Data'!$K$2:$K$1921,'Synthetic Sales Data'!$D$2:$D$1921,A361,'Synthetic Sales Data'!$C$2:$C$1921,B361)</x:f>
        <x:v>39</x:v>
      </x:c>
      <x:c r="D361" s="17" t="n">
        <x:f>SUMIFS('Synthetic Sales Data'!$W$2:$W$1921,'Synthetic Sales Data'!$D$2:$D$1921,A361,'Synthetic Sales Data'!$C$2:$C$1921,B361)</x:f>
        <x:v>43</x:v>
      </x:c>
      <x:c r="E361" s="2" t="n">
        <x:f>C361-D361</x:f>
        <x:v>-4</x:v>
      </x:c>
      <x:c r="F361" s="2" t="n">
        <x:f>ABS(E361)</x:f>
        <x:v>4</x:v>
      </x:c>
    </x:row>
    <x:row r="362" ht="23" customHeight="1">
      <x:c r="A362" s="2" t="str">
        <x:v>DEMO-401</x:v>
      </x:c>
      <x:c r="B362" s="2" t="n">
        <x:v>1</x:v>
      </x:c>
      <x:c r="C362" s="17" t="n">
        <x:f>SUMIFS('Synthetic Sales Data'!$K$2:$K$1921,'Synthetic Sales Data'!$D$2:$D$1921,A362,'Synthetic Sales Data'!$C$2:$C$1921,B362)</x:f>
        <x:v>52</x:v>
      </x:c>
      <x:c r="D362" s="17" t="n">
        <x:f>SUMIFS('Synthetic Sales Data'!$W$2:$W$1921,'Synthetic Sales Data'!$D$2:$D$1921,A362,'Synthetic Sales Data'!$C$2:$C$1921,B362)</x:f>
        <x:v>52</x:v>
      </x:c>
      <x:c r="E362" s="2" t="n">
        <x:f>C362-D362</x:f>
        <x:v>0</x:v>
      </x:c>
      <x:c r="F362" s="2" t="n">
        <x:f>ABS(E362)</x:f>
        <x:v>0</x:v>
      </x:c>
    </x:row>
    <x:row r="363" ht="23" customHeight="1">
      <x:c r="A363" s="2" t="str">
        <x:v>DEMO-401</x:v>
      </x:c>
      <x:c r="B363" s="2" t="n">
        <x:v>2</x:v>
      </x:c>
      <x:c r="C363" s="17" t="n">
        <x:f>SUMIFS('Synthetic Sales Data'!$K$2:$K$1921,'Synthetic Sales Data'!$D$2:$D$1921,A363,'Synthetic Sales Data'!$C$2:$C$1921,B363)</x:f>
        <x:v>52</x:v>
      </x:c>
      <x:c r="D363" s="17" t="n">
        <x:f>SUMIFS('Synthetic Sales Data'!$W$2:$W$1921,'Synthetic Sales Data'!$D$2:$D$1921,A363,'Synthetic Sales Data'!$C$2:$C$1921,B363)</x:f>
        <x:v>52</x:v>
      </x:c>
      <x:c r="E363" s="2" t="n">
        <x:f>C363-D363</x:f>
        <x:v>0</x:v>
      </x:c>
      <x:c r="F363" s="2" t="n">
        <x:f>ABS(E363)</x:f>
        <x:v>0</x:v>
      </x:c>
    </x:row>
    <x:row r="364" ht="23" customHeight="1">
      <x:c r="A364" s="2" t="str">
        <x:v>DEMO-401</x:v>
      </x:c>
      <x:c r="B364" s="2" t="n">
        <x:v>3</x:v>
      </x:c>
      <x:c r="C364" s="17" t="n">
        <x:f>SUMIFS('Synthetic Sales Data'!$K$2:$K$1921,'Synthetic Sales Data'!$D$2:$D$1921,A364,'Synthetic Sales Data'!$C$2:$C$1921,B364)</x:f>
        <x:v>47</x:v>
      </x:c>
      <x:c r="D364" s="17" t="n">
        <x:f>SUMIFS('Synthetic Sales Data'!$W$2:$W$1921,'Synthetic Sales Data'!$D$2:$D$1921,A364,'Synthetic Sales Data'!$C$2:$C$1921,B364)</x:f>
        <x:v>53</x:v>
      </x:c>
      <x:c r="E364" s="2" t="n">
        <x:f>C364-D364</x:f>
        <x:v>-6</x:v>
      </x:c>
      <x:c r="F364" s="2" t="n">
        <x:f>ABS(E364)</x:f>
        <x:v>6</x:v>
      </x:c>
    </x:row>
    <x:row r="365" ht="23" customHeight="1">
      <x:c r="A365" s="2" t="str">
        <x:v>DEMO-401</x:v>
      </x:c>
      <x:c r="B365" s="2" t="n">
        <x:v>4</x:v>
      </x:c>
      <x:c r="C365" s="17" t="n">
        <x:f>SUMIFS('Synthetic Sales Data'!$K$2:$K$1921,'Synthetic Sales Data'!$D$2:$D$1921,A365,'Synthetic Sales Data'!$C$2:$C$1921,B365)</x:f>
        <x:v>49</x:v>
      </x:c>
      <x:c r="D365" s="17" t="n">
        <x:f>SUMIFS('Synthetic Sales Data'!$W$2:$W$1921,'Synthetic Sales Data'!$D$2:$D$1921,A365,'Synthetic Sales Data'!$C$2:$C$1921,B365)</x:f>
        <x:v>51</x:v>
      </x:c>
      <x:c r="E365" s="2" t="n">
        <x:f>C365-D365</x:f>
        <x:v>-2</x:v>
      </x:c>
      <x:c r="F365" s="2" t="n">
        <x:f>ABS(E365)</x:f>
        <x:v>2</x:v>
      </x:c>
    </x:row>
    <x:row r="366" ht="23" customHeight="1">
      <x:c r="A366" s="2" t="str">
        <x:v>DEMO-401</x:v>
      </x:c>
      <x:c r="B366" s="2" t="n">
        <x:v>5</x:v>
      </x:c>
      <x:c r="C366" s="17" t="n">
        <x:f>SUMIFS('Synthetic Sales Data'!$K$2:$K$1921,'Synthetic Sales Data'!$D$2:$D$1921,A366,'Synthetic Sales Data'!$C$2:$C$1921,B366)</x:f>
        <x:v>46</x:v>
      </x:c>
      <x:c r="D366" s="17" t="n">
        <x:f>SUMIFS('Synthetic Sales Data'!$W$2:$W$1921,'Synthetic Sales Data'!$D$2:$D$1921,A366,'Synthetic Sales Data'!$C$2:$C$1921,B366)</x:f>
        <x:v>51</x:v>
      </x:c>
      <x:c r="E366" s="2" t="n">
        <x:f>C366-D366</x:f>
        <x:v>-5</x:v>
      </x:c>
      <x:c r="F366" s="2" t="n">
        <x:f>ABS(E366)</x:f>
        <x:v>5</x:v>
      </x:c>
    </x:row>
    <x:row r="367" ht="23" customHeight="1">
      <x:c r="A367" s="2" t="str">
        <x:v>DEMO-401</x:v>
      </x:c>
      <x:c r="B367" s="2" t="n">
        <x:v>6</x:v>
      </x:c>
      <x:c r="C367" s="17" t="n">
        <x:f>SUMIFS('Synthetic Sales Data'!$K$2:$K$1921,'Synthetic Sales Data'!$D$2:$D$1921,A367,'Synthetic Sales Data'!$C$2:$C$1921,B367)</x:f>
        <x:v>53</x:v>
      </x:c>
      <x:c r="D367" s="17" t="n">
        <x:f>SUMIFS('Synthetic Sales Data'!$W$2:$W$1921,'Synthetic Sales Data'!$D$2:$D$1921,A367,'Synthetic Sales Data'!$C$2:$C$1921,B367)</x:f>
        <x:v>48</x:v>
      </x:c>
      <x:c r="E367" s="2" t="n">
        <x:f>C367-D367</x:f>
        <x:v>5</x:v>
      </x:c>
      <x:c r="F367" s="2" t="n">
        <x:f>ABS(E367)</x:f>
        <x:v>5</x:v>
      </x:c>
    </x:row>
    <x:row r="368" ht="23" customHeight="1">
      <x:c r="A368" s="2" t="str">
        <x:v>DEMO-401</x:v>
      </x:c>
      <x:c r="B368" s="2" t="n">
        <x:v>7</x:v>
      </x:c>
      <x:c r="C368" s="17" t="n">
        <x:f>SUMIFS('Synthetic Sales Data'!$K$2:$K$1921,'Synthetic Sales Data'!$D$2:$D$1921,A368,'Synthetic Sales Data'!$C$2:$C$1921,B368)</x:f>
        <x:v>46</x:v>
      </x:c>
      <x:c r="D368" s="17" t="n">
        <x:f>SUMIFS('Synthetic Sales Data'!$W$2:$W$1921,'Synthetic Sales Data'!$D$2:$D$1921,A368,'Synthetic Sales Data'!$C$2:$C$1921,B368)</x:f>
        <x:v>49</x:v>
      </x:c>
      <x:c r="E368" s="2" t="n">
        <x:f>C368-D368</x:f>
        <x:v>-3</x:v>
      </x:c>
      <x:c r="F368" s="2" t="n">
        <x:f>ABS(E368)</x:f>
        <x:v>3</x:v>
      </x:c>
    </x:row>
    <x:row r="369" ht="23" customHeight="1">
      <x:c r="A369" s="2" t="str">
        <x:v>DEMO-401</x:v>
      </x:c>
      <x:c r="B369" s="2" t="n">
        <x:v>8</x:v>
      </x:c>
      <x:c r="C369" s="17" t="n">
        <x:f>SUMIFS('Synthetic Sales Data'!$K$2:$K$1921,'Synthetic Sales Data'!$D$2:$D$1921,A369,'Synthetic Sales Data'!$C$2:$C$1921,B369)</x:f>
        <x:v>54</x:v>
      </x:c>
      <x:c r="D369" s="17" t="n">
        <x:f>SUMIFS('Synthetic Sales Data'!$W$2:$W$1921,'Synthetic Sales Data'!$D$2:$D$1921,A369,'Synthetic Sales Data'!$C$2:$C$1921,B369)</x:f>
        <x:v>50</x:v>
      </x:c>
      <x:c r="E369" s="2" t="n">
        <x:f>C369-D369</x:f>
        <x:v>4</x:v>
      </x:c>
      <x:c r="F369" s="2" t="n">
        <x:f>ABS(E369)</x:f>
        <x:v>4</x:v>
      </x:c>
    </x:row>
    <x:row r="370" ht="23" customHeight="1">
      <x:c r="A370" s="2" t="str">
        <x:v>DEMO-401</x:v>
      </x:c>
      <x:c r="B370" s="2" t="n">
        <x:v>9</x:v>
      </x:c>
      <x:c r="C370" s="17" t="n">
        <x:f>SUMIFS('Synthetic Sales Data'!$K$2:$K$1921,'Synthetic Sales Data'!$D$2:$D$1921,A370,'Synthetic Sales Data'!$C$2:$C$1921,B370)</x:f>
        <x:v>47</x:v>
      </x:c>
      <x:c r="D370" s="17" t="n">
        <x:f>SUMIFS('Synthetic Sales Data'!$W$2:$W$1921,'Synthetic Sales Data'!$D$2:$D$1921,A370,'Synthetic Sales Data'!$C$2:$C$1921,B370)</x:f>
        <x:v>49</x:v>
      </x:c>
      <x:c r="E370" s="2" t="n">
        <x:f>C370-D370</x:f>
        <x:v>-2</x:v>
      </x:c>
      <x:c r="F370" s="2" t="n">
        <x:f>ABS(E370)</x:f>
        <x:v>2</x:v>
      </x:c>
    </x:row>
    <x:row r="371" ht="23" customHeight="1">
      <x:c r="A371" s="2" t="str">
        <x:v>DEMO-401</x:v>
      </x:c>
      <x:c r="B371" s="2" t="n">
        <x:v>10</x:v>
      </x:c>
      <x:c r="C371" s="17" t="n">
        <x:f>SUMIFS('Synthetic Sales Data'!$K$2:$K$1921,'Synthetic Sales Data'!$D$2:$D$1921,A371,'Synthetic Sales Data'!$C$2:$C$1921,B371)</x:f>
        <x:v>50</x:v>
      </x:c>
      <x:c r="D371" s="17" t="n">
        <x:f>SUMIFS('Synthetic Sales Data'!$W$2:$W$1921,'Synthetic Sales Data'!$D$2:$D$1921,A371,'Synthetic Sales Data'!$C$2:$C$1921,B371)</x:f>
        <x:v>50</x:v>
      </x:c>
      <x:c r="E371" s="2" t="n">
        <x:f>C371-D371</x:f>
        <x:v>0</x:v>
      </x:c>
      <x:c r="F371" s="2" t="n">
        <x:f>ABS(E371)</x:f>
        <x:v>0</x:v>
      </x:c>
    </x:row>
    <x:row r="372" ht="23" customHeight="1">
      <x:c r="A372" s="2" t="str">
        <x:v>DEMO-401</x:v>
      </x:c>
      <x:c r="B372" s="2" t="n">
        <x:v>11</x:v>
      </x:c>
      <x:c r="C372" s="17" t="n">
        <x:f>SUMIFS('Synthetic Sales Data'!$K$2:$K$1921,'Synthetic Sales Data'!$D$2:$D$1921,A372,'Synthetic Sales Data'!$C$2:$C$1921,B372)</x:f>
        <x:v>53</x:v>
      </x:c>
      <x:c r="D372" s="17" t="n">
        <x:f>SUMIFS('Synthetic Sales Data'!$W$2:$W$1921,'Synthetic Sales Data'!$D$2:$D$1921,A372,'Synthetic Sales Data'!$C$2:$C$1921,B372)</x:f>
        <x:v>50</x:v>
      </x:c>
      <x:c r="E372" s="2" t="n">
        <x:f>C372-D372</x:f>
        <x:v>3</x:v>
      </x:c>
      <x:c r="F372" s="2" t="n">
        <x:f>ABS(E372)</x:f>
        <x:v>3</x:v>
      </x:c>
    </x:row>
    <x:row r="373" ht="23" customHeight="1">
      <x:c r="A373" s="2" t="str">
        <x:v>DEMO-401</x:v>
      </x:c>
      <x:c r="B373" s="2" t="n">
        <x:v>12</x:v>
      </x:c>
      <x:c r="C373" s="17" t="n">
        <x:f>SUMIFS('Synthetic Sales Data'!$K$2:$K$1921,'Synthetic Sales Data'!$D$2:$D$1921,A373,'Synthetic Sales Data'!$C$2:$C$1921,B373)</x:f>
        <x:v>52</x:v>
      </x:c>
      <x:c r="D373" s="17" t="n">
        <x:f>SUMIFS('Synthetic Sales Data'!$W$2:$W$1921,'Synthetic Sales Data'!$D$2:$D$1921,A373,'Synthetic Sales Data'!$C$2:$C$1921,B373)</x:f>
        <x:v>53</x:v>
      </x:c>
      <x:c r="E373" s="2" t="n">
        <x:f>C373-D373</x:f>
        <x:v>-1</x:v>
      </x:c>
      <x:c r="F373" s="2" t="n">
        <x:f>ABS(E373)</x:f>
        <x:v>1</x:v>
      </x:c>
    </x:row>
    <x:row r="374" ht="23" customHeight="1">
      <x:c r="A374" s="2" t="str">
        <x:v>DEMO-401</x:v>
      </x:c>
      <x:c r="B374" s="2" t="n">
        <x:v>13</x:v>
      </x:c>
      <x:c r="C374" s="17" t="n">
        <x:f>SUMIFS('Synthetic Sales Data'!$K$2:$K$1921,'Synthetic Sales Data'!$D$2:$D$1921,A374,'Synthetic Sales Data'!$C$2:$C$1921,B374)</x:f>
        <x:v>51</x:v>
      </x:c>
      <x:c r="D374" s="17" t="n">
        <x:f>SUMIFS('Synthetic Sales Data'!$W$2:$W$1921,'Synthetic Sales Data'!$D$2:$D$1921,A374,'Synthetic Sales Data'!$C$2:$C$1921,B374)</x:f>
        <x:v>51</x:v>
      </x:c>
      <x:c r="E374" s="2" t="n">
        <x:f>C374-D374</x:f>
        <x:v>0</x:v>
      </x:c>
      <x:c r="F374" s="2" t="n">
        <x:f>ABS(E374)</x:f>
        <x:v>0</x:v>
      </x:c>
    </x:row>
    <x:row r="375" ht="23" customHeight="1">
      <x:c r="A375" s="2" t="str">
        <x:v>DEMO-401</x:v>
      </x:c>
      <x:c r="B375" s="2" t="n">
        <x:v>14</x:v>
      </x:c>
      <x:c r="C375" s="17" t="n">
        <x:f>SUMIFS('Synthetic Sales Data'!$K$2:$K$1921,'Synthetic Sales Data'!$D$2:$D$1921,A375,'Synthetic Sales Data'!$C$2:$C$1921,B375)</x:f>
        <x:v>52</x:v>
      </x:c>
      <x:c r="D375" s="17" t="n">
        <x:f>SUMIFS('Synthetic Sales Data'!$W$2:$W$1921,'Synthetic Sales Data'!$D$2:$D$1921,A375,'Synthetic Sales Data'!$C$2:$C$1921,B375)</x:f>
        <x:v>51</x:v>
      </x:c>
      <x:c r="E375" s="2" t="n">
        <x:f>C375-D375</x:f>
        <x:v>1</x:v>
      </x:c>
      <x:c r="F375" s="2" t="n">
        <x:f>ABS(E375)</x:f>
        <x:v>1</x:v>
      </x:c>
    </x:row>
    <x:row r="376" ht="23" customHeight="1">
      <x:c r="A376" s="2" t="str">
        <x:v>DEMO-401</x:v>
      </x:c>
      <x:c r="B376" s="2" t="n">
        <x:v>15</x:v>
      </x:c>
      <x:c r="C376" s="17" t="n">
        <x:f>SUMIFS('Synthetic Sales Data'!$K$2:$K$1921,'Synthetic Sales Data'!$D$2:$D$1921,A376,'Synthetic Sales Data'!$C$2:$C$1921,B376)</x:f>
        <x:v>49</x:v>
      </x:c>
      <x:c r="D376" s="17" t="n">
        <x:f>SUMIFS('Synthetic Sales Data'!$W$2:$W$1921,'Synthetic Sales Data'!$D$2:$D$1921,A376,'Synthetic Sales Data'!$C$2:$C$1921,B376)</x:f>
        <x:v>53</x:v>
      </x:c>
      <x:c r="E376" s="2" t="n">
        <x:f>C376-D376</x:f>
        <x:v>-4</x:v>
      </x:c>
      <x:c r="F376" s="2" t="n">
        <x:f>ABS(E376)</x:f>
        <x:v>4</x:v>
      </x:c>
    </x:row>
    <x:row r="377" ht="23" customHeight="1">
      <x:c r="A377" s="2" t="str">
        <x:v>DEMO-401</x:v>
      </x:c>
      <x:c r="B377" s="2" t="n">
        <x:v>16</x:v>
      </x:c>
      <x:c r="C377" s="17" t="n">
        <x:f>SUMIFS('Synthetic Sales Data'!$K$2:$K$1921,'Synthetic Sales Data'!$D$2:$D$1921,A377,'Synthetic Sales Data'!$C$2:$C$1921,B377)</x:f>
        <x:v>47</x:v>
      </x:c>
      <x:c r="D377" s="17" t="n">
        <x:f>SUMIFS('Synthetic Sales Data'!$W$2:$W$1921,'Synthetic Sales Data'!$D$2:$D$1921,A377,'Synthetic Sales Data'!$C$2:$C$1921,B377)</x:f>
        <x:v>51</x:v>
      </x:c>
      <x:c r="E377" s="2" t="n">
        <x:f>C377-D377</x:f>
        <x:v>-4</x:v>
      </x:c>
      <x:c r="F377" s="2" t="n">
        <x:f>ABS(E377)</x:f>
        <x:v>4</x:v>
      </x:c>
    </x:row>
    <x:row r="378" ht="23" customHeight="1">
      <x:c r="A378" s="2" t="str">
        <x:v>DEMO-401</x:v>
      </x:c>
      <x:c r="B378" s="2" t="n">
        <x:v>17</x:v>
      </x:c>
      <x:c r="C378" s="17" t="n">
        <x:f>SUMIFS('Synthetic Sales Data'!$K$2:$K$1921,'Synthetic Sales Data'!$D$2:$D$1921,A378,'Synthetic Sales Data'!$C$2:$C$1921,B378)</x:f>
        <x:v>52</x:v>
      </x:c>
      <x:c r="D378" s="17" t="n">
        <x:f>SUMIFS('Synthetic Sales Data'!$W$2:$W$1921,'Synthetic Sales Data'!$D$2:$D$1921,A378,'Synthetic Sales Data'!$C$2:$C$1921,B378)</x:f>
        <x:v>50</x:v>
      </x:c>
      <x:c r="E378" s="2" t="n">
        <x:f>C378-D378</x:f>
        <x:v>2</x:v>
      </x:c>
      <x:c r="F378" s="2" t="n">
        <x:f>ABS(E378)</x:f>
        <x:v>2</x:v>
      </x:c>
    </x:row>
    <x:row r="379" ht="23" customHeight="1">
      <x:c r="A379" s="2" t="str">
        <x:v>DEMO-401</x:v>
      </x:c>
      <x:c r="B379" s="2" t="n">
        <x:v>18</x:v>
      </x:c>
      <x:c r="C379" s="17" t="n">
        <x:f>SUMIFS('Synthetic Sales Data'!$K$2:$K$1921,'Synthetic Sales Data'!$D$2:$D$1921,A379,'Synthetic Sales Data'!$C$2:$C$1921,B379)</x:f>
        <x:v>50</x:v>
      </x:c>
      <x:c r="D379" s="17" t="n">
        <x:f>SUMIFS('Synthetic Sales Data'!$W$2:$W$1921,'Synthetic Sales Data'!$D$2:$D$1921,A379,'Synthetic Sales Data'!$C$2:$C$1921,B379)</x:f>
        <x:v>50</x:v>
      </x:c>
      <x:c r="E379" s="2" t="n">
        <x:f>C379-D379</x:f>
        <x:v>0</x:v>
      </x:c>
      <x:c r="F379" s="2" t="n">
        <x:f>ABS(E379)</x:f>
        <x:v>0</x:v>
      </x:c>
    </x:row>
    <x:row r="380" ht="23" customHeight="1">
      <x:c r="A380" s="2" t="str">
        <x:v>DEMO-401</x:v>
      </x:c>
      <x:c r="B380" s="2" t="n">
        <x:v>19</x:v>
      </x:c>
      <x:c r="C380" s="17" t="n">
        <x:f>SUMIFS('Synthetic Sales Data'!$K$2:$K$1921,'Synthetic Sales Data'!$D$2:$D$1921,A380,'Synthetic Sales Data'!$C$2:$C$1921,B380)</x:f>
        <x:v>46</x:v>
      </x:c>
      <x:c r="D380" s="17" t="n">
        <x:f>SUMIFS('Synthetic Sales Data'!$W$2:$W$1921,'Synthetic Sales Data'!$D$2:$D$1921,A380,'Synthetic Sales Data'!$C$2:$C$1921,B380)</x:f>
        <x:v>50</x:v>
      </x:c>
      <x:c r="E380" s="2" t="n">
        <x:f>C380-D380</x:f>
        <x:v>-4</x:v>
      </x:c>
      <x:c r="F380" s="2" t="n">
        <x:f>ABS(E380)</x:f>
        <x:v>4</x:v>
      </x:c>
    </x:row>
    <x:row r="381" ht="23" customHeight="1">
      <x:c r="A381" s="2" t="str">
        <x:v>DEMO-401</x:v>
      </x:c>
      <x:c r="B381" s="2" t="n">
        <x:v>20</x:v>
      </x:c>
      <x:c r="C381" s="17" t="n">
        <x:f>SUMIFS('Synthetic Sales Data'!$K$2:$K$1921,'Synthetic Sales Data'!$D$2:$D$1921,A381,'Synthetic Sales Data'!$C$2:$C$1921,B381)</x:f>
        <x:v>53</x:v>
      </x:c>
      <x:c r="D381" s="17" t="n">
        <x:f>SUMIFS('Synthetic Sales Data'!$W$2:$W$1921,'Synthetic Sales Data'!$D$2:$D$1921,A381,'Synthetic Sales Data'!$C$2:$C$1921,B381)</x:f>
        <x:v>49</x:v>
      </x:c>
      <x:c r="E381" s="2" t="n">
        <x:f>C381-D381</x:f>
        <x:v>4</x:v>
      </x:c>
      <x:c r="F381" s="2" t="n">
        <x:f>ABS(E381)</x:f>
        <x:v>4</x:v>
      </x:c>
    </x:row>
    <x:row r="382" ht="23" customHeight="1">
      <x:c r="A382" s="2" t="str">
        <x:v>DEMO-402</x:v>
      </x:c>
      <x:c r="B382" s="2" t="n">
        <x:v>1</x:v>
      </x:c>
      <x:c r="C382" s="17" t="n">
        <x:f>SUMIFS('Synthetic Sales Data'!$K$2:$K$1921,'Synthetic Sales Data'!$D$2:$D$1921,A382,'Synthetic Sales Data'!$C$2:$C$1921,B382)</x:f>
        <x:v>69</x:v>
      </x:c>
      <x:c r="D382" s="17" t="n">
        <x:f>SUMIFS('Synthetic Sales Data'!$W$2:$W$1921,'Synthetic Sales Data'!$D$2:$D$1921,A382,'Synthetic Sales Data'!$C$2:$C$1921,B382)</x:f>
        <x:v>66</x:v>
      </x:c>
      <x:c r="E382" s="2" t="n">
        <x:f>C382-D382</x:f>
        <x:v>3</x:v>
      </x:c>
      <x:c r="F382" s="2" t="n">
        <x:f>ABS(E382)</x:f>
        <x:v>3</x:v>
      </x:c>
    </x:row>
    <x:row r="383" ht="23" customHeight="1">
      <x:c r="A383" s="2" t="str">
        <x:v>DEMO-402</x:v>
      </x:c>
      <x:c r="B383" s="2" t="n">
        <x:v>2</x:v>
      </x:c>
      <x:c r="C383" s="17" t="n">
        <x:f>SUMIFS('Synthetic Sales Data'!$K$2:$K$1921,'Synthetic Sales Data'!$D$2:$D$1921,A383,'Synthetic Sales Data'!$C$2:$C$1921,B383)</x:f>
        <x:v>67</x:v>
      </x:c>
      <x:c r="D383" s="17" t="n">
        <x:f>SUMIFS('Synthetic Sales Data'!$W$2:$W$1921,'Synthetic Sales Data'!$D$2:$D$1921,A383,'Synthetic Sales Data'!$C$2:$C$1921,B383)</x:f>
        <x:v>69</x:v>
      </x:c>
      <x:c r="E383" s="2" t="n">
        <x:f>C383-D383</x:f>
        <x:v>-2</x:v>
      </x:c>
      <x:c r="F383" s="2" t="n">
        <x:f>ABS(E383)</x:f>
        <x:v>2</x:v>
      </x:c>
    </x:row>
    <x:row r="384" ht="23" customHeight="1">
      <x:c r="A384" s="2" t="str">
        <x:v>DEMO-402</x:v>
      </x:c>
      <x:c r="B384" s="2" t="n">
        <x:v>3</x:v>
      </x:c>
      <x:c r="C384" s="17" t="n">
        <x:f>SUMIFS('Synthetic Sales Data'!$K$2:$K$1921,'Synthetic Sales Data'!$D$2:$D$1921,A384,'Synthetic Sales Data'!$C$2:$C$1921,B384)</x:f>
        <x:v>67</x:v>
      </x:c>
      <x:c r="D384" s="17" t="n">
        <x:f>SUMIFS('Synthetic Sales Data'!$W$2:$W$1921,'Synthetic Sales Data'!$D$2:$D$1921,A384,'Synthetic Sales Data'!$C$2:$C$1921,B384)</x:f>
        <x:v>69</x:v>
      </x:c>
      <x:c r="E384" s="2" t="n">
        <x:f>C384-D384</x:f>
        <x:v>-2</x:v>
      </x:c>
      <x:c r="F384" s="2" t="n">
        <x:f>ABS(E384)</x:f>
        <x:v>2</x:v>
      </x:c>
    </x:row>
    <x:row r="385" ht="23" customHeight="1">
      <x:c r="A385" s="2" t="str">
        <x:v>DEMO-402</x:v>
      </x:c>
      <x:c r="B385" s="2" t="n">
        <x:v>4</x:v>
      </x:c>
      <x:c r="C385" s="17" t="n">
        <x:f>SUMIFS('Synthetic Sales Data'!$K$2:$K$1921,'Synthetic Sales Data'!$D$2:$D$1921,A385,'Synthetic Sales Data'!$C$2:$C$1921,B385)</x:f>
        <x:v>65</x:v>
      </x:c>
      <x:c r="D385" s="17" t="n">
        <x:f>SUMIFS('Synthetic Sales Data'!$W$2:$W$1921,'Synthetic Sales Data'!$D$2:$D$1921,A385,'Synthetic Sales Data'!$C$2:$C$1921,B385)</x:f>
        <x:v>67</x:v>
      </x:c>
      <x:c r="E385" s="2" t="n">
        <x:f>C385-D385</x:f>
        <x:v>-2</x:v>
      </x:c>
      <x:c r="F385" s="2" t="n">
        <x:f>ABS(E385)</x:f>
        <x:v>2</x:v>
      </x:c>
    </x:row>
    <x:row r="386" ht="23" customHeight="1">
      <x:c r="A386" s="2" t="str">
        <x:v>DEMO-402</x:v>
      </x:c>
      <x:c r="B386" s="2" t="n">
        <x:v>5</x:v>
      </x:c>
      <x:c r="C386" s="17" t="n">
        <x:f>SUMIFS('Synthetic Sales Data'!$K$2:$K$1921,'Synthetic Sales Data'!$D$2:$D$1921,A386,'Synthetic Sales Data'!$C$2:$C$1921,B386)</x:f>
        <x:v>65</x:v>
      </x:c>
      <x:c r="D386" s="17" t="n">
        <x:f>SUMIFS('Synthetic Sales Data'!$W$2:$W$1921,'Synthetic Sales Data'!$D$2:$D$1921,A386,'Synthetic Sales Data'!$C$2:$C$1921,B386)</x:f>
        <x:v>67</x:v>
      </x:c>
      <x:c r="E386" s="2" t="n">
        <x:f>C386-D386</x:f>
        <x:v>-2</x:v>
      </x:c>
      <x:c r="F386" s="2" t="n">
        <x:f>ABS(E386)</x:f>
        <x:v>2</x:v>
      </x:c>
    </x:row>
    <x:row r="387" ht="23" customHeight="1">
      <x:c r="A387" s="2" t="str">
        <x:v>DEMO-402</x:v>
      </x:c>
      <x:c r="B387" s="2" t="n">
        <x:v>6</x:v>
      </x:c>
      <x:c r="C387" s="17" t="n">
        <x:f>SUMIFS('Synthetic Sales Data'!$K$2:$K$1921,'Synthetic Sales Data'!$D$2:$D$1921,A387,'Synthetic Sales Data'!$C$2:$C$1921,B387)</x:f>
        <x:v>63</x:v>
      </x:c>
      <x:c r="D387" s="17" t="n">
        <x:f>SUMIFS('Synthetic Sales Data'!$W$2:$W$1921,'Synthetic Sales Data'!$D$2:$D$1921,A387,'Synthetic Sales Data'!$C$2:$C$1921,B387)</x:f>
        <x:v>67</x:v>
      </x:c>
      <x:c r="E387" s="2" t="n">
        <x:f>C387-D387</x:f>
        <x:v>-4</x:v>
      </x:c>
      <x:c r="F387" s="2" t="n">
        <x:f>ABS(E387)</x:f>
        <x:v>4</x:v>
      </x:c>
    </x:row>
    <x:row r="388" ht="23" customHeight="1">
      <x:c r="A388" s="2" t="str">
        <x:v>DEMO-402</x:v>
      </x:c>
      <x:c r="B388" s="2" t="n">
        <x:v>7</x:v>
      </x:c>
      <x:c r="C388" s="17" t="n">
        <x:f>SUMIFS('Synthetic Sales Data'!$K$2:$K$1921,'Synthetic Sales Data'!$D$2:$D$1921,A388,'Synthetic Sales Data'!$C$2:$C$1921,B388)</x:f>
        <x:v>65</x:v>
      </x:c>
      <x:c r="D388" s="17" t="n">
        <x:f>SUMIFS('Synthetic Sales Data'!$W$2:$W$1921,'Synthetic Sales Data'!$D$2:$D$1921,A388,'Synthetic Sales Data'!$C$2:$C$1921,B388)</x:f>
        <x:v>65</x:v>
      </x:c>
      <x:c r="E388" s="2" t="n">
        <x:f>C388-D388</x:f>
        <x:v>0</x:v>
      </x:c>
      <x:c r="F388" s="2" t="n">
        <x:f>ABS(E388)</x:f>
        <x:v>0</x:v>
      </x:c>
    </x:row>
    <x:row r="389" ht="23" customHeight="1">
      <x:c r="A389" s="2" t="str">
        <x:v>DEMO-402</x:v>
      </x:c>
      <x:c r="B389" s="2" t="n">
        <x:v>8</x:v>
      </x:c>
      <x:c r="C389" s="17" t="n">
        <x:f>SUMIFS('Synthetic Sales Data'!$K$2:$K$1921,'Synthetic Sales Data'!$D$2:$D$1921,A389,'Synthetic Sales Data'!$C$2:$C$1921,B389)</x:f>
        <x:v>59</x:v>
      </x:c>
      <x:c r="D389" s="17" t="n">
        <x:f>SUMIFS('Synthetic Sales Data'!$W$2:$W$1921,'Synthetic Sales Data'!$D$2:$D$1921,A389,'Synthetic Sales Data'!$C$2:$C$1921,B389)</x:f>
        <x:v>65</x:v>
      </x:c>
      <x:c r="E389" s="2" t="n">
        <x:f>C389-D389</x:f>
        <x:v>-6</x:v>
      </x:c>
      <x:c r="F389" s="2" t="n">
        <x:f>ABS(E389)</x:f>
        <x:v>6</x:v>
      </x:c>
    </x:row>
    <x:row r="390" ht="23" customHeight="1">
      <x:c r="A390" s="2" t="str">
        <x:v>DEMO-402</x:v>
      </x:c>
      <x:c r="B390" s="2" t="n">
        <x:v>9</x:v>
      </x:c>
      <x:c r="C390" s="17" t="n">
        <x:f>SUMIFS('Synthetic Sales Data'!$K$2:$K$1921,'Synthetic Sales Data'!$D$2:$D$1921,A390,'Synthetic Sales Data'!$C$2:$C$1921,B390)</x:f>
        <x:v>63</x:v>
      </x:c>
      <x:c r="D390" s="17" t="n">
        <x:f>SUMIFS('Synthetic Sales Data'!$W$2:$W$1921,'Synthetic Sales Data'!$D$2:$D$1921,A390,'Synthetic Sales Data'!$C$2:$C$1921,B390)</x:f>
        <x:v>63</x:v>
      </x:c>
      <x:c r="E390" s="2" t="n">
        <x:f>C390-D390</x:f>
        <x:v>0</x:v>
      </x:c>
      <x:c r="F390" s="2" t="n">
        <x:f>ABS(E390)</x:f>
        <x:v>0</x:v>
      </x:c>
    </x:row>
    <x:row r="391" ht="23" customHeight="1">
      <x:c r="A391" s="2" t="str">
        <x:v>DEMO-402</x:v>
      </x:c>
      <x:c r="B391" s="2" t="n">
        <x:v>10</x:v>
      </x:c>
      <x:c r="C391" s="17" t="n">
        <x:f>SUMIFS('Synthetic Sales Data'!$K$2:$K$1921,'Synthetic Sales Data'!$D$2:$D$1921,A391,'Synthetic Sales Data'!$C$2:$C$1921,B391)</x:f>
        <x:v>69</x:v>
      </x:c>
      <x:c r="D391" s="17" t="n">
        <x:f>SUMIFS('Synthetic Sales Data'!$W$2:$W$1921,'Synthetic Sales Data'!$D$2:$D$1921,A391,'Synthetic Sales Data'!$C$2:$C$1921,B391)</x:f>
        <x:v>63</x:v>
      </x:c>
      <x:c r="E391" s="2" t="n">
        <x:f>C391-D391</x:f>
        <x:v>6</x:v>
      </x:c>
      <x:c r="F391" s="2" t="n">
        <x:f>ABS(E391)</x:f>
        <x:v>6</x:v>
      </x:c>
    </x:row>
    <x:row r="392" ht="23" customHeight="1">
      <x:c r="A392" s="2" t="str">
        <x:v>DEMO-402</x:v>
      </x:c>
      <x:c r="B392" s="2" t="n">
        <x:v>11</x:v>
      </x:c>
      <x:c r="C392" s="17" t="n">
        <x:f>SUMIFS('Synthetic Sales Data'!$K$2:$K$1921,'Synthetic Sales Data'!$D$2:$D$1921,A392,'Synthetic Sales Data'!$C$2:$C$1921,B392)</x:f>
        <x:v>66</x:v>
      </x:c>
      <x:c r="D392" s="17" t="n">
        <x:f>SUMIFS('Synthetic Sales Data'!$W$2:$W$1921,'Synthetic Sales Data'!$D$2:$D$1921,A392,'Synthetic Sales Data'!$C$2:$C$1921,B392)</x:f>
        <x:v>64</x:v>
      </x:c>
      <x:c r="E392" s="2" t="n">
        <x:f>C392-D392</x:f>
        <x:v>2</x:v>
      </x:c>
      <x:c r="F392" s="2" t="n">
        <x:f>ABS(E392)</x:f>
        <x:v>2</x:v>
      </x:c>
    </x:row>
    <x:row r="393" ht="23" customHeight="1">
      <x:c r="A393" s="2" t="str">
        <x:v>DEMO-402</x:v>
      </x:c>
      <x:c r="B393" s="2" t="n">
        <x:v>12</x:v>
      </x:c>
      <x:c r="C393" s="17" t="n">
        <x:f>SUMIFS('Synthetic Sales Data'!$K$2:$K$1921,'Synthetic Sales Data'!$D$2:$D$1921,A393,'Synthetic Sales Data'!$C$2:$C$1921,B393)</x:f>
        <x:v>59</x:v>
      </x:c>
      <x:c r="D393" s="17" t="n">
        <x:f>SUMIFS('Synthetic Sales Data'!$W$2:$W$1921,'Synthetic Sales Data'!$D$2:$D$1921,A393,'Synthetic Sales Data'!$C$2:$C$1921,B393)</x:f>
        <x:v>64</x:v>
      </x:c>
      <x:c r="E393" s="2" t="n">
        <x:f>C393-D393</x:f>
        <x:v>-5</x:v>
      </x:c>
      <x:c r="F393" s="2" t="n">
        <x:f>ABS(E393)</x:f>
        <x:v>5</x:v>
      </x:c>
    </x:row>
    <x:row r="394" ht="23" customHeight="1">
      <x:c r="A394" s="2" t="str">
        <x:v>DEMO-402</x:v>
      </x:c>
      <x:c r="B394" s="2" t="n">
        <x:v>13</x:v>
      </x:c>
      <x:c r="C394" s="17" t="n">
        <x:f>SUMIFS('Synthetic Sales Data'!$K$2:$K$1921,'Synthetic Sales Data'!$D$2:$D$1921,A394,'Synthetic Sales Data'!$C$2:$C$1921,B394)</x:f>
        <x:v>64</x:v>
      </x:c>
      <x:c r="D394" s="17" t="n">
        <x:f>SUMIFS('Synthetic Sales Data'!$W$2:$W$1921,'Synthetic Sales Data'!$D$2:$D$1921,A394,'Synthetic Sales Data'!$C$2:$C$1921,B394)</x:f>
        <x:v>64</x:v>
      </x:c>
      <x:c r="E394" s="2" t="n">
        <x:f>C394-D394</x:f>
        <x:v>0</x:v>
      </x:c>
      <x:c r="F394" s="2" t="n">
        <x:f>ABS(E394)</x:f>
        <x:v>0</x:v>
      </x:c>
    </x:row>
    <x:row r="395" ht="23" customHeight="1">
      <x:c r="A395" s="2" t="str">
        <x:v>DEMO-402</x:v>
      </x:c>
      <x:c r="B395" s="2" t="n">
        <x:v>14</x:v>
      </x:c>
      <x:c r="C395" s="17" t="n">
        <x:f>SUMIFS('Synthetic Sales Data'!$K$2:$K$1921,'Synthetic Sales Data'!$D$2:$D$1921,A395,'Synthetic Sales Data'!$C$2:$C$1921,B395)</x:f>
        <x:v>69</x:v>
      </x:c>
      <x:c r="D395" s="17" t="n">
        <x:f>SUMIFS('Synthetic Sales Data'!$W$2:$W$1921,'Synthetic Sales Data'!$D$2:$D$1921,A395,'Synthetic Sales Data'!$C$2:$C$1921,B395)</x:f>
        <x:v>64</x:v>
      </x:c>
      <x:c r="E395" s="2" t="n">
        <x:f>C395-D395</x:f>
        <x:v>5</x:v>
      </x:c>
      <x:c r="F395" s="2" t="n">
        <x:f>ABS(E395)</x:f>
        <x:v>5</x:v>
      </x:c>
    </x:row>
    <x:row r="396" ht="23" customHeight="1">
      <x:c r="A396" s="2" t="str">
        <x:v>DEMO-402</x:v>
      </x:c>
      <x:c r="B396" s="2" t="n">
        <x:v>15</x:v>
      </x:c>
      <x:c r="C396" s="17" t="n">
        <x:f>SUMIFS('Synthetic Sales Data'!$K$2:$K$1921,'Synthetic Sales Data'!$D$2:$D$1921,A396,'Synthetic Sales Data'!$C$2:$C$1921,B396)</x:f>
        <x:v>67</x:v>
      </x:c>
      <x:c r="D396" s="17" t="n">
        <x:f>SUMIFS('Synthetic Sales Data'!$W$2:$W$1921,'Synthetic Sales Data'!$D$2:$D$1921,A396,'Synthetic Sales Data'!$C$2:$C$1921,B396)</x:f>
        <x:v>64</x:v>
      </x:c>
      <x:c r="E396" s="2" t="n">
        <x:f>C396-D396</x:f>
        <x:v>3</x:v>
      </x:c>
      <x:c r="F396" s="2" t="n">
        <x:f>ABS(E396)</x:f>
        <x:v>3</x:v>
      </x:c>
    </x:row>
    <x:row r="397" ht="23" customHeight="1">
      <x:c r="A397" s="2" t="str">
        <x:v>DEMO-402</x:v>
      </x:c>
      <x:c r="B397" s="2" t="n">
        <x:v>16</x:v>
      </x:c>
      <x:c r="C397" s="17" t="n">
        <x:f>SUMIFS('Synthetic Sales Data'!$K$2:$K$1921,'Synthetic Sales Data'!$D$2:$D$1921,A397,'Synthetic Sales Data'!$C$2:$C$1921,B397)</x:f>
        <x:v>63</x:v>
      </x:c>
      <x:c r="D397" s="17" t="n">
        <x:f>SUMIFS('Synthetic Sales Data'!$W$2:$W$1921,'Synthetic Sales Data'!$D$2:$D$1921,A397,'Synthetic Sales Data'!$C$2:$C$1921,B397)</x:f>
        <x:v>65</x:v>
      </x:c>
      <x:c r="E397" s="2" t="n">
        <x:f>C397-D397</x:f>
        <x:v>-2</x:v>
      </x:c>
      <x:c r="F397" s="2" t="n">
        <x:f>ABS(E397)</x:f>
        <x:v>2</x:v>
      </x:c>
    </x:row>
    <x:row r="398" ht="23" customHeight="1">
      <x:c r="A398" s="2" t="str">
        <x:v>DEMO-402</x:v>
      </x:c>
      <x:c r="B398" s="2" t="n">
        <x:v>17</x:v>
      </x:c>
      <x:c r="C398" s="17" t="n">
        <x:f>SUMIFS('Synthetic Sales Data'!$K$2:$K$1921,'Synthetic Sales Data'!$D$2:$D$1921,A398,'Synthetic Sales Data'!$C$2:$C$1921,B398)</x:f>
        <x:v>66</x:v>
      </x:c>
      <x:c r="D398" s="17" t="n">
        <x:f>SUMIFS('Synthetic Sales Data'!$W$2:$W$1921,'Synthetic Sales Data'!$D$2:$D$1921,A398,'Synthetic Sales Data'!$C$2:$C$1921,B398)</x:f>
        <x:v>67</x:v>
      </x:c>
      <x:c r="E398" s="2" t="n">
        <x:f>C398-D398</x:f>
        <x:v>-1</x:v>
      </x:c>
      <x:c r="F398" s="2" t="n">
        <x:f>ABS(E398)</x:f>
        <x:v>1</x:v>
      </x:c>
    </x:row>
    <x:row r="399" ht="23" customHeight="1">
      <x:c r="A399" s="2" t="str">
        <x:v>DEMO-402</x:v>
      </x:c>
      <x:c r="B399" s="2" t="n">
        <x:v>18</x:v>
      </x:c>
      <x:c r="C399" s="17" t="n">
        <x:f>SUMIFS('Synthetic Sales Data'!$K$2:$K$1921,'Synthetic Sales Data'!$D$2:$D$1921,A399,'Synthetic Sales Data'!$C$2:$C$1921,B399)</x:f>
        <x:v>69</x:v>
      </x:c>
      <x:c r="D399" s="17" t="n">
        <x:f>SUMIFS('Synthetic Sales Data'!$W$2:$W$1921,'Synthetic Sales Data'!$D$2:$D$1921,A399,'Synthetic Sales Data'!$C$2:$C$1921,B399)</x:f>
        <x:v>67</x:v>
      </x:c>
      <x:c r="E399" s="2" t="n">
        <x:f>C399-D399</x:f>
        <x:v>2</x:v>
      </x:c>
      <x:c r="F399" s="2" t="n">
        <x:f>ABS(E399)</x:f>
        <x:v>2</x:v>
      </x:c>
    </x:row>
    <x:row r="400" ht="23" customHeight="1">
      <x:c r="A400" s="2" t="str">
        <x:v>DEMO-402</x:v>
      </x:c>
      <x:c r="B400" s="2" t="n">
        <x:v>19</x:v>
      </x:c>
      <x:c r="C400" s="17" t="n">
        <x:f>SUMIFS('Synthetic Sales Data'!$K$2:$K$1921,'Synthetic Sales Data'!$D$2:$D$1921,A400,'Synthetic Sales Data'!$C$2:$C$1921,B400)</x:f>
        <x:v>70</x:v>
      </x:c>
      <x:c r="D400" s="17" t="n">
        <x:f>SUMIFS('Synthetic Sales Data'!$W$2:$W$1921,'Synthetic Sales Data'!$D$2:$D$1921,A400,'Synthetic Sales Data'!$C$2:$C$1921,B400)</x:f>
        <x:v>67</x:v>
      </x:c>
      <x:c r="E400" s="2" t="n">
        <x:f>C400-D400</x:f>
        <x:v>3</x:v>
      </x:c>
      <x:c r="F400" s="2" t="n">
        <x:f>ABS(E400)</x:f>
        <x:v>3</x:v>
      </x:c>
    </x:row>
    <x:row r="401" ht="23" customHeight="1">
      <x:c r="A401" s="2" t="str">
        <x:v>DEMO-402</x:v>
      </x:c>
      <x:c r="B401" s="2" t="n">
        <x:v>20</x:v>
      </x:c>
      <x:c r="C401" s="17" t="n">
        <x:f>SUMIFS('Synthetic Sales Data'!$K$2:$K$1921,'Synthetic Sales Data'!$D$2:$D$1921,A401,'Synthetic Sales Data'!$C$2:$C$1921,B401)</x:f>
        <x:v>66</x:v>
      </x:c>
      <x:c r="D401" s="17" t="n">
        <x:f>SUMIFS('Synthetic Sales Data'!$W$2:$W$1921,'Synthetic Sales Data'!$D$2:$D$1921,A401,'Synthetic Sales Data'!$C$2:$C$1921,B401)</x:f>
        <x:v>68</x:v>
      </x:c>
      <x:c r="E401" s="2" t="n">
        <x:f>C401-D401</x:f>
        <x:v>-2</x:v>
      </x:c>
      <x:c r="F401" s="2" t="n">
        <x:f>ABS(E401)</x:f>
        <x:v>2</x:v>
      </x:c>
    </x:row>
    <x:row r="402" ht="23" customHeight="1">
      <x:c r="A402" s="2" t="str">
        <x:v>DEMO-403</x:v>
      </x:c>
      <x:c r="B402" s="2" t="n">
        <x:v>1</x:v>
      </x:c>
      <x:c r="C402" s="17" t="n">
        <x:f>SUMIFS('Synthetic Sales Data'!$K$2:$K$1921,'Synthetic Sales Data'!$D$2:$D$1921,A402,'Synthetic Sales Data'!$C$2:$C$1921,B402)</x:f>
        <x:v>76</x:v>
      </x:c>
      <x:c r="D402" s="17" t="n">
        <x:f>SUMIFS('Synthetic Sales Data'!$W$2:$W$1921,'Synthetic Sales Data'!$D$2:$D$1921,A402,'Synthetic Sales Data'!$C$2:$C$1921,B402)</x:f>
        <x:v>80</x:v>
      </x:c>
      <x:c r="E402" s="2" t="n">
        <x:f>C402-D402</x:f>
        <x:v>-4</x:v>
      </x:c>
      <x:c r="F402" s="2" t="n">
        <x:f>ABS(E402)</x:f>
        <x:v>4</x:v>
      </x:c>
    </x:row>
    <x:row r="403" ht="23" customHeight="1">
      <x:c r="A403" s="2" t="str">
        <x:v>DEMO-403</x:v>
      </x:c>
      <x:c r="B403" s="2" t="n">
        <x:v>2</x:v>
      </x:c>
      <x:c r="C403" s="17" t="n">
        <x:f>SUMIFS('Synthetic Sales Data'!$K$2:$K$1921,'Synthetic Sales Data'!$D$2:$D$1921,A403,'Synthetic Sales Data'!$C$2:$C$1921,B403)</x:f>
        <x:v>78</x:v>
      </x:c>
      <x:c r="D403" s="17" t="n">
        <x:f>SUMIFS('Synthetic Sales Data'!$W$2:$W$1921,'Synthetic Sales Data'!$D$2:$D$1921,A403,'Synthetic Sales Data'!$C$2:$C$1921,B403)</x:f>
        <x:v>76</x:v>
      </x:c>
      <x:c r="E403" s="2" t="n">
        <x:f>C403-D403</x:f>
        <x:v>2</x:v>
      </x:c>
      <x:c r="F403" s="2" t="n">
        <x:f>ABS(E403)</x:f>
        <x:v>2</x:v>
      </x:c>
    </x:row>
    <x:row r="404" ht="23" customHeight="1">
      <x:c r="A404" s="2" t="str">
        <x:v>DEMO-403</x:v>
      </x:c>
      <x:c r="B404" s="2" t="n">
        <x:v>3</x:v>
      </x:c>
      <x:c r="C404" s="17" t="n">
        <x:f>SUMIFS('Synthetic Sales Data'!$K$2:$K$1921,'Synthetic Sales Data'!$D$2:$D$1921,A404,'Synthetic Sales Data'!$C$2:$C$1921,B404)</x:f>
        <x:v>73</x:v>
      </x:c>
      <x:c r="D404" s="17" t="n">
        <x:f>SUMIFS('Synthetic Sales Data'!$W$2:$W$1921,'Synthetic Sales Data'!$D$2:$D$1921,A404,'Synthetic Sales Data'!$C$2:$C$1921,B404)</x:f>
        <x:v>77</x:v>
      </x:c>
      <x:c r="E404" s="2" t="n">
        <x:f>C404-D404</x:f>
        <x:v>-4</x:v>
      </x:c>
      <x:c r="F404" s="2" t="n">
        <x:f>ABS(E404)</x:f>
        <x:v>4</x:v>
      </x:c>
    </x:row>
    <x:row r="405" ht="23" customHeight="1">
      <x:c r="A405" s="2" t="str">
        <x:v>DEMO-403</x:v>
      </x:c>
      <x:c r="B405" s="2" t="n">
        <x:v>4</x:v>
      </x:c>
      <x:c r="C405" s="17" t="n">
        <x:f>SUMIFS('Synthetic Sales Data'!$K$2:$K$1921,'Synthetic Sales Data'!$D$2:$D$1921,A405,'Synthetic Sales Data'!$C$2:$C$1921,B405)</x:f>
        <x:v>86</x:v>
      </x:c>
      <x:c r="D405" s="17" t="n">
        <x:f>SUMIFS('Synthetic Sales Data'!$W$2:$W$1921,'Synthetic Sales Data'!$D$2:$D$1921,A405,'Synthetic Sales Data'!$C$2:$C$1921,B405)</x:f>
        <x:v>76</x:v>
      </x:c>
      <x:c r="E405" s="2" t="n">
        <x:f>C405-D405</x:f>
        <x:v>10</x:v>
      </x:c>
      <x:c r="F405" s="2" t="n">
        <x:f>ABS(E405)</x:f>
        <x:v>10</x:v>
      </x:c>
    </x:row>
    <x:row r="406" ht="23" customHeight="1">
      <x:c r="A406" s="2" t="str">
        <x:v>DEMO-403</x:v>
      </x:c>
      <x:c r="B406" s="2" t="n">
        <x:v>5</x:v>
      </x:c>
      <x:c r="C406" s="17" t="n">
        <x:f>SUMIFS('Synthetic Sales Data'!$K$2:$K$1921,'Synthetic Sales Data'!$D$2:$D$1921,A406,'Synthetic Sales Data'!$C$2:$C$1921,B406)</x:f>
        <x:v>85</x:v>
      </x:c>
      <x:c r="D406" s="17" t="n">
        <x:f>SUMIFS('Synthetic Sales Data'!$W$2:$W$1921,'Synthetic Sales Data'!$D$2:$D$1921,A406,'Synthetic Sales Data'!$C$2:$C$1921,B406)</x:f>
        <x:v>79</x:v>
      </x:c>
      <x:c r="E406" s="2" t="n">
        <x:f>C406-D406</x:f>
        <x:v>6</x:v>
      </x:c>
      <x:c r="F406" s="2" t="n">
        <x:f>ABS(E406)</x:f>
        <x:v>6</x:v>
      </x:c>
    </x:row>
    <x:row r="407" ht="23" customHeight="1">
      <x:c r="A407" s="2" t="str">
        <x:v>DEMO-403</x:v>
      </x:c>
      <x:c r="B407" s="2" t="n">
        <x:v>6</x:v>
      </x:c>
      <x:c r="C407" s="17" t="n">
        <x:f>SUMIFS('Synthetic Sales Data'!$K$2:$K$1921,'Synthetic Sales Data'!$D$2:$D$1921,A407,'Synthetic Sales Data'!$C$2:$C$1921,B407)</x:f>
        <x:v>86</x:v>
      </x:c>
      <x:c r="D407" s="17" t="n">
        <x:f>SUMIFS('Synthetic Sales Data'!$W$2:$W$1921,'Synthetic Sales Data'!$D$2:$D$1921,A407,'Synthetic Sales Data'!$C$2:$C$1921,B407)</x:f>
        <x:v>81</x:v>
      </x:c>
      <x:c r="E407" s="2" t="n">
        <x:f>C407-D407</x:f>
        <x:v>5</x:v>
      </x:c>
      <x:c r="F407" s="2" t="n">
        <x:f>ABS(E407)</x:f>
        <x:v>5</x:v>
      </x:c>
    </x:row>
    <x:row r="408" ht="23" customHeight="1">
      <x:c r="A408" s="2" t="str">
        <x:v>DEMO-403</x:v>
      </x:c>
      <x:c r="B408" s="2" t="n">
        <x:v>7</x:v>
      </x:c>
      <x:c r="C408" s="17" t="n">
        <x:f>SUMIFS('Synthetic Sales Data'!$K$2:$K$1921,'Synthetic Sales Data'!$D$2:$D$1921,A408,'Synthetic Sales Data'!$C$2:$C$1921,B408)</x:f>
        <x:v>83</x:v>
      </x:c>
      <x:c r="D408" s="17" t="n">
        <x:f>SUMIFS('Synthetic Sales Data'!$W$2:$W$1921,'Synthetic Sales Data'!$D$2:$D$1921,A408,'Synthetic Sales Data'!$C$2:$C$1921,B408)</x:f>
        <x:v>83</x:v>
      </x:c>
      <x:c r="E408" s="2" t="n">
        <x:f>C408-D408</x:f>
        <x:v>0</x:v>
      </x:c>
      <x:c r="F408" s="2" t="n">
        <x:f>ABS(E408)</x:f>
        <x:v>0</x:v>
      </x:c>
    </x:row>
    <x:row r="409" ht="23" customHeight="1">
      <x:c r="A409" s="2" t="str">
        <x:v>DEMO-403</x:v>
      </x:c>
      <x:c r="B409" s="2" t="n">
        <x:v>8</x:v>
      </x:c>
      <x:c r="C409" s="17" t="n">
        <x:f>SUMIFS('Synthetic Sales Data'!$K$2:$K$1921,'Synthetic Sales Data'!$D$2:$D$1921,A409,'Synthetic Sales Data'!$C$2:$C$1921,B409)</x:f>
        <x:v>74</x:v>
      </x:c>
      <x:c r="D409" s="17" t="n">
        <x:f>SUMIFS('Synthetic Sales Data'!$W$2:$W$1921,'Synthetic Sales Data'!$D$2:$D$1921,A409,'Synthetic Sales Data'!$C$2:$C$1921,B409)</x:f>
        <x:v>85</x:v>
      </x:c>
      <x:c r="E409" s="2" t="n">
        <x:f>C409-D409</x:f>
        <x:v>-11</x:v>
      </x:c>
      <x:c r="F409" s="2" t="n">
        <x:f>ABS(E409)</x:f>
        <x:v>11</x:v>
      </x:c>
    </x:row>
    <x:row r="410" ht="23" customHeight="1">
      <x:c r="A410" s="2" t="str">
        <x:v>DEMO-403</x:v>
      </x:c>
      <x:c r="B410" s="2" t="n">
        <x:v>9</x:v>
      </x:c>
      <x:c r="C410" s="17" t="n">
        <x:f>SUMIFS('Synthetic Sales Data'!$K$2:$K$1921,'Synthetic Sales Data'!$D$2:$D$1921,A410,'Synthetic Sales Data'!$C$2:$C$1921,B410)</x:f>
        <x:v>81</x:v>
      </x:c>
      <x:c r="D410" s="17" t="n">
        <x:f>SUMIFS('Synthetic Sales Data'!$W$2:$W$1921,'Synthetic Sales Data'!$D$2:$D$1921,A410,'Synthetic Sales Data'!$C$2:$C$1921,B410)</x:f>
        <x:v>82</x:v>
      </x:c>
      <x:c r="E410" s="2" t="n">
        <x:f>C410-D410</x:f>
        <x:v>-1</x:v>
      </x:c>
      <x:c r="F410" s="2" t="n">
        <x:f>ABS(E410)</x:f>
        <x:v>1</x:v>
      </x:c>
    </x:row>
    <x:row r="411" ht="23" customHeight="1">
      <x:c r="A411" s="2" t="str">
        <x:v>DEMO-403</x:v>
      </x:c>
      <x:c r="B411" s="2" t="n">
        <x:v>10</x:v>
      </x:c>
      <x:c r="C411" s="17" t="n">
        <x:f>SUMIFS('Synthetic Sales Data'!$K$2:$K$1921,'Synthetic Sales Data'!$D$2:$D$1921,A411,'Synthetic Sales Data'!$C$2:$C$1921,B411)</x:f>
        <x:v>87</x:v>
      </x:c>
      <x:c r="D411" s="17" t="n">
        <x:f>SUMIFS('Synthetic Sales Data'!$W$2:$W$1921,'Synthetic Sales Data'!$D$2:$D$1921,A411,'Synthetic Sales Data'!$C$2:$C$1921,B411)</x:f>
        <x:v>81</x:v>
      </x:c>
      <x:c r="E411" s="2" t="n">
        <x:f>C411-D411</x:f>
        <x:v>6</x:v>
      </x:c>
      <x:c r="F411" s="2" t="n">
        <x:f>ABS(E411)</x:f>
        <x:v>6</x:v>
      </x:c>
    </x:row>
    <x:row r="412" ht="23" customHeight="1">
      <x:c r="A412" s="2" t="str">
        <x:v>DEMO-403</x:v>
      </x:c>
      <x:c r="B412" s="2" t="n">
        <x:v>11</x:v>
      </x:c>
      <x:c r="C412" s="17" t="n">
        <x:f>SUMIFS('Synthetic Sales Data'!$K$2:$K$1921,'Synthetic Sales Data'!$D$2:$D$1921,A412,'Synthetic Sales Data'!$C$2:$C$1921,B412)</x:f>
        <x:v>80</x:v>
      </x:c>
      <x:c r="D412" s="17" t="n">
        <x:f>SUMIFS('Synthetic Sales Data'!$W$2:$W$1921,'Synthetic Sales Data'!$D$2:$D$1921,A412,'Synthetic Sales Data'!$C$2:$C$1921,B412)</x:f>
        <x:v>82</x:v>
      </x:c>
      <x:c r="E412" s="2" t="n">
        <x:f>C412-D412</x:f>
        <x:v>-2</x:v>
      </x:c>
      <x:c r="F412" s="2" t="n">
        <x:f>ABS(E412)</x:f>
        <x:v>2</x:v>
      </x:c>
    </x:row>
    <x:row r="413" ht="23" customHeight="1">
      <x:c r="A413" s="2" t="str">
        <x:v>DEMO-403</x:v>
      </x:c>
      <x:c r="B413" s="2" t="n">
        <x:v>12</x:v>
      </x:c>
      <x:c r="C413" s="17" t="n">
        <x:f>SUMIFS('Synthetic Sales Data'!$K$2:$K$1921,'Synthetic Sales Data'!$D$2:$D$1921,A413,'Synthetic Sales Data'!$C$2:$C$1921,B413)</x:f>
        <x:v>73</x:v>
      </x:c>
      <x:c r="D413" s="17" t="n">
        <x:f>SUMIFS('Synthetic Sales Data'!$W$2:$W$1921,'Synthetic Sales Data'!$D$2:$D$1921,A413,'Synthetic Sales Data'!$C$2:$C$1921,B413)</x:f>
        <x:v>81</x:v>
      </x:c>
      <x:c r="E413" s="2" t="n">
        <x:f>C413-D413</x:f>
        <x:v>-8</x:v>
      </x:c>
      <x:c r="F413" s="2" t="n">
        <x:f>ABS(E413)</x:f>
        <x:v>8</x:v>
      </x:c>
    </x:row>
    <x:row r="414" ht="23" customHeight="1">
      <x:c r="A414" s="2" t="str">
        <x:v>DEMO-403</x:v>
      </x:c>
      <x:c r="B414" s="2" t="n">
        <x:v>13</x:v>
      </x:c>
      <x:c r="C414" s="17" t="n">
        <x:f>SUMIFS('Synthetic Sales Data'!$K$2:$K$1921,'Synthetic Sales Data'!$D$2:$D$1921,A414,'Synthetic Sales Data'!$C$2:$C$1921,B414)</x:f>
        <x:v>82</x:v>
      </x:c>
      <x:c r="D414" s="17" t="n">
        <x:f>SUMIFS('Synthetic Sales Data'!$W$2:$W$1921,'Synthetic Sales Data'!$D$2:$D$1921,A414,'Synthetic Sales Data'!$C$2:$C$1921,B414)</x:f>
        <x:v>81</x:v>
      </x:c>
      <x:c r="E414" s="2" t="n">
        <x:f>C414-D414</x:f>
        <x:v>1</x:v>
      </x:c>
      <x:c r="F414" s="2" t="n">
        <x:f>ABS(E414)</x:f>
        <x:v>1</x:v>
      </x:c>
    </x:row>
    <x:row r="415" ht="23" customHeight="1">
      <x:c r="A415" s="2" t="str">
        <x:v>DEMO-403</x:v>
      </x:c>
      <x:c r="B415" s="2" t="n">
        <x:v>14</x:v>
      </x:c>
      <x:c r="C415" s="17" t="n">
        <x:f>SUMIFS('Synthetic Sales Data'!$K$2:$K$1921,'Synthetic Sales Data'!$D$2:$D$1921,A415,'Synthetic Sales Data'!$C$2:$C$1921,B415)</x:f>
        <x:v>81</x:v>
      </x:c>
      <x:c r="D415" s="17" t="n">
        <x:f>SUMIFS('Synthetic Sales Data'!$W$2:$W$1921,'Synthetic Sales Data'!$D$2:$D$1921,A415,'Synthetic Sales Data'!$C$2:$C$1921,B415)</x:f>
        <x:v>82</x:v>
      </x:c>
      <x:c r="E415" s="2" t="n">
        <x:f>C415-D415</x:f>
        <x:v>-1</x:v>
      </x:c>
      <x:c r="F415" s="2" t="n">
        <x:f>ABS(E415)</x:f>
        <x:v>1</x:v>
      </x:c>
    </x:row>
    <x:row r="416" ht="23" customHeight="1">
      <x:c r="A416" s="2" t="str">
        <x:v>DEMO-403</x:v>
      </x:c>
      <x:c r="B416" s="2" t="n">
        <x:v>15</x:v>
      </x:c>
      <x:c r="C416" s="17" t="n">
        <x:f>SUMIFS('Synthetic Sales Data'!$K$2:$K$1921,'Synthetic Sales Data'!$D$2:$D$1921,A416,'Synthetic Sales Data'!$C$2:$C$1921,B416)</x:f>
        <x:v>77</x:v>
      </x:c>
      <x:c r="D416" s="17" t="n">
        <x:f>SUMIFS('Synthetic Sales Data'!$W$2:$W$1921,'Synthetic Sales Data'!$D$2:$D$1921,A416,'Synthetic Sales Data'!$C$2:$C$1921,B416)</x:f>
        <x:v>79</x:v>
      </x:c>
      <x:c r="E416" s="2" t="n">
        <x:f>C416-D416</x:f>
        <x:v>-2</x:v>
      </x:c>
      <x:c r="F416" s="2" t="n">
        <x:f>ABS(E416)</x:f>
        <x:v>2</x:v>
      </x:c>
    </x:row>
    <x:row r="417" ht="23" customHeight="1">
      <x:c r="A417" s="2" t="str">
        <x:v>DEMO-403</x:v>
      </x:c>
      <x:c r="B417" s="2" t="n">
        <x:v>16</x:v>
      </x:c>
      <x:c r="C417" s="17" t="n">
        <x:f>SUMIFS('Synthetic Sales Data'!$K$2:$K$1921,'Synthetic Sales Data'!$D$2:$D$1921,A417,'Synthetic Sales Data'!$C$2:$C$1921,B417)</x:f>
        <x:v>84</x:v>
      </x:c>
      <x:c r="D417" s="17" t="n">
        <x:f>SUMIFS('Synthetic Sales Data'!$W$2:$W$1921,'Synthetic Sales Data'!$D$2:$D$1921,A417,'Synthetic Sales Data'!$C$2:$C$1921,B417)</x:f>
        <x:v>79</x:v>
      </x:c>
      <x:c r="E417" s="2" t="n">
        <x:f>C417-D417</x:f>
        <x:v>5</x:v>
      </x:c>
      <x:c r="F417" s="2" t="n">
        <x:f>ABS(E417)</x:f>
        <x:v>5</x:v>
      </x:c>
    </x:row>
    <x:row r="418" ht="23" customHeight="1">
      <x:c r="A418" s="2" t="str">
        <x:v>DEMO-403</x:v>
      </x:c>
      <x:c r="B418" s="2" t="n">
        <x:v>17</x:v>
      </x:c>
      <x:c r="C418" s="17" t="n">
        <x:f>SUMIFS('Synthetic Sales Data'!$K$2:$K$1921,'Synthetic Sales Data'!$D$2:$D$1921,A418,'Synthetic Sales Data'!$C$2:$C$1921,B418)</x:f>
        <x:v>86</x:v>
      </x:c>
      <x:c r="D418" s="17" t="n">
        <x:f>SUMIFS('Synthetic Sales Data'!$W$2:$W$1921,'Synthetic Sales Data'!$D$2:$D$1921,A418,'Synthetic Sales Data'!$C$2:$C$1921,B418)</x:f>
        <x:v>82</x:v>
      </x:c>
      <x:c r="E418" s="2" t="n">
        <x:f>C418-D418</x:f>
        <x:v>4</x:v>
      </x:c>
      <x:c r="F418" s="2" t="n">
        <x:f>ABS(E418)</x:f>
        <x:v>4</x:v>
      </x:c>
    </x:row>
    <x:row r="419" ht="23" customHeight="1">
      <x:c r="A419" s="2" t="str">
        <x:v>DEMO-403</x:v>
      </x:c>
      <x:c r="B419" s="2" t="n">
        <x:v>18</x:v>
      </x:c>
      <x:c r="C419" s="17" t="n">
        <x:f>SUMIFS('Synthetic Sales Data'!$K$2:$K$1921,'Synthetic Sales Data'!$D$2:$D$1921,A419,'Synthetic Sales Data'!$C$2:$C$1921,B419)</x:f>
        <x:v>78</x:v>
      </x:c>
      <x:c r="D419" s="17" t="n">
        <x:f>SUMIFS('Synthetic Sales Data'!$W$2:$W$1921,'Synthetic Sales Data'!$D$2:$D$1921,A419,'Synthetic Sales Data'!$C$2:$C$1921,B419)</x:f>
        <x:v>84</x:v>
      </x:c>
      <x:c r="E419" s="2" t="n">
        <x:f>C419-D419</x:f>
        <x:v>-6</x:v>
      </x:c>
      <x:c r="F419" s="2" t="n">
        <x:f>ABS(E419)</x:f>
        <x:v>6</x:v>
      </x:c>
    </x:row>
    <x:row r="420" ht="23" customHeight="1">
      <x:c r="A420" s="2" t="str">
        <x:v>DEMO-403</x:v>
      </x:c>
      <x:c r="B420" s="2" t="n">
        <x:v>19</x:v>
      </x:c>
      <x:c r="C420" s="17" t="n">
        <x:f>SUMIFS('Synthetic Sales Data'!$K$2:$K$1921,'Synthetic Sales Data'!$D$2:$D$1921,A420,'Synthetic Sales Data'!$C$2:$C$1921,B420)</x:f>
        <x:v>75</x:v>
      </x:c>
      <x:c r="D420" s="17" t="n">
        <x:f>SUMIFS('Synthetic Sales Data'!$W$2:$W$1921,'Synthetic Sales Data'!$D$2:$D$1921,A420,'Synthetic Sales Data'!$C$2:$C$1921,B420)</x:f>
        <x:v>82</x:v>
      </x:c>
      <x:c r="E420" s="2" t="n">
        <x:f>C420-D420</x:f>
        <x:v>-7</x:v>
      </x:c>
      <x:c r="F420" s="2" t="n">
        <x:f>ABS(E420)</x:f>
        <x:v>7</x:v>
      </x:c>
    </x:row>
    <x:row r="421" ht="23" customHeight="1">
      <x:c r="A421" s="2" t="str">
        <x:v>DEMO-403</x:v>
      </x:c>
      <x:c r="B421" s="2" t="n">
        <x:v>20</x:v>
      </x:c>
      <x:c r="C421" s="17" t="n">
        <x:f>SUMIFS('Synthetic Sales Data'!$K$2:$K$1921,'Synthetic Sales Data'!$D$2:$D$1921,A421,'Synthetic Sales Data'!$C$2:$C$1921,B421)</x:f>
        <x:v>72</x:v>
      </x:c>
      <x:c r="D421" s="17" t="n">
        <x:f>SUMIFS('Synthetic Sales Data'!$W$2:$W$1921,'Synthetic Sales Data'!$D$2:$D$1921,A421,'Synthetic Sales Data'!$C$2:$C$1921,B421)</x:f>
        <x:v>81</x:v>
      </x:c>
      <x:c r="E421" s="2" t="n">
        <x:f>C421-D421</x:f>
        <x:v>-9</x:v>
      </x:c>
      <x:c r="F421" s="2" t="n">
        <x:f>ABS(E421)</x:f>
        <x:v>9</x:v>
      </x:c>
    </x:row>
    <x:row r="422" ht="23" customHeight="1">
      <x:c r="A422" s="2" t="str">
        <x:v>DEMO-404</x:v>
      </x:c>
      <x:c r="B422" s="2" t="n">
        <x:v>1</x:v>
      </x:c>
      <x:c r="C422" s="17" t="n">
        <x:f>SUMIFS('Synthetic Sales Data'!$K$2:$K$1921,'Synthetic Sales Data'!$D$2:$D$1921,A422,'Synthetic Sales Data'!$C$2:$C$1921,B422)</x:f>
        <x:v>40</x:v>
      </x:c>
      <x:c r="D422" s="17" t="n">
        <x:f>SUMIFS('Synthetic Sales Data'!$W$2:$W$1921,'Synthetic Sales Data'!$D$2:$D$1921,A422,'Synthetic Sales Data'!$C$2:$C$1921,B422)</x:f>
        <x:v>38</x:v>
      </x:c>
      <x:c r="E422" s="2" t="n">
        <x:f>C422-D422</x:f>
        <x:v>2</x:v>
      </x:c>
      <x:c r="F422" s="2" t="n">
        <x:f>ABS(E422)</x:f>
        <x:v>2</x:v>
      </x:c>
    </x:row>
    <x:row r="423" ht="23" customHeight="1">
      <x:c r="A423" s="2" t="str">
        <x:v>DEMO-404</x:v>
      </x:c>
      <x:c r="B423" s="2" t="n">
        <x:v>2</x:v>
      </x:c>
      <x:c r="C423" s="17" t="n">
        <x:f>SUMIFS('Synthetic Sales Data'!$K$2:$K$1921,'Synthetic Sales Data'!$D$2:$D$1921,A423,'Synthetic Sales Data'!$C$2:$C$1921,B423)</x:f>
        <x:v>32</x:v>
      </x:c>
      <x:c r="D423" s="17" t="n">
        <x:f>SUMIFS('Synthetic Sales Data'!$W$2:$W$1921,'Synthetic Sales Data'!$D$2:$D$1921,A423,'Synthetic Sales Data'!$C$2:$C$1921,B423)</x:f>
        <x:v>40</x:v>
      </x:c>
      <x:c r="E423" s="2" t="n">
        <x:f>C423-D423</x:f>
        <x:v>-8</x:v>
      </x:c>
      <x:c r="F423" s="2" t="n">
        <x:f>ABS(E423)</x:f>
        <x:v>8</x:v>
      </x:c>
    </x:row>
    <x:row r="424" ht="23" customHeight="1">
      <x:c r="A424" s="2" t="str">
        <x:v>DEMO-404</x:v>
      </x:c>
      <x:c r="B424" s="2" t="n">
        <x:v>3</x:v>
      </x:c>
      <x:c r="C424" s="17" t="n">
        <x:f>SUMIFS('Synthetic Sales Data'!$K$2:$K$1921,'Synthetic Sales Data'!$D$2:$D$1921,A424,'Synthetic Sales Data'!$C$2:$C$1921,B424)</x:f>
        <x:v>30</x:v>
      </x:c>
      <x:c r="D424" s="17" t="n">
        <x:f>SUMIFS('Synthetic Sales Data'!$W$2:$W$1921,'Synthetic Sales Data'!$D$2:$D$1921,A424,'Synthetic Sales Data'!$C$2:$C$1921,B424)</x:f>
        <x:v>37</x:v>
      </x:c>
      <x:c r="E424" s="2" t="n">
        <x:f>C424-D424</x:f>
        <x:v>-7</x:v>
      </x:c>
      <x:c r="F424" s="2" t="n">
        <x:f>ABS(E424)</x:f>
        <x:v>7</x:v>
      </x:c>
    </x:row>
    <x:row r="425" ht="23" customHeight="1">
      <x:c r="A425" s="2" t="str">
        <x:v>DEMO-404</x:v>
      </x:c>
      <x:c r="B425" s="2" t="n">
        <x:v>4</x:v>
      </x:c>
      <x:c r="C425" s="17" t="n">
        <x:f>SUMIFS('Synthetic Sales Data'!$K$2:$K$1921,'Synthetic Sales Data'!$D$2:$D$1921,A425,'Synthetic Sales Data'!$C$2:$C$1921,B425)</x:f>
        <x:v>33</x:v>
      </x:c>
      <x:c r="D425" s="17" t="n">
        <x:f>SUMIFS('Synthetic Sales Data'!$W$2:$W$1921,'Synthetic Sales Data'!$D$2:$D$1921,A425,'Synthetic Sales Data'!$C$2:$C$1921,B425)</x:f>
        <x:v>34</x:v>
      </x:c>
      <x:c r="E425" s="2" t="n">
        <x:f>C425-D425</x:f>
        <x:v>-1</x:v>
      </x:c>
      <x:c r="F425" s="2" t="n">
        <x:f>ABS(E425)</x:f>
        <x:v>1</x:v>
      </x:c>
    </x:row>
    <x:row r="426" ht="23" customHeight="1">
      <x:c r="A426" s="2" t="str">
        <x:v>DEMO-404</x:v>
      </x:c>
      <x:c r="B426" s="2" t="n">
        <x:v>5</x:v>
      </x:c>
      <x:c r="C426" s="17" t="n">
        <x:f>SUMIFS('Synthetic Sales Data'!$K$2:$K$1921,'Synthetic Sales Data'!$D$2:$D$1921,A426,'Synthetic Sales Data'!$C$2:$C$1921,B426)</x:f>
        <x:v>42</x:v>
      </x:c>
      <x:c r="D426" s="17" t="n">
        <x:f>SUMIFS('Synthetic Sales Data'!$W$2:$W$1921,'Synthetic Sales Data'!$D$2:$D$1921,A426,'Synthetic Sales Data'!$C$2:$C$1921,B426)</x:f>
        <x:v>34</x:v>
      </x:c>
      <x:c r="E426" s="2" t="n">
        <x:f>C426-D426</x:f>
        <x:v>8</x:v>
      </x:c>
      <x:c r="F426" s="2" t="n">
        <x:f>ABS(E426)</x:f>
        <x:v>8</x:v>
      </x:c>
    </x:row>
    <x:row r="427" ht="23" customHeight="1">
      <x:c r="A427" s="2" t="str">
        <x:v>DEMO-404</x:v>
      </x:c>
      <x:c r="B427" s="2" t="n">
        <x:v>6</x:v>
      </x:c>
      <x:c r="C427" s="17" t="n">
        <x:f>SUMIFS('Synthetic Sales Data'!$K$2:$K$1921,'Synthetic Sales Data'!$D$2:$D$1921,A427,'Synthetic Sales Data'!$C$2:$C$1921,B427)</x:f>
        <x:v>42</x:v>
      </x:c>
      <x:c r="D427" s="17" t="n">
        <x:f>SUMIFS('Synthetic Sales Data'!$W$2:$W$1921,'Synthetic Sales Data'!$D$2:$D$1921,A427,'Synthetic Sales Data'!$C$2:$C$1921,B427)</x:f>
        <x:v>36</x:v>
      </x:c>
      <x:c r="E427" s="2" t="n">
        <x:f>C427-D427</x:f>
        <x:v>6</x:v>
      </x:c>
      <x:c r="F427" s="2" t="n">
        <x:f>ABS(E427)</x:f>
        <x:v>6</x:v>
      </x:c>
    </x:row>
    <x:row r="428" ht="23" customHeight="1">
      <x:c r="A428" s="2" t="str">
        <x:v>DEMO-404</x:v>
      </x:c>
      <x:c r="B428" s="2" t="n">
        <x:v>7</x:v>
      </x:c>
      <x:c r="C428" s="17" t="n">
        <x:f>SUMIFS('Synthetic Sales Data'!$K$2:$K$1921,'Synthetic Sales Data'!$D$2:$D$1921,A428,'Synthetic Sales Data'!$C$2:$C$1921,B428)</x:f>
        <x:v>36</x:v>
      </x:c>
      <x:c r="D428" s="17" t="n">
        <x:f>SUMIFS('Synthetic Sales Data'!$W$2:$W$1921,'Synthetic Sales Data'!$D$2:$D$1921,A428,'Synthetic Sales Data'!$C$2:$C$1921,B428)</x:f>
        <x:v>37</x:v>
      </x:c>
      <x:c r="E428" s="2" t="n">
        <x:f>C428-D428</x:f>
        <x:v>-1</x:v>
      </x:c>
      <x:c r="F428" s="2" t="n">
        <x:f>ABS(E428)</x:f>
        <x:v>1</x:v>
      </x:c>
    </x:row>
    <x:row r="429" ht="23" customHeight="1">
      <x:c r="A429" s="2" t="str">
        <x:v>DEMO-404</x:v>
      </x:c>
      <x:c r="B429" s="2" t="n">
        <x:v>8</x:v>
      </x:c>
      <x:c r="C429" s="17" t="n">
        <x:f>SUMIFS('Synthetic Sales Data'!$K$2:$K$1921,'Synthetic Sales Data'!$D$2:$D$1921,A429,'Synthetic Sales Data'!$C$2:$C$1921,B429)</x:f>
        <x:v>40</x:v>
      </x:c>
      <x:c r="D429" s="17" t="n">
        <x:f>SUMIFS('Synthetic Sales Data'!$W$2:$W$1921,'Synthetic Sales Data'!$D$2:$D$1921,A429,'Synthetic Sales Data'!$C$2:$C$1921,B429)</x:f>
        <x:v>39</x:v>
      </x:c>
      <x:c r="E429" s="2" t="n">
        <x:f>C429-D429</x:f>
        <x:v>1</x:v>
      </x:c>
      <x:c r="F429" s="2" t="n">
        <x:f>ABS(E429)</x:f>
        <x:v>1</x:v>
      </x:c>
    </x:row>
    <x:row r="430" ht="23" customHeight="1">
      <x:c r="A430" s="2" t="str">
        <x:v>DEMO-404</x:v>
      </x:c>
      <x:c r="B430" s="2" t="n">
        <x:v>9</x:v>
      </x:c>
      <x:c r="C430" s="17" t="n">
        <x:f>SUMIFS('Synthetic Sales Data'!$K$2:$K$1921,'Synthetic Sales Data'!$D$2:$D$1921,A430,'Synthetic Sales Data'!$C$2:$C$1921,B430)</x:f>
        <x:v>33</x:v>
      </x:c>
      <x:c r="D430" s="17" t="n">
        <x:f>SUMIFS('Synthetic Sales Data'!$W$2:$W$1921,'Synthetic Sales Data'!$D$2:$D$1921,A430,'Synthetic Sales Data'!$C$2:$C$1921,B430)</x:f>
        <x:v>42</x:v>
      </x:c>
      <x:c r="E430" s="2" t="n">
        <x:f>C430-D430</x:f>
        <x:v>-9</x:v>
      </x:c>
      <x:c r="F430" s="2" t="n">
        <x:f>ABS(E430)</x:f>
        <x:v>9</x:v>
      </x:c>
    </x:row>
    <x:row r="431" ht="23" customHeight="1">
      <x:c r="A431" s="2" t="str">
        <x:v>DEMO-404</x:v>
      </x:c>
      <x:c r="B431" s="2" t="n">
        <x:v>10</x:v>
      </x:c>
      <x:c r="C431" s="17" t="n">
        <x:f>SUMIFS('Synthetic Sales Data'!$K$2:$K$1921,'Synthetic Sales Data'!$D$2:$D$1921,A431,'Synthetic Sales Data'!$C$2:$C$1921,B431)</x:f>
        <x:v>37</x:v>
      </x:c>
      <x:c r="D431" s="17" t="n">
        <x:f>SUMIFS('Synthetic Sales Data'!$W$2:$W$1921,'Synthetic Sales Data'!$D$2:$D$1921,A431,'Synthetic Sales Data'!$C$2:$C$1921,B431)</x:f>
        <x:v>38</x:v>
      </x:c>
      <x:c r="E431" s="2" t="n">
        <x:f>C431-D431</x:f>
        <x:v>-1</x:v>
      </x:c>
      <x:c r="F431" s="2" t="n">
        <x:f>ABS(E431)</x:f>
        <x:v>1</x:v>
      </x:c>
    </x:row>
    <x:row r="432" ht="23" customHeight="1">
      <x:c r="A432" s="2" t="str">
        <x:v>DEMO-404</x:v>
      </x:c>
      <x:c r="B432" s="2" t="n">
        <x:v>11</x:v>
      </x:c>
      <x:c r="C432" s="17" t="n">
        <x:f>SUMIFS('Synthetic Sales Data'!$K$2:$K$1921,'Synthetic Sales Data'!$D$2:$D$1921,A432,'Synthetic Sales Data'!$C$2:$C$1921,B432)</x:f>
        <x:v>43</x:v>
      </x:c>
      <x:c r="D432" s="17" t="n">
        <x:f>SUMIFS('Synthetic Sales Data'!$W$2:$W$1921,'Synthetic Sales Data'!$D$2:$D$1921,A432,'Synthetic Sales Data'!$C$2:$C$1921,B432)</x:f>
        <x:v>38</x:v>
      </x:c>
      <x:c r="E432" s="2" t="n">
        <x:f>C432-D432</x:f>
        <x:v>5</x:v>
      </x:c>
      <x:c r="F432" s="2" t="n">
        <x:f>ABS(E432)</x:f>
        <x:v>5</x:v>
      </x:c>
    </x:row>
    <x:row r="433" ht="23" customHeight="1">
      <x:c r="A433" s="2" t="str">
        <x:v>DEMO-404</x:v>
      </x:c>
      <x:c r="B433" s="2" t="n">
        <x:v>12</x:v>
      </x:c>
      <x:c r="C433" s="17" t="n">
        <x:f>SUMIFS('Synthetic Sales Data'!$K$2:$K$1921,'Synthetic Sales Data'!$D$2:$D$1921,A433,'Synthetic Sales Data'!$C$2:$C$1921,B433)</x:f>
        <x:v>36</x:v>
      </x:c>
      <x:c r="D433" s="17" t="n">
        <x:f>SUMIFS('Synthetic Sales Data'!$W$2:$W$1921,'Synthetic Sales Data'!$D$2:$D$1921,A433,'Synthetic Sales Data'!$C$2:$C$1921,B433)</x:f>
        <x:v>39</x:v>
      </x:c>
      <x:c r="E433" s="2" t="n">
        <x:f>C433-D433</x:f>
        <x:v>-3</x:v>
      </x:c>
      <x:c r="F433" s="2" t="n">
        <x:f>ABS(E433)</x:f>
        <x:v>3</x:v>
      </x:c>
    </x:row>
    <x:row r="434" ht="23" customHeight="1">
      <x:c r="A434" s="2" t="str">
        <x:v>DEMO-404</x:v>
      </x:c>
      <x:c r="B434" s="2" t="n">
        <x:v>13</x:v>
      </x:c>
      <x:c r="C434" s="17" t="n">
        <x:f>SUMIFS('Synthetic Sales Data'!$K$2:$K$1921,'Synthetic Sales Data'!$D$2:$D$1921,A434,'Synthetic Sales Data'!$C$2:$C$1921,B434)</x:f>
        <x:v>36</x:v>
      </x:c>
      <x:c r="D434" s="17" t="n">
        <x:f>SUMIFS('Synthetic Sales Data'!$W$2:$W$1921,'Synthetic Sales Data'!$D$2:$D$1921,A434,'Synthetic Sales Data'!$C$2:$C$1921,B434)</x:f>
        <x:v>37</x:v>
      </x:c>
      <x:c r="E434" s="2" t="n">
        <x:f>C434-D434</x:f>
        <x:v>-1</x:v>
      </x:c>
      <x:c r="F434" s="2" t="n">
        <x:f>ABS(E434)</x:f>
        <x:v>1</x:v>
      </x:c>
    </x:row>
    <x:row r="435" ht="23" customHeight="1">
      <x:c r="A435" s="2" t="str">
        <x:v>DEMO-404</x:v>
      </x:c>
      <x:c r="B435" s="2" t="n">
        <x:v>14</x:v>
      </x:c>
      <x:c r="C435" s="17" t="n">
        <x:f>SUMIFS('Synthetic Sales Data'!$K$2:$K$1921,'Synthetic Sales Data'!$D$2:$D$1921,A435,'Synthetic Sales Data'!$C$2:$C$1921,B435)</x:f>
        <x:v>37</x:v>
      </x:c>
      <x:c r="D435" s="17" t="n">
        <x:f>SUMIFS('Synthetic Sales Data'!$W$2:$W$1921,'Synthetic Sales Data'!$D$2:$D$1921,A435,'Synthetic Sales Data'!$C$2:$C$1921,B435)</x:f>
        <x:v>39</x:v>
      </x:c>
      <x:c r="E435" s="2" t="n">
        <x:f>C435-D435</x:f>
        <x:v>-2</x:v>
      </x:c>
      <x:c r="F435" s="2" t="n">
        <x:f>ABS(E435)</x:f>
        <x:v>2</x:v>
      </x:c>
    </x:row>
    <x:row r="436" ht="23" customHeight="1">
      <x:c r="A436" s="2" t="str">
        <x:v>DEMO-404</x:v>
      </x:c>
      <x:c r="B436" s="2" t="n">
        <x:v>15</x:v>
      </x:c>
      <x:c r="C436" s="17" t="n">
        <x:f>SUMIFS('Synthetic Sales Data'!$K$2:$K$1921,'Synthetic Sales Data'!$D$2:$D$1921,A436,'Synthetic Sales Data'!$C$2:$C$1921,B436)</x:f>
        <x:v>35</x:v>
      </x:c>
      <x:c r="D436" s="17" t="n">
        <x:f>SUMIFS('Synthetic Sales Data'!$W$2:$W$1921,'Synthetic Sales Data'!$D$2:$D$1921,A436,'Synthetic Sales Data'!$C$2:$C$1921,B436)</x:f>
        <x:v>39</x:v>
      </x:c>
      <x:c r="E436" s="2" t="n">
        <x:f>C436-D436</x:f>
        <x:v>-4</x:v>
      </x:c>
      <x:c r="F436" s="2" t="n">
        <x:f>ABS(E436)</x:f>
        <x:v>4</x:v>
      </x:c>
    </x:row>
    <x:row r="437" ht="23" customHeight="1">
      <x:c r="A437" s="2" t="str">
        <x:v>DEMO-404</x:v>
      </x:c>
      <x:c r="B437" s="2" t="n">
        <x:v>16</x:v>
      </x:c>
      <x:c r="C437" s="17" t="n">
        <x:f>SUMIFS('Synthetic Sales Data'!$K$2:$K$1921,'Synthetic Sales Data'!$D$2:$D$1921,A437,'Synthetic Sales Data'!$C$2:$C$1921,B437)</x:f>
        <x:v>39</x:v>
      </x:c>
      <x:c r="D437" s="17" t="n">
        <x:f>SUMIFS('Synthetic Sales Data'!$W$2:$W$1921,'Synthetic Sales Data'!$D$2:$D$1921,A437,'Synthetic Sales Data'!$C$2:$C$1921,B437)</x:f>
        <x:v>37</x:v>
      </x:c>
      <x:c r="E437" s="2" t="n">
        <x:f>C437-D437</x:f>
        <x:v>2</x:v>
      </x:c>
      <x:c r="F437" s="2" t="n">
        <x:f>ABS(E437)</x:f>
        <x:v>2</x:v>
      </x:c>
    </x:row>
    <x:row r="438" ht="23" customHeight="1">
      <x:c r="A438" s="2" t="str">
        <x:v>DEMO-404</x:v>
      </x:c>
      <x:c r="B438" s="2" t="n">
        <x:v>17</x:v>
      </x:c>
      <x:c r="C438" s="17" t="n">
        <x:f>SUMIFS('Synthetic Sales Data'!$K$2:$K$1921,'Synthetic Sales Data'!$D$2:$D$1921,A438,'Synthetic Sales Data'!$C$2:$C$1921,B438)</x:f>
        <x:v>37</x:v>
      </x:c>
      <x:c r="D438" s="17" t="n">
        <x:f>SUMIFS('Synthetic Sales Data'!$W$2:$W$1921,'Synthetic Sales Data'!$D$2:$D$1921,A438,'Synthetic Sales Data'!$C$2:$C$1921,B438)</x:f>
        <x:v>38</x:v>
      </x:c>
      <x:c r="E438" s="2" t="n">
        <x:f>C438-D438</x:f>
        <x:v>-1</x:v>
      </x:c>
      <x:c r="F438" s="2" t="n">
        <x:f>ABS(E438)</x:f>
        <x:v>1</x:v>
      </x:c>
    </x:row>
    <x:row r="439" ht="23" customHeight="1">
      <x:c r="A439" s="2" t="str">
        <x:v>DEMO-404</x:v>
      </x:c>
      <x:c r="B439" s="2" t="n">
        <x:v>18</x:v>
      </x:c>
      <x:c r="C439" s="17" t="n">
        <x:f>SUMIFS('Synthetic Sales Data'!$K$2:$K$1921,'Synthetic Sales Data'!$D$2:$D$1921,A439,'Synthetic Sales Data'!$C$2:$C$1921,B439)</x:f>
        <x:v>37</x:v>
      </x:c>
      <x:c r="D439" s="17" t="n">
        <x:f>SUMIFS('Synthetic Sales Data'!$W$2:$W$1921,'Synthetic Sales Data'!$D$2:$D$1921,A439,'Synthetic Sales Data'!$C$2:$C$1921,B439)</x:f>
        <x:v>37</x:v>
      </x:c>
      <x:c r="E439" s="2" t="n">
        <x:f>C439-D439</x:f>
        <x:v>0</x:v>
      </x:c>
      <x:c r="F439" s="2" t="n">
        <x:f>ABS(E439)</x:f>
        <x:v>0</x:v>
      </x:c>
    </x:row>
    <x:row r="440" ht="23" customHeight="1">
      <x:c r="A440" s="2" t="str">
        <x:v>DEMO-404</x:v>
      </x:c>
      <x:c r="B440" s="2" t="n">
        <x:v>19</x:v>
      </x:c>
      <x:c r="C440" s="17" t="n">
        <x:f>SUMIFS('Synthetic Sales Data'!$K$2:$K$1921,'Synthetic Sales Data'!$D$2:$D$1921,A440,'Synthetic Sales Data'!$C$2:$C$1921,B440)</x:f>
        <x:v>38</x:v>
      </x:c>
      <x:c r="D440" s="17" t="n">
        <x:f>SUMIFS('Synthetic Sales Data'!$W$2:$W$1921,'Synthetic Sales Data'!$D$2:$D$1921,A440,'Synthetic Sales Data'!$C$2:$C$1921,B440)</x:f>
        <x:v>37</x:v>
      </x:c>
      <x:c r="E440" s="2" t="n">
        <x:f>C440-D440</x:f>
        <x:v>1</x:v>
      </x:c>
      <x:c r="F440" s="2" t="n">
        <x:f>ABS(E440)</x:f>
        <x:v>1</x:v>
      </x:c>
    </x:row>
    <x:row r="441" ht="23" customHeight="1">
      <x:c r="A441" s="2" t="str">
        <x:v>DEMO-404</x:v>
      </x:c>
      <x:c r="B441" s="2" t="n">
        <x:v>20</x:v>
      </x:c>
      <x:c r="C441" s="17" t="n">
        <x:f>SUMIFS('Synthetic Sales Data'!$K$2:$K$1921,'Synthetic Sales Data'!$D$2:$D$1921,A441,'Synthetic Sales Data'!$C$2:$C$1921,B441)</x:f>
        <x:v>37</x:v>
      </x:c>
      <x:c r="D441" s="17" t="n">
        <x:f>SUMIFS('Synthetic Sales Data'!$W$2:$W$1921,'Synthetic Sales Data'!$D$2:$D$1921,A441,'Synthetic Sales Data'!$C$2:$C$1921,B441)</x:f>
        <x:v>38</x:v>
      </x:c>
      <x:c r="E441" s="2" t="n">
        <x:f>C441-D441</x:f>
        <x:v>-1</x:v>
      </x:c>
      <x:c r="F441" s="2" t="n">
        <x:f>ABS(E441)</x:f>
        <x:v>1</x:v>
      </x:c>
    </x:row>
    <x:row r="442" ht="23" customHeight="1">
      <x:c r="A442" s="2" t="str">
        <x:v>DEMO-405</x:v>
      </x:c>
      <x:c r="B442" s="2" t="n">
        <x:v>1</x:v>
      </x:c>
      <x:c r="C442" s="17" t="n">
        <x:f>SUMIFS('Synthetic Sales Data'!$K$2:$K$1921,'Synthetic Sales Data'!$D$2:$D$1921,A442,'Synthetic Sales Data'!$C$2:$C$1921,B442)</x:f>
        <x:v>47</x:v>
      </x:c>
      <x:c r="D442" s="17" t="n">
        <x:f>SUMIFS('Synthetic Sales Data'!$W$2:$W$1921,'Synthetic Sales Data'!$D$2:$D$1921,A442,'Synthetic Sales Data'!$C$2:$C$1921,B442)</x:f>
        <x:v>52</x:v>
      </x:c>
      <x:c r="E442" s="2" t="n">
        <x:f>C442-D442</x:f>
        <x:v>-5</x:v>
      </x:c>
      <x:c r="F442" s="2" t="n">
        <x:f>ABS(E442)</x:f>
        <x:v>5</x:v>
      </x:c>
    </x:row>
    <x:row r="443" ht="23" customHeight="1">
      <x:c r="A443" s="2" t="str">
        <x:v>DEMO-405</x:v>
      </x:c>
      <x:c r="B443" s="2" t="n">
        <x:v>2</x:v>
      </x:c>
      <x:c r="C443" s="17" t="n">
        <x:f>SUMIFS('Synthetic Sales Data'!$K$2:$K$1921,'Synthetic Sales Data'!$D$2:$D$1921,A443,'Synthetic Sales Data'!$C$2:$C$1921,B443)</x:f>
        <x:v>54</x:v>
      </x:c>
      <x:c r="D443" s="17" t="n">
        <x:f>SUMIFS('Synthetic Sales Data'!$W$2:$W$1921,'Synthetic Sales Data'!$D$2:$D$1921,A443,'Synthetic Sales Data'!$C$2:$C$1921,B443)</x:f>
        <x:v>47</x:v>
      </x:c>
      <x:c r="E443" s="2" t="n">
        <x:f>C443-D443</x:f>
        <x:v>7</x:v>
      </x:c>
      <x:c r="F443" s="2" t="n">
        <x:f>ABS(E443)</x:f>
        <x:v>7</x:v>
      </x:c>
    </x:row>
    <x:row r="444" ht="23" customHeight="1">
      <x:c r="A444" s="2" t="str">
        <x:v>DEMO-405</x:v>
      </x:c>
      <x:c r="B444" s="2" t="n">
        <x:v>3</x:v>
      </x:c>
      <x:c r="C444" s="17" t="n">
        <x:f>SUMIFS('Synthetic Sales Data'!$K$2:$K$1921,'Synthetic Sales Data'!$D$2:$D$1921,A444,'Synthetic Sales Data'!$C$2:$C$1921,B444)</x:f>
        <x:v>52</x:v>
      </x:c>
      <x:c r="D444" s="17" t="n">
        <x:f>SUMIFS('Synthetic Sales Data'!$W$2:$W$1921,'Synthetic Sales Data'!$D$2:$D$1921,A444,'Synthetic Sales Data'!$C$2:$C$1921,B444)</x:f>
        <x:v>52</x:v>
      </x:c>
      <x:c r="E444" s="2" t="n">
        <x:f>C444-D444</x:f>
        <x:v>0</x:v>
      </x:c>
      <x:c r="F444" s="2" t="n">
        <x:f>ABS(E444)</x:f>
        <x:v>0</x:v>
      </x:c>
    </x:row>
    <x:row r="445" ht="23" customHeight="1">
      <x:c r="A445" s="2" t="str">
        <x:v>DEMO-405</x:v>
      </x:c>
      <x:c r="B445" s="2" t="n">
        <x:v>4</x:v>
      </x:c>
      <x:c r="C445" s="17" t="n">
        <x:f>SUMIFS('Synthetic Sales Data'!$K$2:$K$1921,'Synthetic Sales Data'!$D$2:$D$1921,A445,'Synthetic Sales Data'!$C$2:$C$1921,B445)</x:f>
        <x:v>58</x:v>
      </x:c>
      <x:c r="D445" s="17" t="n">
        <x:f>SUMIFS('Synthetic Sales Data'!$W$2:$W$1921,'Synthetic Sales Data'!$D$2:$D$1921,A445,'Synthetic Sales Data'!$C$2:$C$1921,B445)</x:f>
        <x:v>51</x:v>
      </x:c>
      <x:c r="E445" s="2" t="n">
        <x:f>C445-D445</x:f>
        <x:v>7</x:v>
      </x:c>
      <x:c r="F445" s="2" t="n">
        <x:f>ABS(E445)</x:f>
        <x:v>7</x:v>
      </x:c>
    </x:row>
    <x:row r="446" ht="23" customHeight="1">
      <x:c r="A446" s="2" t="str">
        <x:v>DEMO-405</x:v>
      </x:c>
      <x:c r="B446" s="2" t="n">
        <x:v>5</x:v>
      </x:c>
      <x:c r="C446" s="17" t="n">
        <x:f>SUMIFS('Synthetic Sales Data'!$K$2:$K$1921,'Synthetic Sales Data'!$D$2:$D$1921,A446,'Synthetic Sales Data'!$C$2:$C$1921,B446)</x:f>
        <x:v>46</x:v>
      </x:c>
      <x:c r="D446" s="17" t="n">
        <x:f>SUMIFS('Synthetic Sales Data'!$W$2:$W$1921,'Synthetic Sales Data'!$D$2:$D$1921,A446,'Synthetic Sales Data'!$C$2:$C$1921,B446)</x:f>
        <x:v>54</x:v>
      </x:c>
      <x:c r="E446" s="2" t="n">
        <x:f>C446-D446</x:f>
        <x:v>-8</x:v>
      </x:c>
      <x:c r="F446" s="2" t="n">
        <x:f>ABS(E446)</x:f>
        <x:v>8</x:v>
      </x:c>
    </x:row>
    <x:row r="447" ht="23" customHeight="1">
      <x:c r="A447" s="2" t="str">
        <x:v>DEMO-405</x:v>
      </x:c>
      <x:c r="B447" s="2" t="n">
        <x:v>6</x:v>
      </x:c>
      <x:c r="C447" s="17" t="n">
        <x:f>SUMIFS('Synthetic Sales Data'!$K$2:$K$1921,'Synthetic Sales Data'!$D$2:$D$1921,A447,'Synthetic Sales Data'!$C$2:$C$1921,B447)</x:f>
        <x:v>48</x:v>
      </x:c>
      <x:c r="D447" s="17" t="n">
        <x:f>SUMIFS('Synthetic Sales Data'!$W$2:$W$1921,'Synthetic Sales Data'!$D$2:$D$1921,A447,'Synthetic Sales Data'!$C$2:$C$1921,B447)</x:f>
        <x:v>53</x:v>
      </x:c>
      <x:c r="E447" s="2" t="n">
        <x:f>C447-D447</x:f>
        <x:v>-5</x:v>
      </x:c>
      <x:c r="F447" s="2" t="n">
        <x:f>ABS(E447)</x:f>
        <x:v>5</x:v>
      </x:c>
    </x:row>
    <x:row r="448" ht="23" customHeight="1">
      <x:c r="A448" s="2" t="str">
        <x:v>DEMO-405</x:v>
      </x:c>
      <x:c r="B448" s="2" t="n">
        <x:v>7</x:v>
      </x:c>
      <x:c r="C448" s="17" t="n">
        <x:f>SUMIFS('Synthetic Sales Data'!$K$2:$K$1921,'Synthetic Sales Data'!$D$2:$D$1921,A448,'Synthetic Sales Data'!$C$2:$C$1921,B448)</x:f>
        <x:v>53</x:v>
      </x:c>
      <x:c r="D448" s="17" t="n">
        <x:f>SUMIFS('Synthetic Sales Data'!$W$2:$W$1921,'Synthetic Sales Data'!$D$2:$D$1921,A448,'Synthetic Sales Data'!$C$2:$C$1921,B448)</x:f>
        <x:v>52</x:v>
      </x:c>
      <x:c r="E448" s="2" t="n">
        <x:f>C448-D448</x:f>
        <x:v>1</x:v>
      </x:c>
      <x:c r="F448" s="2" t="n">
        <x:f>ABS(E448)</x:f>
        <x:v>1</x:v>
      </x:c>
    </x:row>
    <x:row r="449" ht="23" customHeight="1">
      <x:c r="A449" s="2" t="str">
        <x:v>DEMO-405</x:v>
      </x:c>
      <x:c r="B449" s="2" t="n">
        <x:v>8</x:v>
      </x:c>
      <x:c r="C449" s="17" t="n">
        <x:f>SUMIFS('Synthetic Sales Data'!$K$2:$K$1921,'Synthetic Sales Data'!$D$2:$D$1921,A449,'Synthetic Sales Data'!$C$2:$C$1921,B449)</x:f>
        <x:v>47</x:v>
      </x:c>
      <x:c r="D449" s="17" t="n">
        <x:f>SUMIFS('Synthetic Sales Data'!$W$2:$W$1921,'Synthetic Sales Data'!$D$2:$D$1921,A449,'Synthetic Sales Data'!$C$2:$C$1921,B449)</x:f>
        <x:v>51</x:v>
      </x:c>
      <x:c r="E449" s="2" t="n">
        <x:f>C449-D449</x:f>
        <x:v>-4</x:v>
      </x:c>
      <x:c r="F449" s="2" t="n">
        <x:f>ABS(E449)</x:f>
        <x:v>4</x:v>
      </x:c>
    </x:row>
    <x:row r="450" ht="23" customHeight="1">
      <x:c r="A450" s="2" t="str">
        <x:v>DEMO-405</x:v>
      </x:c>
      <x:c r="B450" s="2" t="n">
        <x:v>9</x:v>
      </x:c>
      <x:c r="C450" s="17" t="n">
        <x:f>SUMIFS('Synthetic Sales Data'!$K$2:$K$1921,'Synthetic Sales Data'!$D$2:$D$1921,A450,'Synthetic Sales Data'!$C$2:$C$1921,B450)</x:f>
        <x:v>49</x:v>
      </x:c>
      <x:c r="D450" s="17" t="n">
        <x:f>SUMIFS('Synthetic Sales Data'!$W$2:$W$1921,'Synthetic Sales Data'!$D$2:$D$1921,A450,'Synthetic Sales Data'!$C$2:$C$1921,B450)</x:f>
        <x:v>49</x:v>
      </x:c>
      <x:c r="E450" s="2" t="n">
        <x:f>C450-D450</x:f>
        <x:v>0</x:v>
      </x:c>
      <x:c r="F450" s="2" t="n">
        <x:f>ABS(E450)</x:f>
        <x:v>0</x:v>
      </x:c>
    </x:row>
    <x:row r="451" ht="23" customHeight="1">
      <x:c r="A451" s="2" t="str">
        <x:v>DEMO-405</x:v>
      </x:c>
      <x:c r="B451" s="2" t="n">
        <x:v>10</x:v>
      </x:c>
      <x:c r="C451" s="17" t="n">
        <x:f>SUMIFS('Synthetic Sales Data'!$K$2:$K$1921,'Synthetic Sales Data'!$D$2:$D$1921,A451,'Synthetic Sales Data'!$C$2:$C$1921,B451)</x:f>
        <x:v>47</x:v>
      </x:c>
      <x:c r="D451" s="17" t="n">
        <x:f>SUMIFS('Synthetic Sales Data'!$W$2:$W$1921,'Synthetic Sales Data'!$D$2:$D$1921,A451,'Synthetic Sales Data'!$C$2:$C$1921,B451)</x:f>
        <x:v>49</x:v>
      </x:c>
      <x:c r="E451" s="2" t="n">
        <x:f>C451-D451</x:f>
        <x:v>-2</x:v>
      </x:c>
      <x:c r="F451" s="2" t="n">
        <x:f>ABS(E451)</x:f>
        <x:v>2</x:v>
      </x:c>
    </x:row>
    <x:row r="452" ht="23" customHeight="1">
      <x:c r="A452" s="2" t="str">
        <x:v>DEMO-405</x:v>
      </x:c>
      <x:c r="B452" s="2" t="n">
        <x:v>11</x:v>
      </x:c>
      <x:c r="C452" s="17" t="n">
        <x:f>SUMIFS('Synthetic Sales Data'!$K$2:$K$1921,'Synthetic Sales Data'!$D$2:$D$1921,A452,'Synthetic Sales Data'!$C$2:$C$1921,B452)</x:f>
        <x:v>53</x:v>
      </x:c>
      <x:c r="D452" s="17" t="n">
        <x:f>SUMIFS('Synthetic Sales Data'!$W$2:$W$1921,'Synthetic Sales Data'!$D$2:$D$1921,A452,'Synthetic Sales Data'!$C$2:$C$1921,B452)</x:f>
        <x:v>50</x:v>
      </x:c>
      <x:c r="E452" s="2" t="n">
        <x:f>C452-D452</x:f>
        <x:v>3</x:v>
      </x:c>
      <x:c r="F452" s="2" t="n">
        <x:f>ABS(E452)</x:f>
        <x:v>3</x:v>
      </x:c>
    </x:row>
    <x:row r="453" ht="23" customHeight="1">
      <x:c r="A453" s="2" t="str">
        <x:v>DEMO-405</x:v>
      </x:c>
      <x:c r="B453" s="2" t="n">
        <x:v>12</x:v>
      </x:c>
      <x:c r="C453" s="17" t="n">
        <x:f>SUMIFS('Synthetic Sales Data'!$K$2:$K$1921,'Synthetic Sales Data'!$D$2:$D$1921,A453,'Synthetic Sales Data'!$C$2:$C$1921,B453)</x:f>
        <x:v>54</x:v>
      </x:c>
      <x:c r="D453" s="17" t="n">
        <x:f>SUMIFS('Synthetic Sales Data'!$W$2:$W$1921,'Synthetic Sales Data'!$D$2:$D$1921,A453,'Synthetic Sales Data'!$C$2:$C$1921,B453)</x:f>
        <x:v>49</x:v>
      </x:c>
      <x:c r="E453" s="2" t="n">
        <x:f>C453-D453</x:f>
        <x:v>5</x:v>
      </x:c>
      <x:c r="F453" s="2" t="n">
        <x:f>ABS(E453)</x:f>
        <x:v>5</x:v>
      </x:c>
    </x:row>
    <x:row r="454" ht="23" customHeight="1">
      <x:c r="A454" s="2" t="str">
        <x:v>DEMO-405</x:v>
      </x:c>
      <x:c r="B454" s="2" t="n">
        <x:v>13</x:v>
      </x:c>
      <x:c r="C454" s="17" t="n">
        <x:f>SUMIFS('Synthetic Sales Data'!$K$2:$K$1921,'Synthetic Sales Data'!$D$2:$D$1921,A454,'Synthetic Sales Data'!$C$2:$C$1921,B454)</x:f>
        <x:v>50</x:v>
      </x:c>
      <x:c r="D454" s="17" t="n">
        <x:f>SUMIFS('Synthetic Sales Data'!$W$2:$W$1921,'Synthetic Sales Data'!$D$2:$D$1921,A454,'Synthetic Sales Data'!$C$2:$C$1921,B454)</x:f>
        <x:v>51</x:v>
      </x:c>
      <x:c r="E454" s="2" t="n">
        <x:f>C454-D454</x:f>
        <x:v>-1</x:v>
      </x:c>
      <x:c r="F454" s="2" t="n">
        <x:f>ABS(E454)</x:f>
        <x:v>1</x:v>
      </x:c>
    </x:row>
    <x:row r="455" ht="23" customHeight="1">
      <x:c r="A455" s="2" t="str">
        <x:v>DEMO-405</x:v>
      </x:c>
      <x:c r="B455" s="2" t="n">
        <x:v>14</x:v>
      </x:c>
      <x:c r="C455" s="17" t="n">
        <x:f>SUMIFS('Synthetic Sales Data'!$K$2:$K$1921,'Synthetic Sales Data'!$D$2:$D$1921,A455,'Synthetic Sales Data'!$C$2:$C$1921,B455)</x:f>
        <x:v>55</x:v>
      </x:c>
      <x:c r="D455" s="17" t="n">
        <x:f>SUMIFS('Synthetic Sales Data'!$W$2:$W$1921,'Synthetic Sales Data'!$D$2:$D$1921,A455,'Synthetic Sales Data'!$C$2:$C$1921,B455)</x:f>
        <x:v>52</x:v>
      </x:c>
      <x:c r="E455" s="2" t="n">
        <x:f>C455-D455</x:f>
        <x:v>3</x:v>
      </x:c>
      <x:c r="F455" s="2" t="n">
        <x:f>ABS(E455)</x:f>
        <x:v>3</x:v>
      </x:c>
    </x:row>
    <x:row r="456" ht="23" customHeight="1">
      <x:c r="A456" s="2" t="str">
        <x:v>DEMO-405</x:v>
      </x:c>
      <x:c r="B456" s="2" t="n">
        <x:v>15</x:v>
      </x:c>
      <x:c r="C456" s="17" t="n">
        <x:f>SUMIFS('Synthetic Sales Data'!$K$2:$K$1921,'Synthetic Sales Data'!$D$2:$D$1921,A456,'Synthetic Sales Data'!$C$2:$C$1921,B456)</x:f>
        <x:v>50</x:v>
      </x:c>
      <x:c r="D456" s="17" t="n">
        <x:f>SUMIFS('Synthetic Sales Data'!$W$2:$W$1921,'Synthetic Sales Data'!$D$2:$D$1921,A456,'Synthetic Sales Data'!$C$2:$C$1921,B456)</x:f>
        <x:v>54</x:v>
      </x:c>
      <x:c r="E456" s="2" t="n">
        <x:f>C456-D456</x:f>
        <x:v>-4</x:v>
      </x:c>
      <x:c r="F456" s="2" t="n">
        <x:f>ABS(E456)</x:f>
        <x:v>4</x:v>
      </x:c>
    </x:row>
    <x:row r="457" ht="23" customHeight="1">
      <x:c r="A457" s="2" t="str">
        <x:v>DEMO-405</x:v>
      </x:c>
      <x:c r="B457" s="2" t="n">
        <x:v>16</x:v>
      </x:c>
      <x:c r="C457" s="17" t="n">
        <x:f>SUMIFS('Synthetic Sales Data'!$K$2:$K$1921,'Synthetic Sales Data'!$D$2:$D$1921,A457,'Synthetic Sales Data'!$C$2:$C$1921,B457)</x:f>
        <x:v>47</x:v>
      </x:c>
      <x:c r="D457" s="17" t="n">
        <x:f>SUMIFS('Synthetic Sales Data'!$W$2:$W$1921,'Synthetic Sales Data'!$D$2:$D$1921,A457,'Synthetic Sales Data'!$C$2:$C$1921,B457)</x:f>
        <x:v>54</x:v>
      </x:c>
      <x:c r="E457" s="2" t="n">
        <x:f>C457-D457</x:f>
        <x:v>-7</x:v>
      </x:c>
      <x:c r="F457" s="2" t="n">
        <x:f>ABS(E457)</x:f>
        <x:v>7</x:v>
      </x:c>
    </x:row>
    <x:row r="458" ht="23" customHeight="1">
      <x:c r="A458" s="2" t="str">
        <x:v>DEMO-405</x:v>
      </x:c>
      <x:c r="B458" s="2" t="n">
        <x:v>17</x:v>
      </x:c>
      <x:c r="C458" s="17" t="n">
        <x:f>SUMIFS('Synthetic Sales Data'!$K$2:$K$1921,'Synthetic Sales Data'!$D$2:$D$1921,A458,'Synthetic Sales Data'!$C$2:$C$1921,B458)</x:f>
        <x:v>47</x:v>
      </x:c>
      <x:c r="D458" s="17" t="n">
        <x:f>SUMIFS('Synthetic Sales Data'!$W$2:$W$1921,'Synthetic Sales Data'!$D$2:$D$1921,A458,'Synthetic Sales Data'!$C$2:$C$1921,B458)</x:f>
        <x:v>51</x:v>
      </x:c>
      <x:c r="E458" s="2" t="n">
        <x:f>C458-D458</x:f>
        <x:v>-4</x:v>
      </x:c>
      <x:c r="F458" s="2" t="n">
        <x:f>ABS(E458)</x:f>
        <x:v>4</x:v>
      </x:c>
    </x:row>
    <x:row r="459" ht="23" customHeight="1">
      <x:c r="A459" s="2" t="str">
        <x:v>DEMO-405</x:v>
      </x:c>
      <x:c r="B459" s="2" t="n">
        <x:v>18</x:v>
      </x:c>
      <x:c r="C459" s="17" t="n">
        <x:f>SUMIFS('Synthetic Sales Data'!$K$2:$K$1921,'Synthetic Sales Data'!$D$2:$D$1921,A459,'Synthetic Sales Data'!$C$2:$C$1921,B459)</x:f>
        <x:v>45</x:v>
      </x:c>
      <x:c r="D459" s="17" t="n">
        <x:f>SUMIFS('Synthetic Sales Data'!$W$2:$W$1921,'Synthetic Sales Data'!$D$2:$D$1921,A459,'Synthetic Sales Data'!$C$2:$C$1921,B459)</x:f>
        <x:v>50</x:v>
      </x:c>
      <x:c r="E459" s="2" t="n">
        <x:f>C459-D459</x:f>
        <x:v>-5</x:v>
      </x:c>
      <x:c r="F459" s="2" t="n">
        <x:f>ABS(E459)</x:f>
        <x:v>5</x:v>
      </x:c>
    </x:row>
    <x:row r="460" ht="23" customHeight="1">
      <x:c r="A460" s="2" t="str">
        <x:v>DEMO-405</x:v>
      </x:c>
      <x:c r="B460" s="2" t="n">
        <x:v>19</x:v>
      </x:c>
      <x:c r="C460" s="17" t="n">
        <x:f>SUMIFS('Synthetic Sales Data'!$K$2:$K$1921,'Synthetic Sales Data'!$D$2:$D$1921,A460,'Synthetic Sales Data'!$C$2:$C$1921,B460)</x:f>
        <x:v>50</x:v>
      </x:c>
      <x:c r="D460" s="17" t="n">
        <x:f>SUMIFS('Synthetic Sales Data'!$W$2:$W$1921,'Synthetic Sales Data'!$D$2:$D$1921,A460,'Synthetic Sales Data'!$C$2:$C$1921,B460)</x:f>
        <x:v>48</x:v>
      </x:c>
      <x:c r="E460" s="2" t="n">
        <x:f>C460-D460</x:f>
        <x:v>2</x:v>
      </x:c>
      <x:c r="F460" s="2" t="n">
        <x:f>ABS(E460)</x:f>
        <x:v>2</x:v>
      </x:c>
    </x:row>
    <x:row r="461" ht="23" customHeight="1">
      <x:c r="A461" s="2" t="str">
        <x:v>DEMO-405</x:v>
      </x:c>
      <x:c r="B461" s="2" t="n">
        <x:v>20</x:v>
      </x:c>
      <x:c r="C461" s="17" t="n">
        <x:f>SUMIFS('Synthetic Sales Data'!$K$2:$K$1921,'Synthetic Sales Data'!$D$2:$D$1921,A461,'Synthetic Sales Data'!$C$2:$C$1921,B461)</x:f>
        <x:v>49</x:v>
      </x:c>
      <x:c r="D461" s="17" t="n">
        <x:f>SUMIFS('Synthetic Sales Data'!$W$2:$W$1921,'Synthetic Sales Data'!$D$2:$D$1921,A461,'Synthetic Sales Data'!$C$2:$C$1921,B461)</x:f>
        <x:v>48</x:v>
      </x:c>
      <x:c r="E461" s="2" t="n">
        <x:f>C461-D461</x:f>
        <x:v>1</x:v>
      </x:c>
      <x:c r="F461" s="2" t="n">
        <x:f>ABS(E461)</x:f>
        <x:v>1</x:v>
      </x:c>
    </x:row>
    <x:row r="462" ht="23" customHeight="1">
      <x:c r="A462" s="2" t="str">
        <x:v>DEMO-406</x:v>
      </x:c>
      <x:c r="B462" s="2" t="n">
        <x:v>1</x:v>
      </x:c>
      <x:c r="C462" s="17" t="n">
        <x:f>SUMIFS('Synthetic Sales Data'!$K$2:$K$1921,'Synthetic Sales Data'!$D$2:$D$1921,A462,'Synthetic Sales Data'!$C$2:$C$1921,B462)</x:f>
        <x:v>64</x:v>
      </x:c>
      <x:c r="D462" s="17" t="n">
        <x:f>SUMIFS('Synthetic Sales Data'!$W$2:$W$1921,'Synthetic Sales Data'!$D$2:$D$1921,A462,'Synthetic Sales Data'!$C$2:$C$1921,B462)</x:f>
        <x:v>66</x:v>
      </x:c>
      <x:c r="E462" s="2" t="n">
        <x:f>C462-D462</x:f>
        <x:v>-2</x:v>
      </x:c>
      <x:c r="F462" s="2" t="n">
        <x:f>ABS(E462)</x:f>
        <x:v>2</x:v>
      </x:c>
    </x:row>
    <x:row r="463" ht="23" customHeight="1">
      <x:c r="A463" s="2" t="str">
        <x:v>DEMO-406</x:v>
      </x:c>
      <x:c r="B463" s="2" t="n">
        <x:v>2</x:v>
      </x:c>
      <x:c r="C463" s="17" t="n">
        <x:f>SUMIFS('Synthetic Sales Data'!$K$2:$K$1921,'Synthetic Sales Data'!$D$2:$D$1921,A463,'Synthetic Sales Data'!$C$2:$C$1921,B463)</x:f>
        <x:v>69</x:v>
      </x:c>
      <x:c r="D463" s="17" t="n">
        <x:f>SUMIFS('Synthetic Sales Data'!$W$2:$W$1921,'Synthetic Sales Data'!$D$2:$D$1921,A463,'Synthetic Sales Data'!$C$2:$C$1921,B463)</x:f>
        <x:v>64</x:v>
      </x:c>
      <x:c r="E463" s="2" t="n">
        <x:f>C463-D463</x:f>
        <x:v>5</x:v>
      </x:c>
      <x:c r="F463" s="2" t="n">
        <x:f>ABS(E463)</x:f>
        <x:v>5</x:v>
      </x:c>
    </x:row>
    <x:row r="464" ht="23" customHeight="1">
      <x:c r="A464" s="2" t="str">
        <x:v>DEMO-406</x:v>
      </x:c>
      <x:c r="B464" s="2" t="n">
        <x:v>3</x:v>
      </x:c>
      <x:c r="C464" s="17" t="n">
        <x:f>SUMIFS('Synthetic Sales Data'!$K$2:$K$1921,'Synthetic Sales Data'!$D$2:$D$1921,A464,'Synthetic Sales Data'!$C$2:$C$1921,B464)</x:f>
        <x:v>59</x:v>
      </x:c>
      <x:c r="D464" s="17" t="n">
        <x:f>SUMIFS('Synthetic Sales Data'!$W$2:$W$1921,'Synthetic Sales Data'!$D$2:$D$1921,A464,'Synthetic Sales Data'!$C$2:$C$1921,B464)</x:f>
        <x:v>67</x:v>
      </x:c>
      <x:c r="E464" s="2" t="n">
        <x:f>C464-D464</x:f>
        <x:v>-8</x:v>
      </x:c>
      <x:c r="F464" s="2" t="n">
        <x:f>ABS(E464)</x:f>
        <x:v>8</x:v>
      </x:c>
    </x:row>
    <x:row r="465" ht="23" customHeight="1">
      <x:c r="A465" s="2" t="str">
        <x:v>DEMO-406</x:v>
      </x:c>
      <x:c r="B465" s="2" t="n">
        <x:v>4</x:v>
      </x:c>
      <x:c r="C465" s="17" t="n">
        <x:f>SUMIFS('Synthetic Sales Data'!$K$2:$K$1921,'Synthetic Sales Data'!$D$2:$D$1921,A465,'Synthetic Sales Data'!$C$2:$C$1921,B465)</x:f>
        <x:v>73</x:v>
      </x:c>
      <x:c r="D465" s="17" t="n">
        <x:f>SUMIFS('Synthetic Sales Data'!$W$2:$W$1921,'Synthetic Sales Data'!$D$2:$D$1921,A465,'Synthetic Sales Data'!$C$2:$C$1921,B465)</x:f>
        <x:v>65</x:v>
      </x:c>
      <x:c r="E465" s="2" t="n">
        <x:f>C465-D465</x:f>
        <x:v>8</x:v>
      </x:c>
      <x:c r="F465" s="2" t="n">
        <x:f>ABS(E465)</x:f>
        <x:v>8</x:v>
      </x:c>
    </x:row>
    <x:row r="466" ht="23" customHeight="1">
      <x:c r="A466" s="2" t="str">
        <x:v>DEMO-406</x:v>
      </x:c>
      <x:c r="B466" s="2" t="n">
        <x:v>5</x:v>
      </x:c>
      <x:c r="C466" s="17" t="n">
        <x:f>SUMIFS('Synthetic Sales Data'!$K$2:$K$1921,'Synthetic Sales Data'!$D$2:$D$1921,A466,'Synthetic Sales Data'!$C$2:$C$1921,B466)</x:f>
        <x:v>59</x:v>
      </x:c>
      <x:c r="D466" s="17" t="n">
        <x:f>SUMIFS('Synthetic Sales Data'!$W$2:$W$1921,'Synthetic Sales Data'!$D$2:$D$1921,A466,'Synthetic Sales Data'!$C$2:$C$1921,B466)</x:f>
        <x:v>67</x:v>
      </x:c>
      <x:c r="E466" s="2" t="n">
        <x:f>C466-D466</x:f>
        <x:v>-8</x:v>
      </x:c>
      <x:c r="F466" s="2" t="n">
        <x:f>ABS(E466)</x:f>
        <x:v>8</x:v>
      </x:c>
    </x:row>
    <x:row r="467" ht="23" customHeight="1">
      <x:c r="A467" s="2" t="str">
        <x:v>DEMO-406</x:v>
      </x:c>
      <x:c r="B467" s="2" t="n">
        <x:v>6</x:v>
      </x:c>
      <x:c r="C467" s="17" t="n">
        <x:f>SUMIFS('Synthetic Sales Data'!$K$2:$K$1921,'Synthetic Sales Data'!$D$2:$D$1921,A467,'Synthetic Sales Data'!$C$2:$C$1921,B467)</x:f>
        <x:v>70</x:v>
      </x:c>
      <x:c r="D467" s="17" t="n">
        <x:f>SUMIFS('Synthetic Sales Data'!$W$2:$W$1921,'Synthetic Sales Data'!$D$2:$D$1921,A467,'Synthetic Sales Data'!$C$2:$C$1921,B467)</x:f>
        <x:v>66</x:v>
      </x:c>
      <x:c r="E467" s="2" t="n">
        <x:f>C467-D467</x:f>
        <x:v>4</x:v>
      </x:c>
      <x:c r="F467" s="2" t="n">
        <x:f>ABS(E467)</x:f>
        <x:v>4</x:v>
      </x:c>
    </x:row>
    <x:row r="468" ht="23" customHeight="1">
      <x:c r="A468" s="2" t="str">
        <x:v>DEMO-406</x:v>
      </x:c>
      <x:c r="B468" s="2" t="n">
        <x:v>7</x:v>
      </x:c>
      <x:c r="C468" s="17" t="n">
        <x:f>SUMIFS('Synthetic Sales Data'!$K$2:$K$1921,'Synthetic Sales Data'!$D$2:$D$1921,A468,'Synthetic Sales Data'!$C$2:$C$1921,B468)</x:f>
        <x:v>67</x:v>
      </x:c>
      <x:c r="D468" s="17" t="n">
        <x:f>SUMIFS('Synthetic Sales Data'!$W$2:$W$1921,'Synthetic Sales Data'!$D$2:$D$1921,A468,'Synthetic Sales Data'!$C$2:$C$1921,B468)</x:f>
        <x:v>65</x:v>
      </x:c>
      <x:c r="E468" s="2" t="n">
        <x:f>C468-D468</x:f>
        <x:v>2</x:v>
      </x:c>
      <x:c r="F468" s="2" t="n">
        <x:f>ABS(E468)</x:f>
        <x:v>2</x:v>
      </x:c>
    </x:row>
    <x:row r="469" ht="23" customHeight="1">
      <x:c r="A469" s="2" t="str">
        <x:v>DEMO-406</x:v>
      </x:c>
      <x:c r="B469" s="2" t="n">
        <x:v>8</x:v>
      </x:c>
      <x:c r="C469" s="17" t="n">
        <x:f>SUMIFS('Synthetic Sales Data'!$K$2:$K$1921,'Synthetic Sales Data'!$D$2:$D$1921,A469,'Synthetic Sales Data'!$C$2:$C$1921,B469)</x:f>
        <x:v>57</x:v>
      </x:c>
      <x:c r="D469" s="17" t="n">
        <x:f>SUMIFS('Synthetic Sales Data'!$W$2:$W$1921,'Synthetic Sales Data'!$D$2:$D$1921,A469,'Synthetic Sales Data'!$C$2:$C$1921,B469)</x:f>
        <x:v>68</x:v>
      </x:c>
      <x:c r="E469" s="2" t="n">
        <x:f>C469-D469</x:f>
        <x:v>-11</x:v>
      </x:c>
      <x:c r="F469" s="2" t="n">
        <x:f>ABS(E469)</x:f>
        <x:v>11</x:v>
      </x:c>
    </x:row>
    <x:row r="470" ht="23" customHeight="1">
      <x:c r="A470" s="2" t="str">
        <x:v>DEMO-406</x:v>
      </x:c>
      <x:c r="B470" s="2" t="n">
        <x:v>9</x:v>
      </x:c>
      <x:c r="C470" s="17" t="n">
        <x:f>SUMIFS('Synthetic Sales Data'!$K$2:$K$1921,'Synthetic Sales Data'!$D$2:$D$1921,A470,'Synthetic Sales Data'!$C$2:$C$1921,B470)</x:f>
        <x:v>67</x:v>
      </x:c>
      <x:c r="D470" s="17" t="n">
        <x:f>SUMIFS('Synthetic Sales Data'!$W$2:$W$1921,'Synthetic Sales Data'!$D$2:$D$1921,A470,'Synthetic Sales Data'!$C$2:$C$1921,B470)</x:f>
        <x:v>64</x:v>
      </x:c>
      <x:c r="E470" s="2" t="n">
        <x:f>C470-D470</x:f>
        <x:v>3</x:v>
      </x:c>
      <x:c r="F470" s="2" t="n">
        <x:f>ABS(E470)</x:f>
        <x:v>3</x:v>
      </x:c>
    </x:row>
    <x:row r="471" ht="23" customHeight="1">
      <x:c r="A471" s="2" t="str">
        <x:v>DEMO-406</x:v>
      </x:c>
      <x:c r="B471" s="2" t="n">
        <x:v>10</x:v>
      </x:c>
      <x:c r="C471" s="17" t="n">
        <x:f>SUMIFS('Synthetic Sales Data'!$K$2:$K$1921,'Synthetic Sales Data'!$D$2:$D$1921,A471,'Synthetic Sales Data'!$C$2:$C$1921,B471)</x:f>
        <x:v>61</x:v>
      </x:c>
      <x:c r="D471" s="17" t="n">
        <x:f>SUMIFS('Synthetic Sales Data'!$W$2:$W$1921,'Synthetic Sales Data'!$D$2:$D$1921,A471,'Synthetic Sales Data'!$C$2:$C$1921,B471)</x:f>
        <x:v>66</x:v>
      </x:c>
      <x:c r="E471" s="2" t="n">
        <x:f>C471-D471</x:f>
        <x:v>-5</x:v>
      </x:c>
      <x:c r="F471" s="2" t="n">
        <x:f>ABS(E471)</x:f>
        <x:v>5</x:v>
      </x:c>
    </x:row>
    <x:row r="472" ht="23" customHeight="1">
      <x:c r="A472" s="2" t="str">
        <x:v>DEMO-406</x:v>
      </x:c>
      <x:c r="B472" s="2" t="n">
        <x:v>11</x:v>
      </x:c>
      <x:c r="C472" s="17" t="n">
        <x:f>SUMIFS('Synthetic Sales Data'!$K$2:$K$1921,'Synthetic Sales Data'!$D$2:$D$1921,A472,'Synthetic Sales Data'!$C$2:$C$1921,B472)</x:f>
        <x:v>61</x:v>
      </x:c>
      <x:c r="D472" s="17" t="n">
        <x:f>SUMIFS('Synthetic Sales Data'!$W$2:$W$1921,'Synthetic Sales Data'!$D$2:$D$1921,A472,'Synthetic Sales Data'!$C$2:$C$1921,B472)</x:f>
        <x:v>63</x:v>
      </x:c>
      <x:c r="E472" s="2" t="n">
        <x:f>C472-D472</x:f>
        <x:v>-2</x:v>
      </x:c>
      <x:c r="F472" s="2" t="n">
        <x:f>ABS(E472)</x:f>
        <x:v>2</x:v>
      </x:c>
    </x:row>
    <x:row r="473" ht="23" customHeight="1">
      <x:c r="A473" s="2" t="str">
        <x:v>DEMO-406</x:v>
      </x:c>
      <x:c r="B473" s="2" t="n">
        <x:v>12</x:v>
      </x:c>
      <x:c r="C473" s="17" t="n">
        <x:f>SUMIFS('Synthetic Sales Data'!$K$2:$K$1921,'Synthetic Sales Data'!$D$2:$D$1921,A473,'Synthetic Sales Data'!$C$2:$C$1921,B473)</x:f>
        <x:v>69</x:v>
      </x:c>
      <x:c r="D473" s="17" t="n">
        <x:f>SUMIFS('Synthetic Sales Data'!$W$2:$W$1921,'Synthetic Sales Data'!$D$2:$D$1921,A473,'Synthetic Sales Data'!$C$2:$C$1921,B473)</x:f>
        <x:v>61</x:v>
      </x:c>
      <x:c r="E473" s="2" t="n">
        <x:f>C473-D473</x:f>
        <x:v>8</x:v>
      </x:c>
      <x:c r="F473" s="2" t="n">
        <x:f>ABS(E473)</x:f>
        <x:v>8</x:v>
      </x:c>
    </x:row>
    <x:row r="474" ht="23" customHeight="1">
      <x:c r="A474" s="2" t="str">
        <x:v>DEMO-406</x:v>
      </x:c>
      <x:c r="B474" s="2" t="n">
        <x:v>13</x:v>
      </x:c>
      <x:c r="C474" s="17" t="n">
        <x:f>SUMIFS('Synthetic Sales Data'!$K$2:$K$1921,'Synthetic Sales Data'!$D$2:$D$1921,A474,'Synthetic Sales Data'!$C$2:$C$1921,B474)</x:f>
        <x:v>69</x:v>
      </x:c>
      <x:c r="D474" s="17" t="n">
        <x:f>SUMIFS('Synthetic Sales Data'!$W$2:$W$1921,'Synthetic Sales Data'!$D$2:$D$1921,A474,'Synthetic Sales Data'!$C$2:$C$1921,B474)</x:f>
        <x:v>65</x:v>
      </x:c>
      <x:c r="E474" s="2" t="n">
        <x:f>C474-D474</x:f>
        <x:v>4</x:v>
      </x:c>
      <x:c r="F474" s="2" t="n">
        <x:f>ABS(E474)</x:f>
        <x:v>4</x:v>
      </x:c>
    </x:row>
    <x:row r="475" ht="23" customHeight="1">
      <x:c r="A475" s="2" t="str">
        <x:v>DEMO-406</x:v>
      </x:c>
      <x:c r="B475" s="2" t="n">
        <x:v>14</x:v>
      </x:c>
      <x:c r="C475" s="17" t="n">
        <x:f>SUMIFS('Synthetic Sales Data'!$K$2:$K$1921,'Synthetic Sales Data'!$D$2:$D$1921,A475,'Synthetic Sales Data'!$C$2:$C$1921,B475)</x:f>
        <x:v>68</x:v>
      </x:c>
      <x:c r="D475" s="17" t="n">
        <x:f>SUMIFS('Synthetic Sales Data'!$W$2:$W$1921,'Synthetic Sales Data'!$D$2:$D$1921,A475,'Synthetic Sales Data'!$C$2:$C$1921,B475)</x:f>
        <x:v>66</x:v>
      </x:c>
      <x:c r="E475" s="2" t="n">
        <x:f>C475-D475</x:f>
        <x:v>2</x:v>
      </x:c>
      <x:c r="F475" s="2" t="n">
        <x:f>ABS(E475)</x:f>
        <x:v>2</x:v>
      </x:c>
    </x:row>
    <x:row r="476" ht="23" customHeight="1">
      <x:c r="A476" s="2" t="str">
        <x:v>DEMO-406</x:v>
      </x:c>
      <x:c r="B476" s="2" t="n">
        <x:v>15</x:v>
      </x:c>
      <x:c r="C476" s="17" t="n">
        <x:f>SUMIFS('Synthetic Sales Data'!$K$2:$K$1921,'Synthetic Sales Data'!$D$2:$D$1921,A476,'Synthetic Sales Data'!$C$2:$C$1921,B476)</x:f>
        <x:v>69</x:v>
      </x:c>
      <x:c r="D476" s="17" t="n">
        <x:f>SUMIFS('Synthetic Sales Data'!$W$2:$W$1921,'Synthetic Sales Data'!$D$2:$D$1921,A476,'Synthetic Sales Data'!$C$2:$C$1921,B476)</x:f>
        <x:v>68</x:v>
      </x:c>
      <x:c r="E476" s="2" t="n">
        <x:f>C476-D476</x:f>
        <x:v>1</x:v>
      </x:c>
      <x:c r="F476" s="2" t="n">
        <x:f>ABS(E476)</x:f>
        <x:v>1</x:v>
      </x:c>
    </x:row>
    <x:row r="477" ht="23" customHeight="1">
      <x:c r="A477" s="2" t="str">
        <x:v>DEMO-406</x:v>
      </x:c>
      <x:c r="B477" s="2" t="n">
        <x:v>16</x:v>
      </x:c>
      <x:c r="C477" s="17" t="n">
        <x:f>SUMIFS('Synthetic Sales Data'!$K$2:$K$1921,'Synthetic Sales Data'!$D$2:$D$1921,A477,'Synthetic Sales Data'!$C$2:$C$1921,B477)</x:f>
        <x:v>68</x:v>
      </x:c>
      <x:c r="D477" s="17" t="n">
        <x:f>SUMIFS('Synthetic Sales Data'!$W$2:$W$1921,'Synthetic Sales Data'!$D$2:$D$1921,A477,'Synthetic Sales Data'!$C$2:$C$1921,B477)</x:f>
        <x:v>70</x:v>
      </x:c>
      <x:c r="E477" s="2" t="n">
        <x:f>C477-D477</x:f>
        <x:v>-2</x:v>
      </x:c>
      <x:c r="F477" s="2" t="n">
        <x:f>ABS(E477)</x:f>
        <x:v>2</x:v>
      </x:c>
    </x:row>
    <x:row r="478" ht="23" customHeight="1">
      <x:c r="A478" s="2" t="str">
        <x:v>DEMO-406</x:v>
      </x:c>
      <x:c r="B478" s="2" t="n">
        <x:v>17</x:v>
      </x:c>
      <x:c r="C478" s="17" t="n">
        <x:f>SUMIFS('Synthetic Sales Data'!$K$2:$K$1921,'Synthetic Sales Data'!$D$2:$D$1921,A478,'Synthetic Sales Data'!$C$2:$C$1921,B478)</x:f>
        <x:v>74</x:v>
      </x:c>
      <x:c r="D478" s="17" t="n">
        <x:f>SUMIFS('Synthetic Sales Data'!$W$2:$W$1921,'Synthetic Sales Data'!$D$2:$D$1921,A478,'Synthetic Sales Data'!$C$2:$C$1921,B478)</x:f>
        <x:v>69</x:v>
      </x:c>
      <x:c r="E478" s="2" t="n">
        <x:f>C478-D478</x:f>
        <x:v>5</x:v>
      </x:c>
      <x:c r="F478" s="2" t="n">
        <x:f>ABS(E478)</x:f>
        <x:v>5</x:v>
      </x:c>
    </x:row>
    <x:row r="479" ht="23" customHeight="1">
      <x:c r="A479" s="2" t="str">
        <x:v>DEMO-406</x:v>
      </x:c>
      <x:c r="B479" s="2" t="n">
        <x:v>18</x:v>
      </x:c>
      <x:c r="C479" s="17" t="n">
        <x:f>SUMIFS('Synthetic Sales Data'!$K$2:$K$1921,'Synthetic Sales Data'!$D$2:$D$1921,A479,'Synthetic Sales Data'!$C$2:$C$1921,B479)</x:f>
        <x:v>71</x:v>
      </x:c>
      <x:c r="D479" s="17" t="n">
        <x:f>SUMIFS('Synthetic Sales Data'!$W$2:$W$1921,'Synthetic Sales Data'!$D$2:$D$1921,A479,'Synthetic Sales Data'!$C$2:$C$1921,B479)</x:f>
        <x:v>70</x:v>
      </x:c>
      <x:c r="E479" s="2" t="n">
        <x:f>C479-D479</x:f>
        <x:v>1</x:v>
      </x:c>
      <x:c r="F479" s="2" t="n">
        <x:f>ABS(E479)</x:f>
        <x:v>1</x:v>
      </x:c>
    </x:row>
    <x:row r="480" ht="23" customHeight="1">
      <x:c r="A480" s="2" t="str">
        <x:v>DEMO-406</x:v>
      </x:c>
      <x:c r="B480" s="2" t="n">
        <x:v>19</x:v>
      </x:c>
      <x:c r="C480" s="17" t="n">
        <x:f>SUMIFS('Synthetic Sales Data'!$K$2:$K$1921,'Synthetic Sales Data'!$D$2:$D$1921,A480,'Synthetic Sales Data'!$C$2:$C$1921,B480)</x:f>
        <x:v>65</x:v>
      </x:c>
      <x:c r="D480" s="17" t="n">
        <x:f>SUMIFS('Synthetic Sales Data'!$W$2:$W$1921,'Synthetic Sales Data'!$D$2:$D$1921,A480,'Synthetic Sales Data'!$C$2:$C$1921,B480)</x:f>
        <x:v>70</x:v>
      </x:c>
      <x:c r="E480" s="2" t="n">
        <x:f>C480-D480</x:f>
        <x:v>-5</x:v>
      </x:c>
      <x:c r="F480" s="2" t="n">
        <x:f>ABS(E480)</x:f>
        <x:v>5</x:v>
      </x:c>
    </x:row>
    <x:row r="481" ht="23" customHeight="1">
      <x:c r="A481" s="2" t="str">
        <x:v>DEMO-406</x:v>
      </x:c>
      <x:c r="B481" s="2" t="n">
        <x:v>20</x:v>
      </x:c>
      <x:c r="C481" s="17" t="n">
        <x:f>SUMIFS('Synthetic Sales Data'!$K$2:$K$1921,'Synthetic Sales Data'!$D$2:$D$1921,A481,'Synthetic Sales Data'!$C$2:$C$1921,B481)</x:f>
        <x:v>70</x:v>
      </x:c>
      <x:c r="D481" s="17" t="n">
        <x:f>SUMIFS('Synthetic Sales Data'!$W$2:$W$1921,'Synthetic Sales Data'!$D$2:$D$1921,A481,'Synthetic Sales Data'!$C$2:$C$1921,B481)</x:f>
        <x:v>70</x:v>
      </x:c>
      <x:c r="E481" s="2" t="n">
        <x:f>C481-D481</x:f>
        <x:v>0</x:v>
      </x:c>
      <x:c r="F481" s="2" t="n">
        <x:f>ABS(E481)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8e2d7a9519e4d4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7" hidden="0" customWidth="1"/>
    <x:col min="3" max="3" width="18" hidden="0" customWidth="1"/>
    <x:col min="4" max="4" width="23" hidden="0" customWidth="1"/>
    <x:col min="5" max="5" width="18" hidden="0" customWidth="1"/>
    <x:col min="6" max="6" width="18" hidden="0" customWidth="1"/>
    <x:col min="7" max="7" width="17" hidden="0" customWidth="1"/>
    <x:col min="8" max="8" width="25" hidden="0" customWidth="1"/>
    <x:col min="9" max="9" width="17" hidden="0" customWidth="1"/>
    <x:col min="10" max="10" width="17" hidden="0" customWidth="1"/>
    <x:col min="11" max="11" width="18" hidden="0" customWidth="1"/>
    <x:col min="12" max="12" width="20" hidden="0" customWidth="1"/>
    <x:col min="13" max="13" width="20" hidden="0" customWidth="1"/>
    <x:col min="14" max="14" width="22" hidden="0" customWidth="1"/>
    <x:col min="15" max="15" width="26" hidden="0" customWidth="1"/>
    <x:col min="16" max="16" width="22" hidden="0" customWidth="1"/>
    <x:col min="17" max="17" width="24" hidden="0" customWidth="1"/>
    <x:col min="18" max="18" width="22" hidden="0" customWidth="1"/>
    <x:col min="19" max="19" width="22" hidden="0" customWidth="1"/>
    <x:col min="20" max="20" width="23" hidden="0" customWidth="1"/>
    <x:col min="21" max="21" width="25" hidden="0" customWidth="1"/>
    <x:col min="22" max="22" width="26" hidden="0" customWidth="1"/>
    <x:col min="23" max="23" width="16" hidden="0" customWidth="1"/>
    <x:col min="24" max="24" width="26" hidden="0" customWidth="1"/>
    <x:col min="25" max="25" width="28" hidden="0" customWidth="1"/>
    <x:col min="26" max="26" width="30" hidden="0" customWidth="1"/>
    <x:col min="27" max="27" width="26" hidden="0" customWidth="1"/>
  </x:cols>
  <x:sheetData>
    <x:row r="1" ht="32" customHeight="1">
      <x:c r="A1" s="5" t="str">
        <x:v>SKU</x:v>
      </x:c>
      <x:c r="B1" s="5" t="str">
        <x:v>Product</x:v>
      </x:c>
      <x:c r="C1" s="5" t="str">
        <x:v>Category</x:v>
      </x:c>
      <x:c r="D1" s="5" t="str">
        <x:v>Baseline units/week</x:v>
      </x:c>
      <x:c r="E1" s="5" t="str">
        <x:v>On hand W20</x:v>
      </x:c>
      <x:c r="F1" s="5" t="str">
        <x:v>Incoming W20</x:v>
      </x:c>
      <x:c r="G1" s="5" t="str">
        <x:v>Unit cost</x:v>
      </x:c>
      <x:c r="H1" s="5" t="str">
        <x:v>Scenario demand/week</x:v>
      </x:c>
      <x:c r="I1" s="5" t="str">
        <x:v>Lead weeks</x:v>
      </x:c>
      <x:c r="J1" s="5" t="str">
        <x:v>Cover weeks</x:v>
      </x:c>
      <x:c r="K1" s="5" t="str">
        <x:v>Order units</x:v>
      </x:c>
      <x:c r="L1" s="5" t="str">
        <x:v>Order cost</x:v>
      </x:c>
      <x:c r="M1" s="5" t="str">
        <x:v>Scenario price</x:v>
      </x:c>
      <x:c r="N1" s="5" t="str">
        <x:v>Unit gross margin</x:v>
      </x:c>
      <x:c r="O1" s="5" t="str">
        <x:v>4-week supplied units</x:v>
      </x:c>
      <x:c r="P1" s="5" t="str">
        <x:v>4-week net sales</x:v>
      </x:c>
      <x:c r="Q1" s="5" t="str">
        <x:v>4-week gross profit</x:v>
      </x:c>
      <x:c r="R1" s="5" t="str">
        <x:v>WAPE 20 weeks</x:v>
      </x:c>
      <x:c r="S1" s="5" t="str">
        <x:v>Risk</x:v>
      </x:c>
      <x:c r="T1" s="5" t="str">
        <x:v>Exposure AUD</x:v>
      </x:c>
      <x:c r="U1" s="5" t="str">
        <x:v>Confidence</x:v>
      </x:c>
      <x:c r="V1" s="5" t="str">
        <x:v>Urgency</x:v>
      </x:c>
      <x:c r="W1" s="5" t="str">
        <x:v>Case pack</x:v>
      </x:c>
      <x:c r="X1" s="5" t="str">
        <x:v>Expected horizon units</x:v>
      </x:c>
      <x:c r="Y1" s="5" t="str">
        <x:v>On-hand fulfilment bound</x:v>
      </x:c>
      <x:c r="Z1" s="5" t="str">
        <x:v>All-incoming fulfilment bound</x:v>
      </x:c>
      <x:c r="AA1" s="5" t="str">
        <x:v>Fulfilled gross margin</x:v>
      </x:c>
    </x:row>
    <x:row r="2" ht="23" customHeight="1">
      <x:c r="A2" s="2" t="str">
        <x:v>DEMO-101</x:v>
      </x:c>
      <x:c r="B2" s="2" t="str">
        <x:v>Orbit Notebook</x:v>
      </x:c>
      <x:c r="C2" s="2" t="str">
        <x:v>Stationery</x:v>
      </x:c>
      <x:c r="D2" s="19" t="n">
        <x:f>SUMIFS('Synthetic Sales Data'!$K$2:$K$1921,'Synthetic Sales Data'!$D$2:$D$1921,A2,'Synthetic Sales Data'!$C$2:$C$1921,"&gt;="&amp;Assumptions!$B$10-3,'Synthetic Sales Data'!$C$2:$C$1921,"&lt;="&amp;Assumptions!$B$10)/4</x:f>
        <x:v>35</x:v>
      </x:c>
      <x:c r="E2" s="17" t="n">
        <x:f>SUMIFS('Synthetic Sales Data'!$T$2:$T$1921,'Synthetic Sales Data'!$D$2:$D$1921,A2,'Synthetic Sales Data'!$C$2:$C$1921,Assumptions!$B$10)</x:f>
        <x:v>0</x:v>
      </x:c>
      <x:c r="F2" s="17" t="n">
        <x:f>SUMIFS('Synthetic Sales Data'!$U$2:$U$1921,'Synthetic Sales Data'!$D$2:$D$1921,A2,'Synthetic Sales Data'!$C$2:$C$1921,Assumptions!$B$10)</x:f>
        <x:v>24</x:v>
      </x:c>
      <x:c r="G2" s="20" t="n">
        <x:f>INDEX('SKU Master'!$E$2:$E$25,MATCH(A2,'SKU Master'!$A$2:$A$25,0))</x:f>
        <x:v>4.32</x:v>
      </x:c>
      <x:c r="H2" s="19" t="n">
        <x:f>D2*(1+Assumptions!$B$2)*(1+Assumptions!$B$3)*(1+Assumptions!$B$9*Assumptions!$B$4)</x:f>
        <x:v>35</x:v>
      </x:c>
      <x:c r="I2" s="19" t="n">
        <x:f>MAX(0,INDEX('SKU Master'!$F$2:$F$25,MATCH(A2,'SKU Master'!$A$2:$A$25,0))+Assumptions!$B$5)</x:f>
        <x:v>4</x:v>
      </x:c>
      <x:c r="J2" s="18" t="n">
        <x:f>IF(H2&gt;0,E2/H2,"N/A")</x:f>
        <x:v>0</x:v>
      </x:c>
      <x:c r="K2" s="17" t="n">
        <x:f>ROUNDUP(MAX(0,H2*(I2+Assumptions!$B$6+Assumptions!$B$7)-E2-F2)/W2,0)*W2</x:f>
        <x:v>294</x:v>
      </x:c>
      <x:c r="L2" s="16" t="n">
        <x:f>K2*G2</x:f>
        <x:v>1270.0800000000002</x:v>
      </x:c>
      <x:c r="M2" s="20" t="n">
        <x:f>INDEX('SKU Master'!$D$2:$D$25,MATCH(A2,'SKU Master'!$A$2:$A$25,0))*(1-Assumptions!$B$4)</x:f>
        <x:v>12</x:v>
      </x:c>
      <x:c r="N2" s="7" t="n">
        <x:f>IFERROR((M2-G2)/M2,"N/A")</x:f>
        <x:v>0.64</x:v>
      </x:c>
      <x:c r="O2" s="19" t="n">
        <x:f>MIN(E2+F2*Assumptions!$B$11,H2*Assumptions!$B$8)</x:f>
        <x:v>0</x:v>
      </x:c>
      <x:c r="P2" s="16" t="n">
        <x:f>O2*M2</x:f>
        <x:v>0</x:v>
      </x:c>
      <x:c r="Q2" s="16" t="n">
        <x:f>O2*(M2-G2)</x:f>
        <x:v>0</x:v>
      </x:c>
      <x:c r="R2" s="21" t="n">
        <x:f>IFERROR(SUMIF('Synthetic Sales Data'!$D$2:$D$1921,A2,'Synthetic Sales Data'!$AB$2:$AB$1921)/SUMIFS('Synthetic Sales Data'!$K$2:$K$1921,'Synthetic Sales Data'!$D$2:$D$1921,A2),"N/A")</x:f>
        <x:v>0.4536082474226804</x:v>
      </x:c>
      <x:c r="S2" s="17" t="str">
        <x:f>IF(H2=0,"Review no demand",IF(J2&lt;I2,"Stockout",IF(J2&gt;Assumptions!$B$6+I2+Assumptions!$B$7+4,"Excess","Balanced")))</x:f>
        <x:v>Stockout</x:v>
      </x:c>
      <x:c r="T2" s="20" t="n">
        <x:f>IF(S2="Stockout",MAX(0,H2*I2-E2)*MAX(0,M2-G2),IF(S2="Excess",MAX(0,E2-H2*(Assumptions!$B$6+I2+Assumptions!$B$7))*G2,0))</x:f>
        <x:v>1075.2</x:v>
      </x:c>
      <x:c r="U2" s="2" t="str">
        <x:f>IF(ISNUMBER(R2),IF(R2&lt;0.25,"Higher","Review forecast"),"Insufficient history")</x:f>
        <x:v>Review forecast</x:v>
      </x:c>
      <x:c r="V2" s="2" t="str">
        <x:f>IF(S2="Stockout","Before next receipt","Next planning review")</x:f>
        <x:v>Before next receipt</x:v>
      </x:c>
      <x:c r="W2" s="2" t="n">
        <x:v>6</x:v>
      </x:c>
      <x:c r="X2" s="19" t="n">
        <x:f>H2*Assumptions!$B$8</x:f>
        <x:v>140</x:v>
      </x:c>
      <x:c r="Y2" s="18" t="n">
        <x:f>MIN(E2,X2)</x:f>
        <x:v>0</x:v>
      </x:c>
      <x:c r="Z2" s="18" t="n">
        <x:f>MIN(E2+F2,X2)</x:f>
        <x:v>24</x:v>
      </x:c>
      <x:c r="AA2" s="7" t="str">
        <x:f>IFERROR(Q2/P2,"N/A")</x:f>
        <x:v>N/A</x:v>
      </x:c>
    </x:row>
    <x:row r="3" ht="23" customHeight="1">
      <x:c r="A3" s="2" t="str">
        <x:v>DEMO-102</x:v>
      </x:c>
      <x:c r="B3" s="2" t="str">
        <x:v>Grid Journal</x:v>
      </x:c>
      <x:c r="C3" s="2" t="str">
        <x:v>Stationery</x:v>
      </x:c>
      <x:c r="D3" s="19" t="n">
        <x:f>SUMIFS('Synthetic Sales Data'!$K$2:$K$1921,'Synthetic Sales Data'!$D$2:$D$1921,A3,'Synthetic Sales Data'!$C$2:$C$1921,"&gt;="&amp;Assumptions!$B$10-3,'Synthetic Sales Data'!$C$2:$C$1921,"&lt;="&amp;Assumptions!$B$10)/4</x:f>
        <x:v>65.25</x:v>
      </x:c>
      <x:c r="E3" s="17" t="n">
        <x:f>SUMIFS('Synthetic Sales Data'!$T$2:$T$1921,'Synthetic Sales Data'!$D$2:$D$1921,A3,'Synthetic Sales Data'!$C$2:$C$1921,Assumptions!$B$10)</x:f>
        <x:v>452</x:v>
      </x:c>
      <x:c r="F3" s="17" t="n">
        <x:f>SUMIFS('Synthetic Sales Data'!$U$2:$U$1921,'Synthetic Sales Data'!$D$2:$D$1921,A3,'Synthetic Sales Data'!$C$2:$C$1921,Assumptions!$B$10)</x:f>
        <x:v>72</x:v>
      </x:c>
      <x:c r="G3" s="20" t="n">
        <x:f>INDEX('SKU Master'!$E$2:$E$25,MATCH(A3,'SKU Master'!$A$2:$A$25,0))</x:f>
        <x:v>5.39</x:v>
      </x:c>
      <x:c r="H3" s="19" t="n">
        <x:f>D3*(1+Assumptions!$B$2)*(1+Assumptions!$B$3)*(1+Assumptions!$B$9*Assumptions!$B$4)</x:f>
        <x:v>65.25</x:v>
      </x:c>
      <x:c r="I3" s="19" t="n">
        <x:f>MAX(0,INDEX('SKU Master'!$F$2:$F$25,MATCH(A3,'SKU Master'!$A$2:$A$25,0))+Assumptions!$B$5)</x:f>
        <x:v>3</x:v>
      </x:c>
      <x:c r="J3" s="18" t="n">
        <x:f>IF(H3&gt;0,E3/H3,"N/A")</x:f>
        <x:v>6.9272030651340994</x:v>
      </x:c>
      <x:c r="K3" s="17" t="n">
        <x:f>ROUNDUP(MAX(0,H3*(I3+Assumptions!$B$6+Assumptions!$B$7)-E3-F3)/W3,0)*W3</x:f>
        <x:v>0</x:v>
      </x:c>
      <x:c r="L3" s="16" t="n">
        <x:f>K3*G3</x:f>
        <x:v>0</x:v>
      </x:c>
      <x:c r="M3" s="20" t="n">
        <x:f>INDEX('SKU Master'!$D$2:$D$25,MATCH(A3,'SKU Master'!$A$2:$A$25,0))*(1-Assumptions!$B$4)</x:f>
        <x:v>14</x:v>
      </x:c>
      <x:c r="N3" s="7" t="n">
        <x:f>IFERROR((M3-G3)/M3,"N/A")</x:f>
        <x:v>0.615</x:v>
      </x:c>
      <x:c r="O3" s="19" t="n">
        <x:f>MIN(E3+F3*Assumptions!$B$11,H3*Assumptions!$B$8)</x:f>
        <x:v>261</x:v>
      </x:c>
      <x:c r="P3" s="16" t="n">
        <x:f>O3*M3</x:f>
        <x:v>3654</x:v>
      </x:c>
      <x:c r="Q3" s="16" t="n">
        <x:f>O3*(M3-G3)</x:f>
        <x:v>2247.21</x:v>
      </x:c>
      <x:c r="R3" s="21" t="n">
        <x:f>IFERROR(SUMIF('Synthetic Sales Data'!$D$2:$D$1921,A3,'Synthetic Sales Data'!$AB$2:$AB$1921)/SUMIFS('Synthetic Sales Data'!$K$2:$K$1921,'Synthetic Sales Data'!$D$2:$D$1921,A3),"N/A")</x:f>
        <x:v>0.11678267594740913</x:v>
      </x:c>
      <x:c r="S3" s="17" t="str">
        <x:f>IF(H3=0,"Review no demand",IF(J3&lt;I3,"Stockout",IF(J3&gt;Assumptions!$B$6+I3+Assumptions!$B$7+4,"Excess","Balanced")))</x:f>
        <x:v>Balanced</x:v>
      </x:c>
      <x:c r="T3" s="20" t="n">
        <x:f>IF(S3="Stockout",MAX(0,H3*I3-E3)*MAX(0,M3-G3),IF(S3="Excess",MAX(0,E3-H3*(Assumptions!$B$6+I3+Assumptions!$B$7))*G3,0))</x:f>
        <x:v>0</x:v>
      </x:c>
      <x:c r="U3" s="2" t="str">
        <x:f>IF(ISNUMBER(R3),IF(R3&lt;0.25,"Higher","Review forecast"),"Insufficient history")</x:f>
        <x:v>Higher</x:v>
      </x:c>
      <x:c r="V3" s="2" t="str">
        <x:f>IF(S3="Stockout","Before next receipt","Next planning review")</x:f>
        <x:v>Next planning review</x:v>
      </x:c>
      <x:c r="W3" s="2" t="n">
        <x:v>6</x:v>
      </x:c>
      <x:c r="X3" s="19" t="n">
        <x:f>H3*Assumptions!$B$8</x:f>
        <x:v>261</x:v>
      </x:c>
      <x:c r="Y3" s="18" t="n">
        <x:f>MIN(E3,X3)</x:f>
        <x:v>261</x:v>
      </x:c>
      <x:c r="Z3" s="18" t="n">
        <x:f>MIN(E3+F3,X3)</x:f>
        <x:v>261</x:v>
      </x:c>
      <x:c r="AA3" s="7" t="n">
        <x:f>IFERROR(Q3/P3,"N/A")</x:f>
        <x:v>0.615</x:v>
      </x:c>
    </x:row>
    <x:row r="4" ht="23" customHeight="1">
      <x:c r="A4" s="2" t="str">
        <x:v>DEMO-103</x:v>
      </x:c>
      <x:c r="B4" s="2" t="str">
        <x:v>Cloud Pen Set</x:v>
      </x:c>
      <x:c r="C4" s="2" t="str">
        <x:v>Stationery</x:v>
      </x:c>
      <x:c r="D4" s="19" t="n">
        <x:f>SUMIFS('Synthetic Sales Data'!$K$2:$K$1921,'Synthetic Sales Data'!$D$2:$D$1921,A4,'Synthetic Sales Data'!$C$2:$C$1921,"&gt;="&amp;Assumptions!$B$10-3,'Synthetic Sales Data'!$C$2:$C$1921,"&lt;="&amp;Assumptions!$B$10)/4</x:f>
        <x:v>79</x:v>
      </x:c>
      <x:c r="E4" s="17" t="n">
        <x:f>SUMIFS('Synthetic Sales Data'!$T$2:$T$1921,'Synthetic Sales Data'!$D$2:$D$1921,A4,'Synthetic Sales Data'!$C$2:$C$1921,Assumptions!$B$10)</x:f>
        <x:v>441</x:v>
      </x:c>
      <x:c r="F4" s="17" t="n">
        <x:f>SUMIFS('Synthetic Sales Data'!$U$2:$U$1921,'Synthetic Sales Data'!$D$2:$D$1921,A4,'Synthetic Sales Data'!$C$2:$C$1921,Assumptions!$B$10)</x:f>
        <x:v>72</x:v>
      </x:c>
      <x:c r="G4" s="20" t="n">
        <x:f>INDEX('SKU Master'!$E$2:$E$25,MATCH(A4,'SKU Master'!$A$2:$A$25,0))</x:f>
        <x:v>6.56</x:v>
      </x:c>
      <x:c r="H4" s="19" t="n">
        <x:f>D4*(1+Assumptions!$B$2)*(1+Assumptions!$B$3)*(1+Assumptions!$B$9*Assumptions!$B$4)</x:f>
        <x:v>79</x:v>
      </x:c>
      <x:c r="I4" s="19" t="n">
        <x:f>MAX(0,INDEX('SKU Master'!$F$2:$F$25,MATCH(A4,'SKU Master'!$A$2:$A$25,0))+Assumptions!$B$5)</x:f>
        <x:v>4</x:v>
      </x:c>
      <x:c r="J4" s="18" t="n">
        <x:f>IF(H4&gt;0,E4/H4,"N/A")</x:f>
        <x:v>5.582278481012659</x:v>
      </x:c>
      <x:c r="K4" s="17" t="n">
        <x:f>ROUNDUP(MAX(0,H4*(I4+Assumptions!$B$6+Assumptions!$B$7)-E4-F4)/W4,0)*W4</x:f>
        <x:v>198</x:v>
      </x:c>
      <x:c r="L4" s="16" t="n">
        <x:f>K4*G4</x:f>
        <x:v>1298.8799999999999</x:v>
      </x:c>
      <x:c r="M4" s="20" t="n">
        <x:f>INDEX('SKU Master'!$D$2:$D$25,MATCH(A4,'SKU Master'!$A$2:$A$25,0))*(1-Assumptions!$B$4)</x:f>
        <x:v>16</x:v>
      </x:c>
      <x:c r="N4" s="7" t="n">
        <x:f>IFERROR((M4-G4)/M4,"N/A")</x:f>
        <x:v>0.5900000000000001</x:v>
      </x:c>
      <x:c r="O4" s="19" t="n">
        <x:f>MIN(E4+F4*Assumptions!$B$11,H4*Assumptions!$B$8)</x:f>
        <x:v>316</x:v>
      </x:c>
      <x:c r="P4" s="16" t="n">
        <x:f>O4*M4</x:f>
        <x:v>5056</x:v>
      </x:c>
      <x:c r="Q4" s="16" t="n">
        <x:f>O4*(M4-G4)</x:f>
        <x:v>2983.0400000000004</x:v>
      </x:c>
      <x:c r="R4" s="21" t="n">
        <x:f>IFERROR(SUMIF('Synthetic Sales Data'!$D$2:$D$1921,A4,'Synthetic Sales Data'!$AB$2:$AB$1921)/SUMIFS('Synthetic Sales Data'!$K$2:$K$1921,'Synthetic Sales Data'!$D$2:$D$1921,A4),"N/A")</x:f>
        <x:v>0.11642542479546884</x:v>
      </x:c>
      <x:c r="S4" s="17" t="str">
        <x:f>IF(H4=0,"Review no demand",IF(J4&lt;I4,"Stockout",IF(J4&gt;Assumptions!$B$6+I4+Assumptions!$B$7+4,"Excess","Balanced")))</x:f>
        <x:v>Balanced</x:v>
      </x:c>
      <x:c r="T4" s="20" t="n">
        <x:f>IF(S4="Stockout",MAX(0,H4*I4-E4)*MAX(0,M4-G4),IF(S4="Excess",MAX(0,E4-H4*(Assumptions!$B$6+I4+Assumptions!$B$7))*G4,0))</x:f>
        <x:v>0</x:v>
      </x:c>
      <x:c r="U4" s="2" t="str">
        <x:f>IF(ISNUMBER(R4),IF(R4&lt;0.25,"Higher","Review forecast"),"Insufficient history")</x:f>
        <x:v>Higher</x:v>
      </x:c>
      <x:c r="V4" s="2" t="str">
        <x:f>IF(S4="Stockout","Before next receipt","Next planning review")</x:f>
        <x:v>Next planning review</x:v>
      </x:c>
      <x:c r="W4" s="2" t="n">
        <x:v>6</x:v>
      </x:c>
      <x:c r="X4" s="19" t="n">
        <x:f>H4*Assumptions!$B$8</x:f>
        <x:v>316</x:v>
      </x:c>
      <x:c r="Y4" s="18" t="n">
        <x:f>MIN(E4,X4)</x:f>
        <x:v>316</x:v>
      </x:c>
      <x:c r="Z4" s="18" t="n">
        <x:f>MIN(E4+F4,X4)</x:f>
        <x:v>316</x:v>
      </x:c>
      <x:c r="AA4" s="7" t="n">
        <x:f>IFERROR(Q4/P4,"N/A")</x:f>
        <x:v>0.5900000000000001</x:v>
      </x:c>
    </x:row>
    <x:row r="5" ht="23" customHeight="1">
      <x:c r="A5" s="2" t="str">
        <x:v>DEMO-104</x:v>
      </x:c>
      <x:c r="B5" s="2" t="str">
        <x:v>Studio Planner</x:v>
      </x:c>
      <x:c r="C5" s="2" t="str">
        <x:v>Stationery</x:v>
      </x:c>
      <x:c r="D5" s="19" t="n">
        <x:f>SUMIFS('Synthetic Sales Data'!$K$2:$K$1921,'Synthetic Sales Data'!$D$2:$D$1921,A5,'Synthetic Sales Data'!$C$2:$C$1921,"&gt;="&amp;Assumptions!$B$10-3,'Synthetic Sales Data'!$C$2:$C$1921,"&lt;="&amp;Assumptions!$B$10)/4</x:f>
        <x:v>37</x:v>
      </x:c>
      <x:c r="E5" s="17" t="n">
        <x:f>SUMIFS('Synthetic Sales Data'!$T$2:$T$1921,'Synthetic Sales Data'!$D$2:$D$1921,A5,'Synthetic Sales Data'!$C$2:$C$1921,Assumptions!$B$10)</x:f>
        <x:v>410</x:v>
      </x:c>
      <x:c r="F5" s="17" t="n">
        <x:f>SUMIFS('Synthetic Sales Data'!$U$2:$U$1921,'Synthetic Sales Data'!$D$2:$D$1921,A5,'Synthetic Sales Data'!$C$2:$C$1921,Assumptions!$B$10)</x:f>
        <x:v>72</x:v>
      </x:c>
      <x:c r="G5" s="20" t="n">
        <x:f>INDEX('SKU Master'!$E$2:$E$25,MATCH(A5,'SKU Master'!$A$2:$A$25,0))</x:f>
        <x:v>7.83</x:v>
      </x:c>
      <x:c r="H5" s="19" t="n">
        <x:f>D5*(1+Assumptions!$B$2)*(1+Assumptions!$B$3)*(1+Assumptions!$B$9*Assumptions!$B$4)</x:f>
        <x:v>37</x:v>
      </x:c>
      <x:c r="I5" s="19" t="n">
        <x:f>MAX(0,INDEX('SKU Master'!$F$2:$F$25,MATCH(A5,'SKU Master'!$A$2:$A$25,0))+Assumptions!$B$5)</x:f>
        <x:v>2</x:v>
      </x:c>
      <x:c r="J5" s="18" t="n">
        <x:f>IF(H5&gt;0,E5/H5,"N/A")</x:f>
        <x:v>11.08108108108108</x:v>
      </x:c>
      <x:c r="K5" s="17" t="n">
        <x:f>ROUNDUP(MAX(0,H5*(I5+Assumptions!$B$6+Assumptions!$B$7)-E5-F5)/W5,0)*W5</x:f>
        <x:v>0</x:v>
      </x:c>
      <x:c r="L5" s="16" t="n">
        <x:f>K5*G5</x:f>
        <x:v>0</x:v>
      </x:c>
      <x:c r="M5" s="20" t="n">
        <x:f>INDEX('SKU Master'!$D$2:$D$25,MATCH(A5,'SKU Master'!$A$2:$A$25,0))*(1-Assumptions!$B$4)</x:f>
        <x:v>18</x:v>
      </x:c>
      <x:c r="N5" s="7" t="n">
        <x:f>IFERROR((M5-G5)/M5,"N/A")</x:f>
        <x:v>0.565</x:v>
      </x:c>
      <x:c r="O5" s="19" t="n">
        <x:f>MIN(E5+F5*Assumptions!$B$11,H5*Assumptions!$B$8)</x:f>
        <x:v>148</x:v>
      </x:c>
      <x:c r="P5" s="16" t="n">
        <x:f>O5*M5</x:f>
        <x:v>2664</x:v>
      </x:c>
      <x:c r="Q5" s="16" t="n">
        <x:f>O5*(M5-G5)</x:f>
        <x:v>1505.16</x:v>
      </x:c>
      <x:c r="R5" s="21" t="n">
        <x:f>IFERROR(SUMIF('Synthetic Sales Data'!$D$2:$D$1921,A5,'Synthetic Sales Data'!$AB$2:$AB$1921)/SUMIFS('Synthetic Sales Data'!$K$2:$K$1921,'Synthetic Sales Data'!$D$2:$D$1921,A5),"N/A")</x:f>
        <x:v>0.1221476510067114</x:v>
      </x:c>
      <x:c r="S5" s="17" t="str">
        <x:f>IF(H5=0,"Review no demand",IF(J5&lt;I5,"Stockout",IF(J5&gt;Assumptions!$B$6+I5+Assumptions!$B$7+4,"Excess","Balanced")))</x:f>
        <x:v>Excess</x:v>
      </x:c>
      <x:c r="T5" s="20" t="n">
        <x:f>IF(S5="Stockout",MAX(0,H5*I5-E5)*MAX(0,M5-G5),IF(S5="Excess",MAX(0,E5-H5*(Assumptions!$B$6+I5+Assumptions!$B$7))*G5,0))</x:f>
        <x:v>1182.33</x:v>
      </x:c>
      <x:c r="U5" s="2" t="str">
        <x:f>IF(ISNUMBER(R5),IF(R5&lt;0.25,"Higher","Review forecast"),"Insufficient history")</x:f>
        <x:v>Higher</x:v>
      </x:c>
      <x:c r="V5" s="2" t="str">
        <x:f>IF(S5="Stockout","Before next receipt","Next planning review")</x:f>
        <x:v>Next planning review</x:v>
      </x:c>
      <x:c r="W5" s="2" t="n">
        <x:v>6</x:v>
      </x:c>
      <x:c r="X5" s="19" t="n">
        <x:f>H5*Assumptions!$B$8</x:f>
        <x:v>148</x:v>
      </x:c>
      <x:c r="Y5" s="18" t="n">
        <x:f>MIN(E5,X5)</x:f>
        <x:v>148</x:v>
      </x:c>
      <x:c r="Z5" s="18" t="n">
        <x:f>MIN(E5+F5,X5)</x:f>
        <x:v>148</x:v>
      </x:c>
      <x:c r="AA5" s="7" t="n">
        <x:f>IFERROR(Q5/P5,"N/A")</x:f>
        <x:v>0.5650000000000001</x:v>
      </x:c>
    </x:row>
    <x:row r="6" ht="23" customHeight="1">
      <x:c r="A6" s="2" t="str">
        <x:v>DEMO-105</x:v>
      </x:c>
      <x:c r="B6" s="2" t="str">
        <x:v>Paper Trail Pad</x:v>
      </x:c>
      <x:c r="C6" s="2" t="str">
        <x:v>Stationery</x:v>
      </x:c>
      <x:c r="D6" s="19" t="n">
        <x:f>SUMIFS('Synthetic Sales Data'!$K$2:$K$1921,'Synthetic Sales Data'!$D$2:$D$1921,A6,'Synthetic Sales Data'!$C$2:$C$1921,"&gt;="&amp;Assumptions!$B$10-3,'Synthetic Sales Data'!$C$2:$C$1921,"&lt;="&amp;Assumptions!$B$10)/4</x:f>
        <x:v>48.25</x:v>
      </x:c>
      <x:c r="E6" s="17" t="n">
        <x:f>SUMIFS('Synthetic Sales Data'!$T$2:$T$1921,'Synthetic Sales Data'!$D$2:$D$1921,A6,'Synthetic Sales Data'!$C$2:$C$1921,Assumptions!$B$10)</x:f>
        <x:v>432</x:v>
      </x:c>
      <x:c r="F6" s="17" t="n">
        <x:f>SUMIFS('Synthetic Sales Data'!$U$2:$U$1921,'Synthetic Sales Data'!$D$2:$D$1921,A6,'Synthetic Sales Data'!$C$2:$C$1921,Assumptions!$B$10)</x:f>
        <x:v>72</x:v>
      </x:c>
      <x:c r="G6" s="20" t="n">
        <x:f>INDEX('SKU Master'!$E$2:$E$25,MATCH(A6,'SKU Master'!$A$2:$A$25,0))</x:f>
        <x:v>9.2</x:v>
      </x:c>
      <x:c r="H6" s="19" t="n">
        <x:f>D6*(1+Assumptions!$B$2)*(1+Assumptions!$B$3)*(1+Assumptions!$B$9*Assumptions!$B$4)</x:f>
        <x:v>48.25</x:v>
      </x:c>
      <x:c r="I6" s="19" t="n">
        <x:f>MAX(0,INDEX('SKU Master'!$F$2:$F$25,MATCH(A6,'SKU Master'!$A$2:$A$25,0))+Assumptions!$B$5)</x:f>
        <x:v>3</x:v>
      </x:c>
      <x:c r="J6" s="18" t="n">
        <x:f>IF(H6&gt;0,E6/H6,"N/A")</x:f>
        <x:v>8.953367875647668</x:v>
      </x:c>
      <x:c r="K6" s="17" t="n">
        <x:f>ROUNDUP(MAX(0,H6*(I6+Assumptions!$B$6+Assumptions!$B$7)-E6-F6)/W6,0)*W6</x:f>
        <x:v>0</x:v>
      </x:c>
      <x:c r="L6" s="16" t="n">
        <x:f>K6*G6</x:f>
        <x:v>0</x:v>
      </x:c>
      <x:c r="M6" s="20" t="n">
        <x:f>INDEX('SKU Master'!$D$2:$D$25,MATCH(A6,'SKU Master'!$A$2:$A$25,0))*(1-Assumptions!$B$4)</x:f>
        <x:v>20</x:v>
      </x:c>
      <x:c r="N6" s="7" t="n">
        <x:f>IFERROR((M6-G6)/M6,"N/A")</x:f>
        <x:v>0.54</x:v>
      </x:c>
      <x:c r="O6" s="19" t="n">
        <x:f>MIN(E6+F6*Assumptions!$B$11,H6*Assumptions!$B$8)</x:f>
        <x:v>193</x:v>
      </x:c>
      <x:c r="P6" s="16" t="n">
        <x:f>O6*M6</x:f>
        <x:v>3860</x:v>
      </x:c>
      <x:c r="Q6" s="16" t="n">
        <x:f>O6*(M6-G6)</x:f>
        <x:v>2084.4</x:v>
      </x:c>
      <x:c r="R6" s="21" t="n">
        <x:f>IFERROR(SUMIF('Synthetic Sales Data'!$D$2:$D$1921,A6,'Synthetic Sales Data'!$AB$2:$AB$1921)/SUMIFS('Synthetic Sales Data'!$K$2:$K$1921,'Synthetic Sales Data'!$D$2:$D$1921,A6),"N/A")</x:f>
        <x:v>0.11648568608094768</x:v>
      </x:c>
      <x:c r="S6" s="17" t="str">
        <x:f>IF(H6=0,"Review no demand",IF(J6&lt;I6,"Stockout",IF(J6&gt;Assumptions!$B$6+I6+Assumptions!$B$7+4,"Excess","Balanced")))</x:f>
        <x:v>Balanced</x:v>
      </x:c>
      <x:c r="T6" s="20" t="n">
        <x:f>IF(S6="Stockout",MAX(0,H6*I6-E6)*MAX(0,M6-G6),IF(S6="Excess",MAX(0,E6-H6*(Assumptions!$B$6+I6+Assumptions!$B$7))*G6,0))</x:f>
        <x:v>0</x:v>
      </x:c>
      <x:c r="U6" s="2" t="str">
        <x:f>IF(ISNUMBER(R6),IF(R6&lt;0.25,"Higher","Review forecast"),"Insufficient history")</x:f>
        <x:v>Higher</x:v>
      </x:c>
      <x:c r="V6" s="2" t="str">
        <x:f>IF(S6="Stockout","Before next receipt","Next planning review")</x:f>
        <x:v>Next planning review</x:v>
      </x:c>
      <x:c r="W6" s="2" t="n">
        <x:v>6</x:v>
      </x:c>
      <x:c r="X6" s="19" t="n">
        <x:f>H6*Assumptions!$B$8</x:f>
        <x:v>193</x:v>
      </x:c>
      <x:c r="Y6" s="18" t="n">
        <x:f>MIN(E6,X6)</x:f>
        <x:v>193</x:v>
      </x:c>
      <x:c r="Z6" s="18" t="n">
        <x:f>MIN(E6+F6,X6)</x:f>
        <x:v>193</x:v>
      </x:c>
      <x:c r="AA6" s="7" t="n">
        <x:f>IFERROR(Q6/P6,"N/A")</x:f>
        <x:v>0.54</x:v>
      </x:c>
    </x:row>
    <x:row r="7" ht="23" customHeight="1">
      <x:c r="A7" s="2" t="str">
        <x:v>DEMO-106</x:v>
      </x:c>
      <x:c r="B7" s="2" t="str">
        <x:v>Sketch Folio</x:v>
      </x:c>
      <x:c r="C7" s="2" t="str">
        <x:v>Stationery</x:v>
      </x:c>
      <x:c r="D7" s="19" t="n">
        <x:f>SUMIFS('Synthetic Sales Data'!$K$2:$K$1921,'Synthetic Sales Data'!$D$2:$D$1921,A7,'Synthetic Sales Data'!$C$2:$C$1921,"&gt;="&amp;Assumptions!$B$10-3,'Synthetic Sales Data'!$C$2:$C$1921,"&lt;="&amp;Assumptions!$B$10)/4</x:f>
        <x:v>66.75</x:v>
      </x:c>
      <x:c r="E7" s="17" t="n">
        <x:f>SUMIFS('Synthetic Sales Data'!$T$2:$T$1921,'Synthetic Sales Data'!$D$2:$D$1921,A7,'Synthetic Sales Data'!$C$2:$C$1921,Assumptions!$B$10)</x:f>
        <x:v>448</x:v>
      </x:c>
      <x:c r="F7" s="17" t="n">
        <x:f>SUMIFS('Synthetic Sales Data'!$U$2:$U$1921,'Synthetic Sales Data'!$D$2:$D$1921,A7,'Synthetic Sales Data'!$C$2:$C$1921,Assumptions!$B$10)</x:f>
        <x:v>72</x:v>
      </x:c>
      <x:c r="G7" s="20" t="n">
        <x:f>INDEX('SKU Master'!$E$2:$E$25,MATCH(A7,'SKU Master'!$A$2:$A$25,0))</x:f>
        <x:v>10.67</x:v>
      </x:c>
      <x:c r="H7" s="19" t="n">
        <x:f>D7*(1+Assumptions!$B$2)*(1+Assumptions!$B$3)*(1+Assumptions!$B$9*Assumptions!$B$4)</x:f>
        <x:v>66.75</x:v>
      </x:c>
      <x:c r="I7" s="19" t="n">
        <x:f>MAX(0,INDEX('SKU Master'!$F$2:$F$25,MATCH(A7,'SKU Master'!$A$2:$A$25,0))+Assumptions!$B$5)</x:f>
        <x:v>4</x:v>
      </x:c>
      <x:c r="J7" s="18" t="n">
        <x:f>IF(H7&gt;0,E7/H7,"N/A")</x:f>
        <x:v>6.711610486891386</x:v>
      </x:c>
      <x:c r="K7" s="17" t="n">
        <x:f>ROUNDUP(MAX(0,H7*(I7+Assumptions!$B$6+Assumptions!$B$7)-E7-F7)/W7,0)*W7</x:f>
        <x:v>84</x:v>
      </x:c>
      <x:c r="L7" s="16" t="n">
        <x:f>K7*G7</x:f>
        <x:v>896.28</x:v>
      </x:c>
      <x:c r="M7" s="20" t="n">
        <x:f>INDEX('SKU Master'!$D$2:$D$25,MATCH(A7,'SKU Master'!$A$2:$A$25,0))*(1-Assumptions!$B$4)</x:f>
        <x:v>22</x:v>
      </x:c>
      <x:c r="N7" s="7" t="n">
        <x:f>IFERROR((M7-G7)/M7,"N/A")</x:f>
        <x:v>0.515</x:v>
      </x:c>
      <x:c r="O7" s="19" t="n">
        <x:f>MIN(E7+F7*Assumptions!$B$11,H7*Assumptions!$B$8)</x:f>
        <x:v>267</x:v>
      </x:c>
      <x:c r="P7" s="16" t="n">
        <x:f>O7*M7</x:f>
        <x:v>5874</x:v>
      </x:c>
      <x:c r="Q7" s="16" t="n">
        <x:f>O7*(M7-G7)</x:f>
        <x:v>3025.11</x:v>
      </x:c>
      <x:c r="R7" s="21" t="n">
        <x:f>IFERROR(SUMIF('Synthetic Sales Data'!$D$2:$D$1921,A7,'Synthetic Sales Data'!$AB$2:$AB$1921)/SUMIFS('Synthetic Sales Data'!$K$2:$K$1921,'Synthetic Sales Data'!$D$2:$D$1921,A7),"N/A")</x:f>
        <x:v>0.09868928296067848</x:v>
      </x:c>
      <x:c r="S7" s="17" t="str">
        <x:f>IF(H7=0,"Review no demand",IF(J7&lt;I7,"Stockout",IF(J7&gt;Assumptions!$B$6+I7+Assumptions!$B$7+4,"Excess","Balanced")))</x:f>
        <x:v>Balanced</x:v>
      </x:c>
      <x:c r="T7" s="20" t="n">
        <x:f>IF(S7="Stockout",MAX(0,H7*I7-E7)*MAX(0,M7-G7),IF(S7="Excess",MAX(0,E7-H7*(Assumptions!$B$6+I7+Assumptions!$B$7))*G7,0))</x:f>
        <x:v>0</x:v>
      </x:c>
      <x:c r="U7" s="2" t="str">
        <x:f>IF(ISNUMBER(R7),IF(R7&lt;0.25,"Higher","Review forecast"),"Insufficient history")</x:f>
        <x:v>Higher</x:v>
      </x:c>
      <x:c r="V7" s="2" t="str">
        <x:f>IF(S7="Stockout","Before next receipt","Next planning review")</x:f>
        <x:v>Next planning review</x:v>
      </x:c>
      <x:c r="W7" s="2" t="n">
        <x:v>6</x:v>
      </x:c>
      <x:c r="X7" s="19" t="n">
        <x:f>H7*Assumptions!$B$8</x:f>
        <x:v>267</x:v>
      </x:c>
      <x:c r="Y7" s="18" t="n">
        <x:f>MIN(E7,X7)</x:f>
        <x:v>267</x:v>
      </x:c>
      <x:c r="Z7" s="18" t="n">
        <x:f>MIN(E7+F7,X7)</x:f>
        <x:v>267</x:v>
      </x:c>
      <x:c r="AA7" s="7" t="n">
        <x:f>IFERROR(Q7/P7,"N/A")</x:f>
        <x:v>0.515</x:v>
      </x:c>
    </x:row>
    <x:row r="8" ht="23" customHeight="1">
      <x:c r="A8" s="2" t="str">
        <x:v>DEMO-201</x:v>
      </x:c>
      <x:c r="B8" s="2" t="str">
        <x:v>Celebration Box</x:v>
      </x:c>
      <x:c r="C8" s="2" t="str">
        <x:v>Gifting</x:v>
      </x:c>
      <x:c r="D8" s="19" t="n">
        <x:f>SUMIFS('Synthetic Sales Data'!$K$2:$K$1921,'Synthetic Sales Data'!$D$2:$D$1921,A8,'Synthetic Sales Data'!$C$2:$C$1921,"&gt;="&amp;Assumptions!$B$10-3,'Synthetic Sales Data'!$C$2:$C$1921,"&lt;="&amp;Assumptions!$B$10)/4</x:f>
        <x:v>50.25</x:v>
      </x:c>
      <x:c r="E8" s="17" t="n">
        <x:f>SUMIFS('Synthetic Sales Data'!$T$2:$T$1921,'Synthetic Sales Data'!$D$2:$D$1921,A8,'Synthetic Sales Data'!$C$2:$C$1921,Assumptions!$B$10)</x:f>
        <x:v>234</x:v>
      </x:c>
      <x:c r="F8" s="17" t="n">
        <x:f>SUMIFS('Synthetic Sales Data'!$U$2:$U$1921,'Synthetic Sales Data'!$D$2:$D$1921,A8,'Synthetic Sales Data'!$C$2:$C$1921,Assumptions!$B$10)</x:f>
        <x:v>72</x:v>
      </x:c>
      <x:c r="G8" s="20" t="n">
        <x:f>INDEX('SKU Master'!$E$2:$E$25,MATCH(A8,'SKU Master'!$A$2:$A$25,0))</x:f>
        <x:v>6.48</x:v>
      </x:c>
      <x:c r="H8" s="19" t="n">
        <x:f>D8*(1+Assumptions!$B$2)*(1+Assumptions!$B$3)*(1+Assumptions!$B$9*Assumptions!$B$4)</x:f>
        <x:v>50.25</x:v>
      </x:c>
      <x:c r="I8" s="19" t="n">
        <x:f>MAX(0,INDEX('SKU Master'!$F$2:$F$25,MATCH(A8,'SKU Master'!$A$2:$A$25,0))+Assumptions!$B$5)</x:f>
        <x:v>2</x:v>
      </x:c>
      <x:c r="J8" s="18" t="n">
        <x:f>IF(H8&gt;0,E8/H8,"N/A")</x:f>
        <x:v>4.656716417910448</x:v>
      </x:c>
      <x:c r="K8" s="17" t="n">
        <x:f>ROUNDUP(MAX(0,H8*(I8+Assumptions!$B$6+Assumptions!$B$7)-E8-F8)/W8,0)*W8</x:f>
        <x:v>48</x:v>
      </x:c>
      <x:c r="L8" s="16" t="n">
        <x:f>K8*G8</x:f>
        <x:v>311.04</x:v>
      </x:c>
      <x:c r="M8" s="20" t="n">
        <x:f>INDEX('SKU Master'!$D$2:$D$25,MATCH(A8,'SKU Master'!$A$2:$A$25,0))*(1-Assumptions!$B$4)</x:f>
        <x:v>18</x:v>
      </x:c>
      <x:c r="N8" s="7" t="n">
        <x:f>IFERROR((M8-G8)/M8,"N/A")</x:f>
        <x:v>0.64</x:v>
      </x:c>
      <x:c r="O8" s="19" t="n">
        <x:f>MIN(E8+F8*Assumptions!$B$11,H8*Assumptions!$B$8)</x:f>
        <x:v>201</x:v>
      </x:c>
      <x:c r="P8" s="16" t="n">
        <x:f>O8*M8</x:f>
        <x:v>3618</x:v>
      </x:c>
      <x:c r="Q8" s="16" t="n">
        <x:f>O8*(M8-G8)</x:f>
        <x:v>2315.52</x:v>
      </x:c>
      <x:c r="R8" s="21" t="n">
        <x:f>IFERROR(SUMIF('Synthetic Sales Data'!$D$2:$D$1921,A8,'Synthetic Sales Data'!$AB$2:$AB$1921)/SUMIFS('Synthetic Sales Data'!$K$2:$K$1921,'Synthetic Sales Data'!$D$2:$D$1921,A8),"N/A")</x:f>
        <x:v>0.2865400495458299</x:v>
      </x:c>
      <x:c r="S8" s="17" t="str">
        <x:f>IF(H8=0,"Review no demand",IF(J8&lt;I8,"Stockout",IF(J8&gt;Assumptions!$B$6+I8+Assumptions!$B$7+4,"Excess","Balanced")))</x:f>
        <x:v>Balanced</x:v>
      </x:c>
      <x:c r="T8" s="20" t="n">
        <x:f>IF(S8="Stockout",MAX(0,H8*I8-E8)*MAX(0,M8-G8),IF(S8="Excess",MAX(0,E8-H8*(Assumptions!$B$6+I8+Assumptions!$B$7))*G8,0))</x:f>
        <x:v>0</x:v>
      </x:c>
      <x:c r="U8" s="2" t="str">
        <x:f>IF(ISNUMBER(R8),IF(R8&lt;0.25,"Higher","Review forecast"),"Insufficient history")</x:f>
        <x:v>Review forecast</x:v>
      </x:c>
      <x:c r="V8" s="2" t="str">
        <x:f>IF(S8="Stockout","Before next receipt","Next planning review")</x:f>
        <x:v>Next planning review</x:v>
      </x:c>
      <x:c r="W8" s="2" t="n">
        <x:v>6</x:v>
      </x:c>
      <x:c r="X8" s="19" t="n">
        <x:f>H8*Assumptions!$B$8</x:f>
        <x:v>201</x:v>
      </x:c>
      <x:c r="Y8" s="18" t="n">
        <x:f>MIN(E8,X8)</x:f>
        <x:v>201</x:v>
      </x:c>
      <x:c r="Z8" s="18" t="n">
        <x:f>MIN(E8+F8,X8)</x:f>
        <x:v>201</x:v>
      </x:c>
      <x:c r="AA8" s="7" t="n">
        <x:f>IFERROR(Q8/P8,"N/A")</x:f>
        <x:v>0.64</x:v>
      </x:c>
    </x:row>
    <x:row r="9" ht="23" customHeight="1">
      <x:c r="A9" s="2" t="str">
        <x:v>DEMO-202</x:v>
      </x:c>
      <x:c r="B9" s="2" t="str">
        <x:v>Ribbon Keepsake</x:v>
      </x:c>
      <x:c r="C9" s="2" t="str">
        <x:v>Gifting</x:v>
      </x:c>
      <x:c r="D9" s="19" t="n">
        <x:f>SUMIFS('Synthetic Sales Data'!$K$2:$K$1921,'Synthetic Sales Data'!$D$2:$D$1921,A9,'Synthetic Sales Data'!$C$2:$C$1921,"&gt;="&amp;Assumptions!$B$10-3,'Synthetic Sales Data'!$C$2:$C$1921,"&lt;="&amp;Assumptions!$B$10)/4</x:f>
        <x:v>65.25</x:v>
      </x:c>
      <x:c r="E9" s="17" t="n">
        <x:f>SUMIFS('Synthetic Sales Data'!$T$2:$T$1921,'Synthetic Sales Data'!$D$2:$D$1921,A9,'Synthetic Sales Data'!$C$2:$C$1921,Assumptions!$B$10)</x:f>
        <x:v>227</x:v>
      </x:c>
      <x:c r="F9" s="17" t="n">
        <x:f>SUMIFS('Synthetic Sales Data'!$U$2:$U$1921,'Synthetic Sales Data'!$D$2:$D$1921,A9,'Synthetic Sales Data'!$C$2:$C$1921,Assumptions!$B$10)</x:f>
        <x:v>72</x:v>
      </x:c>
      <x:c r="G9" s="20" t="n">
        <x:f>INDEX('SKU Master'!$E$2:$E$25,MATCH(A9,'SKU Master'!$A$2:$A$25,0))</x:f>
        <x:v>7.7</x:v>
      </x:c>
      <x:c r="H9" s="19" t="n">
        <x:f>D9*(1+Assumptions!$B$2)*(1+Assumptions!$B$3)*(1+Assumptions!$B$9*Assumptions!$B$4)</x:f>
        <x:v>65.25</x:v>
      </x:c>
      <x:c r="I9" s="19" t="n">
        <x:f>MAX(0,INDEX('SKU Master'!$F$2:$F$25,MATCH(A9,'SKU Master'!$A$2:$A$25,0))+Assumptions!$B$5)</x:f>
        <x:v>3</x:v>
      </x:c>
      <x:c r="J9" s="18" t="n">
        <x:f>IF(H9&gt;0,E9/H9,"N/A")</x:f>
        <x:v>3.478927203065134</x:v>
      </x:c>
      <x:c r="K9" s="17" t="n">
        <x:f>ROUNDUP(MAX(0,H9*(I9+Assumptions!$B$6+Assumptions!$B$7)-E9-F9)/W9,0)*W9</x:f>
        <x:v>228</x:v>
      </x:c>
      <x:c r="L9" s="16" t="n">
        <x:f>K9*G9</x:f>
        <x:v>1755.6000000000001</x:v>
      </x:c>
      <x:c r="M9" s="20" t="n">
        <x:f>INDEX('SKU Master'!$D$2:$D$25,MATCH(A9,'SKU Master'!$A$2:$A$25,0))*(1-Assumptions!$B$4)</x:f>
        <x:v>20</x:v>
      </x:c>
      <x:c r="N9" s="7" t="n">
        <x:f>IFERROR((M9-G9)/M9,"N/A")</x:f>
        <x:v>0.615</x:v>
      </x:c>
      <x:c r="O9" s="19" t="n">
        <x:f>MIN(E9+F9*Assumptions!$B$11,H9*Assumptions!$B$8)</x:f>
        <x:v>227</x:v>
      </x:c>
      <x:c r="P9" s="16" t="n">
        <x:f>O9*M9</x:f>
        <x:v>4540</x:v>
      </x:c>
      <x:c r="Q9" s="16" t="n">
        <x:f>O9*(M9-G9)</x:f>
        <x:v>2792.1000000000004</x:v>
      </x:c>
      <x:c r="R9" s="21" t="n">
        <x:f>IFERROR(SUMIF('Synthetic Sales Data'!$D$2:$D$1921,A9,'Synthetic Sales Data'!$AB$2:$AB$1921)/SUMIFS('Synthetic Sales Data'!$K$2:$K$1921,'Synthetic Sales Data'!$D$2:$D$1921,A9),"N/A")</x:f>
        <x:v>0.2648221343873518</x:v>
      </x:c>
      <x:c r="S9" s="17" t="str">
        <x:f>IF(H9=0,"Review no demand",IF(J9&lt;I9,"Stockout",IF(J9&gt;Assumptions!$B$6+I9+Assumptions!$B$7+4,"Excess","Balanced")))</x:f>
        <x:v>Balanced</x:v>
      </x:c>
      <x:c r="T9" s="20" t="n">
        <x:f>IF(S9="Stockout",MAX(0,H9*I9-E9)*MAX(0,M9-G9),IF(S9="Excess",MAX(0,E9-H9*(Assumptions!$B$6+I9+Assumptions!$B$7))*G9,0))</x:f>
        <x:v>0</x:v>
      </x:c>
      <x:c r="U9" s="2" t="str">
        <x:f>IF(ISNUMBER(R9),IF(R9&lt;0.25,"Higher","Review forecast"),"Insufficient history")</x:f>
        <x:v>Review forecast</x:v>
      </x:c>
      <x:c r="V9" s="2" t="str">
        <x:f>IF(S9="Stockout","Before next receipt","Next planning review")</x:f>
        <x:v>Next planning review</x:v>
      </x:c>
      <x:c r="W9" s="2" t="n">
        <x:v>6</x:v>
      </x:c>
      <x:c r="X9" s="19" t="n">
        <x:f>H9*Assumptions!$B$8</x:f>
        <x:v>261</x:v>
      </x:c>
      <x:c r="Y9" s="18" t="n">
        <x:f>MIN(E9,X9)</x:f>
        <x:v>227</x:v>
      </x:c>
      <x:c r="Z9" s="18" t="n">
        <x:f>MIN(E9+F9,X9)</x:f>
        <x:v>261</x:v>
      </x:c>
      <x:c r="AA9" s="7" t="n">
        <x:f>IFERROR(Q9/P9,"N/A")</x:f>
        <x:v>0.6150000000000001</x:v>
      </x:c>
    </x:row>
    <x:row r="10" ht="23" customHeight="1">
      <x:c r="A10" s="2" t="str">
        <x:v>DEMO-203</x:v>
      </x:c>
      <x:c r="B10" s="2" t="str">
        <x:v>Tiny Joy Kit</x:v>
      </x:c>
      <x:c r="C10" s="2" t="str">
        <x:v>Gifting</x:v>
      </x:c>
      <x:c r="D10" s="19" t="n">
        <x:f>SUMIFS('Synthetic Sales Data'!$K$2:$K$1921,'Synthetic Sales Data'!$D$2:$D$1921,A10,'Synthetic Sales Data'!$C$2:$C$1921,"&gt;="&amp;Assumptions!$B$10-3,'Synthetic Sales Data'!$C$2:$C$1921,"&lt;="&amp;Assumptions!$B$10)/4</x:f>
        <x:v>80</x:v>
      </x:c>
      <x:c r="E10" s="17" t="n">
        <x:f>SUMIFS('Synthetic Sales Data'!$T$2:$T$1921,'Synthetic Sales Data'!$D$2:$D$1921,A10,'Synthetic Sales Data'!$C$2:$C$1921,Assumptions!$B$10)</x:f>
        <x:v>180</x:v>
      </x:c>
      <x:c r="F10" s="17" t="n">
        <x:f>SUMIFS('Synthetic Sales Data'!$U$2:$U$1921,'Synthetic Sales Data'!$D$2:$D$1921,A10,'Synthetic Sales Data'!$C$2:$C$1921,Assumptions!$B$10)</x:f>
        <x:v>72</x:v>
      </x:c>
      <x:c r="G10" s="20" t="n">
        <x:f>INDEX('SKU Master'!$E$2:$E$25,MATCH(A10,'SKU Master'!$A$2:$A$25,0))</x:f>
        <x:v>9.02</x:v>
      </x:c>
      <x:c r="H10" s="19" t="n">
        <x:f>D10*(1+Assumptions!$B$2)*(1+Assumptions!$B$3)*(1+Assumptions!$B$9*Assumptions!$B$4)</x:f>
        <x:v>80</x:v>
      </x:c>
      <x:c r="I10" s="19" t="n">
        <x:f>MAX(0,INDEX('SKU Master'!$F$2:$F$25,MATCH(A10,'SKU Master'!$A$2:$A$25,0))+Assumptions!$B$5)</x:f>
        <x:v>4</x:v>
      </x:c>
      <x:c r="J10" s="18" t="n">
        <x:f>IF(H10&gt;0,E10/H10,"N/A")</x:f>
        <x:v>2.25</x:v>
      </x:c>
      <x:c r="K10" s="17" t="n">
        <x:f>ROUNDUP(MAX(0,H10*(I10+Assumptions!$B$6+Assumptions!$B$7)-E10-F10)/W10,0)*W10</x:f>
        <x:v>468</x:v>
      </x:c>
      <x:c r="L10" s="16" t="n">
        <x:f>K10*G10</x:f>
        <x:v>4221.36</x:v>
      </x:c>
      <x:c r="M10" s="20" t="n">
        <x:f>INDEX('SKU Master'!$D$2:$D$25,MATCH(A10,'SKU Master'!$A$2:$A$25,0))*(1-Assumptions!$B$4)</x:f>
        <x:v>22</x:v>
      </x:c>
      <x:c r="N10" s="7" t="n">
        <x:f>IFERROR((M10-G10)/M10,"N/A")</x:f>
        <x:v>0.59</x:v>
      </x:c>
      <x:c r="O10" s="19" t="n">
        <x:f>MIN(E10+F10*Assumptions!$B$11,H10*Assumptions!$B$8)</x:f>
        <x:v>180</x:v>
      </x:c>
      <x:c r="P10" s="16" t="n">
        <x:f>O10*M10</x:f>
        <x:v>3960</x:v>
      </x:c>
      <x:c r="Q10" s="16" t="n">
        <x:f>O10*(M10-G10)</x:f>
        <x:v>2336.4</x:v>
      </x:c>
      <x:c r="R10" s="21" t="n">
        <x:f>IFERROR(SUMIF('Synthetic Sales Data'!$D$2:$D$1921,A10,'Synthetic Sales Data'!$AB$2:$AB$1921)/SUMIFS('Synthetic Sales Data'!$K$2:$K$1921,'Synthetic Sales Data'!$D$2:$D$1921,A10),"N/A")</x:f>
        <x:v>0.2881081081081081</x:v>
      </x:c>
      <x:c r="S10" s="17" t="str">
        <x:f>IF(H10=0,"Review no demand",IF(J10&lt;I10,"Stockout",IF(J10&gt;Assumptions!$B$6+I10+Assumptions!$B$7+4,"Excess","Balanced")))</x:f>
        <x:v>Stockout</x:v>
      </x:c>
      <x:c r="T10" s="20" t="n">
        <x:f>IF(S10="Stockout",MAX(0,H10*I10-E10)*MAX(0,M10-G10),IF(S10="Excess",MAX(0,E10-H10*(Assumptions!$B$6+I10+Assumptions!$B$7))*G10,0))</x:f>
        <x:v>1817.2</x:v>
      </x:c>
      <x:c r="U10" s="2" t="str">
        <x:f>IF(ISNUMBER(R10),IF(R10&lt;0.25,"Higher","Review forecast"),"Insufficient history")</x:f>
        <x:v>Review forecast</x:v>
      </x:c>
      <x:c r="V10" s="2" t="str">
        <x:f>IF(S10="Stockout","Before next receipt","Next planning review")</x:f>
        <x:v>Before next receipt</x:v>
      </x:c>
      <x:c r="W10" s="2" t="n">
        <x:v>6</x:v>
      </x:c>
      <x:c r="X10" s="19" t="n">
        <x:f>H10*Assumptions!$B$8</x:f>
        <x:v>320</x:v>
      </x:c>
      <x:c r="Y10" s="18" t="n">
        <x:f>MIN(E10,X10)</x:f>
        <x:v>180</x:v>
      </x:c>
      <x:c r="Z10" s="18" t="n">
        <x:f>MIN(E10+F10,X10)</x:f>
        <x:v>252</x:v>
      </x:c>
      <x:c r="AA10" s="7" t="n">
        <x:f>IFERROR(Q10/P10,"N/A")</x:f>
        <x:v>0.59</x:v>
      </x:c>
    </x:row>
    <x:row r="11" ht="23" customHeight="1">
      <x:c r="A11" s="2" t="str">
        <x:v>DEMO-204</x:v>
      </x:c>
      <x:c r="B11" s="2" t="str">
        <x:v>Wish Jar</x:v>
      </x:c>
      <x:c r="C11" s="2" t="str">
        <x:v>Gifting</x:v>
      </x:c>
      <x:c r="D11" s="19" t="n">
        <x:f>SUMIFS('Synthetic Sales Data'!$K$2:$K$1921,'Synthetic Sales Data'!$D$2:$D$1921,A11,'Synthetic Sales Data'!$C$2:$C$1921,"&gt;="&amp;Assumptions!$B$10-3,'Synthetic Sales Data'!$C$2:$C$1921,"&lt;="&amp;Assumptions!$B$10)/4</x:f>
        <x:v>37.25</x:v>
      </x:c>
      <x:c r="E11" s="17" t="n">
        <x:f>SUMIFS('Synthetic Sales Data'!$T$2:$T$1921,'Synthetic Sales Data'!$D$2:$D$1921,A11,'Synthetic Sales Data'!$C$2:$C$1921,Assumptions!$B$10)</x:f>
        <x:v>284</x:v>
      </x:c>
      <x:c r="F11" s="17" t="n">
        <x:f>SUMIFS('Synthetic Sales Data'!$U$2:$U$1921,'Synthetic Sales Data'!$D$2:$D$1921,A11,'Synthetic Sales Data'!$C$2:$C$1921,Assumptions!$B$10)</x:f>
        <x:v>72</x:v>
      </x:c>
      <x:c r="G11" s="20" t="n">
        <x:f>INDEX('SKU Master'!$E$2:$E$25,MATCH(A11,'SKU Master'!$A$2:$A$25,0))</x:f>
        <x:v>10.44</x:v>
      </x:c>
      <x:c r="H11" s="19" t="n">
        <x:f>D11*(1+Assumptions!$B$2)*(1+Assumptions!$B$3)*(1+Assumptions!$B$9*Assumptions!$B$4)</x:f>
        <x:v>37.25</x:v>
      </x:c>
      <x:c r="I11" s="19" t="n">
        <x:f>MAX(0,INDEX('SKU Master'!$F$2:$F$25,MATCH(A11,'SKU Master'!$A$2:$A$25,0))+Assumptions!$B$5)</x:f>
        <x:v>2</x:v>
      </x:c>
      <x:c r="J11" s="18" t="n">
        <x:f>IF(H11&gt;0,E11/H11,"N/A")</x:f>
        <x:v>7.624161073825503</x:v>
      </x:c>
      <x:c r="K11" s="17" t="n">
        <x:f>ROUNDUP(MAX(0,H11*(I11+Assumptions!$B$6+Assumptions!$B$7)-E11-F11)/W11,0)*W11</x:f>
        <x:v>0</x:v>
      </x:c>
      <x:c r="L11" s="16" t="n">
        <x:f>K11*G11</x:f>
        <x:v>0</x:v>
      </x:c>
      <x:c r="M11" s="20" t="n">
        <x:f>INDEX('SKU Master'!$D$2:$D$25,MATCH(A11,'SKU Master'!$A$2:$A$25,0))*(1-Assumptions!$B$4)</x:f>
        <x:v>24</x:v>
      </x:c>
      <x:c r="N11" s="7" t="n">
        <x:f>IFERROR((M11-G11)/M11,"N/A")</x:f>
        <x:v>0.5650000000000001</x:v>
      </x:c>
      <x:c r="O11" s="19" t="n">
        <x:f>MIN(E11+F11*Assumptions!$B$11,H11*Assumptions!$B$8)</x:f>
        <x:v>149</x:v>
      </x:c>
      <x:c r="P11" s="16" t="n">
        <x:f>O11*M11</x:f>
        <x:v>3576</x:v>
      </x:c>
      <x:c r="Q11" s="16" t="n">
        <x:f>O11*(M11-G11)</x:f>
        <x:v>2020.44</x:v>
      </x:c>
      <x:c r="R11" s="21" t="n">
        <x:f>IFERROR(SUMIF('Synthetic Sales Data'!$D$2:$D$1921,A11,'Synthetic Sales Data'!$AB$2:$AB$1921)/SUMIFS('Synthetic Sales Data'!$K$2:$K$1921,'Synthetic Sales Data'!$D$2:$D$1921,A11),"N/A")</x:f>
        <x:v>0.2801377726750861</x:v>
      </x:c>
      <x:c r="S11" s="17" t="str">
        <x:f>IF(H11=0,"Review no demand",IF(J11&lt;I11,"Stockout",IF(J11&gt;Assumptions!$B$6+I11+Assumptions!$B$7+4,"Excess","Balanced")))</x:f>
        <x:v>Balanced</x:v>
      </x:c>
      <x:c r="T11" s="20" t="n">
        <x:f>IF(S11="Stockout",MAX(0,H11*I11-E11)*MAX(0,M11-G11),IF(S11="Excess",MAX(0,E11-H11*(Assumptions!$B$6+I11+Assumptions!$B$7))*G11,0))</x:f>
        <x:v>0</x:v>
      </x:c>
      <x:c r="U11" s="2" t="str">
        <x:f>IF(ISNUMBER(R11),IF(R11&lt;0.25,"Higher","Review forecast"),"Insufficient history")</x:f>
        <x:v>Review forecast</x:v>
      </x:c>
      <x:c r="V11" s="2" t="str">
        <x:f>IF(S11="Stockout","Before next receipt","Next planning review")</x:f>
        <x:v>Next planning review</x:v>
      </x:c>
      <x:c r="W11" s="2" t="n">
        <x:v>6</x:v>
      </x:c>
      <x:c r="X11" s="19" t="n">
        <x:f>H11*Assumptions!$B$8</x:f>
        <x:v>149</x:v>
      </x:c>
      <x:c r="Y11" s="18" t="n">
        <x:f>MIN(E11,X11)</x:f>
        <x:v>149</x:v>
      </x:c>
      <x:c r="Z11" s="18" t="n">
        <x:f>MIN(E11+F11,X11)</x:f>
        <x:v>149</x:v>
      </x:c>
      <x:c r="AA11" s="7" t="n">
        <x:f>IFERROR(Q11/P11,"N/A")</x:f>
        <x:v>0.5650000000000001</x:v>
      </x:c>
    </x:row>
    <x:row r="12" ht="23" customHeight="1">
      <x:c r="A12" s="2" t="str">
        <x:v>DEMO-205</x:v>
      </x:c>
      <x:c r="B12" s="2" t="str">
        <x:v>Surprise Parcel</x:v>
      </x:c>
      <x:c r="C12" s="2" t="str">
        <x:v>Gifting</x:v>
      </x:c>
      <x:c r="D12" s="19" t="n">
        <x:f>SUMIFS('Synthetic Sales Data'!$K$2:$K$1921,'Synthetic Sales Data'!$D$2:$D$1921,A12,'Synthetic Sales Data'!$C$2:$C$1921,"&gt;="&amp;Assumptions!$B$10-3,'Synthetic Sales Data'!$C$2:$C$1921,"&lt;="&amp;Assumptions!$B$10)/4</x:f>
        <x:v>52.75</x:v>
      </x:c>
      <x:c r="E12" s="17" t="n">
        <x:f>SUMIFS('Synthetic Sales Data'!$T$2:$T$1921,'Synthetic Sales Data'!$D$2:$D$1921,A12,'Synthetic Sales Data'!$C$2:$C$1921,Assumptions!$B$10)</x:f>
        <x:v>246</x:v>
      </x:c>
      <x:c r="F12" s="17" t="n">
        <x:f>SUMIFS('Synthetic Sales Data'!$U$2:$U$1921,'Synthetic Sales Data'!$D$2:$D$1921,A12,'Synthetic Sales Data'!$C$2:$C$1921,Assumptions!$B$10)</x:f>
        <x:v>72</x:v>
      </x:c>
      <x:c r="G12" s="20" t="n">
        <x:f>INDEX('SKU Master'!$E$2:$E$25,MATCH(A12,'SKU Master'!$A$2:$A$25,0))</x:f>
        <x:v>11.96</x:v>
      </x:c>
      <x:c r="H12" s="19" t="n">
        <x:f>D12*(1+Assumptions!$B$2)*(1+Assumptions!$B$3)*(1+Assumptions!$B$9*Assumptions!$B$4)</x:f>
        <x:v>52.75</x:v>
      </x:c>
      <x:c r="I12" s="19" t="n">
        <x:f>MAX(0,INDEX('SKU Master'!$F$2:$F$25,MATCH(A12,'SKU Master'!$A$2:$A$25,0))+Assumptions!$B$5)</x:f>
        <x:v>3</x:v>
      </x:c>
      <x:c r="J12" s="18" t="n">
        <x:f>IF(H12&gt;0,E12/H12,"N/A")</x:f>
        <x:v>4.6635071090047395</x:v>
      </x:c>
      <x:c r="K12" s="17" t="n">
        <x:f>ROUNDUP(MAX(0,H12*(I12+Assumptions!$B$6+Assumptions!$B$7)-E12-F12)/W12,0)*W12</x:f>
        <x:v>108</x:v>
      </x:c>
      <x:c r="L12" s="16" t="n">
        <x:f>K12*G12</x:f>
        <x:v>1291.68</x:v>
      </x:c>
      <x:c r="M12" s="20" t="n">
        <x:f>INDEX('SKU Master'!$D$2:$D$25,MATCH(A12,'SKU Master'!$A$2:$A$25,0))*(1-Assumptions!$B$4)</x:f>
        <x:v>26</x:v>
      </x:c>
      <x:c r="N12" s="7" t="n">
        <x:f>IFERROR((M12-G12)/M12,"N/A")</x:f>
        <x:v>0.5399999999999999</x:v>
      </x:c>
      <x:c r="O12" s="19" t="n">
        <x:f>MIN(E12+F12*Assumptions!$B$11,H12*Assumptions!$B$8)</x:f>
        <x:v>211</x:v>
      </x:c>
      <x:c r="P12" s="16" t="n">
        <x:f>O12*M12</x:f>
        <x:v>5486</x:v>
      </x:c>
      <x:c r="Q12" s="16" t="n">
        <x:f>O12*(M12-G12)</x:f>
        <x:v>2962.4399999999996</x:v>
      </x:c>
      <x:c r="R12" s="21" t="n">
        <x:f>IFERROR(SUMIF('Synthetic Sales Data'!$D$2:$D$1921,A12,'Synthetic Sales Data'!$AB$2:$AB$1921)/SUMIFS('Synthetic Sales Data'!$K$2:$K$1921,'Synthetic Sales Data'!$D$2:$D$1921,A12),"N/A")</x:f>
        <x:v>0.2994161801501251</x:v>
      </x:c>
      <x:c r="S12" s="17" t="str">
        <x:f>IF(H12=0,"Review no demand",IF(J12&lt;I12,"Stockout",IF(J12&gt;Assumptions!$B$6+I12+Assumptions!$B$7+4,"Excess","Balanced")))</x:f>
        <x:v>Balanced</x:v>
      </x:c>
      <x:c r="T12" s="20" t="n">
        <x:f>IF(S12="Stockout",MAX(0,H12*I12-E12)*MAX(0,M12-G12),IF(S12="Excess",MAX(0,E12-H12*(Assumptions!$B$6+I12+Assumptions!$B$7))*G12,0))</x:f>
        <x:v>0</x:v>
      </x:c>
      <x:c r="U12" s="2" t="str">
        <x:f>IF(ISNUMBER(R12),IF(R12&lt;0.25,"Higher","Review forecast"),"Insufficient history")</x:f>
        <x:v>Review forecast</x:v>
      </x:c>
      <x:c r="V12" s="2" t="str">
        <x:f>IF(S12="Stockout","Before next receipt","Next planning review")</x:f>
        <x:v>Next planning review</x:v>
      </x:c>
      <x:c r="W12" s="2" t="n">
        <x:v>6</x:v>
      </x:c>
      <x:c r="X12" s="19" t="n">
        <x:f>H12*Assumptions!$B$8</x:f>
        <x:v>211</x:v>
      </x:c>
      <x:c r="Y12" s="18" t="n">
        <x:f>MIN(E12,X12)</x:f>
        <x:v>211</x:v>
      </x:c>
      <x:c r="Z12" s="18" t="n">
        <x:f>MIN(E12+F12,X12)</x:f>
        <x:v>211</x:v>
      </x:c>
      <x:c r="AA12" s="7" t="n">
        <x:f>IFERROR(Q12/P12,"N/A")</x:f>
        <x:v>0.5399999999999999</x:v>
      </x:c>
    </x:row>
    <x:row r="13" ht="23" customHeight="1">
      <x:c r="A13" s="2" t="str">
        <x:v>DEMO-206</x:v>
      </x:c>
      <x:c r="B13" s="2" t="str">
        <x:v>Memory Capsule</x:v>
      </x:c>
      <x:c r="C13" s="2" t="str">
        <x:v>Gifting</x:v>
      </x:c>
      <x:c r="D13" s="19" t="n">
        <x:f>SUMIFS('Synthetic Sales Data'!$K$2:$K$1921,'Synthetic Sales Data'!$D$2:$D$1921,A13,'Synthetic Sales Data'!$C$2:$C$1921,"&gt;="&amp;Assumptions!$B$10-3,'Synthetic Sales Data'!$C$2:$C$1921,"&lt;="&amp;Assumptions!$B$10)/4</x:f>
        <x:v>62.5</x:v>
      </x:c>
      <x:c r="E13" s="17" t="n">
        <x:f>SUMIFS('Synthetic Sales Data'!$T$2:$T$1921,'Synthetic Sales Data'!$D$2:$D$1921,A13,'Synthetic Sales Data'!$C$2:$C$1921,Assumptions!$B$10)</x:f>
        <x:v>224</x:v>
      </x:c>
      <x:c r="F13" s="17" t="n">
        <x:f>SUMIFS('Synthetic Sales Data'!$U$2:$U$1921,'Synthetic Sales Data'!$D$2:$D$1921,A13,'Synthetic Sales Data'!$C$2:$C$1921,Assumptions!$B$10)</x:f>
        <x:v>72</x:v>
      </x:c>
      <x:c r="G13" s="20" t="n">
        <x:f>INDEX('SKU Master'!$E$2:$E$25,MATCH(A13,'SKU Master'!$A$2:$A$25,0))</x:f>
        <x:v>13.58</x:v>
      </x:c>
      <x:c r="H13" s="19" t="n">
        <x:f>D13*(1+Assumptions!$B$2)*(1+Assumptions!$B$3)*(1+Assumptions!$B$9*Assumptions!$B$4)</x:f>
        <x:v>62.5</x:v>
      </x:c>
      <x:c r="I13" s="19" t="n">
        <x:f>MAX(0,INDEX('SKU Master'!$F$2:$F$25,MATCH(A13,'SKU Master'!$A$2:$A$25,0))+Assumptions!$B$5)</x:f>
        <x:v>4</x:v>
      </x:c>
      <x:c r="J13" s="18" t="n">
        <x:f>IF(H13&gt;0,E13/H13,"N/A")</x:f>
        <x:v>3.584</x:v>
      </x:c>
      <x:c r="K13" s="17" t="n">
        <x:f>ROUNDUP(MAX(0,H13*(I13+Assumptions!$B$6+Assumptions!$B$7)-E13-F13)/W13,0)*W13</x:f>
        <x:v>270</x:v>
      </x:c>
      <x:c r="L13" s="16" t="n">
        <x:f>K13*G13</x:f>
        <x:v>3666.6</x:v>
      </x:c>
      <x:c r="M13" s="20" t="n">
        <x:f>INDEX('SKU Master'!$D$2:$D$25,MATCH(A13,'SKU Master'!$A$2:$A$25,0))*(1-Assumptions!$B$4)</x:f>
        <x:v>28</x:v>
      </x:c>
      <x:c r="N13" s="7" t="n">
        <x:f>IFERROR((M13-G13)/M13,"N/A")</x:f>
        <x:v>0.515</x:v>
      </x:c>
      <x:c r="O13" s="19" t="n">
        <x:f>MIN(E13+F13*Assumptions!$B$11,H13*Assumptions!$B$8)</x:f>
        <x:v>224</x:v>
      </x:c>
      <x:c r="P13" s="16" t="n">
        <x:f>O13*M13</x:f>
        <x:v>6272</x:v>
      </x:c>
      <x:c r="Q13" s="16" t="n">
        <x:f>O13*(M13-G13)</x:f>
        <x:v>3230.08</x:v>
      </x:c>
      <x:c r="R13" s="21" t="n">
        <x:f>IFERROR(SUMIF('Synthetic Sales Data'!$D$2:$D$1921,A13,'Synthetic Sales Data'!$AB$2:$AB$1921)/SUMIFS('Synthetic Sales Data'!$K$2:$K$1921,'Synthetic Sales Data'!$D$2:$D$1921,A13),"N/A")</x:f>
        <x:v>0.30111768573307035</x:v>
      </x:c>
      <x:c r="S13" s="17" t="str">
        <x:f>IF(H13=0,"Review no demand",IF(J13&lt;I13,"Stockout",IF(J13&gt;Assumptions!$B$6+I13+Assumptions!$B$7+4,"Excess","Balanced")))</x:f>
        <x:v>Stockout</x:v>
      </x:c>
      <x:c r="T13" s="20" t="n">
        <x:f>IF(S13="Stockout",MAX(0,H13*I13-E13)*MAX(0,M13-G13),IF(S13="Excess",MAX(0,E13-H13*(Assumptions!$B$6+I13+Assumptions!$B$7))*G13,0))</x:f>
        <x:v>374.92</x:v>
      </x:c>
      <x:c r="U13" s="2" t="str">
        <x:f>IF(ISNUMBER(R13),IF(R13&lt;0.25,"Higher","Review forecast"),"Insufficient history")</x:f>
        <x:v>Review forecast</x:v>
      </x:c>
      <x:c r="V13" s="2" t="str">
        <x:f>IF(S13="Stockout","Before next receipt","Next planning review")</x:f>
        <x:v>Before next receipt</x:v>
      </x:c>
      <x:c r="W13" s="2" t="n">
        <x:v>6</x:v>
      </x:c>
      <x:c r="X13" s="19" t="n">
        <x:f>H13*Assumptions!$B$8</x:f>
        <x:v>250</x:v>
      </x:c>
      <x:c r="Y13" s="18" t="n">
        <x:f>MIN(E13,X13)</x:f>
        <x:v>224</x:v>
      </x:c>
      <x:c r="Z13" s="18" t="n">
        <x:f>MIN(E13+F13,X13)</x:f>
        <x:v>250</x:v>
      </x:c>
      <x:c r="AA13" s="7" t="n">
        <x:f>IFERROR(Q13/P13,"N/A")</x:f>
        <x:v>0.515</x:v>
      </x:c>
    </x:row>
    <x:row r="14" ht="23" customHeight="1">
      <x:c r="A14" s="2" t="str">
        <x:v>DEMO-301</x:v>
      </x:c>
      <x:c r="B14" s="2" t="str">
        <x:v>Dawn Travel Cup</x:v>
      </x:c>
      <x:c r="C14" s="2" t="str">
        <x:v>Lifestyle</x:v>
      </x:c>
      <x:c r="D14" s="19" t="n">
        <x:f>SUMIFS('Synthetic Sales Data'!$K$2:$K$1921,'Synthetic Sales Data'!$D$2:$D$1921,A14,'Synthetic Sales Data'!$C$2:$C$1921,"&gt;="&amp;Assumptions!$B$10-3,'Synthetic Sales Data'!$C$2:$C$1921,"&lt;="&amp;Assumptions!$B$10)/4</x:f>
        <x:v>30.25</x:v>
      </x:c>
      <x:c r="E14" s="17" t="n">
        <x:f>SUMIFS('Synthetic Sales Data'!$T$2:$T$1921,'Synthetic Sales Data'!$D$2:$D$1921,A14,'Synthetic Sales Data'!$C$2:$C$1921,Assumptions!$B$10)</x:f>
        <x:v>1124</x:v>
      </x:c>
      <x:c r="F14" s="17" t="n">
        <x:f>SUMIFS('Synthetic Sales Data'!$U$2:$U$1921,'Synthetic Sales Data'!$D$2:$D$1921,A14,'Synthetic Sales Data'!$C$2:$C$1921,Assumptions!$B$10)</x:f>
        <x:v>96</x:v>
      </x:c>
      <x:c r="G14" s="20" t="n">
        <x:f>INDEX('SKU Master'!$E$2:$E$25,MATCH(A14,'SKU Master'!$A$2:$A$25,0))</x:f>
        <x:v>8.64</x:v>
      </x:c>
      <x:c r="H14" s="19" t="n">
        <x:f>D14*(1+Assumptions!$B$2)*(1+Assumptions!$B$3)*(1+Assumptions!$B$9*Assumptions!$B$4)</x:f>
        <x:v>30.25</x:v>
      </x:c>
      <x:c r="I14" s="19" t="n">
        <x:f>MAX(0,INDEX('SKU Master'!$F$2:$F$25,MATCH(A14,'SKU Master'!$A$2:$A$25,0))+Assumptions!$B$5)</x:f>
        <x:v>2</x:v>
      </x:c>
      <x:c r="J14" s="18" t="n">
        <x:f>IF(H14&gt;0,E14/H14,"N/A")</x:f>
        <x:v>37.15702479338843</x:v>
      </x:c>
      <x:c r="K14" s="17" t="n">
        <x:f>ROUNDUP(MAX(0,H14*(I14+Assumptions!$B$6+Assumptions!$B$7)-E14-F14)/W14,0)*W14</x:f>
        <x:v>0</x:v>
      </x:c>
      <x:c r="L14" s="16" t="n">
        <x:f>K14*G14</x:f>
        <x:v>0</x:v>
      </x:c>
      <x:c r="M14" s="20" t="n">
        <x:f>INDEX('SKU Master'!$D$2:$D$25,MATCH(A14,'SKU Master'!$A$2:$A$25,0))*(1-Assumptions!$B$4)</x:f>
        <x:v>24</x:v>
      </x:c>
      <x:c r="N14" s="7" t="n">
        <x:f>IFERROR((M14-G14)/M14,"N/A")</x:f>
        <x:v>0.64</x:v>
      </x:c>
      <x:c r="O14" s="19" t="n">
        <x:f>MIN(E14+F14*Assumptions!$B$11,H14*Assumptions!$B$8)</x:f>
        <x:v>121</x:v>
      </x:c>
      <x:c r="P14" s="16" t="n">
        <x:f>O14*M14</x:f>
        <x:v>2904</x:v>
      </x:c>
      <x:c r="Q14" s="16" t="n">
        <x:f>O14*(M14-G14)</x:f>
        <x:v>1858.56</x:v>
      </x:c>
      <x:c r="R14" s="21" t="n">
        <x:f>IFERROR(SUMIF('Synthetic Sales Data'!$D$2:$D$1921,A14,'Synthetic Sales Data'!$AB$2:$AB$1921)/SUMIFS('Synthetic Sales Data'!$K$2:$K$1921,'Synthetic Sales Data'!$D$2:$D$1921,A14),"N/A")</x:f>
        <x:v>0.15489130434782608</x:v>
      </x:c>
      <x:c r="S14" s="17" t="str">
        <x:f>IF(H14=0,"Review no demand",IF(J14&lt;I14,"Stockout",IF(J14&gt;Assumptions!$B$6+I14+Assumptions!$B$7+4,"Excess","Balanced")))</x:f>
        <x:v>Excess</x:v>
      </x:c>
      <x:c r="T14" s="20" t="n">
        <x:f>IF(S14="Stockout",MAX(0,H14*I14-E14)*MAX(0,M14-G14),IF(S14="Excess",MAX(0,E14-H14*(Assumptions!$B$6+I14+Assumptions!$B$7))*G14,0))</x:f>
        <x:v>7881.84</x:v>
      </x:c>
      <x:c r="U14" s="2" t="str">
        <x:f>IF(ISNUMBER(R14),IF(R14&lt;0.25,"Higher","Review forecast"),"Insufficient history")</x:f>
        <x:v>Higher</x:v>
      </x:c>
      <x:c r="V14" s="2" t="str">
        <x:f>IF(S14="Stockout","Before next receipt","Next planning review")</x:f>
        <x:v>Next planning review</x:v>
      </x:c>
      <x:c r="W14" s="2" t="n">
        <x:v>6</x:v>
      </x:c>
      <x:c r="X14" s="19" t="n">
        <x:f>H14*Assumptions!$B$8</x:f>
        <x:v>121</x:v>
      </x:c>
      <x:c r="Y14" s="18" t="n">
        <x:f>MIN(E14,X14)</x:f>
        <x:v>121</x:v>
      </x:c>
      <x:c r="Z14" s="18" t="n">
        <x:f>MIN(E14+F14,X14)</x:f>
        <x:v>121</x:v>
      </x:c>
      <x:c r="AA14" s="7" t="n">
        <x:f>IFERROR(Q14/P14,"N/A")</x:f>
        <x:v>0.64</x:v>
      </x:c>
    </x:row>
    <x:row r="15" ht="23" customHeight="1">
      <x:c r="A15" s="2" t="str">
        <x:v>DEMO-302</x:v>
      </x:c>
      <x:c r="B15" s="2" t="str">
        <x:v>Soft Glow Lamp</x:v>
      </x:c>
      <x:c r="C15" s="2" t="str">
        <x:v>Lifestyle</x:v>
      </x:c>
      <x:c r="D15" s="19" t="n">
        <x:f>SUMIFS('Synthetic Sales Data'!$K$2:$K$1921,'Synthetic Sales Data'!$D$2:$D$1921,A15,'Synthetic Sales Data'!$C$2:$C$1921,"&gt;="&amp;Assumptions!$B$10-3,'Synthetic Sales Data'!$C$2:$C$1921,"&lt;="&amp;Assumptions!$B$10)/4</x:f>
        <x:v>41</x:v>
      </x:c>
      <x:c r="E15" s="17" t="n">
        <x:f>SUMIFS('Synthetic Sales Data'!$T$2:$T$1921,'Synthetic Sales Data'!$D$2:$D$1921,A15,'Synthetic Sales Data'!$C$2:$C$1921,Assumptions!$B$10)</x:f>
        <x:v>882</x:v>
      </x:c>
      <x:c r="F15" s="17" t="n">
        <x:f>SUMIFS('Synthetic Sales Data'!$U$2:$U$1921,'Synthetic Sales Data'!$D$2:$D$1921,A15,'Synthetic Sales Data'!$C$2:$C$1921,Assumptions!$B$10)</x:f>
        <x:v>96</x:v>
      </x:c>
      <x:c r="G15" s="20" t="n">
        <x:f>INDEX('SKU Master'!$E$2:$E$25,MATCH(A15,'SKU Master'!$A$2:$A$25,0))</x:f>
        <x:v>10.01</x:v>
      </x:c>
      <x:c r="H15" s="19" t="n">
        <x:f>D15*(1+Assumptions!$B$2)*(1+Assumptions!$B$3)*(1+Assumptions!$B$9*Assumptions!$B$4)</x:f>
        <x:v>41</x:v>
      </x:c>
      <x:c r="I15" s="19" t="n">
        <x:f>MAX(0,INDEX('SKU Master'!$F$2:$F$25,MATCH(A15,'SKU Master'!$A$2:$A$25,0))+Assumptions!$B$5)</x:f>
        <x:v>3</x:v>
      </x:c>
      <x:c r="J15" s="18" t="n">
        <x:f>IF(H15&gt;0,E15/H15,"N/A")</x:f>
        <x:v>21.51219512195122</x:v>
      </x:c>
      <x:c r="K15" s="17" t="n">
        <x:f>ROUNDUP(MAX(0,H15*(I15+Assumptions!$B$6+Assumptions!$B$7)-E15-F15)/W15,0)*W15</x:f>
        <x:v>0</x:v>
      </x:c>
      <x:c r="L15" s="16" t="n">
        <x:f>K15*G15</x:f>
        <x:v>0</x:v>
      </x:c>
      <x:c r="M15" s="20" t="n">
        <x:f>INDEX('SKU Master'!$D$2:$D$25,MATCH(A15,'SKU Master'!$A$2:$A$25,0))*(1-Assumptions!$B$4)</x:f>
        <x:v>26</x:v>
      </x:c>
      <x:c r="N15" s="7" t="n">
        <x:f>IFERROR((M15-G15)/M15,"N/A")</x:f>
        <x:v>0.615</x:v>
      </x:c>
      <x:c r="O15" s="19" t="n">
        <x:f>MIN(E15+F15*Assumptions!$B$11,H15*Assumptions!$B$8)</x:f>
        <x:v>164</x:v>
      </x:c>
      <x:c r="P15" s="16" t="n">
        <x:f>O15*M15</x:f>
        <x:v>4264</x:v>
      </x:c>
      <x:c r="Q15" s="16" t="n">
        <x:f>O15*(M15-G15)</x:f>
        <x:v>2622.36</x:v>
      </x:c>
      <x:c r="R15" s="21" t="n">
        <x:f>IFERROR(SUMIF('Synthetic Sales Data'!$D$2:$D$1921,A15,'Synthetic Sales Data'!$AB$2:$AB$1921)/SUMIFS('Synthetic Sales Data'!$K$2:$K$1921,'Synthetic Sales Data'!$D$2:$D$1921,A15),"N/A")</x:f>
        <x:v>0.1329243353783231</x:v>
      </x:c>
      <x:c r="S15" s="17" t="str">
        <x:f>IF(H15=0,"Review no demand",IF(J15&lt;I15,"Stockout",IF(J15&gt;Assumptions!$B$6+I15+Assumptions!$B$7+4,"Excess","Balanced")))</x:f>
        <x:v>Excess</x:v>
      </x:c>
      <x:c r="T15" s="20" t="n">
        <x:f>IF(S15="Stockout",MAX(0,H15*I15-E15)*MAX(0,M15-G15),IF(S15="Excess",MAX(0,E15-H15*(Assumptions!$B$6+I15+Assumptions!$B$7))*G15,0))</x:f>
        <x:v>5545.54</x:v>
      </x:c>
      <x:c r="U15" s="2" t="str">
        <x:f>IF(ISNUMBER(R15),IF(R15&lt;0.25,"Higher","Review forecast"),"Insufficient history")</x:f>
        <x:v>Higher</x:v>
      </x:c>
      <x:c r="V15" s="2" t="str">
        <x:f>IF(S15="Stockout","Before next receipt","Next planning review")</x:f>
        <x:v>Next planning review</x:v>
      </x:c>
      <x:c r="W15" s="2" t="n">
        <x:v>6</x:v>
      </x:c>
      <x:c r="X15" s="19" t="n">
        <x:f>H15*Assumptions!$B$8</x:f>
        <x:v>164</x:v>
      </x:c>
      <x:c r="Y15" s="18" t="n">
        <x:f>MIN(E15,X15)</x:f>
        <x:v>164</x:v>
      </x:c>
      <x:c r="Z15" s="18" t="n">
        <x:f>MIN(E15+F15,X15)</x:f>
        <x:v>164</x:v>
      </x:c>
      <x:c r="AA15" s="7" t="n">
        <x:f>IFERROR(Q15/P15,"N/A")</x:f>
        <x:v>0.615</x:v>
      </x:c>
    </x:row>
    <x:row r="16" ht="23" customHeight="1">
      <x:c r="A16" s="2" t="str">
        <x:v>DEMO-303</x:v>
      </x:c>
      <x:c r="B16" s="2" t="str">
        <x:v>Weekend Flask</x:v>
      </x:c>
      <x:c r="C16" s="2" t="str">
        <x:v>Lifestyle</x:v>
      </x:c>
      <x:c r="D16" s="19" t="n">
        <x:f>SUMIFS('Synthetic Sales Data'!$K$2:$K$1921,'Synthetic Sales Data'!$D$2:$D$1921,A16,'Synthetic Sales Data'!$C$2:$C$1921,"&gt;="&amp;Assumptions!$B$10-3,'Synthetic Sales Data'!$C$2:$C$1921,"&lt;="&amp;Assumptions!$B$10)/4</x:f>
        <x:v>49.75</x:v>
      </x:c>
      <x:c r="E16" s="17" t="n">
        <x:f>SUMIFS('Synthetic Sales Data'!$T$2:$T$1921,'Synthetic Sales Data'!$D$2:$D$1921,A16,'Synthetic Sales Data'!$C$2:$C$1921,Assumptions!$B$10)</x:f>
        <x:v>675</x:v>
      </x:c>
      <x:c r="F16" s="17" t="n">
        <x:f>SUMIFS('Synthetic Sales Data'!$U$2:$U$1921,'Synthetic Sales Data'!$D$2:$D$1921,A16,'Synthetic Sales Data'!$C$2:$C$1921,Assumptions!$B$10)</x:f>
        <x:v>96</x:v>
      </x:c>
      <x:c r="G16" s="20" t="n">
        <x:f>INDEX('SKU Master'!$E$2:$E$25,MATCH(A16,'SKU Master'!$A$2:$A$25,0))</x:f>
        <x:v>11.48</x:v>
      </x:c>
      <x:c r="H16" s="19" t="n">
        <x:f>D16*(1+Assumptions!$B$2)*(1+Assumptions!$B$3)*(1+Assumptions!$B$9*Assumptions!$B$4)</x:f>
        <x:v>49.75</x:v>
      </x:c>
      <x:c r="I16" s="19" t="n">
        <x:f>MAX(0,INDEX('SKU Master'!$F$2:$F$25,MATCH(A16,'SKU Master'!$A$2:$A$25,0))+Assumptions!$B$5)</x:f>
        <x:v>4</x:v>
      </x:c>
      <x:c r="J16" s="18" t="n">
        <x:f>IF(H16&gt;0,E16/H16,"N/A")</x:f>
        <x:v>13.5678391959799</x:v>
      </x:c>
      <x:c r="K16" s="17" t="n">
        <x:f>ROUNDUP(MAX(0,H16*(I16+Assumptions!$B$6+Assumptions!$B$7)-E16-F16)/W16,0)*W16</x:f>
        <x:v>0</x:v>
      </x:c>
      <x:c r="L16" s="16" t="n">
        <x:f>K16*G16</x:f>
        <x:v>0</x:v>
      </x:c>
      <x:c r="M16" s="20" t="n">
        <x:f>INDEX('SKU Master'!$D$2:$D$25,MATCH(A16,'SKU Master'!$A$2:$A$25,0))*(1-Assumptions!$B$4)</x:f>
        <x:v>28</x:v>
      </x:c>
      <x:c r="N16" s="7" t="n">
        <x:f>IFERROR((M16-G16)/M16,"N/A")</x:f>
        <x:v>0.59</x:v>
      </x:c>
      <x:c r="O16" s="19" t="n">
        <x:f>MIN(E16+F16*Assumptions!$B$11,H16*Assumptions!$B$8)</x:f>
        <x:v>199</x:v>
      </x:c>
      <x:c r="P16" s="16" t="n">
        <x:f>O16*M16</x:f>
        <x:v>5572</x:v>
      </x:c>
      <x:c r="Q16" s="16" t="n">
        <x:f>O16*(M16-G16)</x:f>
        <x:v>3287.48</x:v>
      </x:c>
      <x:c r="R16" s="21" t="n">
        <x:f>IFERROR(SUMIF('Synthetic Sales Data'!$D$2:$D$1921,A16,'Synthetic Sales Data'!$AB$2:$AB$1921)/SUMIFS('Synthetic Sales Data'!$K$2:$K$1921,'Synthetic Sales Data'!$D$2:$D$1921,A16),"N/A")</x:f>
        <x:v>0.13248945147679325</x:v>
      </x:c>
      <x:c r="S16" s="17" t="str">
        <x:f>IF(H16=0,"Review no demand",IF(J16&lt;I16,"Stockout",IF(J16&gt;Assumptions!$B$6+I16+Assumptions!$B$7+4,"Excess","Balanced")))</x:f>
        <x:v>Excess</x:v>
      </x:c>
      <x:c r="T16" s="20" t="n">
        <x:f>IF(S16="Stockout",MAX(0,H16*I16-E16)*MAX(0,M16-G16),IF(S16="Excess",MAX(0,E16-H16*(Assumptions!$B$6+I16+Assumptions!$B$7))*G16,0))</x:f>
        <x:v>2608.83</x:v>
      </x:c>
      <x:c r="U16" s="2" t="str">
        <x:f>IF(ISNUMBER(R16),IF(R16&lt;0.25,"Higher","Review forecast"),"Insufficient history")</x:f>
        <x:v>Higher</x:v>
      </x:c>
      <x:c r="V16" s="2" t="str">
        <x:f>IF(S16="Stockout","Before next receipt","Next planning review")</x:f>
        <x:v>Next planning review</x:v>
      </x:c>
      <x:c r="W16" s="2" t="n">
        <x:v>6</x:v>
      </x:c>
      <x:c r="X16" s="19" t="n">
        <x:f>H16*Assumptions!$B$8</x:f>
        <x:v>199</x:v>
      </x:c>
      <x:c r="Y16" s="18" t="n">
        <x:f>MIN(E16,X16)</x:f>
        <x:v>199</x:v>
      </x:c>
      <x:c r="Z16" s="18" t="n">
        <x:f>MIN(E16+F16,X16)</x:f>
        <x:v>199</x:v>
      </x:c>
      <x:c r="AA16" s="7" t="n">
        <x:f>IFERROR(Q16/P16,"N/A")</x:f>
        <x:v>0.59</x:v>
      </x:c>
    </x:row>
    <x:row r="17" ht="23" customHeight="1">
      <x:c r="A17" s="2" t="str">
        <x:v>DEMO-304</x:v>
      </x:c>
      <x:c r="B17" s="2" t="str">
        <x:v>Calm Desk Mat</x:v>
      </x:c>
      <x:c r="C17" s="2" t="str">
        <x:v>Lifestyle</x:v>
      </x:c>
      <x:c r="D17" s="19" t="n">
        <x:f>SUMIFS('Synthetic Sales Data'!$K$2:$K$1921,'Synthetic Sales Data'!$D$2:$D$1921,A17,'Synthetic Sales Data'!$C$2:$C$1921,"&gt;="&amp;Assumptions!$B$10-3,'Synthetic Sales Data'!$C$2:$C$1921,"&lt;="&amp;Assumptions!$B$10)/4</x:f>
        <x:v>21.75</x:v>
      </x:c>
      <x:c r="E17" s="17" t="n">
        <x:f>SUMIFS('Synthetic Sales Data'!$T$2:$T$1921,'Synthetic Sales Data'!$D$2:$D$1921,A17,'Synthetic Sales Data'!$C$2:$C$1921,Assumptions!$B$10)</x:f>
        <x:v>1333</x:v>
      </x:c>
      <x:c r="F17" s="17" t="n">
        <x:f>SUMIFS('Synthetic Sales Data'!$U$2:$U$1921,'Synthetic Sales Data'!$D$2:$D$1921,A17,'Synthetic Sales Data'!$C$2:$C$1921,Assumptions!$B$10)</x:f>
        <x:v>96</x:v>
      </x:c>
      <x:c r="G17" s="20" t="n">
        <x:f>INDEX('SKU Master'!$E$2:$E$25,MATCH(A17,'SKU Master'!$A$2:$A$25,0))</x:f>
        <x:v>13.05</x:v>
      </x:c>
      <x:c r="H17" s="19" t="n">
        <x:f>D17*(1+Assumptions!$B$2)*(1+Assumptions!$B$3)*(1+Assumptions!$B$9*Assumptions!$B$4)</x:f>
        <x:v>21.75</x:v>
      </x:c>
      <x:c r="I17" s="19" t="n">
        <x:f>MAX(0,INDEX('SKU Master'!$F$2:$F$25,MATCH(A17,'SKU Master'!$A$2:$A$25,0))+Assumptions!$B$5)</x:f>
        <x:v>2</x:v>
      </x:c>
      <x:c r="J17" s="18" t="n">
        <x:f>IF(H17&gt;0,E17/H17,"N/A")</x:f>
        <x:v>61.28735632183908</x:v>
      </x:c>
      <x:c r="K17" s="17" t="n">
        <x:f>ROUNDUP(MAX(0,H17*(I17+Assumptions!$B$6+Assumptions!$B$7)-E17-F17)/W17,0)*W17</x:f>
        <x:v>0</x:v>
      </x:c>
      <x:c r="L17" s="16" t="n">
        <x:f>K17*G17</x:f>
        <x:v>0</x:v>
      </x:c>
      <x:c r="M17" s="20" t="n">
        <x:f>INDEX('SKU Master'!$D$2:$D$25,MATCH(A17,'SKU Master'!$A$2:$A$25,0))*(1-Assumptions!$B$4)</x:f>
        <x:v>30</x:v>
      </x:c>
      <x:c r="N17" s="7" t="n">
        <x:f>IFERROR((M17-G17)/M17,"N/A")</x:f>
        <x:v>0.565</x:v>
      </x:c>
      <x:c r="O17" s="19" t="n">
        <x:f>MIN(E17+F17*Assumptions!$B$11,H17*Assumptions!$B$8)</x:f>
        <x:v>87</x:v>
      </x:c>
      <x:c r="P17" s="16" t="n">
        <x:f>O17*M17</x:f>
        <x:v>2610</x:v>
      </x:c>
      <x:c r="Q17" s="16" t="n">
        <x:f>O17*(M17-G17)</x:f>
        <x:v>1474.6499999999999</x:v>
      </x:c>
      <x:c r="R17" s="21" t="n">
        <x:f>IFERROR(SUMIF('Synthetic Sales Data'!$D$2:$D$1921,A17,'Synthetic Sales Data'!$AB$2:$AB$1921)/SUMIFS('Synthetic Sales Data'!$K$2:$K$1921,'Synthetic Sales Data'!$D$2:$D$1921,A17),"N/A")</x:f>
        <x:v>0.15180265654648956</x:v>
      </x:c>
      <x:c r="S17" s="17" t="str">
        <x:f>IF(H17=0,"Review no demand",IF(J17&lt;I17,"Stockout",IF(J17&gt;Assumptions!$B$6+I17+Assumptions!$B$7+4,"Excess","Balanced")))</x:f>
        <x:v>Excess</x:v>
      </x:c>
      <x:c r="T17" s="20" t="n">
        <x:f>IF(S17="Stockout",MAX(0,H17*I17-E17)*MAX(0,M17-G17),IF(S17="Excess",MAX(0,E17-H17*(Assumptions!$B$6+I17+Assumptions!$B$7))*G17,0))</x:f>
        <x:v>15408.7875</x:v>
      </x:c>
      <x:c r="U17" s="2" t="str">
        <x:f>IF(ISNUMBER(R17),IF(R17&lt;0.25,"Higher","Review forecast"),"Insufficient history")</x:f>
        <x:v>Higher</x:v>
      </x:c>
      <x:c r="V17" s="2" t="str">
        <x:f>IF(S17="Stockout","Before next receipt","Next planning review")</x:f>
        <x:v>Next planning review</x:v>
      </x:c>
      <x:c r="W17" s="2" t="n">
        <x:v>6</x:v>
      </x:c>
      <x:c r="X17" s="19" t="n">
        <x:f>H17*Assumptions!$B$8</x:f>
        <x:v>87</x:v>
      </x:c>
      <x:c r="Y17" s="18" t="n">
        <x:f>MIN(E17,X17)</x:f>
        <x:v>87</x:v>
      </x:c>
      <x:c r="Z17" s="18" t="n">
        <x:f>MIN(E17+F17,X17)</x:f>
        <x:v>87</x:v>
      </x:c>
      <x:c r="AA17" s="7" t="n">
        <x:f>IFERROR(Q17/P17,"N/A")</x:f>
        <x:v>0.565</x:v>
      </x:c>
    </x:row>
    <x:row r="18" ht="23" customHeight="1">
      <x:c r="A18" s="2" t="str">
        <x:v>DEMO-305</x:v>
      </x:c>
      <x:c r="B18" s="2" t="str">
        <x:v>Everyday Tumbler</x:v>
      </x:c>
      <x:c r="C18" s="2" t="str">
        <x:v>Lifestyle</x:v>
      </x:c>
      <x:c r="D18" s="19" t="n">
        <x:f>SUMIFS('Synthetic Sales Data'!$K$2:$K$1921,'Synthetic Sales Data'!$D$2:$D$1921,A18,'Synthetic Sales Data'!$C$2:$C$1921,"&gt;="&amp;Assumptions!$B$10-3,'Synthetic Sales Data'!$C$2:$C$1921,"&lt;="&amp;Assumptions!$B$10)/4</x:f>
        <x:v>30.75</x:v>
      </x:c>
      <x:c r="E18" s="17" t="n">
        <x:f>SUMIFS('Synthetic Sales Data'!$T$2:$T$1921,'Synthetic Sales Data'!$D$2:$D$1921,A18,'Synthetic Sales Data'!$C$2:$C$1921,Assumptions!$B$10)</x:f>
        <x:v>1113</x:v>
      </x:c>
      <x:c r="F18" s="17" t="n">
        <x:f>SUMIFS('Synthetic Sales Data'!$U$2:$U$1921,'Synthetic Sales Data'!$D$2:$D$1921,A18,'Synthetic Sales Data'!$C$2:$C$1921,Assumptions!$B$10)</x:f>
        <x:v>96</x:v>
      </x:c>
      <x:c r="G18" s="20" t="n">
        <x:f>INDEX('SKU Master'!$E$2:$E$25,MATCH(A18,'SKU Master'!$A$2:$A$25,0))</x:f>
        <x:v>14.72</x:v>
      </x:c>
      <x:c r="H18" s="19" t="n">
        <x:f>D18*(1+Assumptions!$B$2)*(1+Assumptions!$B$3)*(1+Assumptions!$B$9*Assumptions!$B$4)</x:f>
        <x:v>30.75</x:v>
      </x:c>
      <x:c r="I18" s="19" t="n">
        <x:f>MAX(0,INDEX('SKU Master'!$F$2:$F$25,MATCH(A18,'SKU Master'!$A$2:$A$25,0))+Assumptions!$B$5)</x:f>
        <x:v>3</x:v>
      </x:c>
      <x:c r="J18" s="18" t="n">
        <x:f>IF(H18&gt;0,E18/H18,"N/A")</x:f>
        <x:v>36.19512195121951</x:v>
      </x:c>
      <x:c r="K18" s="17" t="n">
        <x:f>ROUNDUP(MAX(0,H18*(I18+Assumptions!$B$6+Assumptions!$B$7)-E18-F18)/W18,0)*W18</x:f>
        <x:v>0</x:v>
      </x:c>
      <x:c r="L18" s="16" t="n">
        <x:f>K18*G18</x:f>
        <x:v>0</x:v>
      </x:c>
      <x:c r="M18" s="20" t="n">
        <x:f>INDEX('SKU Master'!$D$2:$D$25,MATCH(A18,'SKU Master'!$A$2:$A$25,0))*(1-Assumptions!$B$4)</x:f>
        <x:v>32</x:v>
      </x:c>
      <x:c r="N18" s="7" t="n">
        <x:f>IFERROR((M18-G18)/M18,"N/A")</x:f>
        <x:v>0.54</x:v>
      </x:c>
      <x:c r="O18" s="19" t="n">
        <x:f>MIN(E18+F18*Assumptions!$B$11,H18*Assumptions!$B$8)</x:f>
        <x:v>123</x:v>
      </x:c>
      <x:c r="P18" s="16" t="n">
        <x:f>O18*M18</x:f>
        <x:v>3936</x:v>
      </x:c>
      <x:c r="Q18" s="16" t="n">
        <x:f>O18*(M18-G18)</x:f>
        <x:v>2125.44</x:v>
      </x:c>
      <x:c r="R18" s="21" t="n">
        <x:f>IFERROR(SUMIF('Synthetic Sales Data'!$D$2:$D$1921,A18,'Synthetic Sales Data'!$AB$2:$AB$1921)/SUMIFS('Synthetic Sales Data'!$K$2:$K$1921,'Synthetic Sales Data'!$D$2:$D$1921,A18),"N/A")</x:f>
        <x:v>0.1606425702811245</x:v>
      </x:c>
      <x:c r="S18" s="17" t="str">
        <x:f>IF(H18=0,"Review no demand",IF(J18&lt;I18,"Stockout",IF(J18&gt;Assumptions!$B$6+I18+Assumptions!$B$7+4,"Excess","Balanced")))</x:f>
        <x:v>Excess</x:v>
      </x:c>
      <x:c r="T18" s="20" t="n">
        <x:f>IF(S18="Stockout",MAX(0,H18*I18-E18)*MAX(0,M18-G18),IF(S18="Excess",MAX(0,E18-H18*(Assumptions!$B$6+I18+Assumptions!$B$7))*G18,0))</x:f>
        <x:v>12762.24</x:v>
      </x:c>
      <x:c r="U18" s="2" t="str">
        <x:f>IF(ISNUMBER(R18),IF(R18&lt;0.25,"Higher","Review forecast"),"Insufficient history")</x:f>
        <x:v>Higher</x:v>
      </x:c>
      <x:c r="V18" s="2" t="str">
        <x:f>IF(S18="Stockout","Before next receipt","Next planning review")</x:f>
        <x:v>Next planning review</x:v>
      </x:c>
      <x:c r="W18" s="2" t="n">
        <x:v>6</x:v>
      </x:c>
      <x:c r="X18" s="19" t="n">
        <x:f>H18*Assumptions!$B$8</x:f>
        <x:v>123</x:v>
      </x:c>
      <x:c r="Y18" s="18" t="n">
        <x:f>MIN(E18,X18)</x:f>
        <x:v>123</x:v>
      </x:c>
      <x:c r="Z18" s="18" t="n">
        <x:f>MIN(E18+F18,X18)</x:f>
        <x:v>123</x:v>
      </x:c>
      <x:c r="AA18" s="7" t="n">
        <x:f>IFERROR(Q18/P18,"N/A")</x:f>
        <x:v>0.54</x:v>
      </x:c>
    </x:row>
    <x:row r="19" ht="23" customHeight="1">
      <x:c r="A19" s="2" t="str">
        <x:v>DEMO-306</x:v>
      </x:c>
      <x:c r="B19" s="2" t="str">
        <x:v>Nest Cushion</x:v>
      </x:c>
      <x:c r="C19" s="2" t="str">
        <x:v>Lifestyle</x:v>
      </x:c>
      <x:c r="D19" s="19" t="n">
        <x:f>SUMIFS('Synthetic Sales Data'!$K$2:$K$1921,'Synthetic Sales Data'!$D$2:$D$1921,A19,'Synthetic Sales Data'!$C$2:$C$1921,"&gt;="&amp;Assumptions!$B$10-3,'Synthetic Sales Data'!$C$2:$C$1921,"&lt;="&amp;Assumptions!$B$10)/4</x:f>
        <x:v>41.5</x:v>
      </x:c>
      <x:c r="E19" s="17" t="n">
        <x:f>SUMIFS('Synthetic Sales Data'!$T$2:$T$1921,'Synthetic Sales Data'!$D$2:$D$1921,A19,'Synthetic Sales Data'!$C$2:$C$1921,Assumptions!$B$10)</x:f>
        <x:v>884</x:v>
      </x:c>
      <x:c r="F19" s="17" t="n">
        <x:f>SUMIFS('Synthetic Sales Data'!$U$2:$U$1921,'Synthetic Sales Data'!$D$2:$D$1921,A19,'Synthetic Sales Data'!$C$2:$C$1921,Assumptions!$B$10)</x:f>
        <x:v>96</x:v>
      </x:c>
      <x:c r="G19" s="20" t="n">
        <x:f>INDEX('SKU Master'!$E$2:$E$25,MATCH(A19,'SKU Master'!$A$2:$A$25,0))</x:f>
        <x:v>16.49</x:v>
      </x:c>
      <x:c r="H19" s="19" t="n">
        <x:f>D19*(1+Assumptions!$B$2)*(1+Assumptions!$B$3)*(1+Assumptions!$B$9*Assumptions!$B$4)</x:f>
        <x:v>41.5</x:v>
      </x:c>
      <x:c r="I19" s="19" t="n">
        <x:f>MAX(0,INDEX('SKU Master'!$F$2:$F$25,MATCH(A19,'SKU Master'!$A$2:$A$25,0))+Assumptions!$B$5)</x:f>
        <x:v>4</x:v>
      </x:c>
      <x:c r="J19" s="18" t="n">
        <x:f>IF(H19&gt;0,E19/H19,"N/A")</x:f>
        <x:v>21.301204819277107</x:v>
      </x:c>
      <x:c r="K19" s="17" t="n">
        <x:f>ROUNDUP(MAX(0,H19*(I19+Assumptions!$B$6+Assumptions!$B$7)-E19-F19)/W19,0)*W19</x:f>
        <x:v>0</x:v>
      </x:c>
      <x:c r="L19" s="16" t="n">
        <x:f>K19*G19</x:f>
        <x:v>0</x:v>
      </x:c>
      <x:c r="M19" s="20" t="n">
        <x:f>INDEX('SKU Master'!$D$2:$D$25,MATCH(A19,'SKU Master'!$A$2:$A$25,0))*(1-Assumptions!$B$4)</x:f>
        <x:v>34</x:v>
      </x:c>
      <x:c r="N19" s="7" t="n">
        <x:f>IFERROR((M19-G19)/M19,"N/A")</x:f>
        <x:v>0.515</x:v>
      </x:c>
      <x:c r="O19" s="19" t="n">
        <x:f>MIN(E19+F19*Assumptions!$B$11,H19*Assumptions!$B$8)</x:f>
        <x:v>166</x:v>
      </x:c>
      <x:c r="P19" s="16" t="n">
        <x:f>O19*M19</x:f>
        <x:v>5644</x:v>
      </x:c>
      <x:c r="Q19" s="16" t="n">
        <x:f>O19*(M19-G19)</x:f>
        <x:v>2906.6600000000003</x:v>
      </x:c>
      <x:c r="R19" s="21" t="n">
        <x:f>IFERROR(SUMIF('Synthetic Sales Data'!$D$2:$D$1921,A19,'Synthetic Sales Data'!$AB$2:$AB$1921)/SUMIFS('Synthetic Sales Data'!$K$2:$K$1921,'Synthetic Sales Data'!$D$2:$D$1921,A19),"N/A")</x:f>
        <x:v>0.13934426229508196</x:v>
      </x:c>
      <x:c r="S19" s="17" t="str">
        <x:f>IF(H19=0,"Review no demand",IF(J19&lt;I19,"Stockout",IF(J19&gt;Assumptions!$B$6+I19+Assumptions!$B$7+4,"Excess","Balanced")))</x:f>
        <x:v>Excess</x:v>
      </x:c>
      <x:c r="T19" s="20" t="n">
        <x:f>IF(S19="Stockout",MAX(0,H19*I19-E19)*MAX(0,M19-G19),IF(S19="Excess",MAX(0,E19-H19*(Assumptions!$B$6+I19+Assumptions!$B$7))*G19,0))</x:f>
        <x:v>8418.144999999999</x:v>
      </x:c>
      <x:c r="U19" s="2" t="str">
        <x:f>IF(ISNUMBER(R19),IF(R19&lt;0.25,"Higher","Review forecast"),"Insufficient history")</x:f>
        <x:v>Higher</x:v>
      </x:c>
      <x:c r="V19" s="2" t="str">
        <x:f>IF(S19="Stockout","Before next receipt","Next planning review")</x:f>
        <x:v>Next planning review</x:v>
      </x:c>
      <x:c r="W19" s="2" t="n">
        <x:v>6</x:v>
      </x:c>
      <x:c r="X19" s="19" t="n">
        <x:f>H19*Assumptions!$B$8</x:f>
        <x:v>166</x:v>
      </x:c>
      <x:c r="Y19" s="18" t="n">
        <x:f>MIN(E19,X19)</x:f>
        <x:v>166</x:v>
      </x:c>
      <x:c r="Z19" s="18" t="n">
        <x:f>MIN(E19+F19,X19)</x:f>
        <x:v>166</x:v>
      </x:c>
      <x:c r="AA19" s="7" t="n">
        <x:f>IFERROR(Q19/P19,"N/A")</x:f>
        <x:v>0.515</x:v>
      </x:c>
    </x:row>
    <x:row r="20" ht="23" customHeight="1">
      <x:c r="A20" s="2" t="str">
        <x:v>DEMO-401</x:v>
      </x:c>
      <x:c r="B20" s="2" t="str">
        <x:v>Loop Pouch</x:v>
      </x:c>
      <x:c r="C20" s="2" t="str">
        <x:v>Accessories</x:v>
      </x:c>
      <x:c r="D20" s="19" t="n">
        <x:f>SUMIFS('Synthetic Sales Data'!$K$2:$K$1921,'Synthetic Sales Data'!$D$2:$D$1921,A20,'Synthetic Sales Data'!$C$2:$C$1921,"&gt;="&amp;Assumptions!$B$10-3,'Synthetic Sales Data'!$C$2:$C$1921,"&lt;="&amp;Assumptions!$B$10)/4</x:f>
        <x:v>50.25</x:v>
      </x:c>
      <x:c r="E20" s="17" t="n">
        <x:f>SUMIFS('Synthetic Sales Data'!$T$2:$T$1921,'Synthetic Sales Data'!$D$2:$D$1921,A20,'Synthetic Sales Data'!$C$2:$C$1921,Assumptions!$B$10)</x:f>
        <x:v>444</x:v>
      </x:c>
      <x:c r="F20" s="17" t="n">
        <x:f>SUMIFS('Synthetic Sales Data'!$U$2:$U$1921,'Synthetic Sales Data'!$D$2:$D$1921,A20,'Synthetic Sales Data'!$C$2:$C$1921,Assumptions!$B$10)</x:f>
        <x:v>72</x:v>
      </x:c>
      <x:c r="G20" s="20" t="n">
        <x:f>INDEX('SKU Master'!$E$2:$E$25,MATCH(A20,'SKU Master'!$A$2:$A$25,0))</x:f>
        <x:v>5.76</x:v>
      </x:c>
      <x:c r="H20" s="19" t="n">
        <x:f>D20*(1+Assumptions!$B$2)*(1+Assumptions!$B$3)*(1+Assumptions!$B$9*Assumptions!$B$4)</x:f>
        <x:v>50.25</x:v>
      </x:c>
      <x:c r="I20" s="19" t="n">
        <x:f>MAX(0,INDEX('SKU Master'!$F$2:$F$25,MATCH(A20,'SKU Master'!$A$2:$A$25,0))+Assumptions!$B$5)</x:f>
        <x:v>2</x:v>
      </x:c>
      <x:c r="J20" s="18" t="n">
        <x:f>IF(H20&gt;0,E20/H20,"N/A")</x:f>
        <x:v>8.835820895522389</x:v>
      </x:c>
      <x:c r="K20" s="17" t="n">
        <x:f>ROUNDUP(MAX(0,H20*(I20+Assumptions!$B$6+Assumptions!$B$7)-E20-F20)/W20,0)*W20</x:f>
        <x:v>0</x:v>
      </x:c>
      <x:c r="L20" s="16" t="n">
        <x:f>K20*G20</x:f>
        <x:v>0</x:v>
      </x:c>
      <x:c r="M20" s="20" t="n">
        <x:f>INDEX('SKU Master'!$D$2:$D$25,MATCH(A20,'SKU Master'!$A$2:$A$25,0))*(1-Assumptions!$B$4)</x:f>
        <x:v>16</x:v>
      </x:c>
      <x:c r="N20" s="7" t="n">
        <x:f>IFERROR((M20-G20)/M20,"N/A")</x:f>
        <x:v>0.64</x:v>
      </x:c>
      <x:c r="O20" s="19" t="n">
        <x:f>MIN(E20+F20*Assumptions!$B$11,H20*Assumptions!$B$8)</x:f>
        <x:v>201</x:v>
      </x:c>
      <x:c r="P20" s="16" t="n">
        <x:f>O20*M20</x:f>
        <x:v>3216</x:v>
      </x:c>
      <x:c r="Q20" s="16" t="n">
        <x:f>O20*(M20-G20)</x:f>
        <x:v>2058.2400000000002</x:v>
      </x:c>
      <x:c r="R20" s="21" t="n">
        <x:f>IFERROR(SUMIF('Synthetic Sales Data'!$D$2:$D$1921,A20,'Synthetic Sales Data'!$AB$2:$AB$1921)/SUMIFS('Synthetic Sales Data'!$K$2:$K$1921,'Synthetic Sales Data'!$D$2:$D$1921,A20),"N/A")</x:f>
        <x:v>0.0979020979020979</x:v>
      </x:c>
      <x:c r="S20" s="17" t="str">
        <x:f>IF(H20=0,"Review no demand",IF(J20&lt;I20,"Stockout",IF(J20&gt;Assumptions!$B$6+I20+Assumptions!$B$7+4,"Excess","Balanced")))</x:f>
        <x:v>Balanced</x:v>
      </x:c>
      <x:c r="T20" s="20" t="n">
        <x:f>IF(S20="Stockout",MAX(0,H20*I20-E20)*MAX(0,M20-G20),IF(S20="Excess",MAX(0,E20-H20*(Assumptions!$B$6+I20+Assumptions!$B$7))*G20,0))</x:f>
        <x:v>0</x:v>
      </x:c>
      <x:c r="U20" s="2" t="str">
        <x:f>IF(ISNUMBER(R20),IF(R20&lt;0.25,"Higher","Review forecast"),"Insufficient history")</x:f>
        <x:v>Higher</x:v>
      </x:c>
      <x:c r="V20" s="2" t="str">
        <x:f>IF(S20="Stockout","Before next receipt","Next planning review")</x:f>
        <x:v>Next planning review</x:v>
      </x:c>
      <x:c r="W20" s="2" t="n">
        <x:v>6</x:v>
      </x:c>
      <x:c r="X20" s="19" t="n">
        <x:f>H20*Assumptions!$B$8</x:f>
        <x:v>201</x:v>
      </x:c>
      <x:c r="Y20" s="18" t="n">
        <x:f>MIN(E20,X20)</x:f>
        <x:v>201</x:v>
      </x:c>
      <x:c r="Z20" s="18" t="n">
        <x:f>MIN(E20+F20,X20)</x:f>
        <x:v>201</x:v>
      </x:c>
      <x:c r="AA20" s="7" t="n">
        <x:f>IFERROR(Q20/P20,"N/A")</x:f>
        <x:v>0.6400000000000001</x:v>
      </x:c>
    </x:row>
    <x:row r="21" ht="23" customHeight="1">
      <x:c r="A21" s="2" t="str">
        <x:v>DEMO-402</x:v>
      </x:c>
      <x:c r="B21" s="2" t="str">
        <x:v>Canvas Carryall</x:v>
      </x:c>
      <x:c r="C21" s="2" t="str">
        <x:v>Accessories</x:v>
      </x:c>
      <x:c r="D21" s="19" t="n">
        <x:f>SUMIFS('Synthetic Sales Data'!$K$2:$K$1921,'Synthetic Sales Data'!$D$2:$D$1921,A21,'Synthetic Sales Data'!$C$2:$C$1921,"&gt;="&amp;Assumptions!$B$10-3,'Synthetic Sales Data'!$C$2:$C$1921,"&lt;="&amp;Assumptions!$B$10)/4</x:f>
        <x:v>67.75</x:v>
      </x:c>
      <x:c r="E21" s="17" t="n">
        <x:f>SUMIFS('Synthetic Sales Data'!$T$2:$T$1921,'Synthetic Sales Data'!$D$2:$D$1921,A21,'Synthetic Sales Data'!$C$2:$C$1921,Assumptions!$B$10)</x:f>
        <x:v>434</x:v>
      </x:c>
      <x:c r="F21" s="17" t="n">
        <x:f>SUMIFS('Synthetic Sales Data'!$U$2:$U$1921,'Synthetic Sales Data'!$D$2:$D$1921,A21,'Synthetic Sales Data'!$C$2:$C$1921,Assumptions!$B$10)</x:f>
        <x:v>72</x:v>
      </x:c>
      <x:c r="G21" s="20" t="n">
        <x:f>INDEX('SKU Master'!$E$2:$E$25,MATCH(A21,'SKU Master'!$A$2:$A$25,0))</x:f>
        <x:v>6.93</x:v>
      </x:c>
      <x:c r="H21" s="19" t="n">
        <x:f>D21*(1+Assumptions!$B$2)*(1+Assumptions!$B$3)*(1+Assumptions!$B$9*Assumptions!$B$4)</x:f>
        <x:v>67.75</x:v>
      </x:c>
      <x:c r="I21" s="19" t="n">
        <x:f>MAX(0,INDEX('SKU Master'!$F$2:$F$25,MATCH(A21,'SKU Master'!$A$2:$A$25,0))+Assumptions!$B$5)</x:f>
        <x:v>3</x:v>
      </x:c>
      <x:c r="J21" s="18" t="n">
        <x:f>IF(H21&gt;0,E21/H21,"N/A")</x:f>
        <x:v>6.405904059040591</x:v>
      </x:c>
      <x:c r="K21" s="17" t="n">
        <x:f>ROUNDUP(MAX(0,H21*(I21+Assumptions!$B$6+Assumptions!$B$7)-E21-F21)/W21,0)*W21</x:f>
        <x:v>36</x:v>
      </x:c>
      <x:c r="L21" s="16" t="n">
        <x:f>K21*G21</x:f>
        <x:v>249.48</x:v>
      </x:c>
      <x:c r="M21" s="20" t="n">
        <x:f>INDEX('SKU Master'!$D$2:$D$25,MATCH(A21,'SKU Master'!$A$2:$A$25,0))*(1-Assumptions!$B$4)</x:f>
        <x:v>18</x:v>
      </x:c>
      <x:c r="N21" s="7" t="n">
        <x:f>IFERROR((M21-G21)/M21,"N/A")</x:f>
        <x:v>0.615</x:v>
      </x:c>
      <x:c r="O21" s="19" t="n">
        <x:f>MIN(E21+F21*Assumptions!$B$11,H21*Assumptions!$B$8)</x:f>
        <x:v>271</x:v>
      </x:c>
      <x:c r="P21" s="16" t="n">
        <x:f>O21*M21</x:f>
        <x:v>4878</x:v>
      </x:c>
      <x:c r="Q21" s="16" t="n">
        <x:f>O21*(M21-G21)</x:f>
        <x:v>2999.9700000000003</x:v>
      </x:c>
      <x:c r="R21" s="21" t="n">
        <x:f>IFERROR(SUMIF('Synthetic Sales Data'!$D$2:$D$1921,A21,'Synthetic Sales Data'!$AB$2:$AB$1921)/SUMIFS('Synthetic Sales Data'!$K$2:$K$1921,'Synthetic Sales Data'!$D$2:$D$1921,A21),"N/A")</x:f>
        <x:v>0.10068649885583524</x:v>
      </x:c>
      <x:c r="S21" s="17" t="str">
        <x:f>IF(H21=0,"Review no demand",IF(J21&lt;I21,"Stockout",IF(J21&gt;Assumptions!$B$6+I21+Assumptions!$B$7+4,"Excess","Balanced")))</x:f>
        <x:v>Balanced</x:v>
      </x:c>
      <x:c r="T21" s="20" t="n">
        <x:f>IF(S21="Stockout",MAX(0,H21*I21-E21)*MAX(0,M21-G21),IF(S21="Excess",MAX(0,E21-H21*(Assumptions!$B$6+I21+Assumptions!$B$7))*G21,0))</x:f>
        <x:v>0</x:v>
      </x:c>
      <x:c r="U21" s="2" t="str">
        <x:f>IF(ISNUMBER(R21),IF(R21&lt;0.25,"Higher","Review forecast"),"Insufficient history")</x:f>
        <x:v>Higher</x:v>
      </x:c>
      <x:c r="V21" s="2" t="str">
        <x:f>IF(S21="Stockout","Before next receipt","Next planning review")</x:f>
        <x:v>Next planning review</x:v>
      </x:c>
      <x:c r="W21" s="2" t="n">
        <x:v>6</x:v>
      </x:c>
      <x:c r="X21" s="19" t="n">
        <x:f>H21*Assumptions!$B$8</x:f>
        <x:v>271</x:v>
      </x:c>
      <x:c r="Y21" s="18" t="n">
        <x:f>MIN(E21,X21)</x:f>
        <x:v>271</x:v>
      </x:c>
      <x:c r="Z21" s="18" t="n">
        <x:f>MIN(E21+F21,X21)</x:f>
        <x:v>271</x:v>
      </x:c>
      <x:c r="AA21" s="7" t="n">
        <x:f>IFERROR(Q21/P21,"N/A")</x:f>
        <x:v>0.6150000000000001</x:v>
      </x:c>
    </x:row>
    <x:row r="22" ht="23" customHeight="1">
      <x:c r="A22" s="2" t="str">
        <x:v>DEMO-403</x:v>
      </x:c>
      <x:c r="B22" s="2" t="str">
        <x:v>Pocket Organiser</x:v>
      </x:c>
      <x:c r="C22" s="2" t="str">
        <x:v>Accessories</x:v>
      </x:c>
      <x:c r="D22" s="19" t="n">
        <x:f>SUMIFS('Synthetic Sales Data'!$K$2:$K$1921,'Synthetic Sales Data'!$D$2:$D$1921,A22,'Synthetic Sales Data'!$C$2:$C$1921,"&gt;="&amp;Assumptions!$B$10-3,'Synthetic Sales Data'!$C$2:$C$1921,"&lt;="&amp;Assumptions!$B$10)/4</x:f>
        <x:v>77.75</x:v>
      </x:c>
      <x:c r="E22" s="17" t="n">
        <x:f>SUMIFS('Synthetic Sales Data'!$T$2:$T$1921,'Synthetic Sales Data'!$D$2:$D$1921,A22,'Synthetic Sales Data'!$C$2:$C$1921,Assumptions!$B$10)</x:f>
        <x:v>433</x:v>
      </x:c>
      <x:c r="F22" s="17" t="n">
        <x:f>SUMIFS('Synthetic Sales Data'!$U$2:$U$1921,'Synthetic Sales Data'!$D$2:$D$1921,A22,'Synthetic Sales Data'!$C$2:$C$1921,Assumptions!$B$10)</x:f>
        <x:v>72</x:v>
      </x:c>
      <x:c r="G22" s="20" t="n">
        <x:f>INDEX('SKU Master'!$E$2:$E$25,MATCH(A22,'SKU Master'!$A$2:$A$25,0))</x:f>
        <x:v>8.2</x:v>
      </x:c>
      <x:c r="H22" s="19" t="n">
        <x:f>D22*(1+Assumptions!$B$2)*(1+Assumptions!$B$3)*(1+Assumptions!$B$9*Assumptions!$B$4)</x:f>
        <x:v>77.75</x:v>
      </x:c>
      <x:c r="I22" s="19" t="n">
        <x:f>MAX(0,INDEX('SKU Master'!$F$2:$F$25,MATCH(A22,'SKU Master'!$A$2:$A$25,0))+Assumptions!$B$5)</x:f>
        <x:v>4</x:v>
      </x:c>
      <x:c r="J22" s="18" t="n">
        <x:f>IF(H22&gt;0,E22/H22,"N/A")</x:f>
        <x:v>5.569131832797428</x:v>
      </x:c>
      <x:c r="K22" s="17" t="n">
        <x:f>ROUNDUP(MAX(0,H22*(I22+Assumptions!$B$6+Assumptions!$B$7)-E22-F22)/W22,0)*W22</x:f>
        <x:v>198</x:v>
      </x:c>
      <x:c r="L22" s="16" t="n">
        <x:f>K22*G22</x:f>
        <x:v>1623.6</x:v>
      </x:c>
      <x:c r="M22" s="20" t="n">
        <x:f>INDEX('SKU Master'!$D$2:$D$25,MATCH(A22,'SKU Master'!$A$2:$A$25,0))*(1-Assumptions!$B$4)</x:f>
        <x:v>20</x:v>
      </x:c>
      <x:c r="N22" s="7" t="n">
        <x:f>IFERROR((M22-G22)/M22,"N/A")</x:f>
        <x:v>0.5900000000000001</x:v>
      </x:c>
      <x:c r="O22" s="19" t="n">
        <x:f>MIN(E22+F22*Assumptions!$B$11,H22*Assumptions!$B$8)</x:f>
        <x:v>311</x:v>
      </x:c>
      <x:c r="P22" s="16" t="n">
        <x:f>O22*M22</x:f>
        <x:v>6220</x:v>
      </x:c>
      <x:c r="Q22" s="16" t="n">
        <x:f>O22*(M22-G22)</x:f>
        <x:v>3669.8</x:v>
      </x:c>
      <x:c r="R22" s="21" t="n">
        <x:f>IFERROR(SUMIF('Synthetic Sales Data'!$D$2:$D$1921,A22,'Synthetic Sales Data'!$AB$2:$AB$1921)/SUMIFS('Synthetic Sales Data'!$K$2:$K$1921,'Synthetic Sales Data'!$D$2:$D$1921,A22),"N/A")</x:f>
        <x:v>0.11271133375078271</x:v>
      </x:c>
      <x:c r="S22" s="17" t="str">
        <x:f>IF(H22=0,"Review no demand",IF(J22&lt;I22,"Stockout",IF(J22&gt;Assumptions!$B$6+I22+Assumptions!$B$7+4,"Excess","Balanced")))</x:f>
        <x:v>Balanced</x:v>
      </x:c>
      <x:c r="T22" s="20" t="n">
        <x:f>IF(S22="Stockout",MAX(0,H22*I22-E22)*MAX(0,M22-G22),IF(S22="Excess",MAX(0,E22-H22*(Assumptions!$B$6+I22+Assumptions!$B$7))*G22,0))</x:f>
        <x:v>0</x:v>
      </x:c>
      <x:c r="U22" s="2" t="str">
        <x:f>IF(ISNUMBER(R22),IF(R22&lt;0.25,"Higher","Review forecast"),"Insufficient history")</x:f>
        <x:v>Higher</x:v>
      </x:c>
      <x:c r="V22" s="2" t="str">
        <x:f>IF(S22="Stockout","Before next receipt","Next planning review")</x:f>
        <x:v>Next planning review</x:v>
      </x:c>
      <x:c r="W22" s="2" t="n">
        <x:v>6</x:v>
      </x:c>
      <x:c r="X22" s="19" t="n">
        <x:f>H22*Assumptions!$B$8</x:f>
        <x:v>311</x:v>
      </x:c>
      <x:c r="Y22" s="18" t="n">
        <x:f>MIN(E22,X22)</x:f>
        <x:v>311</x:v>
      </x:c>
      <x:c r="Z22" s="18" t="n">
        <x:f>MIN(E22+F22,X22)</x:f>
        <x:v>311</x:v>
      </x:c>
      <x:c r="AA22" s="7" t="n">
        <x:f>IFERROR(Q22/P22,"N/A")</x:f>
        <x:v>0.5900000000000001</x:v>
      </x:c>
    </x:row>
    <x:row r="23" ht="23" customHeight="1">
      <x:c r="A23" s="2" t="str">
        <x:v>DEMO-404</x:v>
      </x:c>
      <x:c r="B23" s="2" t="str">
        <x:v>Woven Lanyard</x:v>
      </x:c>
      <x:c r="C23" s="2" t="str">
        <x:v>Accessories</x:v>
      </x:c>
      <x:c r="D23" s="19" t="n">
        <x:f>SUMIFS('Synthetic Sales Data'!$K$2:$K$1921,'Synthetic Sales Data'!$D$2:$D$1921,A23,'Synthetic Sales Data'!$C$2:$C$1921,"&gt;="&amp;Assumptions!$B$10-3,'Synthetic Sales Data'!$C$2:$C$1921,"&lt;="&amp;Assumptions!$B$10)/4</x:f>
        <x:v>37.25</x:v>
      </x:c>
      <x:c r="E23" s="17" t="n">
        <x:f>SUMIFS('Synthetic Sales Data'!$T$2:$T$1921,'Synthetic Sales Data'!$D$2:$D$1921,A23,'Synthetic Sales Data'!$C$2:$C$1921,Assumptions!$B$10)</x:f>
        <x:v>415</x:v>
      </x:c>
      <x:c r="F23" s="17" t="n">
        <x:f>SUMIFS('Synthetic Sales Data'!$U$2:$U$1921,'Synthetic Sales Data'!$D$2:$D$1921,A23,'Synthetic Sales Data'!$C$2:$C$1921,Assumptions!$B$10)</x:f>
        <x:v>72</x:v>
      </x:c>
      <x:c r="G23" s="20" t="n">
        <x:f>INDEX('SKU Master'!$E$2:$E$25,MATCH(A23,'SKU Master'!$A$2:$A$25,0))</x:f>
        <x:v>9.57</x:v>
      </x:c>
      <x:c r="H23" s="19" t="n">
        <x:f>D23*(1+Assumptions!$B$2)*(1+Assumptions!$B$3)*(1+Assumptions!$B$9*Assumptions!$B$4)</x:f>
        <x:v>37.25</x:v>
      </x:c>
      <x:c r="I23" s="19" t="n">
        <x:f>MAX(0,INDEX('SKU Master'!$F$2:$F$25,MATCH(A23,'SKU Master'!$A$2:$A$25,0))+Assumptions!$B$5)</x:f>
        <x:v>2</x:v>
      </x:c>
      <x:c r="J23" s="18" t="n">
        <x:f>IF(H23&gt;0,E23/H23,"N/A")</x:f>
        <x:v>11.140939597315436</x:v>
      </x:c>
      <x:c r="K23" s="17" t="n">
        <x:f>ROUNDUP(MAX(0,H23*(I23+Assumptions!$B$6+Assumptions!$B$7)-E23-F23)/W23,0)*W23</x:f>
        <x:v>0</x:v>
      </x:c>
      <x:c r="L23" s="16" t="n">
        <x:f>K23*G23</x:f>
        <x:v>0</x:v>
      </x:c>
      <x:c r="M23" s="20" t="n">
        <x:f>INDEX('SKU Master'!$D$2:$D$25,MATCH(A23,'SKU Master'!$A$2:$A$25,0))*(1-Assumptions!$B$4)</x:f>
        <x:v>22</x:v>
      </x:c>
      <x:c r="N23" s="7" t="n">
        <x:f>IFERROR((M23-G23)/M23,"N/A")</x:f>
        <x:v>0.565</x:v>
      </x:c>
      <x:c r="O23" s="19" t="n">
        <x:f>MIN(E23+F23*Assumptions!$B$11,H23*Assumptions!$B$8)</x:f>
        <x:v>149</x:v>
      </x:c>
      <x:c r="P23" s="16" t="n">
        <x:f>O23*M23</x:f>
        <x:v>3278</x:v>
      </x:c>
      <x:c r="Q23" s="16" t="n">
        <x:f>O23*(M23-G23)</x:f>
        <x:v>1852.07</x:v>
      </x:c>
      <x:c r="R23" s="21" t="n">
        <x:f>IFERROR(SUMIF('Synthetic Sales Data'!$D$2:$D$1921,A23,'Synthetic Sales Data'!$AB$2:$AB$1921)/SUMIFS('Synthetic Sales Data'!$K$2:$K$1921,'Synthetic Sales Data'!$D$2:$D$1921,A23),"N/A")</x:f>
        <x:v>0.12162162162162163</x:v>
      </x:c>
      <x:c r="S23" s="17" t="str">
        <x:f>IF(H23=0,"Review no demand",IF(J23&lt;I23,"Stockout",IF(J23&gt;Assumptions!$B$6+I23+Assumptions!$B$7+4,"Excess","Balanced")))</x:f>
        <x:v>Excess</x:v>
      </x:c>
      <x:c r="T23" s="20" t="n">
        <x:f>IF(S23="Stockout",MAX(0,H23*I23-E23)*MAX(0,M23-G23),IF(S23="Excess",MAX(0,E23-H23*(Assumptions!$B$6+I23+Assumptions!$B$7))*G23,0))</x:f>
        <x:v>1476.1725000000001</x:v>
      </x:c>
      <x:c r="U23" s="2" t="str">
        <x:f>IF(ISNUMBER(R23),IF(R23&lt;0.25,"Higher","Review forecast"),"Insufficient history")</x:f>
        <x:v>Higher</x:v>
      </x:c>
      <x:c r="V23" s="2" t="str">
        <x:f>IF(S23="Stockout","Before next receipt","Next planning review")</x:f>
        <x:v>Next planning review</x:v>
      </x:c>
      <x:c r="W23" s="2" t="n">
        <x:v>6</x:v>
      </x:c>
      <x:c r="X23" s="19" t="n">
        <x:f>H23*Assumptions!$B$8</x:f>
        <x:v>149</x:v>
      </x:c>
      <x:c r="Y23" s="18" t="n">
        <x:f>MIN(E23,X23)</x:f>
        <x:v>149</x:v>
      </x:c>
      <x:c r="Z23" s="18" t="n">
        <x:f>MIN(E23+F23,X23)</x:f>
        <x:v>149</x:v>
      </x:c>
      <x:c r="AA23" s="7" t="n">
        <x:f>IFERROR(Q23/P23,"N/A")</x:f>
        <x:v>0.565</x:v>
      </x:c>
    </x:row>
    <x:row r="24" ht="23" customHeight="1">
      <x:c r="A24" s="2" t="str">
        <x:v>DEMO-405</x:v>
      </x:c>
      <x:c r="B24" s="2" t="str">
        <x:v>Pebble Keyring</x:v>
      </x:c>
      <x:c r="C24" s="2" t="str">
        <x:v>Accessories</x:v>
      </x:c>
      <x:c r="D24" s="19" t="n">
        <x:f>SUMIFS('Synthetic Sales Data'!$K$2:$K$1921,'Synthetic Sales Data'!$D$2:$D$1921,A24,'Synthetic Sales Data'!$C$2:$C$1921,"&gt;="&amp;Assumptions!$B$10-3,'Synthetic Sales Data'!$C$2:$C$1921,"&lt;="&amp;Assumptions!$B$10)/4</x:f>
        <x:v>47.75</x:v>
      </x:c>
      <x:c r="E24" s="17" t="n">
        <x:f>SUMIFS('Synthetic Sales Data'!$T$2:$T$1921,'Synthetic Sales Data'!$D$2:$D$1921,A24,'Synthetic Sales Data'!$C$2:$C$1921,Assumptions!$B$10)</x:f>
        <x:v>444</x:v>
      </x:c>
      <x:c r="F24" s="17" t="n">
        <x:f>SUMIFS('Synthetic Sales Data'!$U$2:$U$1921,'Synthetic Sales Data'!$D$2:$D$1921,A24,'Synthetic Sales Data'!$C$2:$C$1921,Assumptions!$B$10)</x:f>
        <x:v>72</x:v>
      </x:c>
      <x:c r="G24" s="20" t="n">
        <x:f>INDEX('SKU Master'!$E$2:$E$25,MATCH(A24,'SKU Master'!$A$2:$A$25,0))</x:f>
        <x:v>11.04</x:v>
      </x:c>
      <x:c r="H24" s="19" t="n">
        <x:f>D24*(1+Assumptions!$B$2)*(1+Assumptions!$B$3)*(1+Assumptions!$B$9*Assumptions!$B$4)</x:f>
        <x:v>47.75</x:v>
      </x:c>
      <x:c r="I24" s="19" t="n">
        <x:f>MAX(0,INDEX('SKU Master'!$F$2:$F$25,MATCH(A24,'SKU Master'!$A$2:$A$25,0))+Assumptions!$B$5)</x:f>
        <x:v>3</x:v>
      </x:c>
      <x:c r="J24" s="18" t="n">
        <x:f>IF(H24&gt;0,E24/H24,"N/A")</x:f>
        <x:v>9.298429319371728</x:v>
      </x:c>
      <x:c r="K24" s="17" t="n">
        <x:f>ROUNDUP(MAX(0,H24*(I24+Assumptions!$B$6+Assumptions!$B$7)-E24-F24)/W24,0)*W24</x:f>
        <x:v>0</x:v>
      </x:c>
      <x:c r="L24" s="16" t="n">
        <x:f>K24*G24</x:f>
        <x:v>0</x:v>
      </x:c>
      <x:c r="M24" s="20" t="n">
        <x:f>INDEX('SKU Master'!$D$2:$D$25,MATCH(A24,'SKU Master'!$A$2:$A$25,0))*(1-Assumptions!$B$4)</x:f>
        <x:v>24</x:v>
      </x:c>
      <x:c r="N24" s="7" t="n">
        <x:f>IFERROR((M24-G24)/M24,"N/A")</x:f>
        <x:v>0.54</x:v>
      </x:c>
      <x:c r="O24" s="19" t="n">
        <x:f>MIN(E24+F24*Assumptions!$B$11,H24*Assumptions!$B$8)</x:f>
        <x:v>191</x:v>
      </x:c>
      <x:c r="P24" s="16" t="n">
        <x:f>O24*M24</x:f>
        <x:v>4584</x:v>
      </x:c>
      <x:c r="Q24" s="16" t="n">
        <x:f>O24*(M24-G24)</x:f>
        <x:v>2475.36</x:v>
      </x:c>
      <x:c r="R24" s="21" t="n">
        <x:f>IFERROR(SUMIF('Synthetic Sales Data'!$D$2:$D$1921,A24,'Synthetic Sales Data'!$AB$2:$AB$1921)/SUMIFS('Synthetic Sales Data'!$K$2:$K$1921,'Synthetic Sales Data'!$D$2:$D$1921,A24),"N/A")</x:f>
        <x:v>0.10789210789210789</x:v>
      </x:c>
      <x:c r="S24" s="17" t="str">
        <x:f>IF(H24=0,"Review no demand",IF(J24&lt;I24,"Stockout",IF(J24&gt;Assumptions!$B$6+I24+Assumptions!$B$7+4,"Excess","Balanced")))</x:f>
        <x:v>Balanced</x:v>
      </x:c>
      <x:c r="T24" s="20" t="n">
        <x:f>IF(S24="Stockout",MAX(0,H24*I24-E24)*MAX(0,M24-G24),IF(S24="Excess",MAX(0,E24-H24*(Assumptions!$B$6+I24+Assumptions!$B$7))*G24,0))</x:f>
        <x:v>0</x:v>
      </x:c>
      <x:c r="U24" s="2" t="str">
        <x:f>IF(ISNUMBER(R24),IF(R24&lt;0.25,"Higher","Review forecast"),"Insufficient history")</x:f>
        <x:v>Higher</x:v>
      </x:c>
      <x:c r="V24" s="2" t="str">
        <x:f>IF(S24="Stockout","Before next receipt","Next planning review")</x:f>
        <x:v>Next planning review</x:v>
      </x:c>
      <x:c r="W24" s="2" t="n">
        <x:v>6</x:v>
      </x:c>
      <x:c r="X24" s="19" t="n">
        <x:f>H24*Assumptions!$B$8</x:f>
        <x:v>191</x:v>
      </x:c>
      <x:c r="Y24" s="18" t="n">
        <x:f>MIN(E24,X24)</x:f>
        <x:v>191</x:v>
      </x:c>
      <x:c r="Z24" s="18" t="n">
        <x:f>MIN(E24+F24,X24)</x:f>
        <x:v>191</x:v>
      </x:c>
      <x:c r="AA24" s="7" t="n">
        <x:f>IFERROR(Q24/P24,"N/A")</x:f>
        <x:v>0.54</x:v>
      </x:c>
    </x:row>
    <x:row r="25" ht="23" customHeight="1">
      <x:c r="A25" s="2" t="str">
        <x:v>DEMO-406</x:v>
      </x:c>
      <x:c r="B25" s="2" t="str">
        <x:v>Mini Zip Case</x:v>
      </x:c>
      <x:c r="C25" s="2" t="str">
        <x:v>Accessories</x:v>
      </x:c>
      <x:c r="D25" s="19" t="n">
        <x:f>SUMIFS('Synthetic Sales Data'!$K$2:$K$1921,'Synthetic Sales Data'!$D$2:$D$1921,A25,'Synthetic Sales Data'!$C$2:$C$1921,"&gt;="&amp;Assumptions!$B$10-3,'Synthetic Sales Data'!$C$2:$C$1921,"&lt;="&amp;Assumptions!$B$10)/4</x:f>
        <x:v>70</x:v>
      </x:c>
      <x:c r="E25" s="17" t="n">
        <x:f>SUMIFS('Synthetic Sales Data'!$T$2:$T$1921,'Synthetic Sales Data'!$D$2:$D$1921,A25,'Synthetic Sales Data'!$C$2:$C$1921,Assumptions!$B$10)</x:f>
        <x:v>415</x:v>
      </x:c>
      <x:c r="F25" s="17" t="n">
        <x:f>SUMIFS('Synthetic Sales Data'!$U$2:$U$1921,'Synthetic Sales Data'!$D$2:$D$1921,A25,'Synthetic Sales Data'!$C$2:$C$1921,Assumptions!$B$10)</x:f>
        <x:v>72</x:v>
      </x:c>
      <x:c r="G25" s="20" t="n">
        <x:f>INDEX('SKU Master'!$E$2:$E$25,MATCH(A25,'SKU Master'!$A$2:$A$25,0))</x:f>
        <x:v>12.61</x:v>
      </x:c>
      <x:c r="H25" s="19" t="n">
        <x:f>D25*(1+Assumptions!$B$2)*(1+Assumptions!$B$3)*(1+Assumptions!$B$9*Assumptions!$B$4)</x:f>
        <x:v>70</x:v>
      </x:c>
      <x:c r="I25" s="19" t="n">
        <x:f>MAX(0,INDEX('SKU Master'!$F$2:$F$25,MATCH(A25,'SKU Master'!$A$2:$A$25,0))+Assumptions!$B$5)</x:f>
        <x:v>4</x:v>
      </x:c>
      <x:c r="J25" s="18" t="n">
        <x:f>IF(H25&gt;0,E25/H25,"N/A")</x:f>
        <x:v>5.928571428571429</x:v>
      </x:c>
      <x:c r="K25" s="17" t="n">
        <x:f>ROUNDUP(MAX(0,H25*(I25+Assumptions!$B$6+Assumptions!$B$7)-E25-F25)/W25,0)*W25</x:f>
        <x:v>144</x:v>
      </x:c>
      <x:c r="L25" s="16" t="n">
        <x:f>K25*G25</x:f>
        <x:v>1815.84</x:v>
      </x:c>
      <x:c r="M25" s="20" t="n">
        <x:f>INDEX('SKU Master'!$D$2:$D$25,MATCH(A25,'SKU Master'!$A$2:$A$25,0))*(1-Assumptions!$B$4)</x:f>
        <x:v>26</x:v>
      </x:c>
      <x:c r="N25" s="7" t="n">
        <x:f>IFERROR((M25-G25)/M25,"N/A")</x:f>
        <x:v>0.515</x:v>
      </x:c>
      <x:c r="O25" s="19" t="n">
        <x:f>MIN(E25+F25*Assumptions!$B$11,H25*Assumptions!$B$8)</x:f>
        <x:v>280</x:v>
      </x:c>
      <x:c r="P25" s="16" t="n">
        <x:f>O25*M25</x:f>
        <x:v>7280</x:v>
      </x:c>
      <x:c r="Q25" s="16" t="n">
        <x:f>O25*(M25-G25)</x:f>
        <x:v>3749.2000000000003</x:v>
      </x:c>
      <x:c r="R25" s="21" t="n">
        <x:f>IFERROR(SUMIF('Synthetic Sales Data'!$D$2:$D$1921,A25,'Synthetic Sales Data'!$AB$2:$AB$1921)/SUMIFS('Synthetic Sales Data'!$K$2:$K$1921,'Synthetic Sales Data'!$D$2:$D$1921,A25),"N/A")</x:f>
        <x:v>0.11879699248120301</x:v>
      </x:c>
      <x:c r="S25" s="17" t="str">
        <x:f>IF(H25=0,"Review no demand",IF(J25&lt;I25,"Stockout",IF(J25&gt;Assumptions!$B$6+I25+Assumptions!$B$7+4,"Excess","Balanced")))</x:f>
        <x:v>Balanced</x:v>
      </x:c>
      <x:c r="T25" s="20" t="n">
        <x:f>IF(S25="Stockout",MAX(0,H25*I25-E25)*MAX(0,M25-G25),IF(S25="Excess",MAX(0,E25-H25*(Assumptions!$B$6+I25+Assumptions!$B$7))*G25,0))</x:f>
        <x:v>0</x:v>
      </x:c>
      <x:c r="U25" s="2" t="str">
        <x:f>IF(ISNUMBER(R25),IF(R25&lt;0.25,"Higher","Review forecast"),"Insufficient history")</x:f>
        <x:v>Higher</x:v>
      </x:c>
      <x:c r="V25" s="2" t="str">
        <x:f>IF(S25="Stockout","Before next receipt","Next planning review")</x:f>
        <x:v>Next planning review</x:v>
      </x:c>
      <x:c r="W25" s="2" t="n">
        <x:v>6</x:v>
      </x:c>
      <x:c r="X25" s="19" t="n">
        <x:f>H25*Assumptions!$B$8</x:f>
        <x:v>280</x:v>
      </x:c>
      <x:c r="Y25" s="18" t="n">
        <x:f>MIN(E25,X25)</x:f>
        <x:v>280</x:v>
      </x:c>
      <x:c r="Z25" s="18" t="n">
        <x:f>MIN(E25+F25,X25)</x:f>
        <x:v>280</x:v>
      </x:c>
      <x:c r="AA25" s="7" t="n">
        <x:f>IFERROR(Q25/P25,"N/A")</x:f>
        <x:v>0.515</x:v>
      </x:c>
    </x:row>
  </x:sheetData>
  <x:conditionalFormatting sqref="J2:J25">
    <x:cfRule type="colorScale" priority="1">
      <x:colorScale>
        <x:cfvo type="min"/>
        <x:cfvo type="percentile" val="50"/>
        <x:cfvo type="max"/>
        <x:color rgb="FFF8DDD0"/>
        <x:color rgb="FFFFF4CB"/>
        <x:color rgb="FFDFEDD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e5550504e3a4a1e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4" hidden="0" customWidth="1"/>
    <x:col min="3" max="3" width="23" hidden="0" customWidth="1"/>
    <x:col min="4" max="4" width="23" hidden="0" customWidth="1"/>
    <x:col min="5" max="5" width="23" hidden="0" customWidth="1"/>
    <x:col min="6" max="6" width="27" hidden="0" customWidth="1"/>
    <x:col min="7" max="7" width="24" hidden="0" customWidth="1"/>
    <x:col min="8" max="8" width="23" hidden="0" customWidth="1"/>
    <x:col min="9" max="9" width="27" hidden="0" customWidth="1"/>
    <x:col min="10" max="10" width="20" hidden="0" customWidth="1"/>
    <x:col min="11" max="11" width="24" hidden="0" customWidth="1"/>
    <x:col min="12" max="12" width="24" hidden="0" customWidth="1"/>
    <x:col min="13" max="13" width="24" hidden="0" customWidth="1"/>
  </x:cols>
  <x:sheetData>
    <x:row r="1" ht="32" customHeight="1">
      <x:c r="A1" s="5" t="str">
        <x:v>Category</x:v>
      </x:c>
      <x:c r="B1" s="5" t="str">
        <x:v>Sales plan retail</x:v>
      </x:c>
      <x:c r="C1" s="5" t="str">
        <x:v>Opening at cost</x:v>
      </x:c>
      <x:c r="D1" s="5" t="str">
        <x:v>Planned COGS</x:v>
      </x:c>
      <x:c r="E1" s="5" t="str">
        <x:v>Target close cost</x:v>
      </x:c>
      <x:c r="F1" s="5" t="str">
        <x:v>Planned receipts cost</x:v>
      </x:c>
      <x:c r="G1" s="5" t="str">
        <x:v>Committed cost</x:v>
      </x:c>
      <x:c r="H1" s="5" t="str">
        <x:v>OTB cost</x:v>
      </x:c>
      <x:c r="I1" s="5" t="str">
        <x:v>Projected close cost</x:v>
      </x:c>
      <x:c r="J1" s="5" t="str">
        <x:v>Bridge check</x:v>
      </x:c>
      <x:c r="K1" s="5" t="str">
        <x:v>Historical sales</x:v>
      </x:c>
      <x:c r="L1" s="5" t="str">
        <x:v>Historical GP</x:v>
      </x:c>
      <x:c r="M1" s="5" t="str">
        <x:v>Historical margin</x:v>
      </x:c>
    </x:row>
    <x:row r="2" ht="23" customHeight="1">
      <x:c r="A2" s="2" t="str">
        <x:v>Stationery</x:v>
      </x:c>
      <x:c r="B2" s="20" t="n">
        <x:f>SUMPRODUCT(('Inventory Planning'!$C$2:$C$25=A2)*'Inventory Planning'!$H$2:$H$25*'Inventory Planning'!$M$2:$M$25)*Assumptions!$B$8</x:f>
        <x:v>22788</x:v>
      </x:c>
      <x:c r="C2" s="20" t="n">
        <x:f>SUMPRODUCT(('Inventory Planning'!$C$2:$C$25=A2)*'Inventory Planning'!$E$2:$E$25*'Inventory Planning'!$G$2:$G$25)</x:f>
        <x:v>17294.1</x:v>
      </x:c>
      <x:c r="D2" s="20" t="n">
        <x:f>SUMPRODUCT(('Inventory Planning'!$C$2:$C$25=A2)*'Inventory Planning'!$H$2:$H$25*'Inventory Planning'!$G$2:$G$25)*Assumptions!$B$8</x:f>
        <x:v>9867.88</x:v>
      </x:c>
      <x:c r="E2" s="20" t="n">
        <x:f>SUMPRODUCT(('Inventory Planning'!$C$2:$C$25=A2)*'Inventory Planning'!$H$2:$H$25*'Inventory Planning'!$G$2:$G$25)*4</x:f>
        <x:v>9867.88</x:v>
      </x:c>
      <x:c r="F2" s="16" t="n">
        <x:f>MAX(0,D2+E2-C2)</x:f>
        <x:v>2441.66</x:v>
      </x:c>
      <x:c r="G2" s="20" t="n">
        <x:f>SUMPRODUCT(('Inventory Planning'!$C$2:$C$25=A2)*'Inventory Planning'!$F$2:$F$25*'Inventory Planning'!$G$2:$G$25)</x:f>
        <x:v>2958.4799999999996</x:v>
      </x:c>
      <x:c r="H2" s="16" t="n">
        <x:f>F2-G2</x:f>
        <x:v>-516.8199999999997</x:v>
      </x:c>
      <x:c r="I2" s="16" t="n">
        <x:f>C2+F2-D2</x:f>
        <x:v>9867.88</x:v>
      </x:c>
      <x:c r="J2" s="16" t="n">
        <x:f>C2+F2-D2-I2</x:f>
        <x:v>0</x:v>
      </x:c>
      <x:c r="K2" s="20" t="n">
        <x:f>SUMIF('Synthetic Sales Data'!$F$2:$F$1921,A2,'Synthetic Sales Data'!$O$2:$O$1921)</x:f>
        <x:v>129010</x:v>
      </x:c>
      <x:c r="L2" s="20" t="n">
        <x:f>SUMIF('Synthetic Sales Data'!$F$2:$F$1921,A2,'Synthetic Sales Data'!$Q$2:$Q$1921)</x:f>
        <x:v>74244.15</x:v>
      </x:c>
      <x:c r="M2" s="7" t="n">
        <x:f>IFERROR(L2/K2,"N/A")</x:f>
        <x:v>0.5754914347724982</x:v>
      </x:c>
    </x:row>
    <x:row r="3" ht="23" customHeight="1">
      <x:c r="A3" s="2" t="str">
        <x:v>Gifting</x:v>
      </x:c>
      <x:c r="B3" s="20" t="n">
        <x:f>SUMPRODUCT(('Inventory Planning'!$C$2:$C$25=A3)*'Inventory Planning'!$H$2:$H$25*'Inventory Planning'!$M$2:$M$25)*Assumptions!$B$8</x:f>
        <x:v>31940</x:v>
      </x:c>
      <x:c r="C3" s="20" t="n">
        <x:f>SUMPRODUCT(('Inventory Planning'!$C$2:$C$25=A3)*'Inventory Planning'!$E$2:$E$25*'Inventory Planning'!$G$2:$G$25)</x:f>
        <x:v>13836.86</x:v>
      </x:c>
      <x:c r="D3" s="20" t="n">
        <x:f>SUMPRODUCT(('Inventory Planning'!$C$2:$C$25=A3)*'Inventory Planning'!$H$2:$H$25*'Inventory Planning'!$G$2:$G$25)*Assumptions!$B$8</x:f>
        <x:v>13672.7</x:v>
      </x:c>
      <x:c r="E3" s="20" t="n">
        <x:f>SUMPRODUCT(('Inventory Planning'!$C$2:$C$25=A3)*'Inventory Planning'!$H$2:$H$25*'Inventory Planning'!$G$2:$G$25)*4</x:f>
        <x:v>13672.7</x:v>
      </x:c>
      <x:c r="F3" s="16" t="n">
        <x:f>MAX(0,D3+E3-C3)</x:f>
        <x:v>13508.54</x:v>
      </x:c>
      <x:c r="G3" s="20" t="n">
        <x:f>SUMPRODUCT(('Inventory Planning'!$C$2:$C$25=A3)*'Inventory Planning'!$F$2:$F$25*'Inventory Planning'!$G$2:$G$25)</x:f>
        <x:v>4260.96</x:v>
      </x:c>
      <x:c r="H3" s="16" t="n">
        <x:f>F3-G3</x:f>
        <x:v>9247.580000000002</x:v>
      </x:c>
      <x:c r="I3" s="16" t="n">
        <x:f>C3+F3-D3</x:f>
        <x:v>13672.7</x:v>
      </x:c>
      <x:c r="J3" s="16" t="n">
        <x:f>C3+F3-D3-I3</x:f>
        <x:v>0</x:v>
      </x:c>
      <x:c r="K3" s="20" t="n">
        <x:f>SUMIF('Synthetic Sales Data'!$F$2:$F$1921,A3,'Synthetic Sales Data'!$O$2:$O$1921)</x:f>
        <x:v>182306.20000000004</x:v>
      </x:c>
      <x:c r="L3" s="20" t="n">
        <x:f>SUMIF('Synthetic Sales Data'!$F$2:$F$1921,A3,'Synthetic Sales Data'!$Q$2:$Q$1921)</x:f>
        <x:v>101994.8600000001</x:v>
      </x:c>
      <x:c r="M3" s="7" t="n">
        <x:f>IFERROR(L3/K3,"N/A")</x:f>
        <x:v>0.5594700564215593</x:v>
      </x:c>
    </x:row>
    <x:row r="4" ht="23" customHeight="1">
      <x:c r="A4" s="2" t="str">
        <x:v>Lifestyle</x:v>
      </x:c>
      <x:c r="B4" s="20" t="n">
        <x:f>SUMPRODUCT(('Inventory Planning'!$C$2:$C$25=A4)*'Inventory Planning'!$H$2:$H$25*'Inventory Planning'!$M$2:$M$25)*Assumptions!$B$8</x:f>
        <x:v>24930</x:v>
      </x:c>
      <x:c r="C4" s="20" t="n">
        <x:f>SUMPRODUCT(('Inventory Planning'!$C$2:$C$25=A4)*'Inventory Planning'!$E$2:$E$25*'Inventory Planning'!$G$2:$G$25)</x:f>
        <x:v>74645.35</x:v>
      </x:c>
      <x:c r="D4" s="20" t="n">
        <x:f>SUMPRODUCT(('Inventory Planning'!$C$2:$C$25=A4)*'Inventory Planning'!$H$2:$H$25*'Inventory Planning'!$G$2:$G$25)*Assumptions!$B$8</x:f>
        <x:v>10654.85</x:v>
      </x:c>
      <x:c r="E4" s="20" t="n">
        <x:f>SUMPRODUCT(('Inventory Planning'!$C$2:$C$25=A4)*'Inventory Planning'!$H$2:$H$25*'Inventory Planning'!$G$2:$G$25)*4</x:f>
        <x:v>10654.85</x:v>
      </x:c>
      <x:c r="F4" s="16" t="n">
        <x:f>MAX(0,D4+E4-C4)</x:f>
        <x:v>0</x:v>
      </x:c>
      <x:c r="G4" s="20" t="n">
        <x:f>SUMPRODUCT(('Inventory Planning'!$C$2:$C$25=A4)*'Inventory Planning'!$F$2:$F$25*'Inventory Planning'!$G$2:$G$25)</x:f>
        <x:v>7141.4400000000005</x:v>
      </x:c>
      <x:c r="H4" s="16" t="n">
        <x:f>F4-G4</x:f>
        <x:v>-7141.4400000000005</x:v>
      </x:c>
      <x:c r="I4" s="16" t="n">
        <x:f>C4+F4-D4</x:f>
        <x:v>63990.50000000001</x:v>
      </x:c>
      <x:c r="J4" s="16" t="n">
        <x:f>C4+F4-D4-I4</x:f>
        <x:v>0</x:v>
      </x:c>
      <x:c r="K4" s="20" t="n">
        <x:f>SUMIF('Synthetic Sales Data'!$F$2:$F$1921,A4,'Synthetic Sales Data'!$O$2:$O$1921)</x:f>
        <x:v>144183.99999999997</x:v>
      </x:c>
      <x:c r="L4" s="20" t="n">
        <x:f>SUMIF('Synthetic Sales Data'!$F$2:$F$1921,A4,'Synthetic Sales Data'!$Q$2:$Q$1921)</x:f>
        <x:v>80463.95000000001</x:v>
      </x:c>
      <x:c r="M4" s="7" t="n">
        <x:f>IFERROR(L4/K4,"N/A")</x:f>
        <x:v>0.5580643483326863</x:v>
      </x:c>
    </x:row>
    <x:row r="5" ht="23" customHeight="1">
      <x:c r="A5" s="2" t="str">
        <x:v>Accessories</x:v>
      </x:c>
      <x:c r="B5" s="20" t="n">
        <x:f>SUMPRODUCT(('Inventory Planning'!$C$2:$C$25=A5)*'Inventory Planning'!$H$2:$H$25*'Inventory Planning'!$M$2:$M$25)*Assumptions!$B$8</x:f>
        <x:v>29456</x:v>
      </x:c>
      <x:c r="C5" s="20" t="n">
        <x:f>SUMPRODUCT(('Inventory Planning'!$C$2:$C$25=A5)*'Inventory Planning'!$E$2:$E$25*'Inventory Planning'!$G$2:$G$25)</x:f>
        <x:v>23222.119999999995</x:v>
      </x:c>
      <x:c r="D5" s="20" t="n">
        <x:f>SUMPRODUCT(('Inventory Planning'!$C$2:$C$25=A5)*'Inventory Planning'!$H$2:$H$25*'Inventory Planning'!$G$2:$G$25)*Assumptions!$B$8</x:f>
        <x:v>12651.359999999999</x:v>
      </x:c>
      <x:c r="E5" s="20" t="n">
        <x:f>SUMPRODUCT(('Inventory Planning'!$C$2:$C$25=A5)*'Inventory Planning'!$H$2:$H$25*'Inventory Planning'!$G$2:$G$25)*4</x:f>
        <x:v>12651.359999999999</x:v>
      </x:c>
      <x:c r="F5" s="16" t="n">
        <x:f>MAX(0,D5+E5-C5)</x:f>
        <x:v>2080.600000000002</x:v>
      </x:c>
      <x:c r="G5" s="20" t="n">
        <x:f>SUMPRODUCT(('Inventory Planning'!$C$2:$C$25=A5)*'Inventory Planning'!$F$2:$F$25*'Inventory Planning'!$G$2:$G$25)</x:f>
        <x:v>3895.92</x:v>
      </x:c>
      <x:c r="H5" s="16" t="n">
        <x:f>F5-G5</x:f>
        <x:v>-1815.319999999998</x:v>
      </x:c>
      <x:c r="I5" s="16" t="n">
        <x:f>C5+F5-D5</x:f>
        <x:v>12651.359999999999</x:v>
      </x:c>
      <x:c r="J5" s="16" t="n">
        <x:f>C5+F5-D5-I5</x:f>
        <x:v>0</x:v>
      </x:c>
      <x:c r="K5" s="20" t="n">
        <x:f>SUMIF('Synthetic Sales Data'!$F$2:$F$1921,A5,'Synthetic Sales Data'!$O$2:$O$1921)</x:f>
        <x:v>146438</x:v>
      </x:c>
      <x:c r="L5" s="20" t="n">
        <x:f>SUMIF('Synthetic Sales Data'!$F$2:$F$1921,A5,'Synthetic Sales Data'!$Q$2:$Q$1921)</x:f>
        <x:v>83587.47000000025</x:v>
      </x:c>
      <x:c r="M5" s="7" t="n">
        <x:f>IFERROR(L5/K5,"N/A")</x:f>
        <x:v>0.5708045042953349</x:v>
      </x:c>
    </x:row>
    <x:row r="6" ht="23" customHeight="1">
      <x:c r="A6" s="2" t="str">
        <x:v>Total</x:v>
      </x:c>
      <x:c r="B6" s="16" t="n">
        <x:f>SUM(B2:B5)</x:f>
        <x:v>109114</x:v>
      </x:c>
      <x:c r="C6" s="16" t="n">
        <x:f>SUM(C2:C5)</x:f>
        <x:v>128998.43</x:v>
      </x:c>
      <x:c r="D6" s="16" t="n">
        <x:f>SUM(D2:D5)</x:f>
        <x:v>46846.79</x:v>
      </x:c>
      <x:c r="E6" s="16" t="n">
        <x:f>SUM(E2:E5)</x:f>
        <x:v>46846.79</x:v>
      </x:c>
      <x:c r="F6" s="16" t="n">
        <x:f>SUM(F2:F5)</x:f>
        <x:v>18030.800000000003</x:v>
      </x:c>
      <x:c r="G6" s="16" t="n">
        <x:f>SUM(G2:G5)</x:f>
        <x:v>18256.800000000003</x:v>
      </x:c>
      <x:c r="H6" s="16" t="n">
        <x:f>SUM(H2:H5)</x:f>
        <x:v>-225.99999999999636</x:v>
      </x:c>
      <x:c r="I6" s="16" t="n">
        <x:f>SUM(I2:I5)</x:f>
        <x:v>100182.44000000002</x:v>
      </x:c>
      <x:c r="J6" s="16" t="n">
        <x:f>SUM(J2:J5)</x:f>
        <x:v>0</x:v>
      </x:c>
      <x:c r="K6" s="16" t="n">
        <x:f>SUM(K2:K5)</x:f>
        <x:v>601938.2000000001</x:v>
      </x:c>
      <x:c r="L6" s="16" t="n">
        <x:f>SUM(L2:L5)</x:f>
        <x:v>340290.43000000034</x:v>
      </x:c>
      <x:c r="M6" s="7" t="n">
        <x:f>IFERROR(L6/K6,"N/A")</x:f>
        <x:v>0.5653245299932789</x:v>
      </x:c>
    </x:row>
  </x:sheetData>
  <x:pageMargins left="0.7" right="0.7" top="0.75" bottom="0.75" header="0.3" footer="0.3"/>
  <x:tableParts count="1">
    <x:tablePart xmlns:r="http://schemas.openxmlformats.org/officeDocument/2006/relationships" r:id="R925494d9febd4ba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40" hidden="0" customWidth="1"/>
    <x:col min="3" max="3" width="65" hidden="0" customWidth="1"/>
  </x:cols>
  <x:sheetData>
    <x:row r="1" ht="32" customHeight="1">
      <x:c r="A1" s="5" t="str">
        <x:v>Check</x:v>
      </x:c>
      <x:c r="B1" s="5" t="str">
        <x:v>Result</x:v>
      </x:c>
      <x:c r="C1" s="5" t="str">
        <x:v>Expected / interpretation</x:v>
      </x:c>
    </x:row>
    <x:row r="2" ht="23" customHeight="1">
      <x:c r="A2" s="2" t="str">
        <x:v>Stock equation absolute error</x:v>
      </x:c>
      <x:c r="B2" s="2" t="n">
        <x:f>SUM('Synthetic Sales Data'!Z2:Z1921)</x:f>
        <x:v>0</x:v>
      </x:c>
      <x:c r="C2" s="2" t="str">
        <x:v>0; all 1,920 facts</x:v>
      </x:c>
    </x:row>
    <x:row r="3" ht="23" customHeight="1">
      <x:c r="A3" s="2" t="str">
        <x:v>Duplicate transaction IDs</x:v>
      </x:c>
      <x:c r="B3" s="2" t="n">
        <x:f>SUM('Synthetic Sales Data'!AC2:AC1921)</x:f>
        <x:v>0</x:v>
      </x:c>
      <x:c r="C3" s="2" t="str">
        <x:v>0; ID = SKU/location/week</x:v>
      </x:c>
    </x:row>
    <x:row r="4" ht="23" customHeight="1">
      <x:c r="A4" s="2" t="str">
        <x:v>Historical net sales tie</x:v>
      </x:c>
      <x:c r="B4" s="2" t="n">
        <x:f>ROUND(SUM('Category Performance'!K2:K5)-SUM('Synthetic Sales Data'!O2:O1921),2)</x:f>
        <x:v>0</x:v>
      </x:c>
      <x:c r="C4" s="2" t="str">
        <x:v>0; category totals vs facts</x:v>
      </x:c>
    </x:row>
    <x:row r="5" ht="23" customHeight="1">
      <x:c r="A5" s="2" t="str">
        <x:v>Historical gross profit tie</x:v>
      </x:c>
      <x:c r="B5" s="2" t="n">
        <x:f>ROUND(SUM('Category Performance'!L2:L5)-SUM('Synthetic Sales Data'!Q2:Q1921),2)</x:f>
        <x:v>0</x:v>
      </x:c>
      <x:c r="C5" s="2" t="str">
        <x:v>0; category totals vs facts</x:v>
      </x:c>
    </x:row>
    <x:row r="6" ht="23" customHeight="1">
      <x:c r="A6" s="2" t="str">
        <x:v>Cost inventory bridge</x:v>
      </x:c>
      <x:c r="B6" s="2" t="n">
        <x:f>SUM('Category Performance'!J2:J5)</x:f>
        <x:v>0</x:v>
      </x:c>
      <x:c r="C6" s="2" t="str">
        <x:v>0; projected closing retains excess</x:v>
      </x:c>
    </x:row>
    <x:row r="7" ht="23" customHeight="1">
      <x:c r="A7" s="2" t="str">
        <x:v>Dataset count</x:v>
      </x:c>
      <x:c r="B7" s="2" t="n">
        <x:f>COUNTA('Synthetic Sales Data'!A2:A1921)</x:f>
        <x:v>1920</x:v>
      </x:c>
      <x:c r="C7" s="2" t="n">
        <x:v>1920</x:v>
      </x:c>
    </x:row>
    <x:row r="8" ht="23" customHeight="1">
      <x:c r="A8" s="2" t="str">
        <x:v>Stock continuity absolute error</x:v>
      </x:c>
      <x:c r="B8" s="2" t="n">
        <x:f>SUM('Synthetic Sales Data'!AD2:AD1921)</x:f>
        <x:v>0</x:v>
      </x:c>
      <x:c r="C8" s="2" t="str">
        <x:v>0; adjacent weekly SKU/location closing agrees with next opening</x:v>
      </x:c>
    </x:row>
    <x:row r="9" ht="23" customHeight="1">
      <x:c r="A9" s="2" t="str">
        <x:v>Synthetic-only provenance</x:v>
      </x:c>
      <x:c r="B9" s="2" t="str">
        <x:v>Fixed seed 24102026</x:v>
      </x:c>
      <x:c r="C9" s="2" t="str">
        <x:v>No external files or employer sources.</x:v>
      </x:c>
    </x:row>
    <x:row r="10" ht="23" customHeight="1">
      <x:c r="A10" s="2" t="str">
        <x:v>Review rule</x:v>
      </x:c>
      <x:c r="B10" s="2" t="str">
        <x:v>Investigate any nonzero check</x:v>
      </x:c>
      <x:c r="C10" s="2" t="str">
        <x:v>Checks never drive business calculations.</x:v>
      </x:c>
    </x:row>
  </x:sheetData>
  <x:conditionalFormatting sqref="B2:B6">
    <x:cfRule type="cellIs" dxfId="0" priority="1" operator="notEqual">
      <x:formula>0</x:formula>
    </x:cfRule>
  </x:conditionalFormatting>
  <x:conditionalFormatting sqref="B8:B8">
    <x:cfRule type="cellIs" dxfId="1" priority="2" operator="not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dba17c8990d4cfc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4" hidden="0" customWidth="1"/>
    <x:col min="4" max="4" width="24" hidden="0" customWidth="1"/>
    <x:col min="5" max="5" width="54" hidden="0" customWidth="1"/>
    <x:col min="6" max="6" width="20" hidden="0" customWidth="1"/>
    <x:col min="7" max="7" width="22" hidden="0" customWidth="1"/>
    <x:col min="8" max="8" width="25" hidden="0" customWidth="1"/>
    <x:col min="9" max="9" width="28" hidden="0" customWidth="1"/>
    <x:col min="10" max="10" width="24" hidden="0" customWidth="1"/>
  </x:cols>
  <x:sheetData>
    <x:row r="1" ht="32" customHeight="1">
      <x:c r="A1" s="5" t="str">
        <x:v>Product</x:v>
      </x:c>
      <x:c r="B1" s="5" t="str">
        <x:v>Risk</x:v>
      </x:c>
      <x:c r="C1" s="5" t="str">
        <x:v>Exposure AUD</x:v>
      </x:c>
      <x:c r="D1" s="5" t="str">
        <x:v>Rank by exposure</x:v>
      </x:c>
      <x:c r="E1" s="5" t="str">
        <x:v>Recommended review</x:v>
      </x:c>
      <x:c r="F1" s="5" t="str">
        <x:v>Order units</x:v>
      </x:c>
      <x:c r="G1" s="5" t="str">
        <x:v>Order cost</x:v>
      </x:c>
      <x:c r="H1" s="5" t="str">
        <x:v>Confidence</x:v>
      </x:c>
      <x:c r="I1" s="5" t="str">
        <x:v>Urgency</x:v>
      </x:c>
      <x:c r="J1" s="5" t="str">
        <x:v>Unit gross margin</x:v>
      </x:c>
    </x:row>
    <x:row r="2" ht="23" customHeight="1">
      <x:c r="A2" s="17" t="str">
        <x:f>'Inventory Planning'!B2</x:f>
        <x:v>Orbit Notebook</x:v>
      </x:c>
      <x:c r="B2" s="17" t="str">
        <x:f>'Inventory Planning'!S2</x:f>
        <x:v>Stockout</x:v>
      </x:c>
      <x:c r="C2" s="20" t="n">
        <x:f>'Inventory Planning'!T2</x:f>
        <x:v>1075.2</x:v>
      </x:c>
      <x:c r="D2" s="2" t="n">
        <x:f>1+COUNTIF($C$2:$C$25,"&gt;"&amp;C2)</x:f>
        <x:v>10</x:v>
      </x:c>
      <x:c r="E2" s="2" t="str">
        <x:f>IF(B2="Stockout","Validate receipts; protect availability",IF(B2="Excess","Pause receipts; assess targeted markdown","Monitor forecast and stock"))</x:f>
        <x:v>Validate receipts; protect availability</x:v>
      </x:c>
      <x:c r="F2" s="17" t="n">
        <x:f>'Inventory Planning'!K2</x:f>
        <x:v>294</x:v>
      </x:c>
      <x:c r="G2" s="20" t="n">
        <x:f>'Inventory Planning'!L2</x:f>
        <x:v>1270.0800000000002</x:v>
      </x:c>
      <x:c r="H2" s="17" t="str">
        <x:f>'Inventory Planning'!U2</x:f>
        <x:v>Review forecast</x:v>
      </x:c>
      <x:c r="I2" s="17" t="str">
        <x:f>'Inventory Planning'!V2</x:f>
        <x:v>Before next receipt</x:v>
      </x:c>
      <x:c r="J2" s="21" t="n">
        <x:f>'Inventory Planning'!N2</x:f>
        <x:v>0.64</x:v>
      </x:c>
    </x:row>
    <x:row r="3" ht="23" customHeight="1">
      <x:c r="A3" s="17" t="str">
        <x:f>'Inventory Planning'!B3</x:f>
        <x:v>Grid Journal</x:v>
      </x:c>
      <x:c r="B3" s="17" t="str">
        <x:f>'Inventory Planning'!S3</x:f>
        <x:v>Balanced</x:v>
      </x:c>
      <x:c r="C3" s="20" t="n">
        <x:f>'Inventory Planning'!T3</x:f>
        <x:v>0</x:v>
      </x:c>
      <x:c r="D3" s="2" t="n">
        <x:f>1+COUNTIF($C$2:$C$25,"&gt;"&amp;C3)</x:f>
        <x:v>12</x:v>
      </x:c>
      <x:c r="E3" s="2" t="str">
        <x:f>IF(B3="Stockout","Validate receipts; protect availability",IF(B3="Excess","Pause receipts; assess targeted markdown","Monitor forecast and stock"))</x:f>
        <x:v>Monitor forecast and stock</x:v>
      </x:c>
      <x:c r="F3" s="17" t="n">
        <x:f>'Inventory Planning'!K3</x:f>
        <x:v>0</x:v>
      </x:c>
      <x:c r="G3" s="20" t="n">
        <x:f>'Inventory Planning'!L3</x:f>
        <x:v>0</x:v>
      </x:c>
      <x:c r="H3" s="17" t="str">
        <x:f>'Inventory Planning'!U3</x:f>
        <x:v>Higher</x:v>
      </x:c>
      <x:c r="I3" s="17" t="str">
        <x:f>'Inventory Planning'!V3</x:f>
        <x:v>Next planning review</x:v>
      </x:c>
      <x:c r="J3" s="21" t="n">
        <x:f>'Inventory Planning'!N3</x:f>
        <x:v>0.615</x:v>
      </x:c>
    </x:row>
    <x:row r="4" ht="23" customHeight="1">
      <x:c r="A4" s="17" t="str">
        <x:f>'Inventory Planning'!B4</x:f>
        <x:v>Cloud Pen Set</x:v>
      </x:c>
      <x:c r="B4" s="17" t="str">
        <x:f>'Inventory Planning'!S4</x:f>
        <x:v>Balanced</x:v>
      </x:c>
      <x:c r="C4" s="20" t="n">
        <x:f>'Inventory Planning'!T4</x:f>
        <x:v>0</x:v>
      </x:c>
      <x:c r="D4" s="2" t="n">
        <x:f>1+COUNTIF($C$2:$C$25,"&gt;"&amp;C4)</x:f>
        <x:v>12</x:v>
      </x:c>
      <x:c r="E4" s="2" t="str">
        <x:f>IF(B4="Stockout","Validate receipts; protect availability",IF(B4="Excess","Pause receipts; assess targeted markdown","Monitor forecast and stock"))</x:f>
        <x:v>Monitor forecast and stock</x:v>
      </x:c>
      <x:c r="F4" s="17" t="n">
        <x:f>'Inventory Planning'!K4</x:f>
        <x:v>198</x:v>
      </x:c>
      <x:c r="G4" s="20" t="n">
        <x:f>'Inventory Planning'!L4</x:f>
        <x:v>1298.8799999999999</x:v>
      </x:c>
      <x:c r="H4" s="17" t="str">
        <x:f>'Inventory Planning'!U4</x:f>
        <x:v>Higher</x:v>
      </x:c>
      <x:c r="I4" s="17" t="str">
        <x:f>'Inventory Planning'!V4</x:f>
        <x:v>Next planning review</x:v>
      </x:c>
      <x:c r="J4" s="21" t="n">
        <x:f>'Inventory Planning'!N4</x:f>
        <x:v>0.5900000000000001</x:v>
      </x:c>
    </x:row>
    <x:row r="5" ht="23" customHeight="1">
      <x:c r="A5" s="17" t="str">
        <x:f>'Inventory Planning'!B5</x:f>
        <x:v>Studio Planner</x:v>
      </x:c>
      <x:c r="B5" s="17" t="str">
        <x:f>'Inventory Planning'!S5</x:f>
        <x:v>Excess</x:v>
      </x:c>
      <x:c r="C5" s="20" t="n">
        <x:f>'Inventory Planning'!T5</x:f>
        <x:v>1182.33</x:v>
      </x:c>
      <x:c r="D5" s="2" t="n">
        <x:f>1+COUNTIF($C$2:$C$25,"&gt;"&amp;C5)</x:f>
        <x:v>9</x:v>
      </x:c>
      <x:c r="E5" s="2" t="str">
        <x:f>IF(B5="Stockout","Validate receipts; protect availability",IF(B5="Excess","Pause receipts; assess targeted markdown","Monitor forecast and stock"))</x:f>
        <x:v>Pause receipts; assess targeted markdown</x:v>
      </x:c>
      <x:c r="F5" s="17" t="n">
        <x:f>'Inventory Planning'!K5</x:f>
        <x:v>0</x:v>
      </x:c>
      <x:c r="G5" s="20" t="n">
        <x:f>'Inventory Planning'!L5</x:f>
        <x:v>0</x:v>
      </x:c>
      <x:c r="H5" s="17" t="str">
        <x:f>'Inventory Planning'!U5</x:f>
        <x:v>Higher</x:v>
      </x:c>
      <x:c r="I5" s="17" t="str">
        <x:f>'Inventory Planning'!V5</x:f>
        <x:v>Next planning review</x:v>
      </x:c>
      <x:c r="J5" s="21" t="n">
        <x:f>'Inventory Planning'!N5</x:f>
        <x:v>0.565</x:v>
      </x:c>
    </x:row>
    <x:row r="6" ht="23" customHeight="1">
      <x:c r="A6" s="17" t="str">
        <x:f>'Inventory Planning'!B6</x:f>
        <x:v>Paper Trail Pad</x:v>
      </x:c>
      <x:c r="B6" s="17" t="str">
        <x:f>'Inventory Planning'!S6</x:f>
        <x:v>Balanced</x:v>
      </x:c>
      <x:c r="C6" s="20" t="n">
        <x:f>'Inventory Planning'!T6</x:f>
        <x:v>0</x:v>
      </x:c>
      <x:c r="D6" s="2" t="n">
        <x:f>1+COUNTIF($C$2:$C$25,"&gt;"&amp;C6)</x:f>
        <x:v>12</x:v>
      </x:c>
      <x:c r="E6" s="2" t="str">
        <x:f>IF(B6="Stockout","Validate receipts; protect availability",IF(B6="Excess","Pause receipts; assess targeted markdown","Monitor forecast and stock"))</x:f>
        <x:v>Monitor forecast and stock</x:v>
      </x:c>
      <x:c r="F6" s="17" t="n">
        <x:f>'Inventory Planning'!K6</x:f>
        <x:v>0</x:v>
      </x:c>
      <x:c r="G6" s="20" t="n">
        <x:f>'Inventory Planning'!L6</x:f>
        <x:v>0</x:v>
      </x:c>
      <x:c r="H6" s="17" t="str">
        <x:f>'Inventory Planning'!U6</x:f>
        <x:v>Higher</x:v>
      </x:c>
      <x:c r="I6" s="17" t="str">
        <x:f>'Inventory Planning'!V6</x:f>
        <x:v>Next planning review</x:v>
      </x:c>
      <x:c r="J6" s="21" t="n">
        <x:f>'Inventory Planning'!N6</x:f>
        <x:v>0.54</x:v>
      </x:c>
    </x:row>
    <x:row r="7" ht="23" customHeight="1">
      <x:c r="A7" s="17" t="str">
        <x:f>'Inventory Planning'!B7</x:f>
        <x:v>Sketch Folio</x:v>
      </x:c>
      <x:c r="B7" s="17" t="str">
        <x:f>'Inventory Planning'!S7</x:f>
        <x:v>Balanced</x:v>
      </x:c>
      <x:c r="C7" s="20" t="n">
        <x:f>'Inventory Planning'!T7</x:f>
        <x:v>0</x:v>
      </x:c>
      <x:c r="D7" s="2" t="n">
        <x:f>1+COUNTIF($C$2:$C$25,"&gt;"&amp;C7)</x:f>
        <x:v>12</x:v>
      </x:c>
      <x:c r="E7" s="2" t="str">
        <x:f>IF(B7="Stockout","Validate receipts; protect availability",IF(B7="Excess","Pause receipts; assess targeted markdown","Monitor forecast and stock"))</x:f>
        <x:v>Monitor forecast and stock</x:v>
      </x:c>
      <x:c r="F7" s="17" t="n">
        <x:f>'Inventory Planning'!K7</x:f>
        <x:v>84</x:v>
      </x:c>
      <x:c r="G7" s="20" t="n">
        <x:f>'Inventory Planning'!L7</x:f>
        <x:v>896.28</x:v>
      </x:c>
      <x:c r="H7" s="17" t="str">
        <x:f>'Inventory Planning'!U7</x:f>
        <x:v>Higher</x:v>
      </x:c>
      <x:c r="I7" s="17" t="str">
        <x:f>'Inventory Planning'!V7</x:f>
        <x:v>Next planning review</x:v>
      </x:c>
      <x:c r="J7" s="21" t="n">
        <x:f>'Inventory Planning'!N7</x:f>
        <x:v>0.515</x:v>
      </x:c>
    </x:row>
    <x:row r="8" ht="23" customHeight="1">
      <x:c r="A8" s="17" t="str">
        <x:f>'Inventory Planning'!B8</x:f>
        <x:v>Celebration Box</x:v>
      </x:c>
      <x:c r="B8" s="17" t="str">
        <x:f>'Inventory Planning'!S8</x:f>
        <x:v>Balanced</x:v>
      </x:c>
      <x:c r="C8" s="20" t="n">
        <x:f>'Inventory Planning'!T8</x:f>
        <x:v>0</x:v>
      </x:c>
      <x:c r="D8" s="2" t="n">
        <x:f>1+COUNTIF($C$2:$C$25,"&gt;"&amp;C8)</x:f>
        <x:v>12</x:v>
      </x:c>
      <x:c r="E8" s="2" t="str">
        <x:f>IF(B8="Stockout","Validate receipts; protect availability",IF(B8="Excess","Pause receipts; assess targeted markdown","Monitor forecast and stock"))</x:f>
        <x:v>Monitor forecast and stock</x:v>
      </x:c>
      <x:c r="F8" s="17" t="n">
        <x:f>'Inventory Planning'!K8</x:f>
        <x:v>48</x:v>
      </x:c>
      <x:c r="G8" s="20" t="n">
        <x:f>'Inventory Planning'!L8</x:f>
        <x:v>311.04</x:v>
      </x:c>
      <x:c r="H8" s="17" t="str">
        <x:f>'Inventory Planning'!U8</x:f>
        <x:v>Review forecast</x:v>
      </x:c>
      <x:c r="I8" s="17" t="str">
        <x:f>'Inventory Planning'!V8</x:f>
        <x:v>Next planning review</x:v>
      </x:c>
      <x:c r="J8" s="21" t="n">
        <x:f>'Inventory Planning'!N8</x:f>
        <x:v>0.64</x:v>
      </x:c>
    </x:row>
    <x:row r="9" ht="23" customHeight="1">
      <x:c r="A9" s="17" t="str">
        <x:f>'Inventory Planning'!B9</x:f>
        <x:v>Ribbon Keepsake</x:v>
      </x:c>
      <x:c r="B9" s="17" t="str">
        <x:f>'Inventory Planning'!S9</x:f>
        <x:v>Balanced</x:v>
      </x:c>
      <x:c r="C9" s="20" t="n">
        <x:f>'Inventory Planning'!T9</x:f>
        <x:v>0</x:v>
      </x:c>
      <x:c r="D9" s="2" t="n">
        <x:f>1+COUNTIF($C$2:$C$25,"&gt;"&amp;C9)</x:f>
        <x:v>12</x:v>
      </x:c>
      <x:c r="E9" s="2" t="str">
        <x:f>IF(B9="Stockout","Validate receipts; protect availability",IF(B9="Excess","Pause receipts; assess targeted markdown","Monitor forecast and stock"))</x:f>
        <x:v>Monitor forecast and stock</x:v>
      </x:c>
      <x:c r="F9" s="17" t="n">
        <x:f>'Inventory Planning'!K9</x:f>
        <x:v>228</x:v>
      </x:c>
      <x:c r="G9" s="20" t="n">
        <x:f>'Inventory Planning'!L9</x:f>
        <x:v>1755.6000000000001</x:v>
      </x:c>
      <x:c r="H9" s="17" t="str">
        <x:f>'Inventory Planning'!U9</x:f>
        <x:v>Review forecast</x:v>
      </x:c>
      <x:c r="I9" s="17" t="str">
        <x:f>'Inventory Planning'!V9</x:f>
        <x:v>Next planning review</x:v>
      </x:c>
      <x:c r="J9" s="21" t="n">
        <x:f>'Inventory Planning'!N9</x:f>
        <x:v>0.615</x:v>
      </x:c>
    </x:row>
    <x:row r="10" ht="23" customHeight="1">
      <x:c r="A10" s="17" t="str">
        <x:f>'Inventory Planning'!B10</x:f>
        <x:v>Tiny Joy Kit</x:v>
      </x:c>
      <x:c r="B10" s="17" t="str">
        <x:f>'Inventory Planning'!S10</x:f>
        <x:v>Stockout</x:v>
      </x:c>
      <x:c r="C10" s="20" t="n">
        <x:f>'Inventory Planning'!T10</x:f>
        <x:v>1817.2</x:v>
      </x:c>
      <x:c r="D10" s="2" t="n">
        <x:f>1+COUNTIF($C$2:$C$25,"&gt;"&amp;C10)</x:f>
        <x:v>7</x:v>
      </x:c>
      <x:c r="E10" s="2" t="str">
        <x:f>IF(B10="Stockout","Validate receipts; protect availability",IF(B10="Excess","Pause receipts; assess targeted markdown","Monitor forecast and stock"))</x:f>
        <x:v>Validate receipts; protect availability</x:v>
      </x:c>
      <x:c r="F10" s="17" t="n">
        <x:f>'Inventory Planning'!K10</x:f>
        <x:v>468</x:v>
      </x:c>
      <x:c r="G10" s="20" t="n">
        <x:f>'Inventory Planning'!L10</x:f>
        <x:v>4221.36</x:v>
      </x:c>
      <x:c r="H10" s="17" t="str">
        <x:f>'Inventory Planning'!U10</x:f>
        <x:v>Review forecast</x:v>
      </x:c>
      <x:c r="I10" s="17" t="str">
        <x:f>'Inventory Planning'!V10</x:f>
        <x:v>Before next receipt</x:v>
      </x:c>
      <x:c r="J10" s="21" t="n">
        <x:f>'Inventory Planning'!N10</x:f>
        <x:v>0.59</x:v>
      </x:c>
    </x:row>
    <x:row r="11" ht="23" customHeight="1">
      <x:c r="A11" s="17" t="str">
        <x:f>'Inventory Planning'!B11</x:f>
        <x:v>Wish Jar</x:v>
      </x:c>
      <x:c r="B11" s="17" t="str">
        <x:f>'Inventory Planning'!S11</x:f>
        <x:v>Balanced</x:v>
      </x:c>
      <x:c r="C11" s="20" t="n">
        <x:f>'Inventory Planning'!T11</x:f>
        <x:v>0</x:v>
      </x:c>
      <x:c r="D11" s="2" t="n">
        <x:f>1+COUNTIF($C$2:$C$25,"&gt;"&amp;C11)</x:f>
        <x:v>12</x:v>
      </x:c>
      <x:c r="E11" s="2" t="str">
        <x:f>IF(B11="Stockout","Validate receipts; protect availability",IF(B11="Excess","Pause receipts; assess targeted markdown","Monitor forecast and stock"))</x:f>
        <x:v>Monitor forecast and stock</x:v>
      </x:c>
      <x:c r="F11" s="17" t="n">
        <x:f>'Inventory Planning'!K11</x:f>
        <x:v>0</x:v>
      </x:c>
      <x:c r="G11" s="20" t="n">
        <x:f>'Inventory Planning'!L11</x:f>
        <x:v>0</x:v>
      </x:c>
      <x:c r="H11" s="17" t="str">
        <x:f>'Inventory Planning'!U11</x:f>
        <x:v>Review forecast</x:v>
      </x:c>
      <x:c r="I11" s="17" t="str">
        <x:f>'Inventory Planning'!V11</x:f>
        <x:v>Next planning review</x:v>
      </x:c>
      <x:c r="J11" s="21" t="n">
        <x:f>'Inventory Planning'!N11</x:f>
        <x:v>0.5650000000000001</x:v>
      </x:c>
    </x:row>
    <x:row r="12" ht="23" customHeight="1">
      <x:c r="A12" s="17" t="str">
        <x:f>'Inventory Planning'!B12</x:f>
        <x:v>Surprise Parcel</x:v>
      </x:c>
      <x:c r="B12" s="17" t="str">
        <x:f>'Inventory Planning'!S12</x:f>
        <x:v>Balanced</x:v>
      </x:c>
      <x:c r="C12" s="20" t="n">
        <x:f>'Inventory Planning'!T12</x:f>
        <x:v>0</x:v>
      </x:c>
      <x:c r="D12" s="2" t="n">
        <x:f>1+COUNTIF($C$2:$C$25,"&gt;"&amp;C12)</x:f>
        <x:v>12</x:v>
      </x:c>
      <x:c r="E12" s="2" t="str">
        <x:f>IF(B12="Stockout","Validate receipts; protect availability",IF(B12="Excess","Pause receipts; assess targeted markdown","Monitor forecast and stock"))</x:f>
        <x:v>Monitor forecast and stock</x:v>
      </x:c>
      <x:c r="F12" s="17" t="n">
        <x:f>'Inventory Planning'!K12</x:f>
        <x:v>108</x:v>
      </x:c>
      <x:c r="G12" s="20" t="n">
        <x:f>'Inventory Planning'!L12</x:f>
        <x:v>1291.68</x:v>
      </x:c>
      <x:c r="H12" s="17" t="str">
        <x:f>'Inventory Planning'!U12</x:f>
        <x:v>Review forecast</x:v>
      </x:c>
      <x:c r="I12" s="17" t="str">
        <x:f>'Inventory Planning'!V12</x:f>
        <x:v>Next planning review</x:v>
      </x:c>
      <x:c r="J12" s="21" t="n">
        <x:f>'Inventory Planning'!N12</x:f>
        <x:v>0.5399999999999999</x:v>
      </x:c>
    </x:row>
    <x:row r="13" ht="23" customHeight="1">
      <x:c r="A13" s="17" t="str">
        <x:f>'Inventory Planning'!B13</x:f>
        <x:v>Memory Capsule</x:v>
      </x:c>
      <x:c r="B13" s="17" t="str">
        <x:f>'Inventory Planning'!S13</x:f>
        <x:v>Stockout</x:v>
      </x:c>
      <x:c r="C13" s="20" t="n">
        <x:f>'Inventory Planning'!T13</x:f>
        <x:v>374.92</x:v>
      </x:c>
      <x:c r="D13" s="2" t="n">
        <x:f>1+COUNTIF($C$2:$C$25,"&gt;"&amp;C13)</x:f>
        <x:v>11</x:v>
      </x:c>
      <x:c r="E13" s="2" t="str">
        <x:f>IF(B13="Stockout","Validate receipts; protect availability",IF(B13="Excess","Pause receipts; assess targeted markdown","Monitor forecast and stock"))</x:f>
        <x:v>Validate receipts; protect availability</x:v>
      </x:c>
      <x:c r="F13" s="17" t="n">
        <x:f>'Inventory Planning'!K13</x:f>
        <x:v>270</x:v>
      </x:c>
      <x:c r="G13" s="20" t="n">
        <x:f>'Inventory Planning'!L13</x:f>
        <x:v>3666.6</x:v>
      </x:c>
      <x:c r="H13" s="17" t="str">
        <x:f>'Inventory Planning'!U13</x:f>
        <x:v>Review forecast</x:v>
      </x:c>
      <x:c r="I13" s="17" t="str">
        <x:f>'Inventory Planning'!V13</x:f>
        <x:v>Before next receipt</x:v>
      </x:c>
      <x:c r="J13" s="21" t="n">
        <x:f>'Inventory Planning'!N13</x:f>
        <x:v>0.515</x:v>
      </x:c>
    </x:row>
    <x:row r="14" ht="23" customHeight="1">
      <x:c r="A14" s="17" t="str">
        <x:f>'Inventory Planning'!B14</x:f>
        <x:v>Dawn Travel Cup</x:v>
      </x:c>
      <x:c r="B14" s="17" t="str">
        <x:f>'Inventory Planning'!S14</x:f>
        <x:v>Excess</x:v>
      </x:c>
      <x:c r="C14" s="20" t="n">
        <x:f>'Inventory Planning'!T14</x:f>
        <x:v>7881.84</x:v>
      </x:c>
      <x:c r="D14" s="2" t="n">
        <x:f>1+COUNTIF($C$2:$C$25,"&gt;"&amp;C14)</x:f>
        <x:v>4</x:v>
      </x:c>
      <x:c r="E14" s="2" t="str">
        <x:f>IF(B14="Stockout","Validate receipts; protect availability",IF(B14="Excess","Pause receipts; assess targeted markdown","Monitor forecast and stock"))</x:f>
        <x:v>Pause receipts; assess targeted markdown</x:v>
      </x:c>
      <x:c r="F14" s="17" t="n">
        <x:f>'Inventory Planning'!K14</x:f>
        <x:v>0</x:v>
      </x:c>
      <x:c r="G14" s="20" t="n">
        <x:f>'Inventory Planning'!L14</x:f>
        <x:v>0</x:v>
      </x:c>
      <x:c r="H14" s="17" t="str">
        <x:f>'Inventory Planning'!U14</x:f>
        <x:v>Higher</x:v>
      </x:c>
      <x:c r="I14" s="17" t="str">
        <x:f>'Inventory Planning'!V14</x:f>
        <x:v>Next planning review</x:v>
      </x:c>
      <x:c r="J14" s="21" t="n">
        <x:f>'Inventory Planning'!N14</x:f>
        <x:v>0.64</x:v>
      </x:c>
    </x:row>
    <x:row r="15" ht="23" customHeight="1">
      <x:c r="A15" s="17" t="str">
        <x:f>'Inventory Planning'!B15</x:f>
        <x:v>Soft Glow Lamp</x:v>
      </x:c>
      <x:c r="B15" s="17" t="str">
        <x:f>'Inventory Planning'!S15</x:f>
        <x:v>Excess</x:v>
      </x:c>
      <x:c r="C15" s="20" t="n">
        <x:f>'Inventory Planning'!T15</x:f>
        <x:v>5545.54</x:v>
      </x:c>
      <x:c r="D15" s="2" t="n">
        <x:f>1+COUNTIF($C$2:$C$25,"&gt;"&amp;C15)</x:f>
        <x:v>5</x:v>
      </x:c>
      <x:c r="E15" s="2" t="str">
        <x:f>IF(B15="Stockout","Validate receipts; protect availability",IF(B15="Excess","Pause receipts; assess targeted markdown","Monitor forecast and stock"))</x:f>
        <x:v>Pause receipts; assess targeted markdown</x:v>
      </x:c>
      <x:c r="F15" s="17" t="n">
        <x:f>'Inventory Planning'!K15</x:f>
        <x:v>0</x:v>
      </x:c>
      <x:c r="G15" s="20" t="n">
        <x:f>'Inventory Planning'!L15</x:f>
        <x:v>0</x:v>
      </x:c>
      <x:c r="H15" s="17" t="str">
        <x:f>'Inventory Planning'!U15</x:f>
        <x:v>Higher</x:v>
      </x:c>
      <x:c r="I15" s="17" t="str">
        <x:f>'Inventory Planning'!V15</x:f>
        <x:v>Next planning review</x:v>
      </x:c>
      <x:c r="J15" s="21" t="n">
        <x:f>'Inventory Planning'!N15</x:f>
        <x:v>0.615</x:v>
      </x:c>
    </x:row>
    <x:row r="16" ht="23" customHeight="1">
      <x:c r="A16" s="17" t="str">
        <x:f>'Inventory Planning'!B16</x:f>
        <x:v>Weekend Flask</x:v>
      </x:c>
      <x:c r="B16" s="17" t="str">
        <x:f>'Inventory Planning'!S16</x:f>
        <x:v>Excess</x:v>
      </x:c>
      <x:c r="C16" s="20" t="n">
        <x:f>'Inventory Planning'!T16</x:f>
        <x:v>2608.83</x:v>
      </x:c>
      <x:c r="D16" s="2" t="n">
        <x:f>1+COUNTIF($C$2:$C$25,"&gt;"&amp;C16)</x:f>
        <x:v>6</x:v>
      </x:c>
      <x:c r="E16" s="2" t="str">
        <x:f>IF(B16="Stockout","Validate receipts; protect availability",IF(B16="Excess","Pause receipts; assess targeted markdown","Monitor forecast and stock"))</x:f>
        <x:v>Pause receipts; assess targeted markdown</x:v>
      </x:c>
      <x:c r="F16" s="17" t="n">
        <x:f>'Inventory Planning'!K16</x:f>
        <x:v>0</x:v>
      </x:c>
      <x:c r="G16" s="20" t="n">
        <x:f>'Inventory Planning'!L16</x:f>
        <x:v>0</x:v>
      </x:c>
      <x:c r="H16" s="17" t="str">
        <x:f>'Inventory Planning'!U16</x:f>
        <x:v>Higher</x:v>
      </x:c>
      <x:c r="I16" s="17" t="str">
        <x:f>'Inventory Planning'!V16</x:f>
        <x:v>Next planning review</x:v>
      </x:c>
      <x:c r="J16" s="21" t="n">
        <x:f>'Inventory Planning'!N16</x:f>
        <x:v>0.59</x:v>
      </x:c>
    </x:row>
    <x:row r="17" ht="23" customHeight="1">
      <x:c r="A17" s="17" t="str">
        <x:f>'Inventory Planning'!B17</x:f>
        <x:v>Calm Desk Mat</x:v>
      </x:c>
      <x:c r="B17" s="17" t="str">
        <x:f>'Inventory Planning'!S17</x:f>
        <x:v>Excess</x:v>
      </x:c>
      <x:c r="C17" s="20" t="n">
        <x:f>'Inventory Planning'!T17</x:f>
        <x:v>15408.7875</x:v>
      </x:c>
      <x:c r="D17" s="2" t="n">
        <x:f>1+COUNTIF($C$2:$C$25,"&gt;"&amp;C17)</x:f>
        <x:v>1</x:v>
      </x:c>
      <x:c r="E17" s="2" t="str">
        <x:f>IF(B17="Stockout","Validate receipts; protect availability",IF(B17="Excess","Pause receipts; assess targeted markdown","Monitor forecast and stock"))</x:f>
        <x:v>Pause receipts; assess targeted markdown</x:v>
      </x:c>
      <x:c r="F17" s="17" t="n">
        <x:f>'Inventory Planning'!K17</x:f>
        <x:v>0</x:v>
      </x:c>
      <x:c r="G17" s="20" t="n">
        <x:f>'Inventory Planning'!L17</x:f>
        <x:v>0</x:v>
      </x:c>
      <x:c r="H17" s="17" t="str">
        <x:f>'Inventory Planning'!U17</x:f>
        <x:v>Higher</x:v>
      </x:c>
      <x:c r="I17" s="17" t="str">
        <x:f>'Inventory Planning'!V17</x:f>
        <x:v>Next planning review</x:v>
      </x:c>
      <x:c r="J17" s="21" t="n">
        <x:f>'Inventory Planning'!N17</x:f>
        <x:v>0.565</x:v>
      </x:c>
    </x:row>
    <x:row r="18" ht="23" customHeight="1">
      <x:c r="A18" s="17" t="str">
        <x:f>'Inventory Planning'!B18</x:f>
        <x:v>Everyday Tumbler</x:v>
      </x:c>
      <x:c r="B18" s="17" t="str">
        <x:f>'Inventory Planning'!S18</x:f>
        <x:v>Excess</x:v>
      </x:c>
      <x:c r="C18" s="20" t="n">
        <x:f>'Inventory Planning'!T18</x:f>
        <x:v>12762.24</x:v>
      </x:c>
      <x:c r="D18" s="2" t="n">
        <x:f>1+COUNTIF($C$2:$C$25,"&gt;"&amp;C18)</x:f>
        <x:v>2</x:v>
      </x:c>
      <x:c r="E18" s="2" t="str">
        <x:f>IF(B18="Stockout","Validate receipts; protect availability",IF(B18="Excess","Pause receipts; assess targeted markdown","Monitor forecast and stock"))</x:f>
        <x:v>Pause receipts; assess targeted markdown</x:v>
      </x:c>
      <x:c r="F18" s="17" t="n">
        <x:f>'Inventory Planning'!K18</x:f>
        <x:v>0</x:v>
      </x:c>
      <x:c r="G18" s="20" t="n">
        <x:f>'Inventory Planning'!L18</x:f>
        <x:v>0</x:v>
      </x:c>
      <x:c r="H18" s="17" t="str">
        <x:f>'Inventory Planning'!U18</x:f>
        <x:v>Higher</x:v>
      </x:c>
      <x:c r="I18" s="17" t="str">
        <x:f>'Inventory Planning'!V18</x:f>
        <x:v>Next planning review</x:v>
      </x:c>
      <x:c r="J18" s="21" t="n">
        <x:f>'Inventory Planning'!N18</x:f>
        <x:v>0.54</x:v>
      </x:c>
    </x:row>
    <x:row r="19" ht="23" customHeight="1">
      <x:c r="A19" s="17" t="str">
        <x:f>'Inventory Planning'!B19</x:f>
        <x:v>Nest Cushion</x:v>
      </x:c>
      <x:c r="B19" s="17" t="str">
        <x:f>'Inventory Planning'!S19</x:f>
        <x:v>Excess</x:v>
      </x:c>
      <x:c r="C19" s="20" t="n">
        <x:f>'Inventory Planning'!T19</x:f>
        <x:v>8418.144999999999</x:v>
      </x:c>
      <x:c r="D19" s="2" t="n">
        <x:f>1+COUNTIF($C$2:$C$25,"&gt;"&amp;C19)</x:f>
        <x:v>3</x:v>
      </x:c>
      <x:c r="E19" s="2" t="str">
        <x:f>IF(B19="Stockout","Validate receipts; protect availability",IF(B19="Excess","Pause receipts; assess targeted markdown","Monitor forecast and stock"))</x:f>
        <x:v>Pause receipts; assess targeted markdown</x:v>
      </x:c>
      <x:c r="F19" s="17" t="n">
        <x:f>'Inventory Planning'!K19</x:f>
        <x:v>0</x:v>
      </x:c>
      <x:c r="G19" s="20" t="n">
        <x:f>'Inventory Planning'!L19</x:f>
        <x:v>0</x:v>
      </x:c>
      <x:c r="H19" s="17" t="str">
        <x:f>'Inventory Planning'!U19</x:f>
        <x:v>Higher</x:v>
      </x:c>
      <x:c r="I19" s="17" t="str">
        <x:f>'Inventory Planning'!V19</x:f>
        <x:v>Next planning review</x:v>
      </x:c>
      <x:c r="J19" s="21" t="n">
        <x:f>'Inventory Planning'!N19</x:f>
        <x:v>0.515</x:v>
      </x:c>
    </x:row>
    <x:row r="20" ht="23" customHeight="1">
      <x:c r="A20" s="17" t="str">
        <x:f>'Inventory Planning'!B20</x:f>
        <x:v>Loop Pouch</x:v>
      </x:c>
      <x:c r="B20" s="17" t="str">
        <x:f>'Inventory Planning'!S20</x:f>
        <x:v>Balanced</x:v>
      </x:c>
      <x:c r="C20" s="20" t="n">
        <x:f>'Inventory Planning'!T20</x:f>
        <x:v>0</x:v>
      </x:c>
      <x:c r="D20" s="2" t="n">
        <x:f>1+COUNTIF($C$2:$C$25,"&gt;"&amp;C20)</x:f>
        <x:v>12</x:v>
      </x:c>
      <x:c r="E20" s="2" t="str">
        <x:f>IF(B20="Stockout","Validate receipts; protect availability",IF(B20="Excess","Pause receipts; assess targeted markdown","Monitor forecast and stock"))</x:f>
        <x:v>Monitor forecast and stock</x:v>
      </x:c>
      <x:c r="F20" s="17" t="n">
        <x:f>'Inventory Planning'!K20</x:f>
        <x:v>0</x:v>
      </x:c>
      <x:c r="G20" s="20" t="n">
        <x:f>'Inventory Planning'!L20</x:f>
        <x:v>0</x:v>
      </x:c>
      <x:c r="H20" s="17" t="str">
        <x:f>'Inventory Planning'!U20</x:f>
        <x:v>Higher</x:v>
      </x:c>
      <x:c r="I20" s="17" t="str">
        <x:f>'Inventory Planning'!V20</x:f>
        <x:v>Next planning review</x:v>
      </x:c>
      <x:c r="J20" s="21" t="n">
        <x:f>'Inventory Planning'!N20</x:f>
        <x:v>0.64</x:v>
      </x:c>
    </x:row>
    <x:row r="21" ht="23" customHeight="1">
      <x:c r="A21" s="17" t="str">
        <x:f>'Inventory Planning'!B21</x:f>
        <x:v>Canvas Carryall</x:v>
      </x:c>
      <x:c r="B21" s="17" t="str">
        <x:f>'Inventory Planning'!S21</x:f>
        <x:v>Balanced</x:v>
      </x:c>
      <x:c r="C21" s="20" t="n">
        <x:f>'Inventory Planning'!T21</x:f>
        <x:v>0</x:v>
      </x:c>
      <x:c r="D21" s="2" t="n">
        <x:f>1+COUNTIF($C$2:$C$25,"&gt;"&amp;C21)</x:f>
        <x:v>12</x:v>
      </x:c>
      <x:c r="E21" s="2" t="str">
        <x:f>IF(B21="Stockout","Validate receipts; protect availability",IF(B21="Excess","Pause receipts; assess targeted markdown","Monitor forecast and stock"))</x:f>
        <x:v>Monitor forecast and stock</x:v>
      </x:c>
      <x:c r="F21" s="17" t="n">
        <x:f>'Inventory Planning'!K21</x:f>
        <x:v>36</x:v>
      </x:c>
      <x:c r="G21" s="20" t="n">
        <x:f>'Inventory Planning'!L21</x:f>
        <x:v>249.48</x:v>
      </x:c>
      <x:c r="H21" s="17" t="str">
        <x:f>'Inventory Planning'!U21</x:f>
        <x:v>Higher</x:v>
      </x:c>
      <x:c r="I21" s="17" t="str">
        <x:f>'Inventory Planning'!V21</x:f>
        <x:v>Next planning review</x:v>
      </x:c>
      <x:c r="J21" s="21" t="n">
        <x:f>'Inventory Planning'!N21</x:f>
        <x:v>0.615</x:v>
      </x:c>
    </x:row>
    <x:row r="22" ht="23" customHeight="1">
      <x:c r="A22" s="17" t="str">
        <x:f>'Inventory Planning'!B22</x:f>
        <x:v>Pocket Organiser</x:v>
      </x:c>
      <x:c r="B22" s="17" t="str">
        <x:f>'Inventory Planning'!S22</x:f>
        <x:v>Balanced</x:v>
      </x:c>
      <x:c r="C22" s="20" t="n">
        <x:f>'Inventory Planning'!T22</x:f>
        <x:v>0</x:v>
      </x:c>
      <x:c r="D22" s="2" t="n">
        <x:f>1+COUNTIF($C$2:$C$25,"&gt;"&amp;C22)</x:f>
        <x:v>12</x:v>
      </x:c>
      <x:c r="E22" s="2" t="str">
        <x:f>IF(B22="Stockout","Validate receipts; protect availability",IF(B22="Excess","Pause receipts; assess targeted markdown","Monitor forecast and stock"))</x:f>
        <x:v>Monitor forecast and stock</x:v>
      </x:c>
      <x:c r="F22" s="17" t="n">
        <x:f>'Inventory Planning'!K22</x:f>
        <x:v>198</x:v>
      </x:c>
      <x:c r="G22" s="20" t="n">
        <x:f>'Inventory Planning'!L22</x:f>
        <x:v>1623.6</x:v>
      </x:c>
      <x:c r="H22" s="17" t="str">
        <x:f>'Inventory Planning'!U22</x:f>
        <x:v>Higher</x:v>
      </x:c>
      <x:c r="I22" s="17" t="str">
        <x:f>'Inventory Planning'!V22</x:f>
        <x:v>Next planning review</x:v>
      </x:c>
      <x:c r="J22" s="21" t="n">
        <x:f>'Inventory Planning'!N22</x:f>
        <x:v>0.5900000000000001</x:v>
      </x:c>
    </x:row>
    <x:row r="23" ht="23" customHeight="1">
      <x:c r="A23" s="17" t="str">
        <x:f>'Inventory Planning'!B23</x:f>
        <x:v>Woven Lanyard</x:v>
      </x:c>
      <x:c r="B23" s="17" t="str">
        <x:f>'Inventory Planning'!S23</x:f>
        <x:v>Excess</x:v>
      </x:c>
      <x:c r="C23" s="20" t="n">
        <x:f>'Inventory Planning'!T23</x:f>
        <x:v>1476.1725000000001</x:v>
      </x:c>
      <x:c r="D23" s="2" t="n">
        <x:f>1+COUNTIF($C$2:$C$25,"&gt;"&amp;C23)</x:f>
        <x:v>8</x:v>
      </x:c>
      <x:c r="E23" s="2" t="str">
        <x:f>IF(B23="Stockout","Validate receipts; protect availability",IF(B23="Excess","Pause receipts; assess targeted markdown","Monitor forecast and stock"))</x:f>
        <x:v>Pause receipts; assess targeted markdown</x:v>
      </x:c>
      <x:c r="F23" s="17" t="n">
        <x:f>'Inventory Planning'!K23</x:f>
        <x:v>0</x:v>
      </x:c>
      <x:c r="G23" s="20" t="n">
        <x:f>'Inventory Planning'!L23</x:f>
        <x:v>0</x:v>
      </x:c>
      <x:c r="H23" s="17" t="str">
        <x:f>'Inventory Planning'!U23</x:f>
        <x:v>Higher</x:v>
      </x:c>
      <x:c r="I23" s="17" t="str">
        <x:f>'Inventory Planning'!V23</x:f>
        <x:v>Next planning review</x:v>
      </x:c>
      <x:c r="J23" s="21" t="n">
        <x:f>'Inventory Planning'!N23</x:f>
        <x:v>0.565</x:v>
      </x:c>
    </x:row>
    <x:row r="24" ht="23" customHeight="1">
      <x:c r="A24" s="17" t="str">
        <x:f>'Inventory Planning'!B24</x:f>
        <x:v>Pebble Keyring</x:v>
      </x:c>
      <x:c r="B24" s="17" t="str">
        <x:f>'Inventory Planning'!S24</x:f>
        <x:v>Balanced</x:v>
      </x:c>
      <x:c r="C24" s="20" t="n">
        <x:f>'Inventory Planning'!T24</x:f>
        <x:v>0</x:v>
      </x:c>
      <x:c r="D24" s="2" t="n">
        <x:f>1+COUNTIF($C$2:$C$25,"&gt;"&amp;C24)</x:f>
        <x:v>12</x:v>
      </x:c>
      <x:c r="E24" s="2" t="str">
        <x:f>IF(B24="Stockout","Validate receipts; protect availability",IF(B24="Excess","Pause receipts; assess targeted markdown","Monitor forecast and stock"))</x:f>
        <x:v>Monitor forecast and stock</x:v>
      </x:c>
      <x:c r="F24" s="17" t="n">
        <x:f>'Inventory Planning'!K24</x:f>
        <x:v>0</x:v>
      </x:c>
      <x:c r="G24" s="20" t="n">
        <x:f>'Inventory Planning'!L24</x:f>
        <x:v>0</x:v>
      </x:c>
      <x:c r="H24" s="17" t="str">
        <x:f>'Inventory Planning'!U24</x:f>
        <x:v>Higher</x:v>
      </x:c>
      <x:c r="I24" s="17" t="str">
        <x:f>'Inventory Planning'!V24</x:f>
        <x:v>Next planning review</x:v>
      </x:c>
      <x:c r="J24" s="21" t="n">
        <x:f>'Inventory Planning'!N24</x:f>
        <x:v>0.54</x:v>
      </x:c>
    </x:row>
    <x:row r="25" ht="23" customHeight="1">
      <x:c r="A25" s="17" t="str">
        <x:f>'Inventory Planning'!B25</x:f>
        <x:v>Mini Zip Case</x:v>
      </x:c>
      <x:c r="B25" s="17" t="str">
        <x:f>'Inventory Planning'!S25</x:f>
        <x:v>Balanced</x:v>
      </x:c>
      <x:c r="C25" s="20" t="n">
        <x:f>'Inventory Planning'!T25</x:f>
        <x:v>0</x:v>
      </x:c>
      <x:c r="D25" s="2" t="n">
        <x:f>1+COUNTIF($C$2:$C$25,"&gt;"&amp;C25)</x:f>
        <x:v>12</x:v>
      </x:c>
      <x:c r="E25" s="2" t="str">
        <x:f>IF(B25="Stockout","Validate receipts; protect availability",IF(B25="Excess","Pause receipts; assess targeted markdown","Monitor forecast and stock"))</x:f>
        <x:v>Monitor forecast and stock</x:v>
      </x:c>
      <x:c r="F25" s="17" t="n">
        <x:f>'Inventory Planning'!K25</x:f>
        <x:v>144</x:v>
      </x:c>
      <x:c r="G25" s="20" t="n">
        <x:f>'Inventory Planning'!L25</x:f>
        <x:v>1815.84</x:v>
      </x:c>
      <x:c r="H25" s="17" t="str">
        <x:f>'Inventory Planning'!U25</x:f>
        <x:v>Higher</x:v>
      </x:c>
      <x:c r="I25" s="17" t="str">
        <x:f>'Inventory Planning'!V25</x:f>
        <x:v>Next planning review</x:v>
      </x:c>
      <x:c r="J25" s="21" t="n">
        <x:f>'Inventory Planning'!N25</x:f>
        <x:v>0.515</x:v>
      </x:c>
    </x:row>
  </x:sheetData>
  <x:conditionalFormatting sqref="C2:C25">
    <x:cfRule type="dataBar" priority="1">
      <x:dataBar>
        <x:cfvo type="min"/>
        <x:cfvo type="max"/>
        <x:color rgb="FF5D8E76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b5998d77cab44293"/>
  </x:tableParts>
</x:worksheet>
</file>